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Home Off - Analytics\Marketing Analytics Data (Performance Marketing)\DistributableFolder\"/>
    </mc:Choice>
  </mc:AlternateContent>
  <xr:revisionPtr revIDLastSave="0" documentId="13_ncr:1_{EE9F52CB-894B-4DD0-83C2-C14F2ADA015A}" xr6:coauthVersionLast="45" xr6:coauthVersionMax="47" xr10:uidLastSave="{00000000-0000-0000-0000-000000000000}"/>
  <bookViews>
    <workbookView xWindow="-108" yWindow="-108" windowWidth="23256" windowHeight="12576" tabRatio="928" xr2:uid="{6F0AC864-DA5C-463A-9D1F-D0A10B9BB40E}"/>
  </bookViews>
  <sheets>
    <sheet name="Controls" sheetId="22" r:id="rId1"/>
    <sheet name="Charts" sheetId="18" r:id="rId2"/>
    <sheet name="Parameters" sheetId="35" r:id="rId3"/>
    <sheet name="General Lookups" sheetId="29" r:id="rId4"/>
    <sheet name="Slicers" sheetId="36" r:id="rId5"/>
    <sheet name="Check by Channel Data" sheetId="17" r:id="rId6"/>
    <sheet name="EBT Quarter" sheetId="26" r:id="rId7"/>
    <sheet name="Day of the Week Data" sheetId="27" r:id="rId8"/>
    <sheet name="LP Tables" sheetId="30" r:id="rId9"/>
    <sheet name="LTO Data" sheetId="37" r:id="rId10"/>
  </sheets>
  <functionGroups builtInGroupCount="19"/>
  <externalReferences>
    <externalReference r:id="rId11"/>
  </externalReferences>
  <definedNames>
    <definedName name="_xlnm._FilterDatabase" localSheetId="5" hidden="1">'Check by Channel Data'!$A$9:$A$598</definedName>
    <definedName name="_xlnm._FilterDatabase" localSheetId="3" hidden="1">'General Lookups'!$L:$M</definedName>
  </definedNames>
  <calcPr calcId="191029" calcMode="manual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0" i="18" l="1"/>
  <c r="B91" i="18"/>
  <c r="B89" i="18"/>
  <c r="AY15" i="37"/>
  <c r="AZ15" i="37" s="1"/>
  <c r="AZ25" i="37" s="1"/>
  <c r="BA15" i="37"/>
  <c r="BA25" i="37" s="1"/>
  <c r="BB15" i="37"/>
  <c r="BB25" i="37" s="1"/>
  <c r="BC15" i="37"/>
  <c r="BC25" i="37" s="1"/>
  <c r="AY14" i="37"/>
  <c r="AZ14" i="37" s="1"/>
  <c r="AZ24" i="37" s="1"/>
  <c r="BA14" i="37"/>
  <c r="BA24" i="37" s="1"/>
  <c r="BB14" i="37"/>
  <c r="BB24" i="37" s="1"/>
  <c r="BC14" i="37"/>
  <c r="BC24" i="37" s="1"/>
  <c r="AY17" i="37"/>
  <c r="AZ17" i="37" s="1"/>
  <c r="AZ27" i="37" s="1"/>
  <c r="BA17" i="37"/>
  <c r="BA27" i="37" s="1"/>
  <c r="BB17" i="37"/>
  <c r="BB27" i="37" s="1"/>
  <c r="BC17" i="37"/>
  <c r="BC27" i="37" s="1"/>
  <c r="AY18" i="37"/>
  <c r="AZ18" i="37" s="1"/>
  <c r="AZ28" i="37" s="1"/>
  <c r="BA18" i="37"/>
  <c r="BA28" i="37" s="1"/>
  <c r="BB18" i="37"/>
  <c r="BB28" i="37" s="1"/>
  <c r="BC18" i="37"/>
  <c r="BC28" i="37" s="1"/>
  <c r="BC16" i="37"/>
  <c r="BC26" i="37" s="1"/>
  <c r="BB16" i="37"/>
  <c r="BB26" i="37" s="1"/>
  <c r="BA16" i="37"/>
  <c r="BA26" i="37" s="1"/>
  <c r="AY16" i="37"/>
  <c r="AZ16" i="37" s="1"/>
  <c r="AZ26" i="37" s="1"/>
  <c r="AY8" i="37"/>
  <c r="C90" i="18" s="1"/>
  <c r="AZ8" i="37"/>
  <c r="D90" i="18" s="1"/>
  <c r="BA8" i="37"/>
  <c r="AY9" i="37"/>
  <c r="C91" i="18" s="1"/>
  <c r="AZ9" i="37"/>
  <c r="D91" i="18" s="1"/>
  <c r="BA9" i="37"/>
  <c r="BA7" i="37"/>
  <c r="AZ7" i="37"/>
  <c r="D89" i="18" s="1"/>
  <c r="AY7" i="37"/>
  <c r="C89" i="18" s="1"/>
  <c r="AX4" i="37"/>
  <c r="AY4" i="37"/>
  <c r="AP14" i="37"/>
  <c r="AQ14" i="37"/>
  <c r="AP15" i="37"/>
  <c r="AQ15" i="37"/>
  <c r="AP16" i="37"/>
  <c r="AQ16" i="37"/>
  <c r="AP17" i="37"/>
  <c r="AQ17" i="37"/>
  <c r="AP18" i="37"/>
  <c r="AQ18" i="37"/>
  <c r="AP19" i="37"/>
  <c r="AQ19" i="37"/>
  <c r="AP20" i="37"/>
  <c r="AQ20" i="37"/>
  <c r="AP21" i="37"/>
  <c r="AQ21" i="37"/>
  <c r="AP22" i="37"/>
  <c r="AQ22" i="37"/>
  <c r="AP23" i="37"/>
  <c r="AQ23" i="37"/>
  <c r="AP24" i="37"/>
  <c r="AQ24" i="37"/>
  <c r="AP25" i="37"/>
  <c r="AQ25" i="37"/>
  <c r="AP26" i="37"/>
  <c r="AQ26" i="37"/>
  <c r="AP27" i="37"/>
  <c r="AQ27" i="37"/>
  <c r="AP28" i="37"/>
  <c r="AQ28" i="37"/>
  <c r="AP29" i="37"/>
  <c r="AQ29" i="37"/>
  <c r="AP30" i="37"/>
  <c r="AQ30" i="37"/>
  <c r="AP31" i="37"/>
  <c r="AQ31" i="37"/>
  <c r="AP32" i="37"/>
  <c r="AQ32" i="37"/>
  <c r="AP33" i="37"/>
  <c r="AQ33" i="37"/>
  <c r="AP34" i="37"/>
  <c r="AQ34" i="37"/>
  <c r="AP35" i="37"/>
  <c r="AQ35" i="37"/>
  <c r="AP36" i="37"/>
  <c r="AQ36" i="37"/>
  <c r="AP37" i="37"/>
  <c r="AQ37" i="37"/>
  <c r="AP38" i="37"/>
  <c r="AQ38" i="37"/>
  <c r="AP39" i="37"/>
  <c r="AQ39" i="37"/>
  <c r="AP40" i="37"/>
  <c r="AQ40" i="37"/>
  <c r="AP41" i="37"/>
  <c r="AQ41" i="37"/>
  <c r="AP42" i="37"/>
  <c r="AQ42" i="37"/>
  <c r="AP43" i="37"/>
  <c r="AQ43" i="37"/>
  <c r="AP44" i="37"/>
  <c r="AQ44" i="37"/>
  <c r="AP45" i="37"/>
  <c r="AQ45" i="37"/>
  <c r="AP46" i="37"/>
  <c r="AQ46" i="37"/>
  <c r="AP47" i="37"/>
  <c r="AQ47" i="37"/>
  <c r="AP48" i="37"/>
  <c r="AQ48" i="37"/>
  <c r="AP49" i="37"/>
  <c r="AQ49" i="37"/>
  <c r="AP50" i="37"/>
  <c r="AQ50" i="37"/>
  <c r="AP51" i="37"/>
  <c r="AQ51" i="37"/>
  <c r="AP52" i="37"/>
  <c r="AQ52" i="37"/>
  <c r="AP53" i="37"/>
  <c r="AQ53" i="37"/>
  <c r="AP54" i="37"/>
  <c r="AQ54" i="37"/>
  <c r="AP55" i="37"/>
  <c r="AQ55" i="37"/>
  <c r="AP56" i="37"/>
  <c r="AQ56" i="37"/>
  <c r="AP57" i="37"/>
  <c r="AQ57" i="37"/>
  <c r="AP58" i="37"/>
  <c r="AQ58" i="37"/>
  <c r="AP59" i="37"/>
  <c r="AQ59" i="37"/>
  <c r="AP60" i="37"/>
  <c r="AQ60" i="37"/>
  <c r="AP61" i="37"/>
  <c r="AQ61" i="37"/>
  <c r="AP62" i="37"/>
  <c r="AQ62" i="37"/>
  <c r="AP63" i="37"/>
  <c r="AQ63" i="37"/>
  <c r="AP64" i="37"/>
  <c r="AQ64" i="37"/>
  <c r="AP65" i="37"/>
  <c r="AQ65" i="37"/>
  <c r="AP66" i="37"/>
  <c r="AQ66" i="37"/>
  <c r="AP67" i="37"/>
  <c r="AQ67" i="37"/>
  <c r="AP68" i="37"/>
  <c r="AQ68" i="37"/>
  <c r="AP69" i="37"/>
  <c r="AQ69" i="37"/>
  <c r="AP70" i="37"/>
  <c r="AQ70" i="37"/>
  <c r="AP71" i="37"/>
  <c r="AQ71" i="37"/>
  <c r="AP72" i="37"/>
  <c r="AQ72" i="37"/>
  <c r="AP73" i="37"/>
  <c r="AQ73" i="37"/>
  <c r="AP74" i="37"/>
  <c r="AQ74" i="37"/>
  <c r="AP75" i="37"/>
  <c r="AQ75" i="37"/>
  <c r="AP76" i="37"/>
  <c r="AQ76" i="37"/>
  <c r="AP77" i="37"/>
  <c r="AQ77" i="37"/>
  <c r="AP78" i="37"/>
  <c r="AQ78" i="37"/>
  <c r="AP79" i="37"/>
  <c r="AQ79" i="37"/>
  <c r="AP80" i="37"/>
  <c r="AQ80" i="37"/>
  <c r="AP81" i="37"/>
  <c r="AQ81" i="37"/>
  <c r="AP82" i="37"/>
  <c r="AQ82" i="37"/>
  <c r="AP83" i="37"/>
  <c r="AQ83" i="37"/>
  <c r="AP84" i="37"/>
  <c r="AQ84" i="37"/>
  <c r="AP85" i="37"/>
  <c r="AQ85" i="37"/>
  <c r="AP86" i="37"/>
  <c r="AQ86" i="37"/>
  <c r="AP87" i="37"/>
  <c r="AQ87" i="37"/>
  <c r="AP88" i="37"/>
  <c r="AQ88" i="37"/>
  <c r="AP89" i="37"/>
  <c r="AQ89" i="37"/>
  <c r="AP90" i="37"/>
  <c r="AQ90" i="37"/>
  <c r="AP91" i="37"/>
  <c r="AQ91" i="37"/>
  <c r="AP92" i="37"/>
  <c r="AQ92" i="37"/>
  <c r="AP93" i="37"/>
  <c r="AQ93" i="37"/>
  <c r="AP94" i="37"/>
  <c r="AQ94" i="37"/>
  <c r="AP95" i="37"/>
  <c r="AQ95" i="37"/>
  <c r="AP96" i="37"/>
  <c r="AQ96" i="37"/>
  <c r="AP97" i="37"/>
  <c r="AQ97" i="37"/>
  <c r="AP98" i="37"/>
  <c r="AQ98" i="37"/>
  <c r="AP99" i="37"/>
  <c r="AQ99" i="37"/>
  <c r="AP100" i="37"/>
  <c r="AQ100" i="37"/>
  <c r="AP101" i="37"/>
  <c r="AQ101" i="37"/>
  <c r="AP102" i="37"/>
  <c r="AQ102" i="37"/>
  <c r="AP103" i="37"/>
  <c r="AQ103" i="37"/>
  <c r="AP104" i="37"/>
  <c r="AQ104" i="37"/>
  <c r="AP105" i="37"/>
  <c r="AQ105" i="37"/>
  <c r="AP106" i="37"/>
  <c r="AQ106" i="37"/>
  <c r="AP107" i="37"/>
  <c r="AQ107" i="37"/>
  <c r="AP108" i="37"/>
  <c r="AQ108" i="37"/>
  <c r="AP109" i="37"/>
  <c r="AQ109" i="37"/>
  <c r="AP110" i="37"/>
  <c r="AQ110" i="37"/>
  <c r="AP111" i="37"/>
  <c r="AQ111" i="37"/>
  <c r="AP112" i="37"/>
  <c r="AQ112" i="37"/>
  <c r="AP113" i="37"/>
  <c r="AQ113" i="37"/>
  <c r="AP114" i="37"/>
  <c r="AQ114" i="37"/>
  <c r="AP115" i="37"/>
  <c r="AQ115" i="37"/>
  <c r="AP116" i="37"/>
  <c r="AQ116" i="37"/>
  <c r="AP117" i="37"/>
  <c r="AQ117" i="37"/>
  <c r="AP118" i="37"/>
  <c r="AQ118" i="37"/>
  <c r="AP119" i="37"/>
  <c r="AQ119" i="37"/>
  <c r="AP120" i="37"/>
  <c r="AQ120" i="37"/>
  <c r="AP121" i="37"/>
  <c r="AQ121" i="37"/>
  <c r="AP122" i="37"/>
  <c r="AQ122" i="37"/>
  <c r="AP123" i="37"/>
  <c r="AQ123" i="37"/>
  <c r="AP124" i="37"/>
  <c r="AQ124" i="37"/>
  <c r="AQ13" i="37"/>
  <c r="AP13" i="37"/>
  <c r="AM251" i="37"/>
  <c r="AL251" i="37"/>
  <c r="AK251" i="37"/>
  <c r="AJ251" i="37"/>
  <c r="AI251" i="37"/>
  <c r="AM250" i="37"/>
  <c r="AL250" i="37"/>
  <c r="AK250" i="37"/>
  <c r="AJ250" i="37"/>
  <c r="AI250" i="37"/>
  <c r="AM249" i="37"/>
  <c r="AL249" i="37"/>
  <c r="AK249" i="37"/>
  <c r="AJ249" i="37"/>
  <c r="AI249" i="37"/>
  <c r="AM248" i="37"/>
  <c r="AL248" i="37"/>
  <c r="AK248" i="37"/>
  <c r="AJ248" i="37"/>
  <c r="AI248" i="37"/>
  <c r="AM247" i="37"/>
  <c r="AL247" i="37"/>
  <c r="AK247" i="37"/>
  <c r="AJ247" i="37"/>
  <c r="AI247" i="37"/>
  <c r="AM246" i="37"/>
  <c r="AL246" i="37"/>
  <c r="AK246" i="37"/>
  <c r="AJ246" i="37"/>
  <c r="AI246" i="37"/>
  <c r="AM245" i="37"/>
  <c r="AL245" i="37"/>
  <c r="AK245" i="37"/>
  <c r="AJ245" i="37"/>
  <c r="AI245" i="37"/>
  <c r="AM244" i="37"/>
  <c r="AL244" i="37"/>
  <c r="AK244" i="37"/>
  <c r="AJ244" i="37"/>
  <c r="AI244" i="37"/>
  <c r="AM243" i="37"/>
  <c r="AL243" i="37"/>
  <c r="AK243" i="37"/>
  <c r="AJ243" i="37"/>
  <c r="AI243" i="37"/>
  <c r="AM242" i="37"/>
  <c r="AL242" i="37"/>
  <c r="AK242" i="37"/>
  <c r="AJ242" i="37"/>
  <c r="AI242" i="37"/>
  <c r="AM241" i="37"/>
  <c r="AL241" i="37"/>
  <c r="AK241" i="37"/>
  <c r="AJ241" i="37"/>
  <c r="AI241" i="37"/>
  <c r="AM240" i="37"/>
  <c r="AL240" i="37"/>
  <c r="AK240" i="37"/>
  <c r="AJ240" i="37"/>
  <c r="AI240" i="37"/>
  <c r="AM239" i="37"/>
  <c r="AL239" i="37"/>
  <c r="AK239" i="37"/>
  <c r="AJ239" i="37"/>
  <c r="AI239" i="37"/>
  <c r="AM238" i="37"/>
  <c r="AL238" i="37"/>
  <c r="AK238" i="37"/>
  <c r="AJ238" i="37"/>
  <c r="AI238" i="37"/>
  <c r="AM237" i="37"/>
  <c r="AL237" i="37"/>
  <c r="AK237" i="37"/>
  <c r="AJ237" i="37"/>
  <c r="AI237" i="37"/>
  <c r="AM236" i="37"/>
  <c r="AL236" i="37"/>
  <c r="AK236" i="37"/>
  <c r="AJ236" i="37"/>
  <c r="AI236" i="37"/>
  <c r="AM235" i="37"/>
  <c r="AL235" i="37"/>
  <c r="AK235" i="37"/>
  <c r="AJ235" i="37"/>
  <c r="AI235" i="37"/>
  <c r="AM234" i="37"/>
  <c r="AL234" i="37"/>
  <c r="AK234" i="37"/>
  <c r="AJ234" i="37"/>
  <c r="AI234" i="37"/>
  <c r="AM233" i="37"/>
  <c r="AL233" i="37"/>
  <c r="AK233" i="37"/>
  <c r="AJ233" i="37"/>
  <c r="AI233" i="37"/>
  <c r="AM232" i="37"/>
  <c r="AL232" i="37"/>
  <c r="AK232" i="37"/>
  <c r="AJ232" i="37"/>
  <c r="AI232" i="37"/>
  <c r="AM231" i="37"/>
  <c r="AL231" i="37"/>
  <c r="AK231" i="37"/>
  <c r="AJ231" i="37"/>
  <c r="AI231" i="37"/>
  <c r="AM230" i="37"/>
  <c r="AL230" i="37"/>
  <c r="AK230" i="37"/>
  <c r="AJ230" i="37"/>
  <c r="AI230" i="37"/>
  <c r="AM229" i="37"/>
  <c r="AL229" i="37"/>
  <c r="AK229" i="37"/>
  <c r="AJ229" i="37"/>
  <c r="AI229" i="37"/>
  <c r="AM228" i="37"/>
  <c r="AL228" i="37"/>
  <c r="AK228" i="37"/>
  <c r="AJ228" i="37"/>
  <c r="AI228" i="37"/>
  <c r="AM227" i="37"/>
  <c r="AL227" i="37"/>
  <c r="AK227" i="37"/>
  <c r="AJ227" i="37"/>
  <c r="AI227" i="37"/>
  <c r="AM226" i="37"/>
  <c r="AL226" i="37"/>
  <c r="AK226" i="37"/>
  <c r="AJ226" i="37"/>
  <c r="AI226" i="37"/>
  <c r="AM225" i="37"/>
  <c r="AL225" i="37"/>
  <c r="AK225" i="37"/>
  <c r="AJ225" i="37"/>
  <c r="AI225" i="37"/>
  <c r="AM224" i="37"/>
  <c r="AL224" i="37"/>
  <c r="AK224" i="37"/>
  <c r="AJ224" i="37"/>
  <c r="AI224" i="37"/>
  <c r="AM223" i="37"/>
  <c r="AL223" i="37"/>
  <c r="AK223" i="37"/>
  <c r="AJ223" i="37"/>
  <c r="AI223" i="37"/>
  <c r="AM222" i="37"/>
  <c r="AL222" i="37"/>
  <c r="AK222" i="37"/>
  <c r="AJ222" i="37"/>
  <c r="AI222" i="37"/>
  <c r="AM221" i="37"/>
  <c r="AL221" i="37"/>
  <c r="AK221" i="37"/>
  <c r="AJ221" i="37"/>
  <c r="AI221" i="37"/>
  <c r="AM220" i="37"/>
  <c r="AL220" i="37"/>
  <c r="AK220" i="37"/>
  <c r="AJ220" i="37"/>
  <c r="AI220" i="37"/>
  <c r="AM219" i="37"/>
  <c r="AL219" i="37"/>
  <c r="AK219" i="37"/>
  <c r="AJ219" i="37"/>
  <c r="AI219" i="37"/>
  <c r="AM218" i="37"/>
  <c r="AL218" i="37"/>
  <c r="AK218" i="37"/>
  <c r="AJ218" i="37"/>
  <c r="AI218" i="37"/>
  <c r="AM217" i="37"/>
  <c r="AL217" i="37"/>
  <c r="AK217" i="37"/>
  <c r="AJ217" i="37"/>
  <c r="AI217" i="37"/>
  <c r="AM216" i="37"/>
  <c r="AL216" i="37"/>
  <c r="AK216" i="37"/>
  <c r="AJ216" i="37"/>
  <c r="AI216" i="37"/>
  <c r="AM215" i="37"/>
  <c r="AL215" i="37"/>
  <c r="AK215" i="37"/>
  <c r="AJ215" i="37"/>
  <c r="AI215" i="37"/>
  <c r="AM214" i="37"/>
  <c r="AL214" i="37"/>
  <c r="AK214" i="37"/>
  <c r="AJ214" i="37"/>
  <c r="AI214" i="37"/>
  <c r="AM213" i="37"/>
  <c r="AL213" i="37"/>
  <c r="AK213" i="37"/>
  <c r="AJ213" i="37"/>
  <c r="AI213" i="37"/>
  <c r="AM212" i="37"/>
  <c r="AL212" i="37"/>
  <c r="AK212" i="37"/>
  <c r="AJ212" i="37"/>
  <c r="AI212" i="37"/>
  <c r="AM211" i="37"/>
  <c r="AL211" i="37"/>
  <c r="AK211" i="37"/>
  <c r="AJ211" i="37"/>
  <c r="AI211" i="37"/>
  <c r="AM210" i="37"/>
  <c r="AL210" i="37"/>
  <c r="AK210" i="37"/>
  <c r="AJ210" i="37"/>
  <c r="AI210" i="37"/>
  <c r="AM209" i="37"/>
  <c r="AL209" i="37"/>
  <c r="AK209" i="37"/>
  <c r="AJ209" i="37"/>
  <c r="AI209" i="37"/>
  <c r="AM208" i="37"/>
  <c r="AL208" i="37"/>
  <c r="AK208" i="37"/>
  <c r="AJ208" i="37"/>
  <c r="AI208" i="37"/>
  <c r="AM207" i="37"/>
  <c r="AL207" i="37"/>
  <c r="AK207" i="37"/>
  <c r="AJ207" i="37"/>
  <c r="AI207" i="37"/>
  <c r="AM206" i="37"/>
  <c r="AL206" i="37"/>
  <c r="AK206" i="37"/>
  <c r="AJ206" i="37"/>
  <c r="AI206" i="37"/>
  <c r="AM205" i="37"/>
  <c r="AL205" i="37"/>
  <c r="AK205" i="37"/>
  <c r="AJ205" i="37"/>
  <c r="AI205" i="37"/>
  <c r="AM204" i="37"/>
  <c r="AL204" i="37"/>
  <c r="AK204" i="37"/>
  <c r="AJ204" i="37"/>
  <c r="AI204" i="37"/>
  <c r="AM203" i="37"/>
  <c r="AL203" i="37"/>
  <c r="AK203" i="37"/>
  <c r="AJ203" i="37"/>
  <c r="AI203" i="37"/>
  <c r="AM202" i="37"/>
  <c r="AL202" i="37"/>
  <c r="AK202" i="37"/>
  <c r="AJ202" i="37"/>
  <c r="AI202" i="37"/>
  <c r="AM201" i="37"/>
  <c r="AL201" i="37"/>
  <c r="AK201" i="37"/>
  <c r="AJ201" i="37"/>
  <c r="AI201" i="37"/>
  <c r="AM200" i="37"/>
  <c r="AL200" i="37"/>
  <c r="AK200" i="37"/>
  <c r="AJ200" i="37"/>
  <c r="AI200" i="37"/>
  <c r="AM199" i="37"/>
  <c r="AL199" i="37"/>
  <c r="AK199" i="37"/>
  <c r="AJ199" i="37"/>
  <c r="AI199" i="37"/>
  <c r="AM198" i="37"/>
  <c r="AL198" i="37"/>
  <c r="AK198" i="37"/>
  <c r="AJ198" i="37"/>
  <c r="AI198" i="37"/>
  <c r="AM197" i="37"/>
  <c r="AL197" i="37"/>
  <c r="AK197" i="37"/>
  <c r="AJ197" i="37"/>
  <c r="AI197" i="37"/>
  <c r="AM196" i="37"/>
  <c r="AL196" i="37"/>
  <c r="AK196" i="37"/>
  <c r="AJ196" i="37"/>
  <c r="AI196" i="37"/>
  <c r="AM195" i="37"/>
  <c r="AL195" i="37"/>
  <c r="AK195" i="37"/>
  <c r="AJ195" i="37"/>
  <c r="AI195" i="37"/>
  <c r="AM194" i="37"/>
  <c r="AL194" i="37"/>
  <c r="AK194" i="37"/>
  <c r="AJ194" i="37"/>
  <c r="AI194" i="37"/>
  <c r="AM193" i="37"/>
  <c r="AL193" i="37"/>
  <c r="AK193" i="37"/>
  <c r="AJ193" i="37"/>
  <c r="AI193" i="37"/>
  <c r="AM192" i="37"/>
  <c r="AL192" i="37"/>
  <c r="AK192" i="37"/>
  <c r="AJ192" i="37"/>
  <c r="AI192" i="37"/>
  <c r="AM191" i="37"/>
  <c r="AL191" i="37"/>
  <c r="AK191" i="37"/>
  <c r="AJ191" i="37"/>
  <c r="AI191" i="37"/>
  <c r="AM190" i="37"/>
  <c r="AL190" i="37"/>
  <c r="AK190" i="37"/>
  <c r="AJ190" i="37"/>
  <c r="AI190" i="37"/>
  <c r="AM189" i="37"/>
  <c r="AL189" i="37"/>
  <c r="AK189" i="37"/>
  <c r="AJ189" i="37"/>
  <c r="AI189" i="37"/>
  <c r="AM188" i="37"/>
  <c r="AL188" i="37"/>
  <c r="AK188" i="37"/>
  <c r="AJ188" i="37"/>
  <c r="AI188" i="37"/>
  <c r="AM187" i="37"/>
  <c r="AL187" i="37"/>
  <c r="AK187" i="37"/>
  <c r="AJ187" i="37"/>
  <c r="AI187" i="37"/>
  <c r="AM186" i="37"/>
  <c r="AL186" i="37"/>
  <c r="AK186" i="37"/>
  <c r="AJ186" i="37"/>
  <c r="AI186" i="37"/>
  <c r="AM185" i="37"/>
  <c r="AL185" i="37"/>
  <c r="AK185" i="37"/>
  <c r="AJ185" i="37"/>
  <c r="AI185" i="37"/>
  <c r="AM184" i="37"/>
  <c r="AL184" i="37"/>
  <c r="AK184" i="37"/>
  <c r="AJ184" i="37"/>
  <c r="AI184" i="37"/>
  <c r="AM183" i="37"/>
  <c r="AL183" i="37"/>
  <c r="AK183" i="37"/>
  <c r="AJ183" i="37"/>
  <c r="AI183" i="37"/>
  <c r="AM182" i="37"/>
  <c r="AL182" i="37"/>
  <c r="AK182" i="37"/>
  <c r="AJ182" i="37"/>
  <c r="AI182" i="37"/>
  <c r="AM181" i="37"/>
  <c r="AL181" i="37"/>
  <c r="AK181" i="37"/>
  <c r="AJ181" i="37"/>
  <c r="AI181" i="37"/>
  <c r="AM180" i="37"/>
  <c r="AL180" i="37"/>
  <c r="AK180" i="37"/>
  <c r="AJ180" i="37"/>
  <c r="AI180" i="37"/>
  <c r="AM179" i="37"/>
  <c r="AL179" i="37"/>
  <c r="AK179" i="37"/>
  <c r="AJ179" i="37"/>
  <c r="AI179" i="37"/>
  <c r="AM178" i="37"/>
  <c r="AL178" i="37"/>
  <c r="AK178" i="37"/>
  <c r="AJ178" i="37"/>
  <c r="AI178" i="37"/>
  <c r="AM177" i="37"/>
  <c r="AL177" i="37"/>
  <c r="AK177" i="37"/>
  <c r="AJ177" i="37"/>
  <c r="AI177" i="37"/>
  <c r="AM176" i="37"/>
  <c r="AL176" i="37"/>
  <c r="AK176" i="37"/>
  <c r="AJ176" i="37"/>
  <c r="AI176" i="37"/>
  <c r="AM175" i="37"/>
  <c r="AL175" i="37"/>
  <c r="AK175" i="37"/>
  <c r="AJ175" i="37"/>
  <c r="AI175" i="37"/>
  <c r="AM174" i="37"/>
  <c r="AL174" i="37"/>
  <c r="AK174" i="37"/>
  <c r="AJ174" i="37"/>
  <c r="AI174" i="37"/>
  <c r="AM173" i="37"/>
  <c r="AL173" i="37"/>
  <c r="AK173" i="37"/>
  <c r="AJ173" i="37"/>
  <c r="AI173" i="37"/>
  <c r="AM172" i="37"/>
  <c r="AL172" i="37"/>
  <c r="AK172" i="37"/>
  <c r="AJ172" i="37"/>
  <c r="AI172" i="37"/>
  <c r="AM171" i="37"/>
  <c r="AL171" i="37"/>
  <c r="AK171" i="37"/>
  <c r="AJ171" i="37"/>
  <c r="AI171" i="37"/>
  <c r="AM170" i="37"/>
  <c r="AL170" i="37"/>
  <c r="AK170" i="37"/>
  <c r="AJ170" i="37"/>
  <c r="AI170" i="37"/>
  <c r="AM169" i="37"/>
  <c r="AL169" i="37"/>
  <c r="AK169" i="37"/>
  <c r="AJ169" i="37"/>
  <c r="AI169" i="37"/>
  <c r="AM168" i="37"/>
  <c r="AL168" i="37"/>
  <c r="AK168" i="37"/>
  <c r="AJ168" i="37"/>
  <c r="AI168" i="37"/>
  <c r="AM167" i="37"/>
  <c r="AL167" i="37"/>
  <c r="AK167" i="37"/>
  <c r="AJ167" i="37"/>
  <c r="AI167" i="37"/>
  <c r="AM166" i="37"/>
  <c r="AL166" i="37"/>
  <c r="AK166" i="37"/>
  <c r="AJ166" i="37"/>
  <c r="AI166" i="37"/>
  <c r="AM165" i="37"/>
  <c r="AL165" i="37"/>
  <c r="AK165" i="37"/>
  <c r="AJ165" i="37"/>
  <c r="AI165" i="37"/>
  <c r="AM164" i="37"/>
  <c r="AL164" i="37"/>
  <c r="AK164" i="37"/>
  <c r="AJ164" i="37"/>
  <c r="AI164" i="37"/>
  <c r="AM163" i="37"/>
  <c r="AL163" i="37"/>
  <c r="AK163" i="37"/>
  <c r="AJ163" i="37"/>
  <c r="AI163" i="37"/>
  <c r="AM162" i="37"/>
  <c r="AL162" i="37"/>
  <c r="AK162" i="37"/>
  <c r="AJ162" i="37"/>
  <c r="AI162" i="37"/>
  <c r="AM161" i="37"/>
  <c r="AL161" i="37"/>
  <c r="AK161" i="37"/>
  <c r="AJ161" i="37"/>
  <c r="AI161" i="37"/>
  <c r="AM160" i="37"/>
  <c r="AL160" i="37"/>
  <c r="AK160" i="37"/>
  <c r="AJ160" i="37"/>
  <c r="AI160" i="37"/>
  <c r="AM159" i="37"/>
  <c r="AL159" i="37"/>
  <c r="AK159" i="37"/>
  <c r="AJ159" i="37"/>
  <c r="AI159" i="37"/>
  <c r="AM158" i="37"/>
  <c r="AL158" i="37"/>
  <c r="AK158" i="37"/>
  <c r="AJ158" i="37"/>
  <c r="AI158" i="37"/>
  <c r="AM157" i="37"/>
  <c r="AL157" i="37"/>
  <c r="AK157" i="37"/>
  <c r="AJ157" i="37"/>
  <c r="AI157" i="37"/>
  <c r="AM156" i="37"/>
  <c r="AL156" i="37"/>
  <c r="AK156" i="37"/>
  <c r="AJ156" i="37"/>
  <c r="AI156" i="37"/>
  <c r="AM155" i="37"/>
  <c r="AL155" i="37"/>
  <c r="AK155" i="37"/>
  <c r="AJ155" i="37"/>
  <c r="AI155" i="37"/>
  <c r="AM154" i="37"/>
  <c r="AL154" i="37"/>
  <c r="AK154" i="37"/>
  <c r="AJ154" i="37"/>
  <c r="AI154" i="37"/>
  <c r="AM153" i="37"/>
  <c r="AL153" i="37"/>
  <c r="AK153" i="37"/>
  <c r="AJ153" i="37"/>
  <c r="AI153" i="37"/>
  <c r="AM152" i="37"/>
  <c r="AL152" i="37"/>
  <c r="AK152" i="37"/>
  <c r="AJ152" i="37"/>
  <c r="AI152" i="37"/>
  <c r="AM151" i="37"/>
  <c r="AL151" i="37"/>
  <c r="AK151" i="37"/>
  <c r="AJ151" i="37"/>
  <c r="AI151" i="37"/>
  <c r="AM150" i="37"/>
  <c r="AL150" i="37"/>
  <c r="AK150" i="37"/>
  <c r="AJ150" i="37"/>
  <c r="AI150" i="37"/>
  <c r="AM149" i="37"/>
  <c r="AL149" i="37"/>
  <c r="AK149" i="37"/>
  <c r="AJ149" i="37"/>
  <c r="AI149" i="37"/>
  <c r="AM148" i="37"/>
  <c r="AL148" i="37"/>
  <c r="AK148" i="37"/>
  <c r="AJ148" i="37"/>
  <c r="AI148" i="37"/>
  <c r="AM147" i="37"/>
  <c r="AL147" i="37"/>
  <c r="AK147" i="37"/>
  <c r="AJ147" i="37"/>
  <c r="AI147" i="37"/>
  <c r="AM146" i="37"/>
  <c r="AL146" i="37"/>
  <c r="AK146" i="37"/>
  <c r="AJ146" i="37"/>
  <c r="AI146" i="37"/>
  <c r="AM145" i="37"/>
  <c r="AL145" i="37"/>
  <c r="AK145" i="37"/>
  <c r="AJ145" i="37"/>
  <c r="AI145" i="37"/>
  <c r="AM144" i="37"/>
  <c r="AL144" i="37"/>
  <c r="AK144" i="37"/>
  <c r="AJ144" i="37"/>
  <c r="AI144" i="37"/>
  <c r="AM143" i="37"/>
  <c r="AL143" i="37"/>
  <c r="AK143" i="37"/>
  <c r="AJ143" i="37"/>
  <c r="AI143" i="37"/>
  <c r="AM142" i="37"/>
  <c r="AL142" i="37"/>
  <c r="AK142" i="37"/>
  <c r="AJ142" i="37"/>
  <c r="AI142" i="37"/>
  <c r="AM141" i="37"/>
  <c r="AL141" i="37"/>
  <c r="AK141" i="37"/>
  <c r="AJ141" i="37"/>
  <c r="AI141" i="37"/>
  <c r="AM140" i="37"/>
  <c r="AL140" i="37"/>
  <c r="AK140" i="37"/>
  <c r="AJ140" i="37"/>
  <c r="AI140" i="37"/>
  <c r="AI14" i="37"/>
  <c r="AJ14" i="37"/>
  <c r="AK14" i="37"/>
  <c r="AL14" i="37"/>
  <c r="AM14" i="37"/>
  <c r="AI15" i="37"/>
  <c r="AJ15" i="37"/>
  <c r="AK15" i="37"/>
  <c r="AL15" i="37"/>
  <c r="AM15" i="37"/>
  <c r="AI16" i="37"/>
  <c r="AJ16" i="37"/>
  <c r="AK16" i="37"/>
  <c r="AL16" i="37"/>
  <c r="AM16" i="37"/>
  <c r="AI17" i="37"/>
  <c r="AJ17" i="37"/>
  <c r="AK17" i="37"/>
  <c r="AL17" i="37"/>
  <c r="AM17" i="37"/>
  <c r="AI18" i="37"/>
  <c r="AJ18" i="37"/>
  <c r="AK18" i="37"/>
  <c r="AL18" i="37"/>
  <c r="AM18" i="37"/>
  <c r="AI19" i="37"/>
  <c r="AJ19" i="37"/>
  <c r="AK19" i="37"/>
  <c r="AL19" i="37"/>
  <c r="AM19" i="37"/>
  <c r="AI20" i="37"/>
  <c r="AJ20" i="37"/>
  <c r="AK20" i="37"/>
  <c r="AL20" i="37"/>
  <c r="AM20" i="37"/>
  <c r="AI21" i="37"/>
  <c r="AJ21" i="37"/>
  <c r="AK21" i="37"/>
  <c r="AL21" i="37"/>
  <c r="AM21" i="37"/>
  <c r="AI22" i="37"/>
  <c r="AJ22" i="37"/>
  <c r="AK22" i="37"/>
  <c r="AL22" i="37"/>
  <c r="AM22" i="37"/>
  <c r="AI23" i="37"/>
  <c r="AJ23" i="37"/>
  <c r="AK23" i="37"/>
  <c r="AL23" i="37"/>
  <c r="AM23" i="37"/>
  <c r="AI24" i="37"/>
  <c r="AJ24" i="37"/>
  <c r="AK24" i="37"/>
  <c r="AL24" i="37"/>
  <c r="AM24" i="37"/>
  <c r="AI25" i="37"/>
  <c r="AJ25" i="37"/>
  <c r="AK25" i="37"/>
  <c r="AL25" i="37"/>
  <c r="AM25" i="37"/>
  <c r="AI26" i="37"/>
  <c r="AJ26" i="37"/>
  <c r="AK26" i="37"/>
  <c r="AL26" i="37"/>
  <c r="AM26" i="37"/>
  <c r="AI27" i="37"/>
  <c r="AJ27" i="37"/>
  <c r="AK27" i="37"/>
  <c r="AL27" i="37"/>
  <c r="AM27" i="37"/>
  <c r="AI28" i="37"/>
  <c r="AJ28" i="37"/>
  <c r="AK28" i="37"/>
  <c r="AL28" i="37"/>
  <c r="AM28" i="37"/>
  <c r="AI29" i="37"/>
  <c r="AJ29" i="37"/>
  <c r="AK29" i="37"/>
  <c r="AL29" i="37"/>
  <c r="AM29" i="37"/>
  <c r="AI30" i="37"/>
  <c r="AJ30" i="37"/>
  <c r="AK30" i="37"/>
  <c r="AL30" i="37"/>
  <c r="AM30" i="37"/>
  <c r="AI31" i="37"/>
  <c r="AJ31" i="37"/>
  <c r="AK31" i="37"/>
  <c r="AL31" i="37"/>
  <c r="AM31" i="37"/>
  <c r="AI32" i="37"/>
  <c r="AJ32" i="37"/>
  <c r="AK32" i="37"/>
  <c r="AL32" i="37"/>
  <c r="AM32" i="37"/>
  <c r="AI33" i="37"/>
  <c r="AJ33" i="37"/>
  <c r="AK33" i="37"/>
  <c r="AL33" i="37"/>
  <c r="AM33" i="37"/>
  <c r="AI34" i="37"/>
  <c r="AJ34" i="37"/>
  <c r="AK34" i="37"/>
  <c r="AL34" i="37"/>
  <c r="AM34" i="37"/>
  <c r="AI35" i="37"/>
  <c r="AJ35" i="37"/>
  <c r="AK35" i="37"/>
  <c r="AL35" i="37"/>
  <c r="AM35" i="37"/>
  <c r="AI36" i="37"/>
  <c r="AJ36" i="37"/>
  <c r="AK36" i="37"/>
  <c r="AL36" i="37"/>
  <c r="AM36" i="37"/>
  <c r="AI37" i="37"/>
  <c r="AJ37" i="37"/>
  <c r="AK37" i="37"/>
  <c r="AL37" i="37"/>
  <c r="AM37" i="37"/>
  <c r="AI38" i="37"/>
  <c r="AJ38" i="37"/>
  <c r="AK38" i="37"/>
  <c r="AL38" i="37"/>
  <c r="AM38" i="37"/>
  <c r="AI39" i="37"/>
  <c r="AJ39" i="37"/>
  <c r="AK39" i="37"/>
  <c r="AL39" i="37"/>
  <c r="AM39" i="37"/>
  <c r="AI40" i="37"/>
  <c r="AJ40" i="37"/>
  <c r="AK40" i="37"/>
  <c r="AL40" i="37"/>
  <c r="AM40" i="37"/>
  <c r="AI41" i="37"/>
  <c r="AJ41" i="37"/>
  <c r="AK41" i="37"/>
  <c r="AL41" i="37"/>
  <c r="AM41" i="37"/>
  <c r="AI42" i="37"/>
  <c r="AJ42" i="37"/>
  <c r="AK42" i="37"/>
  <c r="AL42" i="37"/>
  <c r="AM42" i="37"/>
  <c r="AI43" i="37"/>
  <c r="AJ43" i="37"/>
  <c r="AK43" i="37"/>
  <c r="AL43" i="37"/>
  <c r="AM43" i="37"/>
  <c r="AI44" i="37"/>
  <c r="AJ44" i="37"/>
  <c r="AK44" i="37"/>
  <c r="AL44" i="37"/>
  <c r="AM44" i="37"/>
  <c r="AI45" i="37"/>
  <c r="AJ45" i="37"/>
  <c r="AK45" i="37"/>
  <c r="AL45" i="37"/>
  <c r="AM45" i="37"/>
  <c r="AI46" i="37"/>
  <c r="AJ46" i="37"/>
  <c r="AK46" i="37"/>
  <c r="AL46" i="37"/>
  <c r="AM46" i="37"/>
  <c r="AI47" i="37"/>
  <c r="AJ47" i="37"/>
  <c r="AK47" i="37"/>
  <c r="AL47" i="37"/>
  <c r="AM47" i="37"/>
  <c r="AI48" i="37"/>
  <c r="AJ48" i="37"/>
  <c r="AK48" i="37"/>
  <c r="AL48" i="37"/>
  <c r="AM48" i="37"/>
  <c r="AI49" i="37"/>
  <c r="AJ49" i="37"/>
  <c r="AK49" i="37"/>
  <c r="AL49" i="37"/>
  <c r="AM49" i="37"/>
  <c r="AI50" i="37"/>
  <c r="AJ50" i="37"/>
  <c r="AK50" i="37"/>
  <c r="AL50" i="37"/>
  <c r="AM50" i="37"/>
  <c r="AI51" i="37"/>
  <c r="AJ51" i="37"/>
  <c r="AK51" i="37"/>
  <c r="AL51" i="37"/>
  <c r="AM51" i="37"/>
  <c r="AI52" i="37"/>
  <c r="AJ52" i="37"/>
  <c r="AK52" i="37"/>
  <c r="AL52" i="37"/>
  <c r="AM52" i="37"/>
  <c r="AI53" i="37"/>
  <c r="AJ53" i="37"/>
  <c r="AK53" i="37"/>
  <c r="AL53" i="37"/>
  <c r="AM53" i="37"/>
  <c r="AI54" i="37"/>
  <c r="AJ54" i="37"/>
  <c r="AK54" i="37"/>
  <c r="AL54" i="37"/>
  <c r="AM54" i="37"/>
  <c r="AI55" i="37"/>
  <c r="AJ55" i="37"/>
  <c r="AK55" i="37"/>
  <c r="AL55" i="37"/>
  <c r="AM55" i="37"/>
  <c r="AI56" i="37"/>
  <c r="AJ56" i="37"/>
  <c r="AK56" i="37"/>
  <c r="AL56" i="37"/>
  <c r="AM56" i="37"/>
  <c r="AI57" i="37"/>
  <c r="AJ57" i="37"/>
  <c r="AK57" i="37"/>
  <c r="AL57" i="37"/>
  <c r="AM57" i="37"/>
  <c r="AI58" i="37"/>
  <c r="AJ58" i="37"/>
  <c r="AK58" i="37"/>
  <c r="AL58" i="37"/>
  <c r="AM58" i="37"/>
  <c r="AI59" i="37"/>
  <c r="AJ59" i="37"/>
  <c r="AK59" i="37"/>
  <c r="AL59" i="37"/>
  <c r="AM59" i="37"/>
  <c r="AI60" i="37"/>
  <c r="AJ60" i="37"/>
  <c r="AK60" i="37"/>
  <c r="AL60" i="37"/>
  <c r="AM60" i="37"/>
  <c r="AI61" i="37"/>
  <c r="AJ61" i="37"/>
  <c r="AK61" i="37"/>
  <c r="AL61" i="37"/>
  <c r="AM61" i="37"/>
  <c r="AI62" i="37"/>
  <c r="AJ62" i="37"/>
  <c r="AK62" i="37"/>
  <c r="AL62" i="37"/>
  <c r="AM62" i="37"/>
  <c r="AI63" i="37"/>
  <c r="AJ63" i="37"/>
  <c r="AK63" i="37"/>
  <c r="AL63" i="37"/>
  <c r="AM63" i="37"/>
  <c r="AI64" i="37"/>
  <c r="AJ64" i="37"/>
  <c r="AK64" i="37"/>
  <c r="AL64" i="37"/>
  <c r="AM64" i="37"/>
  <c r="AI65" i="37"/>
  <c r="AJ65" i="37"/>
  <c r="AK65" i="37"/>
  <c r="AL65" i="37"/>
  <c r="AM65" i="37"/>
  <c r="AI66" i="37"/>
  <c r="AJ66" i="37"/>
  <c r="AK66" i="37"/>
  <c r="AL66" i="37"/>
  <c r="AM66" i="37"/>
  <c r="AI67" i="37"/>
  <c r="AJ67" i="37"/>
  <c r="AK67" i="37"/>
  <c r="AL67" i="37"/>
  <c r="AM67" i="37"/>
  <c r="AI68" i="37"/>
  <c r="AJ68" i="37"/>
  <c r="AK68" i="37"/>
  <c r="AL68" i="37"/>
  <c r="AM68" i="37"/>
  <c r="AI69" i="37"/>
  <c r="AJ69" i="37"/>
  <c r="AK69" i="37"/>
  <c r="AL69" i="37"/>
  <c r="AM69" i="37"/>
  <c r="AI70" i="37"/>
  <c r="AJ70" i="37"/>
  <c r="AK70" i="37"/>
  <c r="AL70" i="37"/>
  <c r="AM70" i="37"/>
  <c r="AI71" i="37"/>
  <c r="AJ71" i="37"/>
  <c r="AK71" i="37"/>
  <c r="AL71" i="37"/>
  <c r="AM71" i="37"/>
  <c r="AI72" i="37"/>
  <c r="AJ72" i="37"/>
  <c r="AK72" i="37"/>
  <c r="AL72" i="37"/>
  <c r="AM72" i="37"/>
  <c r="AI73" i="37"/>
  <c r="AJ73" i="37"/>
  <c r="AK73" i="37"/>
  <c r="AL73" i="37"/>
  <c r="AM73" i="37"/>
  <c r="AI74" i="37"/>
  <c r="AJ74" i="37"/>
  <c r="AK74" i="37"/>
  <c r="AL74" i="37"/>
  <c r="AM74" i="37"/>
  <c r="AI75" i="37"/>
  <c r="AJ75" i="37"/>
  <c r="AK75" i="37"/>
  <c r="AL75" i="37"/>
  <c r="AM75" i="37"/>
  <c r="AI76" i="37"/>
  <c r="AJ76" i="37"/>
  <c r="AK76" i="37"/>
  <c r="AL76" i="37"/>
  <c r="AM76" i="37"/>
  <c r="AI77" i="37"/>
  <c r="AJ77" i="37"/>
  <c r="AK77" i="37"/>
  <c r="AL77" i="37"/>
  <c r="AM77" i="37"/>
  <c r="AI78" i="37"/>
  <c r="AJ78" i="37"/>
  <c r="AK78" i="37"/>
  <c r="AL78" i="37"/>
  <c r="AM78" i="37"/>
  <c r="AI79" i="37"/>
  <c r="AJ79" i="37"/>
  <c r="AK79" i="37"/>
  <c r="AL79" i="37"/>
  <c r="AM79" i="37"/>
  <c r="AI80" i="37"/>
  <c r="AJ80" i="37"/>
  <c r="AK80" i="37"/>
  <c r="AL80" i="37"/>
  <c r="AM80" i="37"/>
  <c r="AI81" i="37"/>
  <c r="AJ81" i="37"/>
  <c r="AK81" i="37"/>
  <c r="AL81" i="37"/>
  <c r="AM81" i="37"/>
  <c r="AI82" i="37"/>
  <c r="AJ82" i="37"/>
  <c r="AK82" i="37"/>
  <c r="AL82" i="37"/>
  <c r="AM82" i="37"/>
  <c r="AI83" i="37"/>
  <c r="AJ83" i="37"/>
  <c r="AK83" i="37"/>
  <c r="AL83" i="37"/>
  <c r="AM83" i="37"/>
  <c r="AI84" i="37"/>
  <c r="AJ84" i="37"/>
  <c r="AK84" i="37"/>
  <c r="AL84" i="37"/>
  <c r="AM84" i="37"/>
  <c r="AI85" i="37"/>
  <c r="AJ85" i="37"/>
  <c r="AK85" i="37"/>
  <c r="AL85" i="37"/>
  <c r="AM85" i="37"/>
  <c r="AI86" i="37"/>
  <c r="AJ86" i="37"/>
  <c r="AK86" i="37"/>
  <c r="AL86" i="37"/>
  <c r="AM86" i="37"/>
  <c r="AI87" i="37"/>
  <c r="AJ87" i="37"/>
  <c r="AK87" i="37"/>
  <c r="AL87" i="37"/>
  <c r="AM87" i="37"/>
  <c r="AI88" i="37"/>
  <c r="AJ88" i="37"/>
  <c r="AK88" i="37"/>
  <c r="AL88" i="37"/>
  <c r="AM88" i="37"/>
  <c r="AI89" i="37"/>
  <c r="AJ89" i="37"/>
  <c r="AK89" i="37"/>
  <c r="AL89" i="37"/>
  <c r="AM89" i="37"/>
  <c r="AI90" i="37"/>
  <c r="AJ90" i="37"/>
  <c r="AK90" i="37"/>
  <c r="AL90" i="37"/>
  <c r="AM90" i="37"/>
  <c r="AI91" i="37"/>
  <c r="AJ91" i="37"/>
  <c r="AK91" i="37"/>
  <c r="AL91" i="37"/>
  <c r="AM91" i="37"/>
  <c r="AI92" i="37"/>
  <c r="AJ92" i="37"/>
  <c r="AK92" i="37"/>
  <c r="AL92" i="37"/>
  <c r="AM92" i="37"/>
  <c r="AI93" i="37"/>
  <c r="AJ93" i="37"/>
  <c r="AK93" i="37"/>
  <c r="AL93" i="37"/>
  <c r="AM93" i="37"/>
  <c r="AI94" i="37"/>
  <c r="AJ94" i="37"/>
  <c r="AK94" i="37"/>
  <c r="AL94" i="37"/>
  <c r="AM94" i="37"/>
  <c r="AI95" i="37"/>
  <c r="AJ95" i="37"/>
  <c r="AK95" i="37"/>
  <c r="AL95" i="37"/>
  <c r="AM95" i="37"/>
  <c r="AI96" i="37"/>
  <c r="AJ96" i="37"/>
  <c r="AK96" i="37"/>
  <c r="AL96" i="37"/>
  <c r="AM96" i="37"/>
  <c r="AI97" i="37"/>
  <c r="AJ97" i="37"/>
  <c r="AK97" i="37"/>
  <c r="AL97" i="37"/>
  <c r="AM97" i="37"/>
  <c r="AI98" i="37"/>
  <c r="AJ98" i="37"/>
  <c r="AK98" i="37"/>
  <c r="AL98" i="37"/>
  <c r="AM98" i="37"/>
  <c r="AI99" i="37"/>
  <c r="AJ99" i="37"/>
  <c r="AK99" i="37"/>
  <c r="AL99" i="37"/>
  <c r="AM99" i="37"/>
  <c r="AI100" i="37"/>
  <c r="AJ100" i="37"/>
  <c r="AK100" i="37"/>
  <c r="AL100" i="37"/>
  <c r="AM100" i="37"/>
  <c r="AI101" i="37"/>
  <c r="AJ101" i="37"/>
  <c r="AK101" i="37"/>
  <c r="AL101" i="37"/>
  <c r="AM101" i="37"/>
  <c r="AI102" i="37"/>
  <c r="AJ102" i="37"/>
  <c r="AK102" i="37"/>
  <c r="AL102" i="37"/>
  <c r="AM102" i="37"/>
  <c r="AI103" i="37"/>
  <c r="AJ103" i="37"/>
  <c r="AK103" i="37"/>
  <c r="AL103" i="37"/>
  <c r="AM103" i="37"/>
  <c r="AI104" i="37"/>
  <c r="AJ104" i="37"/>
  <c r="AK104" i="37"/>
  <c r="AL104" i="37"/>
  <c r="AM104" i="37"/>
  <c r="AI105" i="37"/>
  <c r="AJ105" i="37"/>
  <c r="AK105" i="37"/>
  <c r="AL105" i="37"/>
  <c r="AM105" i="37"/>
  <c r="AI106" i="37"/>
  <c r="AJ106" i="37"/>
  <c r="AK106" i="37"/>
  <c r="AL106" i="37"/>
  <c r="AM106" i="37"/>
  <c r="AI107" i="37"/>
  <c r="AJ107" i="37"/>
  <c r="AK107" i="37"/>
  <c r="AL107" i="37"/>
  <c r="AM107" i="37"/>
  <c r="AI108" i="37"/>
  <c r="AJ108" i="37"/>
  <c r="AK108" i="37"/>
  <c r="AL108" i="37"/>
  <c r="AM108" i="37"/>
  <c r="AI109" i="37"/>
  <c r="AJ109" i="37"/>
  <c r="AK109" i="37"/>
  <c r="AL109" i="37"/>
  <c r="AM109" i="37"/>
  <c r="AI110" i="37"/>
  <c r="AJ110" i="37"/>
  <c r="AK110" i="37"/>
  <c r="AL110" i="37"/>
  <c r="AM110" i="37"/>
  <c r="AI111" i="37"/>
  <c r="AJ111" i="37"/>
  <c r="AK111" i="37"/>
  <c r="AL111" i="37"/>
  <c r="AM111" i="37"/>
  <c r="AI112" i="37"/>
  <c r="AJ112" i="37"/>
  <c r="AK112" i="37"/>
  <c r="AL112" i="37"/>
  <c r="AM112" i="37"/>
  <c r="AI113" i="37"/>
  <c r="AJ113" i="37"/>
  <c r="AK113" i="37"/>
  <c r="AL113" i="37"/>
  <c r="AM113" i="37"/>
  <c r="AI114" i="37"/>
  <c r="AJ114" i="37"/>
  <c r="AK114" i="37"/>
  <c r="AL114" i="37"/>
  <c r="AM114" i="37"/>
  <c r="AI115" i="37"/>
  <c r="AJ115" i="37"/>
  <c r="AK115" i="37"/>
  <c r="AL115" i="37"/>
  <c r="AM115" i="37"/>
  <c r="AI116" i="37"/>
  <c r="AJ116" i="37"/>
  <c r="AK116" i="37"/>
  <c r="AL116" i="37"/>
  <c r="AM116" i="37"/>
  <c r="AI117" i="37"/>
  <c r="AJ117" i="37"/>
  <c r="AK117" i="37"/>
  <c r="AL117" i="37"/>
  <c r="AM117" i="37"/>
  <c r="AI118" i="37"/>
  <c r="AJ118" i="37"/>
  <c r="AK118" i="37"/>
  <c r="AL118" i="37"/>
  <c r="AM118" i="37"/>
  <c r="AI119" i="37"/>
  <c r="AJ119" i="37"/>
  <c r="AK119" i="37"/>
  <c r="AL119" i="37"/>
  <c r="AM119" i="37"/>
  <c r="AI120" i="37"/>
  <c r="AJ120" i="37"/>
  <c r="AK120" i="37"/>
  <c r="AL120" i="37"/>
  <c r="AM120" i="37"/>
  <c r="AI121" i="37"/>
  <c r="AJ121" i="37"/>
  <c r="AK121" i="37"/>
  <c r="AL121" i="37"/>
  <c r="AM121" i="37"/>
  <c r="AI122" i="37"/>
  <c r="AJ122" i="37"/>
  <c r="AK122" i="37"/>
  <c r="AL122" i="37"/>
  <c r="AM122" i="37"/>
  <c r="AI123" i="37"/>
  <c r="AJ123" i="37"/>
  <c r="AK123" i="37"/>
  <c r="AL123" i="37"/>
  <c r="AM123" i="37"/>
  <c r="AI124" i="37"/>
  <c r="AJ124" i="37"/>
  <c r="AK124" i="37"/>
  <c r="AL124" i="37"/>
  <c r="AM124" i="37"/>
  <c r="AJ13" i="37"/>
  <c r="AK13" i="37"/>
  <c r="AL13" i="37"/>
  <c r="AM13" i="37"/>
  <c r="AI13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S39" i="37"/>
  <c r="AS40" i="37"/>
  <c r="AS41" i="37"/>
  <c r="AS42" i="37"/>
  <c r="AS43" i="37"/>
  <c r="AS44" i="37"/>
  <c r="AS45" i="37"/>
  <c r="AS46" i="37"/>
  <c r="AS47" i="37"/>
  <c r="AS48" i="37"/>
  <c r="AS49" i="37"/>
  <c r="AS50" i="37"/>
  <c r="AS51" i="37"/>
  <c r="AS52" i="37"/>
  <c r="AS53" i="37"/>
  <c r="AS54" i="37"/>
  <c r="AS55" i="37"/>
  <c r="AS56" i="37"/>
  <c r="AS57" i="37"/>
  <c r="AS58" i="37"/>
  <c r="AS59" i="37"/>
  <c r="AS60" i="37"/>
  <c r="AS61" i="37"/>
  <c r="AS62" i="37"/>
  <c r="AS63" i="37"/>
  <c r="AS64" i="37"/>
  <c r="AS65" i="37"/>
  <c r="AS66" i="37"/>
  <c r="AS67" i="37"/>
  <c r="AS68" i="37"/>
  <c r="AS69" i="37"/>
  <c r="AS70" i="37"/>
  <c r="AS71" i="37"/>
  <c r="AS72" i="37"/>
  <c r="AS73" i="37"/>
  <c r="AS74" i="37"/>
  <c r="AS75" i="37"/>
  <c r="AS76" i="37"/>
  <c r="AS77" i="37"/>
  <c r="AS78" i="37"/>
  <c r="AS79" i="37"/>
  <c r="AS80" i="37"/>
  <c r="AS81" i="37"/>
  <c r="AS82" i="37"/>
  <c r="AS83" i="37"/>
  <c r="AS84" i="37"/>
  <c r="AS85" i="37"/>
  <c r="AS86" i="37"/>
  <c r="AS87" i="37"/>
  <c r="AS88" i="37"/>
  <c r="AS89" i="37"/>
  <c r="AS90" i="37"/>
  <c r="AS91" i="37"/>
  <c r="AS92" i="37"/>
  <c r="AS93" i="37"/>
  <c r="AS94" i="37"/>
  <c r="AS95" i="37"/>
  <c r="AS96" i="37"/>
  <c r="AS97" i="37"/>
  <c r="AS98" i="37"/>
  <c r="AS99" i="37"/>
  <c r="AS100" i="37"/>
  <c r="AS101" i="37"/>
  <c r="AS102" i="37"/>
  <c r="AS103" i="37"/>
  <c r="AS104" i="37"/>
  <c r="AS105" i="37"/>
  <c r="AS106" i="37"/>
  <c r="AS107" i="37"/>
  <c r="AS108" i="37"/>
  <c r="AS109" i="37"/>
  <c r="AS110" i="37"/>
  <c r="AS111" i="37"/>
  <c r="AS112" i="37"/>
  <c r="AS113" i="37"/>
  <c r="AS114" i="37"/>
  <c r="AS115" i="37"/>
  <c r="AS116" i="37"/>
  <c r="AS117" i="37"/>
  <c r="AS118" i="37"/>
  <c r="AS119" i="37"/>
  <c r="AS120" i="37"/>
  <c r="AS121" i="37"/>
  <c r="AS122" i="37"/>
  <c r="AS123" i="37"/>
  <c r="AS124" i="37"/>
  <c r="AS126" i="37"/>
  <c r="AS127" i="37"/>
  <c r="AS128" i="37"/>
  <c r="AS129" i="37"/>
  <c r="AS130" i="37"/>
  <c r="AS131" i="37"/>
  <c r="AS132" i="37"/>
  <c r="AS133" i="37"/>
  <c r="AS134" i="37"/>
  <c r="AS135" i="37"/>
  <c r="AS136" i="37"/>
  <c r="AS137" i="37"/>
  <c r="AS138" i="37"/>
  <c r="AS139" i="37"/>
  <c r="AS140" i="37"/>
  <c r="AS141" i="37"/>
  <c r="AS142" i="37"/>
  <c r="AS143" i="37"/>
  <c r="AS144" i="37"/>
  <c r="AS145" i="37"/>
  <c r="AS146" i="37"/>
  <c r="AS147" i="37"/>
  <c r="AS148" i="37"/>
  <c r="AS149" i="37"/>
  <c r="AS150" i="37"/>
  <c r="AS151" i="37"/>
  <c r="AS152" i="37"/>
  <c r="AS153" i="37"/>
  <c r="AS154" i="37"/>
  <c r="AS155" i="37"/>
  <c r="AS156" i="37"/>
  <c r="AS157" i="37"/>
  <c r="AS158" i="37"/>
  <c r="AS159" i="37"/>
  <c r="AS160" i="37"/>
  <c r="AS161" i="37"/>
  <c r="AS162" i="37"/>
  <c r="AS163" i="37"/>
  <c r="AS164" i="37"/>
  <c r="AS165" i="37"/>
  <c r="AS166" i="37"/>
  <c r="AS167" i="37"/>
  <c r="AS168" i="37"/>
  <c r="AS169" i="37"/>
  <c r="AS170" i="37"/>
  <c r="AS171" i="37"/>
  <c r="AS172" i="37"/>
  <c r="AS173" i="37"/>
  <c r="AS174" i="37"/>
  <c r="AS175" i="37"/>
  <c r="AS176" i="37"/>
  <c r="AS177" i="37"/>
  <c r="AS178" i="37"/>
  <c r="AS179" i="37"/>
  <c r="AS180" i="37"/>
  <c r="AS181" i="37"/>
  <c r="AS182" i="37"/>
  <c r="AS183" i="37"/>
  <c r="AS184" i="37"/>
  <c r="AS185" i="37"/>
  <c r="AS186" i="37"/>
  <c r="AS187" i="37"/>
  <c r="AS188" i="37"/>
  <c r="AS189" i="37"/>
  <c r="AS190" i="37"/>
  <c r="AS191" i="37"/>
  <c r="AS192" i="37"/>
  <c r="AS193" i="37"/>
  <c r="AS194" i="37"/>
  <c r="AS195" i="37"/>
  <c r="AS196" i="37"/>
  <c r="AS197" i="37"/>
  <c r="AS198" i="37"/>
  <c r="AS199" i="37"/>
  <c r="AS200" i="37"/>
  <c r="AS201" i="37"/>
  <c r="AS202" i="37"/>
  <c r="AS203" i="37"/>
  <c r="AS204" i="37"/>
  <c r="AS205" i="37"/>
  <c r="AS206" i="37"/>
  <c r="AS207" i="37"/>
  <c r="AS208" i="37"/>
  <c r="AS209" i="37"/>
  <c r="AS210" i="37"/>
  <c r="AS211" i="37"/>
  <c r="AS212" i="37"/>
  <c r="AS213" i="37"/>
  <c r="AS214" i="37"/>
  <c r="AS215" i="37"/>
  <c r="AS216" i="37"/>
  <c r="AS217" i="37"/>
  <c r="AS218" i="37"/>
  <c r="AS219" i="37"/>
  <c r="AS220" i="37"/>
  <c r="AS221" i="37"/>
  <c r="AS222" i="37"/>
  <c r="AS223" i="37"/>
  <c r="AS224" i="37"/>
  <c r="AS225" i="37"/>
  <c r="AS226" i="37"/>
  <c r="AS227" i="37"/>
  <c r="AS228" i="37"/>
  <c r="AS229" i="37"/>
  <c r="AS230" i="37"/>
  <c r="AS231" i="37"/>
  <c r="AS232" i="37"/>
  <c r="AS233" i="37"/>
  <c r="AS234" i="37"/>
  <c r="AS235" i="37"/>
  <c r="AS236" i="37"/>
  <c r="AS237" i="37"/>
  <c r="AS238" i="37"/>
  <c r="AS239" i="37"/>
  <c r="AS240" i="37"/>
  <c r="AS241" i="37"/>
  <c r="AS242" i="37"/>
  <c r="AS243" i="37"/>
  <c r="AS244" i="37"/>
  <c r="AS245" i="37"/>
  <c r="AS246" i="37"/>
  <c r="AS247" i="37"/>
  <c r="AS248" i="37"/>
  <c r="AS249" i="37"/>
  <c r="AS250" i="37"/>
  <c r="AS251" i="37"/>
  <c r="AS252" i="37"/>
  <c r="AS253" i="37"/>
  <c r="AS254" i="37"/>
  <c r="AS255" i="37"/>
  <c r="AS256" i="37"/>
  <c r="AS257" i="37"/>
  <c r="AS258" i="37"/>
  <c r="AS259" i="37"/>
  <c r="AS260" i="37"/>
  <c r="AS261" i="37"/>
  <c r="AS262" i="37"/>
  <c r="AS263" i="37"/>
  <c r="AS264" i="37"/>
  <c r="AS265" i="37"/>
  <c r="AS266" i="37"/>
  <c r="AS267" i="37"/>
  <c r="AS268" i="37"/>
  <c r="AS269" i="37"/>
  <c r="AS270" i="37"/>
  <c r="AS271" i="37"/>
  <c r="AS272" i="37"/>
  <c r="AS273" i="37"/>
  <c r="AS274" i="37"/>
  <c r="AS275" i="37"/>
  <c r="AS276" i="37"/>
  <c r="AS277" i="37"/>
  <c r="AS278" i="37"/>
  <c r="AS279" i="37"/>
  <c r="AS280" i="37"/>
  <c r="AS281" i="37"/>
  <c r="AS282" i="37"/>
  <c r="AS283" i="37"/>
  <c r="AS284" i="37"/>
  <c r="AS285" i="37"/>
  <c r="AS286" i="37"/>
  <c r="AS287" i="37"/>
  <c r="AS288" i="37"/>
  <c r="AS289" i="37"/>
  <c r="AS290" i="37"/>
  <c r="AS291" i="37"/>
  <c r="AS292" i="37"/>
  <c r="AS293" i="37"/>
  <c r="AS294" i="37"/>
  <c r="AS295" i="37"/>
  <c r="AS296" i="37"/>
  <c r="AS297" i="37"/>
  <c r="AS298" i="37"/>
  <c r="AS299" i="37"/>
  <c r="AS300" i="37"/>
  <c r="AS301" i="37"/>
  <c r="AS302" i="37"/>
  <c r="AS303" i="37"/>
  <c r="AS304" i="37"/>
  <c r="AS305" i="37"/>
  <c r="AS306" i="37"/>
  <c r="AS307" i="37"/>
  <c r="AS308" i="37"/>
  <c r="AS309" i="37"/>
  <c r="AS310" i="37"/>
  <c r="AS311" i="37"/>
  <c r="AS312" i="37"/>
  <c r="AS313" i="37"/>
  <c r="AS314" i="37"/>
  <c r="AS315" i="37"/>
  <c r="AS316" i="37"/>
  <c r="AS317" i="37"/>
  <c r="AS318" i="37"/>
  <c r="AS319" i="37"/>
  <c r="AS320" i="37"/>
  <c r="AS321" i="37"/>
  <c r="AS322" i="37"/>
  <c r="AS323" i="37"/>
  <c r="AS324" i="37"/>
  <c r="AS325" i="37"/>
  <c r="AS326" i="37"/>
  <c r="AS327" i="37"/>
  <c r="AS328" i="37"/>
  <c r="AS329" i="37"/>
  <c r="AS330" i="37"/>
  <c r="AS331" i="37"/>
  <c r="AS332" i="37"/>
  <c r="AS333" i="37"/>
  <c r="AS334" i="37"/>
  <c r="AS335" i="37"/>
  <c r="AS336" i="37"/>
  <c r="AS337" i="37"/>
  <c r="AS338" i="37"/>
  <c r="AS339" i="37"/>
  <c r="AS340" i="37"/>
  <c r="AS341" i="37"/>
  <c r="AS342" i="37"/>
  <c r="AS343" i="37"/>
  <c r="AS344" i="37"/>
  <c r="AS345" i="37"/>
  <c r="AS346" i="37"/>
  <c r="AS347" i="37"/>
  <c r="AS348" i="37"/>
  <c r="AS349" i="37"/>
  <c r="AS350" i="37"/>
  <c r="AS351" i="37"/>
  <c r="AS352" i="37"/>
  <c r="AS353" i="37"/>
  <c r="AS354" i="37"/>
  <c r="AS355" i="37"/>
  <c r="AS356" i="37"/>
  <c r="AS357" i="37"/>
  <c r="AS358" i="37"/>
  <c r="AS359" i="37"/>
  <c r="AS360" i="37"/>
  <c r="AS361" i="37"/>
  <c r="AS362" i="37"/>
  <c r="AS363" i="37"/>
  <c r="AS364" i="37"/>
  <c r="AS365" i="37"/>
  <c r="AS366" i="37"/>
  <c r="AS367" i="37"/>
  <c r="AS368" i="37"/>
  <c r="AS369" i="37"/>
  <c r="AS370" i="37"/>
  <c r="AS371" i="37"/>
  <c r="AS372" i="37"/>
  <c r="AS373" i="37"/>
  <c r="AS374" i="37"/>
  <c r="AS375" i="37"/>
  <c r="AS376" i="37"/>
  <c r="AS377" i="37"/>
  <c r="AS378" i="37"/>
  <c r="AS379" i="37"/>
  <c r="AS380" i="37"/>
  <c r="AS381" i="37"/>
  <c r="AS382" i="37"/>
  <c r="AS383" i="37"/>
  <c r="AS384" i="37"/>
  <c r="AS385" i="37"/>
  <c r="AS386" i="37"/>
  <c r="AS387" i="37"/>
  <c r="AS388" i="37"/>
  <c r="AS389" i="37"/>
  <c r="AS390" i="37"/>
  <c r="AS391" i="37"/>
  <c r="AS392" i="37"/>
  <c r="AS393" i="37"/>
  <c r="AS394" i="37"/>
  <c r="AS395" i="37"/>
  <c r="AS396" i="37"/>
  <c r="AS397" i="37"/>
  <c r="AS398" i="37"/>
  <c r="AS399" i="37"/>
  <c r="AS400" i="37"/>
  <c r="AS401" i="37"/>
  <c r="AS402" i="37"/>
  <c r="AS403" i="37"/>
  <c r="AS404" i="37"/>
  <c r="AS405" i="37"/>
  <c r="AS406" i="37"/>
  <c r="AS407" i="37"/>
  <c r="AS408" i="37"/>
  <c r="AS409" i="37"/>
  <c r="AS410" i="37"/>
  <c r="AS411" i="37"/>
  <c r="AS412" i="37"/>
  <c r="AS413" i="37"/>
  <c r="AS414" i="37"/>
  <c r="AS415" i="37"/>
  <c r="AS416" i="37"/>
  <c r="AS417" i="37"/>
  <c r="AS418" i="37"/>
  <c r="AS419" i="37"/>
  <c r="AS420" i="37"/>
  <c r="AS421" i="37"/>
  <c r="AS422" i="37"/>
  <c r="AS423" i="37"/>
  <c r="AS424" i="37"/>
  <c r="AS425" i="37"/>
  <c r="AS426" i="37"/>
  <c r="AS427" i="37"/>
  <c r="AS428" i="37"/>
  <c r="AS429" i="37"/>
  <c r="AS430" i="37"/>
  <c r="AS431" i="37"/>
  <c r="AS432" i="37"/>
  <c r="AS433" i="37"/>
  <c r="AS434" i="37"/>
  <c r="AS435" i="37"/>
  <c r="AS436" i="37"/>
  <c r="AS437" i="37"/>
  <c r="AS438" i="37"/>
  <c r="AS439" i="37"/>
  <c r="AS440" i="37"/>
  <c r="AS441" i="37"/>
  <c r="AS442" i="37"/>
  <c r="AS443" i="37"/>
  <c r="AS444" i="37"/>
  <c r="AS445" i="37"/>
  <c r="AS446" i="37"/>
  <c r="AS447" i="37"/>
  <c r="AS448" i="37"/>
  <c r="AS449" i="37"/>
  <c r="AS450" i="37"/>
  <c r="AS451" i="37"/>
  <c r="AS452" i="37"/>
  <c r="AS453" i="37"/>
  <c r="AS454" i="37"/>
  <c r="AS455" i="37"/>
  <c r="AS456" i="37"/>
  <c r="AS457" i="37"/>
  <c r="AS458" i="37"/>
  <c r="AS459" i="37"/>
  <c r="AS460" i="37"/>
  <c r="AS461" i="37"/>
  <c r="AS462" i="37"/>
  <c r="AS463" i="37"/>
  <c r="AS464" i="37"/>
  <c r="AS465" i="37"/>
  <c r="AS466" i="37"/>
  <c r="AS467" i="37"/>
  <c r="AS468" i="37"/>
  <c r="AS469" i="37"/>
  <c r="AS470" i="37"/>
  <c r="AS471" i="37"/>
  <c r="AS472" i="37"/>
  <c r="AS473" i="37"/>
  <c r="AS474" i="37"/>
  <c r="AS475" i="37"/>
  <c r="AS476" i="37"/>
  <c r="AS477" i="37"/>
  <c r="AS478" i="37"/>
  <c r="AS479" i="37"/>
  <c r="AS480" i="37"/>
  <c r="AS481" i="37"/>
  <c r="AS482" i="37"/>
  <c r="AS483" i="37"/>
  <c r="AS484" i="37"/>
  <c r="AS485" i="37"/>
  <c r="AS486" i="37"/>
  <c r="AS487" i="37"/>
  <c r="AS488" i="37"/>
  <c r="AS489" i="37"/>
  <c r="AS490" i="37"/>
  <c r="AS491" i="37"/>
  <c r="AS492" i="37"/>
  <c r="AS493" i="37"/>
  <c r="AS494" i="37"/>
  <c r="AS495" i="37"/>
  <c r="AS496" i="37"/>
  <c r="AS497" i="37"/>
  <c r="AS498" i="37"/>
  <c r="AS499" i="37"/>
  <c r="AS500" i="37"/>
  <c r="AS501" i="37"/>
  <c r="AS502" i="37"/>
  <c r="AS503" i="37"/>
  <c r="AS504" i="37"/>
  <c r="AS505" i="37"/>
  <c r="AS506" i="37"/>
  <c r="AS507" i="37"/>
  <c r="AS508" i="37"/>
  <c r="AS509" i="37"/>
  <c r="AS510" i="37"/>
  <c r="AS511" i="37"/>
  <c r="AS512" i="37"/>
  <c r="AS513" i="37"/>
  <c r="AS514" i="37"/>
  <c r="AS515" i="37"/>
  <c r="AS516" i="37"/>
  <c r="AS517" i="37"/>
  <c r="AS518" i="37"/>
  <c r="AS519" i="37"/>
  <c r="AS520" i="37"/>
  <c r="AS521" i="37"/>
  <c r="AS522" i="37"/>
  <c r="AS523" i="37"/>
  <c r="AS524" i="37"/>
  <c r="AS525" i="37"/>
  <c r="AS526" i="37"/>
  <c r="AS527" i="37"/>
  <c r="AS528" i="37"/>
  <c r="AS529" i="37"/>
  <c r="AS530" i="37"/>
  <c r="AS531" i="37"/>
  <c r="AS532" i="37"/>
  <c r="AS533" i="37"/>
  <c r="AS534" i="37"/>
  <c r="AS535" i="37"/>
  <c r="AS536" i="37"/>
  <c r="AS537" i="37"/>
  <c r="AS538" i="37"/>
  <c r="AS539" i="37"/>
  <c r="AS540" i="37"/>
  <c r="AS541" i="37"/>
  <c r="AS542" i="37"/>
  <c r="AS543" i="37"/>
  <c r="AS544" i="37"/>
  <c r="AS545" i="37"/>
  <c r="AS546" i="37"/>
  <c r="AS547" i="37"/>
  <c r="AS548" i="37"/>
  <c r="AS549" i="37"/>
  <c r="AS550" i="37"/>
  <c r="AS551" i="37"/>
  <c r="AS552" i="37"/>
  <c r="AS553" i="37"/>
  <c r="AS554" i="37"/>
  <c r="AS555" i="37"/>
  <c r="AS556" i="37"/>
  <c r="AS557" i="37"/>
  <c r="AS558" i="37"/>
  <c r="AS559" i="37"/>
  <c r="AS560" i="37"/>
  <c r="AS561" i="37"/>
  <c r="AS562" i="37"/>
  <c r="AS563" i="37"/>
  <c r="AS564" i="37"/>
  <c r="AS565" i="37"/>
  <c r="AS566" i="37"/>
  <c r="AS567" i="37"/>
  <c r="AS568" i="37"/>
  <c r="AS569" i="37"/>
  <c r="AS570" i="37"/>
  <c r="AS571" i="37"/>
  <c r="AS572" i="37"/>
  <c r="AS573" i="37"/>
  <c r="AS574" i="37"/>
  <c r="AS575" i="37"/>
  <c r="AS576" i="37"/>
  <c r="AS577" i="37"/>
  <c r="AS578" i="37"/>
  <c r="AS579" i="37"/>
  <c r="AS580" i="37"/>
  <c r="AS581" i="37"/>
  <c r="AS582" i="37"/>
  <c r="AS583" i="37"/>
  <c r="AS584" i="37"/>
  <c r="AS585" i="37"/>
  <c r="AS586" i="37"/>
  <c r="AS587" i="37"/>
  <c r="AS588" i="37"/>
  <c r="AS589" i="37"/>
  <c r="AS590" i="37"/>
  <c r="AS591" i="37"/>
  <c r="AS592" i="37"/>
  <c r="AS593" i="37"/>
  <c r="AS594" i="37"/>
  <c r="AS595" i="37"/>
  <c r="AS596" i="37"/>
  <c r="AS597" i="37"/>
  <c r="AS598" i="37"/>
  <c r="AS599" i="37"/>
  <c r="AS600" i="37"/>
  <c r="AS601" i="37"/>
  <c r="AS602" i="37"/>
  <c r="AS603" i="37"/>
  <c r="AS604" i="37"/>
  <c r="AS605" i="37"/>
  <c r="AS606" i="37"/>
  <c r="AS607" i="37"/>
  <c r="AS608" i="37"/>
  <c r="AS609" i="37"/>
  <c r="AS610" i="37"/>
  <c r="AS611" i="37"/>
  <c r="AS612" i="37"/>
  <c r="AS613" i="37"/>
  <c r="AS614" i="37"/>
  <c r="AS615" i="37"/>
  <c r="AS616" i="37"/>
  <c r="AS617" i="37"/>
  <c r="AS618" i="37"/>
  <c r="AS619" i="37"/>
  <c r="AS620" i="37"/>
  <c r="AS621" i="37"/>
  <c r="AS622" i="37"/>
  <c r="AS623" i="37"/>
  <c r="AS624" i="37"/>
  <c r="AS625" i="37"/>
  <c r="AS626" i="37"/>
  <c r="AS627" i="37"/>
  <c r="AS628" i="37"/>
  <c r="AS629" i="37"/>
  <c r="AS630" i="37"/>
  <c r="AS631" i="37"/>
  <c r="AS632" i="37"/>
  <c r="AS633" i="37"/>
  <c r="AS634" i="37"/>
  <c r="AS635" i="37"/>
  <c r="AS636" i="37"/>
  <c r="AS637" i="37"/>
  <c r="AS638" i="37"/>
  <c r="AS639" i="37"/>
  <c r="AS640" i="37"/>
  <c r="AS641" i="37"/>
  <c r="AS642" i="37"/>
  <c r="AS643" i="37"/>
  <c r="AS644" i="37"/>
  <c r="AS645" i="37"/>
  <c r="AS646" i="37"/>
  <c r="AS647" i="37"/>
  <c r="AS648" i="37"/>
  <c r="AS649" i="37"/>
  <c r="AS650" i="37"/>
  <c r="AS651" i="37"/>
  <c r="AS652" i="37"/>
  <c r="AS653" i="37"/>
  <c r="AS654" i="37"/>
  <c r="AS655" i="37"/>
  <c r="AS656" i="37"/>
  <c r="AS657" i="37"/>
  <c r="AS658" i="37"/>
  <c r="AS659" i="37"/>
  <c r="AS660" i="37"/>
  <c r="AS661" i="37"/>
  <c r="AS662" i="37"/>
  <c r="AS663" i="37"/>
  <c r="AS664" i="37"/>
  <c r="AS665" i="37"/>
  <c r="AS666" i="37"/>
  <c r="AS667" i="37"/>
  <c r="AS668" i="37"/>
  <c r="AS669" i="37"/>
  <c r="AS670" i="37"/>
  <c r="AS671" i="37"/>
  <c r="AS672" i="37"/>
  <c r="AS673" i="37"/>
  <c r="AS674" i="37"/>
  <c r="AS675" i="37"/>
  <c r="AS676" i="37"/>
  <c r="AS677" i="37"/>
  <c r="AS678" i="37"/>
  <c r="AS679" i="37"/>
  <c r="AS680" i="37"/>
  <c r="AS681" i="37"/>
  <c r="AS682" i="37"/>
  <c r="AS683" i="37"/>
  <c r="AS684" i="37"/>
  <c r="AS685" i="37"/>
  <c r="AS686" i="37"/>
  <c r="AS687" i="37"/>
  <c r="AS688" i="37"/>
  <c r="AS689" i="37"/>
  <c r="AS690" i="37"/>
  <c r="AS691" i="37"/>
  <c r="AS692" i="37"/>
  <c r="AS693" i="37"/>
  <c r="AS694" i="37"/>
  <c r="AS695" i="37"/>
  <c r="AS696" i="37"/>
  <c r="AS697" i="37"/>
  <c r="AS698" i="37"/>
  <c r="AS699" i="37"/>
  <c r="AS700" i="37"/>
  <c r="AS701" i="37"/>
  <c r="AS702" i="37"/>
  <c r="AS703" i="37"/>
  <c r="AS704" i="37"/>
  <c r="AS705" i="37"/>
  <c r="AS706" i="37"/>
  <c r="AS707" i="37"/>
  <c r="AS708" i="37"/>
  <c r="AS709" i="37"/>
  <c r="AS710" i="37"/>
  <c r="AS711" i="37"/>
  <c r="AS712" i="37"/>
  <c r="AS713" i="37"/>
  <c r="AS714" i="37"/>
  <c r="AS715" i="37"/>
  <c r="AS716" i="37"/>
  <c r="AS717" i="37"/>
  <c r="AS718" i="37"/>
  <c r="AS719" i="37"/>
  <c r="AS720" i="37"/>
  <c r="AS721" i="37"/>
  <c r="AS722" i="37"/>
  <c r="AS723" i="37"/>
  <c r="AS724" i="37"/>
  <c r="AS725" i="37"/>
  <c r="AS726" i="37"/>
  <c r="AS727" i="37"/>
  <c r="AS728" i="37"/>
  <c r="AS729" i="37"/>
  <c r="AS730" i="37"/>
  <c r="AS731" i="37"/>
  <c r="AS732" i="37"/>
  <c r="AS733" i="37"/>
  <c r="AS734" i="37"/>
  <c r="AS735" i="37"/>
  <c r="AS736" i="37"/>
  <c r="AS737" i="37"/>
  <c r="AS738" i="37"/>
  <c r="AS739" i="37"/>
  <c r="AS740" i="37"/>
  <c r="AS741" i="37"/>
  <c r="AS742" i="37"/>
  <c r="AS743" i="37"/>
  <c r="AS744" i="37"/>
  <c r="AS745" i="37"/>
  <c r="AS746" i="37"/>
  <c r="AS747" i="37"/>
  <c r="AS748" i="37"/>
  <c r="AS749" i="37"/>
  <c r="AS750" i="37"/>
  <c r="AS751" i="37"/>
  <c r="AS752" i="37"/>
  <c r="AS753" i="37"/>
  <c r="AS754" i="37"/>
  <c r="AS755" i="37"/>
  <c r="AS756" i="37"/>
  <c r="AS757" i="37"/>
  <c r="AS758" i="37"/>
  <c r="AS759" i="37"/>
  <c r="AS760" i="37"/>
  <c r="AS761" i="37"/>
  <c r="AS762" i="37"/>
  <c r="AS763" i="37"/>
  <c r="AS764" i="37"/>
  <c r="AS765" i="37"/>
  <c r="AS766" i="37"/>
  <c r="AS767" i="37"/>
  <c r="AS768" i="37"/>
  <c r="AS769" i="37"/>
  <c r="AS770" i="37"/>
  <c r="AS771" i="37"/>
  <c r="AS772" i="37"/>
  <c r="AS773" i="37"/>
  <c r="AS774" i="37"/>
  <c r="AS775" i="37"/>
  <c r="AS776" i="37"/>
  <c r="AS777" i="37"/>
  <c r="AS778" i="37"/>
  <c r="AS779" i="37"/>
  <c r="AS780" i="37"/>
  <c r="AS781" i="37"/>
  <c r="AS782" i="37"/>
  <c r="AS783" i="37"/>
  <c r="AS784" i="37"/>
  <c r="AS785" i="37"/>
  <c r="AS786" i="37"/>
  <c r="AS787" i="37"/>
  <c r="AS788" i="37"/>
  <c r="AS789" i="37"/>
  <c r="AS790" i="37"/>
  <c r="AS791" i="37"/>
  <c r="AS792" i="37"/>
  <c r="AS793" i="37"/>
  <c r="AS794" i="37"/>
  <c r="AS795" i="37"/>
  <c r="AS796" i="37"/>
  <c r="AS797" i="37"/>
  <c r="AS798" i="37"/>
  <c r="AS799" i="37"/>
  <c r="AS800" i="37"/>
  <c r="AS801" i="37"/>
  <c r="AS802" i="37"/>
  <c r="AS803" i="37"/>
  <c r="AS804" i="37"/>
  <c r="AS805" i="37"/>
  <c r="AS806" i="37"/>
  <c r="AS807" i="37"/>
  <c r="AS808" i="37"/>
  <c r="AS809" i="37"/>
  <c r="AS810" i="37"/>
  <c r="AS811" i="37"/>
  <c r="AS812" i="37"/>
  <c r="AS813" i="37"/>
  <c r="AS814" i="37"/>
  <c r="AS815" i="37"/>
  <c r="AS816" i="37"/>
  <c r="AS817" i="37"/>
  <c r="AS818" i="37"/>
  <c r="AS819" i="37"/>
  <c r="AS820" i="37"/>
  <c r="AS821" i="37"/>
  <c r="AS822" i="37"/>
  <c r="AS823" i="37"/>
  <c r="AS824" i="37"/>
  <c r="AS825" i="37"/>
  <c r="AS826" i="37"/>
  <c r="AS827" i="37"/>
  <c r="AS828" i="37"/>
  <c r="AS829" i="37"/>
  <c r="AS830" i="37"/>
  <c r="AS831" i="37"/>
  <c r="AS832" i="37"/>
  <c r="AS833" i="37"/>
  <c r="AS834" i="37"/>
  <c r="AS835" i="37"/>
  <c r="AS836" i="37"/>
  <c r="AS837" i="37"/>
  <c r="AS838" i="37"/>
  <c r="AS839" i="37"/>
  <c r="AS840" i="37"/>
  <c r="AS841" i="37"/>
  <c r="AS842" i="37"/>
  <c r="AS843" i="37"/>
  <c r="AS844" i="37"/>
  <c r="AS845" i="37"/>
  <c r="AS846" i="37"/>
  <c r="AS847" i="37"/>
  <c r="AS848" i="37"/>
  <c r="AS849" i="37"/>
  <c r="AS850" i="37"/>
  <c r="AS851" i="37"/>
  <c r="AS852" i="37"/>
  <c r="AS853" i="37"/>
  <c r="AS854" i="37"/>
  <c r="AS855" i="37"/>
  <c r="AS856" i="37"/>
  <c r="AS857" i="37"/>
  <c r="AS858" i="37"/>
  <c r="AS859" i="37"/>
  <c r="AS860" i="37"/>
  <c r="AS861" i="37"/>
  <c r="AS862" i="37"/>
  <c r="AS863" i="37"/>
  <c r="AS864" i="37"/>
  <c r="AS865" i="37"/>
  <c r="AS866" i="37"/>
  <c r="AS867" i="37"/>
  <c r="AS868" i="37"/>
  <c r="AS869" i="37"/>
  <c r="AS870" i="37"/>
  <c r="AS871" i="37"/>
  <c r="AS872" i="37"/>
  <c r="AS873" i="37"/>
  <c r="AS874" i="37"/>
  <c r="AS875" i="37"/>
  <c r="AS876" i="37"/>
  <c r="AS877" i="37"/>
  <c r="AS878" i="37"/>
  <c r="AS879" i="37"/>
  <c r="AS880" i="37"/>
  <c r="AS881" i="37"/>
  <c r="AS882" i="37"/>
  <c r="AS883" i="37"/>
  <c r="AS884" i="37"/>
  <c r="AS885" i="37"/>
  <c r="AS886" i="37"/>
  <c r="AS887" i="37"/>
  <c r="AS888" i="37"/>
  <c r="AS889" i="37"/>
  <c r="AS890" i="37"/>
  <c r="AS891" i="37"/>
  <c r="AS892" i="37"/>
  <c r="AS893" i="37"/>
  <c r="AS894" i="37"/>
  <c r="AS895" i="37"/>
  <c r="AS896" i="37"/>
  <c r="AS897" i="37"/>
  <c r="AS898" i="37"/>
  <c r="AS899" i="37"/>
  <c r="AS900" i="37"/>
  <c r="AS901" i="37"/>
  <c r="AS902" i="37"/>
  <c r="AS903" i="37"/>
  <c r="AS904" i="37"/>
  <c r="AS905" i="37"/>
  <c r="AS906" i="37"/>
  <c r="AS907" i="37"/>
  <c r="AS908" i="37"/>
  <c r="AS909" i="37"/>
  <c r="AS910" i="37"/>
  <c r="AS911" i="37"/>
  <c r="AS912" i="37"/>
  <c r="AS913" i="37"/>
  <c r="AS914" i="37"/>
  <c r="AS915" i="37"/>
  <c r="AS916" i="37"/>
  <c r="AS917" i="37"/>
  <c r="AS918" i="37"/>
  <c r="AS919" i="37"/>
  <c r="AS920" i="37"/>
  <c r="AS921" i="37"/>
  <c r="AS922" i="37"/>
  <c r="AS923" i="37"/>
  <c r="AS924" i="37"/>
  <c r="AS925" i="37"/>
  <c r="AS926" i="37"/>
  <c r="AS927" i="37"/>
  <c r="AS928" i="37"/>
  <c r="AS929" i="37"/>
  <c r="AS930" i="37"/>
  <c r="AS931" i="37"/>
  <c r="AS932" i="37"/>
  <c r="AS933" i="37"/>
  <c r="AS934" i="37"/>
  <c r="AS935" i="37"/>
  <c r="AS936" i="37"/>
  <c r="AS937" i="37"/>
  <c r="AS938" i="37"/>
  <c r="AS939" i="37"/>
  <c r="AS940" i="37"/>
  <c r="AS941" i="37"/>
  <c r="AS942" i="37"/>
  <c r="AS943" i="37"/>
  <c r="AS944" i="37"/>
  <c r="AS945" i="37"/>
  <c r="AS946" i="37"/>
  <c r="AS947" i="37"/>
  <c r="AS948" i="37"/>
  <c r="AS949" i="37"/>
  <c r="AS950" i="37"/>
  <c r="AS951" i="37"/>
  <c r="AS952" i="37"/>
  <c r="AS953" i="37"/>
  <c r="AS954" i="37"/>
  <c r="AS955" i="37"/>
  <c r="AS956" i="37"/>
  <c r="AS957" i="37"/>
  <c r="AS958" i="37"/>
  <c r="AS959" i="37"/>
  <c r="AS960" i="37"/>
  <c r="AS961" i="37"/>
  <c r="AS962" i="37"/>
  <c r="AS963" i="37"/>
  <c r="AS964" i="37"/>
  <c r="AS965" i="37"/>
  <c r="AS966" i="37"/>
  <c r="AS967" i="37"/>
  <c r="AS968" i="37"/>
  <c r="AS969" i="37"/>
  <c r="AS970" i="37"/>
  <c r="AS971" i="37"/>
  <c r="AS972" i="37"/>
  <c r="AS973" i="37"/>
  <c r="AS974" i="37"/>
  <c r="AS975" i="37"/>
  <c r="AS976" i="37"/>
  <c r="AS977" i="37"/>
  <c r="AS978" i="37"/>
  <c r="AS979" i="37"/>
  <c r="AS980" i="37"/>
  <c r="AS981" i="37"/>
  <c r="AS982" i="37"/>
  <c r="AS983" i="37"/>
  <c r="AS984" i="37"/>
  <c r="AS985" i="37"/>
  <c r="AS986" i="37"/>
  <c r="AS987" i="37"/>
  <c r="AS988" i="37"/>
  <c r="AS989" i="37"/>
  <c r="AS990" i="37"/>
  <c r="AS991" i="37"/>
  <c r="AS992" i="37"/>
  <c r="AS993" i="37"/>
  <c r="AS994" i="37"/>
  <c r="AS995" i="37"/>
  <c r="AS996" i="37"/>
  <c r="AS997" i="37"/>
  <c r="AS998" i="37"/>
  <c r="AS999" i="37"/>
  <c r="AS1000" i="37"/>
  <c r="AS1001" i="37"/>
  <c r="AS1002" i="37"/>
  <c r="AS1003" i="37"/>
  <c r="AS1004" i="37"/>
  <c r="AS1005" i="37"/>
  <c r="AS1006" i="37"/>
  <c r="AS1007" i="37"/>
  <c r="AS1008" i="37"/>
  <c r="AS1009" i="37"/>
  <c r="AS1010" i="37"/>
  <c r="AS1011" i="37"/>
  <c r="AS1012" i="37"/>
  <c r="AS1013" i="37"/>
  <c r="AS1014" i="37"/>
  <c r="AS1015" i="37"/>
  <c r="AS1016" i="37"/>
  <c r="AS1017" i="37"/>
  <c r="AS1018" i="37"/>
  <c r="AS1019" i="37"/>
  <c r="AS1020" i="37"/>
  <c r="AS1021" i="37"/>
  <c r="AS1022" i="37"/>
  <c r="AS1023" i="37"/>
  <c r="AS1024" i="37"/>
  <c r="AS1025" i="37"/>
  <c r="AS1026" i="37"/>
  <c r="AS1027" i="37"/>
  <c r="AS1028" i="37"/>
  <c r="AS1029" i="37"/>
  <c r="AS1030" i="37"/>
  <c r="AS1031" i="37"/>
  <c r="AS1032" i="37"/>
  <c r="AS1033" i="37"/>
  <c r="AS1034" i="37"/>
  <c r="AS1035" i="37"/>
  <c r="AS1036" i="37"/>
  <c r="AS1037" i="37"/>
  <c r="AS1038" i="37"/>
  <c r="AS1039" i="37"/>
  <c r="AS1040" i="37"/>
  <c r="AS1041" i="37"/>
  <c r="AS1042" i="37"/>
  <c r="AS1043" i="37"/>
  <c r="AS1044" i="37"/>
  <c r="AS1045" i="37"/>
  <c r="AS1046" i="37"/>
  <c r="AS1047" i="37"/>
  <c r="AS1048" i="37"/>
  <c r="AS1049" i="37"/>
  <c r="AS1050" i="37"/>
  <c r="AS1051" i="37"/>
  <c r="AS1052" i="37"/>
  <c r="AS1053" i="37"/>
  <c r="AS1054" i="37"/>
  <c r="AS1055" i="37"/>
  <c r="AS1056" i="37"/>
  <c r="AS1057" i="37"/>
  <c r="AS1058" i="37"/>
  <c r="AS1059" i="37"/>
  <c r="AS1060" i="37"/>
  <c r="AS1061" i="37"/>
  <c r="AS1062" i="37"/>
  <c r="AS1063" i="37"/>
  <c r="AS1064" i="37"/>
  <c r="AS1065" i="37"/>
  <c r="AS1066" i="37"/>
  <c r="AS1067" i="37"/>
  <c r="AS1068" i="37"/>
  <c r="AS1069" i="37"/>
  <c r="AS1070" i="37"/>
  <c r="AS1071" i="37"/>
  <c r="AS1072" i="37"/>
  <c r="AS1073" i="37"/>
  <c r="AS1074" i="37"/>
  <c r="AS1075" i="37"/>
  <c r="AS1076" i="37"/>
  <c r="AS1077" i="37"/>
  <c r="AS1078" i="37"/>
  <c r="AS1079" i="37"/>
  <c r="AS1080" i="37"/>
  <c r="AS1081" i="37"/>
  <c r="AS1082" i="37"/>
  <c r="AS1083" i="37"/>
  <c r="AS1084" i="37"/>
  <c r="AS1085" i="37"/>
  <c r="AS1086" i="37"/>
  <c r="AS1087" i="37"/>
  <c r="AS1088" i="37"/>
  <c r="AS1089" i="37"/>
  <c r="AS1090" i="37"/>
  <c r="AS1091" i="37"/>
  <c r="AS1092" i="37"/>
  <c r="AS1093" i="37"/>
  <c r="AS1094" i="37"/>
  <c r="AS1095" i="37"/>
  <c r="AS1096" i="37"/>
  <c r="AS1097" i="37"/>
  <c r="AS1098" i="37"/>
  <c r="AS1099" i="37"/>
  <c r="AS1100" i="37"/>
  <c r="AS1101" i="37"/>
  <c r="AS1102" i="37"/>
  <c r="AS1103" i="37"/>
  <c r="AS1104" i="37"/>
  <c r="AS1105" i="37"/>
  <c r="AS1106" i="37"/>
  <c r="AS1107" i="37"/>
  <c r="AS1108" i="37"/>
  <c r="AS1109" i="37"/>
  <c r="AS1110" i="37"/>
  <c r="AS1111" i="37"/>
  <c r="AS1112" i="37"/>
  <c r="AS1113" i="37"/>
  <c r="AS1114" i="37"/>
  <c r="AS1115" i="37"/>
  <c r="AS1116" i="37"/>
  <c r="AS1117" i="37"/>
  <c r="AS1118" i="37"/>
  <c r="AS1119" i="37"/>
  <c r="AS1120" i="37"/>
  <c r="AS1121" i="37"/>
  <c r="AS1122" i="37"/>
  <c r="AS1123" i="37"/>
  <c r="AS1124" i="37"/>
  <c r="AS1125" i="37"/>
  <c r="AS1126" i="37"/>
  <c r="AS1127" i="37"/>
  <c r="AS1128" i="37"/>
  <c r="AS1129" i="37"/>
  <c r="AS1130" i="37"/>
  <c r="AS1131" i="37"/>
  <c r="AS1132" i="37"/>
  <c r="AS1133" i="37"/>
  <c r="AS1134" i="37"/>
  <c r="AS1135" i="37"/>
  <c r="AS1136" i="37"/>
  <c r="AS1137" i="37"/>
  <c r="AS1138" i="37"/>
  <c r="AS1139" i="37"/>
  <c r="AS1140" i="37"/>
  <c r="AS1141" i="37"/>
  <c r="AS1142" i="37"/>
  <c r="AS1143" i="37"/>
  <c r="AS1144" i="37"/>
  <c r="AS1145" i="37"/>
  <c r="AS1146" i="37"/>
  <c r="AS1147" i="37"/>
  <c r="AS1148" i="37"/>
  <c r="AS1149" i="37"/>
  <c r="AS1150" i="37"/>
  <c r="AS1151" i="37"/>
  <c r="AS1152" i="37"/>
  <c r="AS1153" i="37"/>
  <c r="AS1154" i="37"/>
  <c r="AS1155" i="37"/>
  <c r="AS1156" i="37"/>
  <c r="AS1157" i="37"/>
  <c r="AS1158" i="37"/>
  <c r="AS1159" i="37"/>
  <c r="AS1160" i="37"/>
  <c r="AS1161" i="37"/>
  <c r="AS1162" i="37"/>
  <c r="AS1163" i="37"/>
  <c r="AS1164" i="37"/>
  <c r="AS1165" i="37"/>
  <c r="AS1166" i="37"/>
  <c r="AS1167" i="37"/>
  <c r="AS1168" i="37"/>
  <c r="AS1169" i="37"/>
  <c r="AS1170" i="37"/>
  <c r="AS1171" i="37"/>
  <c r="AS1172" i="37"/>
  <c r="AS1173" i="37"/>
  <c r="AS1174" i="37"/>
  <c r="AS1175" i="37"/>
  <c r="AS1176" i="37"/>
  <c r="AS1177" i="37"/>
  <c r="AS1178" i="37"/>
  <c r="AS1179" i="37"/>
  <c r="AS1180" i="37"/>
  <c r="AS1181" i="37"/>
  <c r="AS1182" i="37"/>
  <c r="AS1183" i="37"/>
  <c r="AS1184" i="37"/>
  <c r="AS1185" i="37"/>
  <c r="AS1186" i="37"/>
  <c r="AS1187" i="37"/>
  <c r="AS1188" i="37"/>
  <c r="AS1189" i="37"/>
  <c r="AS1190" i="37"/>
  <c r="AS1191" i="37"/>
  <c r="AS1192" i="37"/>
  <c r="AS1193" i="37"/>
  <c r="AS1194" i="37"/>
  <c r="AS1195" i="37"/>
  <c r="AS1196" i="37"/>
  <c r="AS1197" i="37"/>
  <c r="AS1198" i="37"/>
  <c r="AS1199" i="37"/>
  <c r="AS1200" i="37"/>
  <c r="AS1201" i="37"/>
  <c r="AS1202" i="37"/>
  <c r="AS1203" i="37"/>
  <c r="AS1204" i="37"/>
  <c r="AS1205" i="37"/>
  <c r="AS1206" i="37"/>
  <c r="AS1207" i="37"/>
  <c r="AS1208" i="37"/>
  <c r="AS1209" i="37"/>
  <c r="AS1210" i="37"/>
  <c r="AS1211" i="37"/>
  <c r="AS1212" i="37"/>
  <c r="AS1213" i="37"/>
  <c r="AS1214" i="37"/>
  <c r="AS1215" i="37"/>
  <c r="AS1216" i="37"/>
  <c r="AS1217" i="37"/>
  <c r="AS1218" i="37"/>
  <c r="AS1219" i="37"/>
  <c r="AS1220" i="37"/>
  <c r="AS1221" i="37"/>
  <c r="AS1222" i="37"/>
  <c r="AS1223" i="37"/>
  <c r="AS1224" i="37"/>
  <c r="AS1225" i="37"/>
  <c r="AS1226" i="37"/>
  <c r="AS1227" i="37"/>
  <c r="AS1228" i="37"/>
  <c r="AS1229" i="37"/>
  <c r="AS1230" i="37"/>
  <c r="AS1231" i="37"/>
  <c r="AS1232" i="37"/>
  <c r="AS1233" i="37"/>
  <c r="AS1234" i="37"/>
  <c r="AS1235" i="37"/>
  <c r="AS1236" i="37"/>
  <c r="AS1237" i="37"/>
  <c r="AS1238" i="37"/>
  <c r="AS1239" i="37"/>
  <c r="AS1240" i="37"/>
  <c r="AS1241" i="37"/>
  <c r="AS1242" i="37"/>
  <c r="AS1243" i="37"/>
  <c r="AS1244" i="37"/>
  <c r="AS1245" i="37"/>
  <c r="AS1246" i="37"/>
  <c r="AS1247" i="37"/>
  <c r="AS1248" i="37"/>
  <c r="AS1249" i="37"/>
  <c r="AS1250" i="37"/>
  <c r="AS1251" i="37"/>
  <c r="AS1252" i="37"/>
  <c r="AS1253" i="37"/>
  <c r="AS1254" i="37"/>
  <c r="AS1255" i="37"/>
  <c r="AS1256" i="37"/>
  <c r="AS1257" i="37"/>
  <c r="AS1258" i="37"/>
  <c r="AS1259" i="37"/>
  <c r="AS1260" i="37"/>
  <c r="AS1261" i="37"/>
  <c r="AS1262" i="37"/>
  <c r="AS1263" i="37"/>
  <c r="AS1264" i="37"/>
  <c r="AS1265" i="37"/>
  <c r="AS1266" i="37"/>
  <c r="AS1267" i="37"/>
  <c r="AS1268" i="37"/>
  <c r="AS1269" i="37"/>
  <c r="AS1270" i="37"/>
  <c r="AS1271" i="37"/>
  <c r="AS1272" i="37"/>
  <c r="AS1273" i="37"/>
  <c r="AS1274" i="37"/>
  <c r="AS1275" i="37"/>
  <c r="AS1276" i="37"/>
  <c r="AS1277" i="37"/>
  <c r="AS1278" i="37"/>
  <c r="AS1279" i="37"/>
  <c r="AS1280" i="37"/>
  <c r="AS1281" i="37"/>
  <c r="AS1282" i="37"/>
  <c r="AS1283" i="37"/>
  <c r="AS1284" i="37"/>
  <c r="AS1285" i="37"/>
  <c r="AS1286" i="37"/>
  <c r="AS1287" i="37"/>
  <c r="AS1288" i="37"/>
  <c r="AS1289" i="37"/>
  <c r="AS1290" i="37"/>
  <c r="AS1291" i="37"/>
  <c r="AS1292" i="37"/>
  <c r="AS1293" i="37"/>
  <c r="AS1294" i="37"/>
  <c r="AS1295" i="37"/>
  <c r="AS1296" i="37"/>
  <c r="AS1297" i="37"/>
  <c r="AS1298" i="37"/>
  <c r="AS1299" i="37"/>
  <c r="AS1300" i="37"/>
  <c r="AS1301" i="37"/>
  <c r="AS1302" i="37"/>
  <c r="AS1303" i="37"/>
  <c r="AS1304" i="37"/>
  <c r="AS1305" i="37"/>
  <c r="AS1306" i="37"/>
  <c r="AS1307" i="37"/>
  <c r="AS1308" i="37"/>
  <c r="AS1309" i="37"/>
  <c r="AS1310" i="37"/>
  <c r="AS1311" i="37"/>
  <c r="AS1312" i="37"/>
  <c r="AS1313" i="37"/>
  <c r="AS1314" i="37"/>
  <c r="AS1315" i="37"/>
  <c r="AS1316" i="37"/>
  <c r="AS1317" i="37"/>
  <c r="AS1318" i="37"/>
  <c r="AS1319" i="37"/>
  <c r="AS1320" i="37"/>
  <c r="AS1321" i="37"/>
  <c r="AS1322" i="37"/>
  <c r="AS1323" i="37"/>
  <c r="AS1324" i="37"/>
  <c r="AS1325" i="37"/>
  <c r="AS1326" i="37"/>
  <c r="AS1327" i="37"/>
  <c r="AS1328" i="37"/>
  <c r="AS1329" i="37"/>
  <c r="AS1330" i="37"/>
  <c r="AS1331" i="37"/>
  <c r="AS1332" i="37"/>
  <c r="AS1333" i="37"/>
  <c r="AS1334" i="37"/>
  <c r="AS1335" i="37"/>
  <c r="AS1336" i="37"/>
  <c r="AS1337" i="37"/>
  <c r="AS1338" i="37"/>
  <c r="AS1339" i="37"/>
  <c r="AS1340" i="37"/>
  <c r="AS1341" i="37"/>
  <c r="AS1342" i="37"/>
  <c r="AS1343" i="37"/>
  <c r="AS1344" i="37"/>
  <c r="AS1345" i="37"/>
  <c r="AS1346" i="37"/>
  <c r="AS1347" i="37"/>
  <c r="AS1348" i="37"/>
  <c r="AS1349" i="37"/>
  <c r="AS1350" i="37"/>
  <c r="AS1351" i="37"/>
  <c r="AS1352" i="37"/>
  <c r="AS1353" i="37"/>
  <c r="AS1354" i="37"/>
  <c r="AS1355" i="37"/>
  <c r="AS1356" i="37"/>
  <c r="AS1357" i="37"/>
  <c r="AS1358" i="37"/>
  <c r="AS1359" i="37"/>
  <c r="AS1360" i="37"/>
  <c r="AS1361" i="37"/>
  <c r="AS1362" i="37"/>
  <c r="AS1363" i="37"/>
  <c r="AS1364" i="37"/>
  <c r="AS1365" i="37"/>
  <c r="AS1366" i="37"/>
  <c r="AS1367" i="37"/>
  <c r="AS1368" i="37"/>
  <c r="AS1369" i="37"/>
  <c r="AS1370" i="37"/>
  <c r="AS1371" i="37"/>
  <c r="AS1372" i="37"/>
  <c r="AS1373" i="37"/>
  <c r="AS1374" i="37"/>
  <c r="AS1375" i="37"/>
  <c r="AS1376" i="37"/>
  <c r="AS1377" i="37"/>
  <c r="AS1378" i="37"/>
  <c r="AS1379" i="37"/>
  <c r="AS1380" i="37"/>
  <c r="AS1381" i="37"/>
  <c r="AS1382" i="37"/>
  <c r="AS1383" i="37"/>
  <c r="AS1384" i="37"/>
  <c r="AS1385" i="37"/>
  <c r="AS1386" i="37"/>
  <c r="AS1387" i="37"/>
  <c r="AS1388" i="37"/>
  <c r="AS1389" i="37"/>
  <c r="AS1390" i="37"/>
  <c r="AS1391" i="37"/>
  <c r="AS1392" i="37"/>
  <c r="AS1393" i="37"/>
  <c r="AS1394" i="37"/>
  <c r="AS1395" i="37"/>
  <c r="AS1396" i="37"/>
  <c r="AS1397" i="37"/>
  <c r="AS1398" i="37"/>
  <c r="AS1399" i="37"/>
  <c r="AS1400" i="37"/>
  <c r="AS1401" i="37"/>
  <c r="AS1402" i="37"/>
  <c r="AS1403" i="37"/>
  <c r="AS1404" i="37"/>
  <c r="AS1405" i="37"/>
  <c r="AS1406" i="37"/>
  <c r="AS1407" i="37"/>
  <c r="AS1408" i="37"/>
  <c r="AS1409" i="37"/>
  <c r="AS1410" i="37"/>
  <c r="AS1411" i="37"/>
  <c r="AS1412" i="37"/>
  <c r="AS1413" i="37"/>
  <c r="AS1414" i="37"/>
  <c r="AS1415" i="37"/>
  <c r="AS1416" i="37"/>
  <c r="AS1417" i="37"/>
  <c r="AS1418" i="37"/>
  <c r="AS1419" i="37"/>
  <c r="AS1420" i="37"/>
  <c r="AS1421" i="37"/>
  <c r="AS1422" i="37"/>
  <c r="AS1423" i="37"/>
  <c r="AS1424" i="37"/>
  <c r="AS1425" i="37"/>
  <c r="AS1426" i="37"/>
  <c r="AS1427" i="37"/>
  <c r="AS1428" i="37"/>
  <c r="AS1429" i="37"/>
  <c r="AS1430" i="37"/>
  <c r="AS1431" i="37"/>
  <c r="AS1432" i="37"/>
  <c r="AS1433" i="37"/>
  <c r="AS1434" i="37"/>
  <c r="AS1435" i="37"/>
  <c r="AS1436" i="37"/>
  <c r="AS1437" i="37"/>
  <c r="AS1438" i="37"/>
  <c r="AS1439" i="37"/>
  <c r="AS1440" i="37"/>
  <c r="AS1441" i="37"/>
  <c r="AS1442" i="37"/>
  <c r="AS1443" i="37"/>
  <c r="AS1444" i="37"/>
  <c r="AS1445" i="37"/>
  <c r="AS1446" i="37"/>
  <c r="AS1447" i="37"/>
  <c r="AS1448" i="37"/>
  <c r="AS1449" i="37"/>
  <c r="AS1450" i="37"/>
  <c r="AS1451" i="37"/>
  <c r="AS1452" i="37"/>
  <c r="AS1453" i="37"/>
  <c r="AS1454" i="37"/>
  <c r="AS1455" i="37"/>
  <c r="AS1456" i="37"/>
  <c r="AS1457" i="37"/>
  <c r="AS1458" i="37"/>
  <c r="AS1459" i="37"/>
  <c r="AS1460" i="37"/>
  <c r="AS1461" i="37"/>
  <c r="AS1462" i="37"/>
  <c r="AS1463" i="37"/>
  <c r="AS1464" i="37"/>
  <c r="AS1465" i="37"/>
  <c r="AS1466" i="37"/>
  <c r="AS1467" i="37"/>
  <c r="AS1468" i="37"/>
  <c r="AS1469" i="37"/>
  <c r="AS1470" i="37"/>
  <c r="AS1471" i="37"/>
  <c r="AS1472" i="37"/>
  <c r="AS1473" i="37"/>
  <c r="AS1474" i="37"/>
  <c r="AS1475" i="37"/>
  <c r="AS1476" i="37"/>
  <c r="AS1477" i="37"/>
  <c r="AS1478" i="37"/>
  <c r="AS1479" i="37"/>
  <c r="AS1480" i="37"/>
  <c r="AS1481" i="37"/>
  <c r="AS1482" i="37"/>
  <c r="AS1483" i="37"/>
  <c r="AS1484" i="37"/>
  <c r="AS1485" i="37"/>
  <c r="AS1486" i="37"/>
  <c r="AS1487" i="37"/>
  <c r="AS1488" i="37"/>
  <c r="AS1489" i="37"/>
  <c r="AS1490" i="37"/>
  <c r="AS1491" i="37"/>
  <c r="AS1492" i="37"/>
  <c r="AS1493" i="37"/>
  <c r="AS1494" i="37"/>
  <c r="AS1495" i="37"/>
  <c r="AS1496" i="37"/>
  <c r="AS1497" i="37"/>
  <c r="AS1498" i="37"/>
  <c r="AS1499" i="37"/>
  <c r="AS1500" i="37"/>
  <c r="AS1501" i="37"/>
  <c r="AS1502" i="37"/>
  <c r="AS1503" i="37"/>
  <c r="AS1504" i="37"/>
  <c r="AS1505" i="37"/>
  <c r="AS1506" i="37"/>
  <c r="AS1507" i="37"/>
  <c r="AS1508" i="37"/>
  <c r="AS1509" i="37"/>
  <c r="AS1510" i="37"/>
  <c r="AS1511" i="37"/>
  <c r="AS1512" i="37"/>
  <c r="AS1513" i="37"/>
  <c r="AS1514" i="37"/>
  <c r="AS1515" i="37"/>
  <c r="AS1516" i="37"/>
  <c r="AS1517" i="37"/>
  <c r="AS1518" i="37"/>
  <c r="AS1519" i="37"/>
  <c r="AS1520" i="37"/>
  <c r="AS1521" i="37"/>
  <c r="AS1522" i="37"/>
  <c r="AS1523" i="37"/>
  <c r="AS1524" i="37"/>
  <c r="AS1525" i="37"/>
  <c r="AS1526" i="37"/>
  <c r="AS1527" i="37"/>
  <c r="AS1528" i="37"/>
  <c r="AS1529" i="37"/>
  <c r="AS1530" i="37"/>
  <c r="AS1531" i="37"/>
  <c r="AS1532" i="37"/>
  <c r="AS1533" i="37"/>
  <c r="AS1534" i="37"/>
  <c r="AS1535" i="37"/>
  <c r="AS1536" i="37"/>
  <c r="AS1537" i="37"/>
  <c r="AS1538" i="37"/>
  <c r="AS1539" i="37"/>
  <c r="AS1540" i="37"/>
  <c r="AS1541" i="37"/>
  <c r="AS1542" i="37"/>
  <c r="AS1543" i="37"/>
  <c r="AS1544" i="37"/>
  <c r="AS1545" i="37"/>
  <c r="AS1546" i="37"/>
  <c r="AS1547" i="37"/>
  <c r="AS1548" i="37"/>
  <c r="AS1549" i="37"/>
  <c r="AS1550" i="37"/>
  <c r="AS1551" i="37"/>
  <c r="AS1552" i="37"/>
  <c r="AS1553" i="37"/>
  <c r="AS1554" i="37"/>
  <c r="AS1555" i="37"/>
  <c r="AS1556" i="37"/>
  <c r="AS1557" i="37"/>
  <c r="AS1558" i="37"/>
  <c r="AS1559" i="37"/>
  <c r="AS1560" i="37"/>
  <c r="AS1561" i="37"/>
  <c r="AS1562" i="37"/>
  <c r="AS1563" i="37"/>
  <c r="AS1564" i="37"/>
  <c r="AS1565" i="37"/>
  <c r="AS1566" i="37"/>
  <c r="AS1567" i="37"/>
  <c r="AS1568" i="37"/>
  <c r="AS1569" i="37"/>
  <c r="AS1570" i="37"/>
  <c r="AS1571" i="37"/>
  <c r="AS1572" i="37"/>
  <c r="AS1573" i="37"/>
  <c r="AS1574" i="37"/>
  <c r="AS1575" i="37"/>
  <c r="AS1576" i="37"/>
  <c r="AS1577" i="37"/>
  <c r="AS1578" i="37"/>
  <c r="AS1579" i="37"/>
  <c r="AS1580" i="37"/>
  <c r="AS1581" i="37"/>
  <c r="AS1582" i="37"/>
  <c r="AS1583" i="37"/>
  <c r="AS1584" i="37"/>
  <c r="AS1585" i="37"/>
  <c r="AS1586" i="37"/>
  <c r="AS1587" i="37"/>
  <c r="AS1588" i="37"/>
  <c r="AS1589" i="37"/>
  <c r="AS1590" i="37"/>
  <c r="AS1591" i="37"/>
  <c r="AS1592" i="37"/>
  <c r="AS1593" i="37"/>
  <c r="AS1594" i="37"/>
  <c r="AS1595" i="37"/>
  <c r="AS1596" i="37"/>
  <c r="AS1597" i="37"/>
  <c r="AS1598" i="37"/>
  <c r="AS1599" i="37"/>
  <c r="AS1600" i="37"/>
  <c r="AS1601" i="37"/>
  <c r="AS1602" i="37"/>
  <c r="AS1603" i="37"/>
  <c r="AS1604" i="37"/>
  <c r="AS1605" i="37"/>
  <c r="AS1606" i="37"/>
  <c r="AS1607" i="37"/>
  <c r="AS1608" i="37"/>
  <c r="AS1609" i="37"/>
  <c r="AS1610" i="37"/>
  <c r="AS1611" i="37"/>
  <c r="AS1612" i="37"/>
  <c r="AS1613" i="37"/>
  <c r="AS1614" i="37"/>
  <c r="AS1615" i="37"/>
  <c r="AS1616" i="37"/>
  <c r="AS1617" i="37"/>
  <c r="AS1618" i="37"/>
  <c r="AS1619" i="37"/>
  <c r="AS1620" i="37"/>
  <c r="AS1621" i="37"/>
  <c r="AS1622" i="37"/>
  <c r="AS1623" i="37"/>
  <c r="AS1624" i="37"/>
  <c r="AS1625" i="37"/>
  <c r="AS1626" i="37"/>
  <c r="AS1627" i="37"/>
  <c r="AS1628" i="37"/>
  <c r="AS1629" i="37"/>
  <c r="AS1630" i="37"/>
  <c r="AS1631" i="37"/>
  <c r="AS1632" i="37"/>
  <c r="AS1633" i="37"/>
  <c r="AS1634" i="37"/>
  <c r="AS1635" i="37"/>
  <c r="AS1636" i="37"/>
  <c r="AS1637" i="37"/>
  <c r="AS1638" i="37"/>
  <c r="AS1639" i="37"/>
  <c r="AS1640" i="37"/>
  <c r="AS1641" i="37"/>
  <c r="AS1642" i="37"/>
  <c r="AS1643" i="37"/>
  <c r="AS1644" i="37"/>
  <c r="AS1645" i="37"/>
  <c r="AS1646" i="37"/>
  <c r="AS1647" i="37"/>
  <c r="AS1648" i="37"/>
  <c r="AS1649" i="37"/>
  <c r="AS1650" i="37"/>
  <c r="AS1651" i="37"/>
  <c r="AS1652" i="37"/>
  <c r="AS1653" i="37"/>
  <c r="AS1654" i="37"/>
  <c r="AS1655" i="37"/>
  <c r="AS1656" i="37"/>
  <c r="AS1657" i="37"/>
  <c r="AS1658" i="37"/>
  <c r="AS1659" i="37"/>
  <c r="AS1660" i="37"/>
  <c r="AS1661" i="37"/>
  <c r="AS1662" i="37"/>
  <c r="AS1663" i="37"/>
  <c r="AS1664" i="37"/>
  <c r="AS1665" i="37"/>
  <c r="AS1666" i="37"/>
  <c r="AS1667" i="37"/>
  <c r="AS1668" i="37"/>
  <c r="AS1669" i="37"/>
  <c r="AS1670" i="37"/>
  <c r="AS1671" i="37"/>
  <c r="AS1672" i="37"/>
  <c r="AS1673" i="37"/>
  <c r="AS1674" i="37"/>
  <c r="AS1675" i="37"/>
  <c r="AS1676" i="37"/>
  <c r="AS1677" i="37"/>
  <c r="AS1678" i="37"/>
  <c r="AS1679" i="37"/>
  <c r="AS1680" i="37"/>
  <c r="AS1681" i="37"/>
  <c r="AS1682" i="37"/>
  <c r="AS1683" i="37"/>
  <c r="AS1684" i="37"/>
  <c r="AS1685" i="37"/>
  <c r="AS1686" i="37"/>
  <c r="AS1687" i="37"/>
  <c r="AS1688" i="37"/>
  <c r="AS1689" i="37"/>
  <c r="AS1690" i="37"/>
  <c r="AS1691" i="37"/>
  <c r="AS1692" i="37"/>
  <c r="AS1693" i="37"/>
  <c r="AS1694" i="37"/>
  <c r="AS1695" i="37"/>
  <c r="AS1696" i="37"/>
  <c r="AS1697" i="37"/>
  <c r="AS1698" i="37"/>
  <c r="AS1699" i="37"/>
  <c r="AS1700" i="37"/>
  <c r="AS1701" i="37"/>
  <c r="AS1702" i="37"/>
  <c r="AS1703" i="37"/>
  <c r="AS1704" i="37"/>
  <c r="AS1705" i="37"/>
  <c r="AS1706" i="37"/>
  <c r="AS1707" i="37"/>
  <c r="AS1708" i="37"/>
  <c r="AS1709" i="37"/>
  <c r="AS1710" i="37"/>
  <c r="AS1711" i="37"/>
  <c r="AS1712" i="37"/>
  <c r="AS1713" i="37"/>
  <c r="AS1714" i="37"/>
  <c r="AS1715" i="37"/>
  <c r="AS1716" i="37"/>
  <c r="AS1717" i="37"/>
  <c r="AS1718" i="37"/>
  <c r="AS1719" i="37"/>
  <c r="AS1720" i="37"/>
  <c r="AS1721" i="37"/>
  <c r="AS1722" i="37"/>
  <c r="AS1723" i="37"/>
  <c r="AS1724" i="37"/>
  <c r="AS1725" i="37"/>
  <c r="AS1726" i="37"/>
  <c r="AS1727" i="37"/>
  <c r="AS1728" i="37"/>
  <c r="AS1729" i="37"/>
  <c r="AS1730" i="37"/>
  <c r="AS1731" i="37"/>
  <c r="AS1732" i="37"/>
  <c r="AS1733" i="37"/>
  <c r="AS1734" i="37"/>
  <c r="AS1735" i="37"/>
  <c r="AS1736" i="37"/>
  <c r="AS1737" i="37"/>
  <c r="AS1738" i="37"/>
  <c r="AS1739" i="37"/>
  <c r="AS1740" i="37"/>
  <c r="AS1741" i="37"/>
  <c r="AS1742" i="37"/>
  <c r="AS1743" i="37"/>
  <c r="AS1744" i="37"/>
  <c r="AS1745" i="37"/>
  <c r="AS1746" i="37"/>
  <c r="AS1747" i="37"/>
  <c r="AS1748" i="37"/>
  <c r="AS1749" i="37"/>
  <c r="AS1750" i="37"/>
  <c r="AS1751" i="37"/>
  <c r="AS1752" i="37"/>
  <c r="AS1753" i="37"/>
  <c r="AS1754" i="37"/>
  <c r="AS1755" i="37"/>
  <c r="AS1756" i="37"/>
  <c r="AS1757" i="37"/>
  <c r="AS1758" i="37"/>
  <c r="AS1759" i="37"/>
  <c r="AS1760" i="37"/>
  <c r="AS1761" i="37"/>
  <c r="AS1762" i="37"/>
  <c r="AS1763" i="37"/>
  <c r="AS1764" i="37"/>
  <c r="AS1765" i="37"/>
  <c r="AS1766" i="37"/>
  <c r="AS1767" i="37"/>
  <c r="AS1768" i="37"/>
  <c r="AS1769" i="37"/>
  <c r="AS1770" i="37"/>
  <c r="AS1771" i="37"/>
  <c r="AS1772" i="37"/>
  <c r="AS1773" i="37"/>
  <c r="AS1774" i="37"/>
  <c r="AS1775" i="37"/>
  <c r="AS1776" i="37"/>
  <c r="AS1777" i="37"/>
  <c r="AS1778" i="37"/>
  <c r="AS1779" i="37"/>
  <c r="AS1780" i="37"/>
  <c r="AS1781" i="37"/>
  <c r="AS1782" i="37"/>
  <c r="AS1783" i="37"/>
  <c r="AS1784" i="37"/>
  <c r="AS1785" i="37"/>
  <c r="AS1786" i="37"/>
  <c r="AS1787" i="37"/>
  <c r="AS1788" i="37"/>
  <c r="AS1789" i="37"/>
  <c r="AS1790" i="37"/>
  <c r="AS1791" i="37"/>
  <c r="AS1792" i="37"/>
  <c r="AS1793" i="37"/>
  <c r="AS1794" i="37"/>
  <c r="AS1795" i="37"/>
  <c r="AS1796" i="37"/>
  <c r="AS1797" i="37"/>
  <c r="AS1798" i="37"/>
  <c r="AS1799" i="37"/>
  <c r="AS1800" i="37"/>
  <c r="AS1801" i="37"/>
  <c r="AS1802" i="37"/>
  <c r="AS1803" i="37"/>
  <c r="AS1804" i="37"/>
  <c r="AS1805" i="37"/>
  <c r="AS1806" i="37"/>
  <c r="AS1807" i="37"/>
  <c r="AS1808" i="37"/>
  <c r="AS1809" i="37"/>
  <c r="AS1810" i="37"/>
  <c r="AS1811" i="37"/>
  <c r="AS1812" i="37"/>
  <c r="AS1813" i="37"/>
  <c r="AS1814" i="37"/>
  <c r="AS1815" i="37"/>
  <c r="AS1816" i="37"/>
  <c r="AS1817" i="37"/>
  <c r="AS1818" i="37"/>
  <c r="AS1819" i="37"/>
  <c r="AS1820" i="37"/>
  <c r="AS1821" i="37"/>
  <c r="AS1822" i="37"/>
  <c r="AS1823" i="37"/>
  <c r="AS1824" i="37"/>
  <c r="AS1825" i="37"/>
  <c r="AS1826" i="37"/>
  <c r="AS1827" i="37"/>
  <c r="AS1828" i="37"/>
  <c r="AS1829" i="37"/>
  <c r="AS1830" i="37"/>
  <c r="AS1831" i="37"/>
  <c r="AS1832" i="37"/>
  <c r="AS1833" i="37"/>
  <c r="AS1834" i="37"/>
  <c r="AS1835" i="37"/>
  <c r="AS1836" i="37"/>
  <c r="AS1837" i="37"/>
  <c r="AS1838" i="37"/>
  <c r="AS1839" i="37"/>
  <c r="AS1840" i="37"/>
  <c r="AS1841" i="37"/>
  <c r="AS1842" i="37"/>
  <c r="AS1843" i="37"/>
  <c r="AS1844" i="37"/>
  <c r="AS1845" i="37"/>
  <c r="AS1846" i="37"/>
  <c r="AS1847" i="37"/>
  <c r="AS1848" i="37"/>
  <c r="AS1849" i="37"/>
  <c r="AS1850" i="37"/>
  <c r="AS1851" i="37"/>
  <c r="AS1852" i="37"/>
  <c r="AS1853" i="37"/>
  <c r="AS1854" i="37"/>
  <c r="AS1855" i="37"/>
  <c r="AS1856" i="37"/>
  <c r="AS1857" i="37"/>
  <c r="AS1858" i="37"/>
  <c r="AS1859" i="37"/>
  <c r="AS1860" i="37"/>
  <c r="AS1861" i="37"/>
  <c r="AS1862" i="37"/>
  <c r="AS1863" i="37"/>
  <c r="AS1864" i="37"/>
  <c r="AS1865" i="37"/>
  <c r="AS1866" i="37"/>
  <c r="AS1867" i="37"/>
  <c r="AS1868" i="37"/>
  <c r="AS1869" i="37"/>
  <c r="AS1870" i="37"/>
  <c r="AS1871" i="37"/>
  <c r="AS1872" i="37"/>
  <c r="AS1873" i="37"/>
  <c r="AS1874" i="37"/>
  <c r="AS1875" i="37"/>
  <c r="AS1876" i="37"/>
  <c r="AS1877" i="37"/>
  <c r="AS1878" i="37"/>
  <c r="AS1879" i="37"/>
  <c r="AS1880" i="37"/>
  <c r="AS1881" i="37"/>
  <c r="AS1882" i="37"/>
  <c r="AS1883" i="37"/>
  <c r="AS1884" i="37"/>
  <c r="AS1885" i="37"/>
  <c r="AS1886" i="37"/>
  <c r="AS1887" i="37"/>
  <c r="AS1888" i="37"/>
  <c r="AS1889" i="37"/>
  <c r="AS1890" i="37"/>
  <c r="AS1891" i="37"/>
  <c r="AS1892" i="37"/>
  <c r="AS1893" i="37"/>
  <c r="AS1894" i="37"/>
  <c r="AS1895" i="37"/>
  <c r="AS1896" i="37"/>
  <c r="AS1897" i="37"/>
  <c r="AS1898" i="37"/>
  <c r="AS1899" i="37"/>
  <c r="AS1900" i="37"/>
  <c r="AS1901" i="37"/>
  <c r="AS1902" i="37"/>
  <c r="AS1903" i="37"/>
  <c r="AS1904" i="37"/>
  <c r="AS1905" i="37"/>
  <c r="AS1906" i="37"/>
  <c r="AS1907" i="37"/>
  <c r="AS1908" i="37"/>
  <c r="AS1909" i="37"/>
  <c r="AS1910" i="37"/>
  <c r="AS1911" i="37"/>
  <c r="AS1912" i="37"/>
  <c r="AS1913" i="37"/>
  <c r="AS1914" i="37"/>
  <c r="AS1915" i="37"/>
  <c r="AS1916" i="37"/>
  <c r="AS1917" i="37"/>
  <c r="AS1918" i="37"/>
  <c r="AS1919" i="37"/>
  <c r="AS1920" i="37"/>
  <c r="AS1921" i="37"/>
  <c r="AS1922" i="37"/>
  <c r="AS1923" i="37"/>
  <c r="AS1924" i="37"/>
  <c r="AS1925" i="37"/>
  <c r="AS1926" i="37"/>
  <c r="AS1927" i="37"/>
  <c r="AS1928" i="37"/>
  <c r="AS1929" i="37"/>
  <c r="AS1930" i="37"/>
  <c r="AS1931" i="37"/>
  <c r="AS1932" i="37"/>
  <c r="AS1933" i="37"/>
  <c r="AS1934" i="37"/>
  <c r="AS1935" i="37"/>
  <c r="AS1936" i="37"/>
  <c r="AS1937" i="37"/>
  <c r="AS1938" i="37"/>
  <c r="AS1939" i="37"/>
  <c r="AS1940" i="37"/>
  <c r="AS1941" i="37"/>
  <c r="AS1942" i="37"/>
  <c r="AS1943" i="37"/>
  <c r="AS1944" i="37"/>
  <c r="AS1945" i="37"/>
  <c r="AS1946" i="37"/>
  <c r="AS1947" i="37"/>
  <c r="AS1948" i="37"/>
  <c r="AS1949" i="37"/>
  <c r="AS1950" i="37"/>
  <c r="AS1951" i="37"/>
  <c r="AS1952" i="37"/>
  <c r="AS1953" i="37"/>
  <c r="AS1954" i="37"/>
  <c r="AS1955" i="37"/>
  <c r="AS1956" i="37"/>
  <c r="AS1957" i="37"/>
  <c r="AS1958" i="37"/>
  <c r="AS1959" i="37"/>
  <c r="AS1960" i="37"/>
  <c r="AS1961" i="37"/>
  <c r="AS1962" i="37"/>
  <c r="AS1963" i="37"/>
  <c r="AS1964" i="37"/>
  <c r="AS1965" i="37"/>
  <c r="AS1966" i="37"/>
  <c r="AS1967" i="37"/>
  <c r="AS1968" i="37"/>
  <c r="AS1969" i="37"/>
  <c r="AS1970" i="37"/>
  <c r="AS1971" i="37"/>
  <c r="AS1972" i="37"/>
  <c r="AS1973" i="37"/>
  <c r="AS1974" i="37"/>
  <c r="AS1975" i="37"/>
  <c r="AS1976" i="37"/>
  <c r="AS1977" i="37"/>
  <c r="AS1978" i="37"/>
  <c r="AS1979" i="37"/>
  <c r="AS1980" i="37"/>
  <c r="AS1981" i="37"/>
  <c r="AS1982" i="37"/>
  <c r="AS1983" i="37"/>
  <c r="AS1984" i="37"/>
  <c r="AS1985" i="37"/>
  <c r="AS1986" i="37"/>
  <c r="AS1987" i="37"/>
  <c r="AS1988" i="37"/>
  <c r="AS1989" i="37"/>
  <c r="AS1990" i="37"/>
  <c r="AS1991" i="37"/>
  <c r="AS1992" i="37"/>
  <c r="AS1993" i="37"/>
  <c r="AS1994" i="37"/>
  <c r="AS1995" i="37"/>
  <c r="AS1996" i="37"/>
  <c r="AS1997" i="37"/>
  <c r="AS1998" i="37"/>
  <c r="AS1999" i="37"/>
  <c r="AS2000" i="37"/>
  <c r="AS2001" i="37"/>
  <c r="AS2002" i="37"/>
  <c r="AS2003" i="37"/>
  <c r="AS2004" i="37"/>
  <c r="AS2005" i="37"/>
  <c r="AS2006" i="37"/>
  <c r="AS2007" i="37"/>
  <c r="AS2008" i="37"/>
  <c r="AS2009" i="37"/>
  <c r="AS2010" i="37"/>
  <c r="AS2011" i="37"/>
  <c r="AS2012" i="37"/>
  <c r="AS2013" i="37"/>
  <c r="AS2014" i="37"/>
  <c r="AS2015" i="37"/>
  <c r="AS2016" i="37"/>
  <c r="AS2017" i="37"/>
  <c r="AS2018" i="37"/>
  <c r="AS2019" i="37"/>
  <c r="AS2020" i="37"/>
  <c r="AS2021" i="37"/>
  <c r="AS2022" i="37"/>
  <c r="AS2023" i="37"/>
  <c r="AS2024" i="37"/>
  <c r="AS2025" i="37"/>
  <c r="AS2026" i="37"/>
  <c r="AS2027" i="37"/>
  <c r="AS2028" i="37"/>
  <c r="AS2029" i="37"/>
  <c r="AS2030" i="37"/>
  <c r="AS2031" i="37"/>
  <c r="AS2032" i="37"/>
  <c r="AS2033" i="37"/>
  <c r="AS2034" i="37"/>
  <c r="AS2035" i="37"/>
  <c r="AS2036" i="37"/>
  <c r="AS2037" i="37"/>
  <c r="AS2038" i="37"/>
  <c r="AS2039" i="37"/>
  <c r="AS2040" i="37"/>
  <c r="AS2041" i="37"/>
  <c r="AS2042" i="37"/>
  <c r="AS2043" i="37"/>
  <c r="AS2044" i="37"/>
  <c r="AS2045" i="37"/>
  <c r="AS2046" i="37"/>
  <c r="AS2047" i="37"/>
  <c r="AS2048" i="37"/>
  <c r="AS2049" i="37"/>
  <c r="AS2050" i="37"/>
  <c r="AS2051" i="37"/>
  <c r="AS2052" i="37"/>
  <c r="AS2053" i="37"/>
  <c r="AS2054" i="37"/>
  <c r="AS2055" i="37"/>
  <c r="AS2056" i="37"/>
  <c r="AS2057" i="37"/>
  <c r="AS2058" i="37"/>
  <c r="AS2059" i="37"/>
  <c r="AS2060" i="37"/>
  <c r="AS2061" i="37"/>
  <c r="AS2062" i="37"/>
  <c r="AS2063" i="37"/>
  <c r="AS2064" i="37"/>
  <c r="AS2065" i="37"/>
  <c r="AS2066" i="37"/>
  <c r="AS2067" i="37"/>
  <c r="AS2068" i="37"/>
  <c r="AS2069" i="37"/>
  <c r="AS2070" i="37"/>
  <c r="AS2071" i="37"/>
  <c r="AS2072" i="37"/>
  <c r="AS2073" i="37"/>
  <c r="AS2074" i="37"/>
  <c r="AS2075" i="37"/>
  <c r="AS2076" i="37"/>
  <c r="AS2077" i="37"/>
  <c r="AS2078" i="37"/>
  <c r="AS2079" i="37"/>
  <c r="AS2080" i="37"/>
  <c r="AS2081" i="37"/>
  <c r="AS2082" i="37"/>
  <c r="AS2083" i="37"/>
  <c r="AS2084" i="37"/>
  <c r="AS2085" i="37"/>
  <c r="AS2086" i="37"/>
  <c r="AS2087" i="37"/>
  <c r="AS2088" i="37"/>
  <c r="AS2089" i="37"/>
  <c r="AS2090" i="37"/>
  <c r="AS2091" i="37"/>
  <c r="AS2092" i="37"/>
  <c r="AS2093" i="37"/>
  <c r="AS2094" i="37"/>
  <c r="AS2095" i="37"/>
  <c r="AS2096" i="37"/>
  <c r="AS2097" i="37"/>
  <c r="AS2098" i="37"/>
  <c r="AS2099" i="37"/>
  <c r="AS2100" i="37"/>
  <c r="AS2101" i="37"/>
  <c r="AS2102" i="37"/>
  <c r="AS2103" i="37"/>
  <c r="AS2104" i="37"/>
  <c r="AS2105" i="37"/>
  <c r="AS2106" i="37"/>
  <c r="AS2107" i="37"/>
  <c r="AS2108" i="37"/>
  <c r="AS2109" i="37"/>
  <c r="AS2110" i="37"/>
  <c r="AS2111" i="37"/>
  <c r="AS2112" i="37"/>
  <c r="AS2113" i="37"/>
  <c r="AS2114" i="37"/>
  <c r="AS2115" i="37"/>
  <c r="AS2116" i="37"/>
  <c r="AS2117" i="37"/>
  <c r="AS2118" i="37"/>
  <c r="AS2119" i="37"/>
  <c r="AS2120" i="37"/>
  <c r="AS2121" i="37"/>
  <c r="AS2122" i="37"/>
  <c r="AS2123" i="37"/>
  <c r="AS2124" i="37"/>
  <c r="AS2125" i="37"/>
  <c r="AS2126" i="37"/>
  <c r="AS2127" i="37"/>
  <c r="AS2128" i="37"/>
  <c r="AS2129" i="37"/>
  <c r="AS2130" i="37"/>
  <c r="AS2131" i="37"/>
  <c r="AS2132" i="37"/>
  <c r="AS2133" i="37"/>
  <c r="AS2134" i="37"/>
  <c r="AS2135" i="37"/>
  <c r="AS2136" i="37"/>
  <c r="AS2137" i="37"/>
  <c r="AS2138" i="37"/>
  <c r="AS2139" i="37"/>
  <c r="AS2140" i="37"/>
  <c r="AS2141" i="37"/>
  <c r="AS2142" i="37"/>
  <c r="AS2143" i="37"/>
  <c r="AS2144" i="37"/>
  <c r="AS2145" i="37"/>
  <c r="AS2146" i="37"/>
  <c r="AS2147" i="37"/>
  <c r="AS2148" i="37"/>
  <c r="AS2149" i="37"/>
  <c r="AS2150" i="37"/>
  <c r="AS2151" i="37"/>
  <c r="AS2152" i="37"/>
  <c r="AS2153" i="37"/>
  <c r="AS2154" i="37"/>
  <c r="AS2155" i="37"/>
  <c r="AS2156" i="37"/>
  <c r="AS2157" i="37"/>
  <c r="AS2158" i="37"/>
  <c r="AS2159" i="37"/>
  <c r="AS2160" i="37"/>
  <c r="AS2161" i="37"/>
  <c r="AS2162" i="37"/>
  <c r="AS2163" i="37"/>
  <c r="AS2164" i="37"/>
  <c r="AS2165" i="37"/>
  <c r="AS2166" i="37"/>
  <c r="AS2167" i="37"/>
  <c r="AS2168" i="37"/>
  <c r="AS2169" i="37"/>
  <c r="AS2170" i="37"/>
  <c r="AS2171" i="37"/>
  <c r="AS2172" i="37"/>
  <c r="AS2173" i="37"/>
  <c r="AS2174" i="37"/>
  <c r="AS2175" i="37"/>
  <c r="AS2176" i="37"/>
  <c r="AS2177" i="37"/>
  <c r="AS2178" i="37"/>
  <c r="AS2179" i="37"/>
  <c r="AS2180" i="37"/>
  <c r="AS2181" i="37"/>
  <c r="AS2182" i="37"/>
  <c r="AS2183" i="37"/>
  <c r="AS2184" i="37"/>
  <c r="AS2185" i="37"/>
  <c r="AS2186" i="37"/>
  <c r="AS2187" i="37"/>
  <c r="AS2188" i="37"/>
  <c r="AS2189" i="37"/>
  <c r="AS2190" i="37"/>
  <c r="AS2191" i="37"/>
  <c r="AS2192" i="37"/>
  <c r="AS2193" i="37"/>
  <c r="AS2194" i="37"/>
  <c r="AS2195" i="37"/>
  <c r="AS2196" i="37"/>
  <c r="AS2197" i="37"/>
  <c r="AS2198" i="37"/>
  <c r="AS2199" i="37"/>
  <c r="AS2200" i="37"/>
  <c r="AS2201" i="37"/>
  <c r="AS2202" i="37"/>
  <c r="AS2203" i="37"/>
  <c r="AS2204" i="37"/>
  <c r="AS2205" i="37"/>
  <c r="AS2206" i="37"/>
  <c r="AS2207" i="37"/>
  <c r="AS2208" i="37"/>
  <c r="AS2209" i="37"/>
  <c r="AS2210" i="37"/>
  <c r="AS2211" i="37"/>
  <c r="AS2212" i="37"/>
  <c r="AS2213" i="37"/>
  <c r="AS2214" i="37"/>
  <c r="AS2215" i="37"/>
  <c r="AS2216" i="37"/>
  <c r="AS2217" i="37"/>
  <c r="AS2218" i="37"/>
  <c r="AS2219" i="37"/>
  <c r="AS2220" i="37"/>
  <c r="AS2221" i="37"/>
  <c r="AS2222" i="37"/>
  <c r="AS2223" i="37"/>
  <c r="AS2224" i="37"/>
  <c r="AS2225" i="37"/>
  <c r="AS2226" i="37"/>
  <c r="AS2227" i="37"/>
  <c r="AS2228" i="37"/>
  <c r="AS2229" i="37"/>
  <c r="AS2230" i="37"/>
  <c r="AS2231" i="37"/>
  <c r="AS2232" i="37"/>
  <c r="AS2233" i="37"/>
  <c r="AS2234" i="37"/>
  <c r="AS2235" i="37"/>
  <c r="AS2236" i="37"/>
  <c r="AS2237" i="37"/>
  <c r="AS2238" i="37"/>
  <c r="AS2239" i="37"/>
  <c r="AS2240" i="37"/>
  <c r="AS2241" i="37"/>
  <c r="AS2242" i="37"/>
  <c r="AS2243" i="37"/>
  <c r="AS2244" i="37"/>
  <c r="AS2245" i="37"/>
  <c r="AS2246" i="37"/>
  <c r="AS2247" i="37"/>
  <c r="AS2248" i="37"/>
  <c r="AS2249" i="37"/>
  <c r="AS2250" i="37"/>
  <c r="AS2251" i="37"/>
  <c r="AS2252" i="37"/>
  <c r="AS2253" i="37"/>
  <c r="AS2254" i="37"/>
  <c r="AS2255" i="37"/>
  <c r="AS2256" i="37"/>
  <c r="AS2257" i="37"/>
  <c r="AS2258" i="37"/>
  <c r="AS2259" i="37"/>
  <c r="AS2260" i="37"/>
  <c r="AS2261" i="37"/>
  <c r="AS2262" i="37"/>
  <c r="AS2263" i="37"/>
  <c r="AS2264" i="37"/>
  <c r="AS2265" i="37"/>
  <c r="AS2266" i="37"/>
  <c r="AS2267" i="37"/>
  <c r="AS2268" i="37"/>
  <c r="AS2269" i="37"/>
  <c r="AS2270" i="37"/>
  <c r="AS2271" i="37"/>
  <c r="AS2272" i="37"/>
  <c r="AS2273" i="37"/>
  <c r="AS2274" i="37"/>
  <c r="AS2275" i="37"/>
  <c r="AS2276" i="37"/>
  <c r="AS2277" i="37"/>
  <c r="AS2278" i="37"/>
  <c r="AS2279" i="37"/>
  <c r="AS2280" i="37"/>
  <c r="AS2281" i="37"/>
  <c r="AS2282" i="37"/>
  <c r="AS2283" i="37"/>
  <c r="AS2284" i="37"/>
  <c r="AS2285" i="37"/>
  <c r="AS2286" i="37"/>
  <c r="AS2287" i="37"/>
  <c r="AS2288" i="37"/>
  <c r="AS2289" i="37"/>
  <c r="AS2290" i="37"/>
  <c r="AS2291" i="37"/>
  <c r="AS2292" i="37"/>
  <c r="AS2293" i="37"/>
  <c r="AS2294" i="37"/>
  <c r="AS2295" i="37"/>
  <c r="AS2296" i="37"/>
  <c r="AS2297" i="37"/>
  <c r="AS2298" i="37"/>
  <c r="AS2299" i="37"/>
  <c r="AS2300" i="37"/>
  <c r="AS2301" i="37"/>
  <c r="AS2302" i="37"/>
  <c r="AS2303" i="37"/>
  <c r="AS2304" i="37"/>
  <c r="AS2305" i="37"/>
  <c r="AS2306" i="37"/>
  <c r="AS2307" i="37"/>
  <c r="AS2308" i="37"/>
  <c r="AS2309" i="37"/>
  <c r="AS2310" i="37"/>
  <c r="AS2311" i="37"/>
  <c r="AS2312" i="37"/>
  <c r="AS2313" i="37"/>
  <c r="AS2314" i="37"/>
  <c r="AS2315" i="37"/>
  <c r="AS2316" i="37"/>
  <c r="AS2317" i="37"/>
  <c r="AS2318" i="37"/>
  <c r="AS2319" i="37"/>
  <c r="AS2320" i="37"/>
  <c r="AS2321" i="37"/>
  <c r="AS2322" i="37"/>
  <c r="AS2323" i="37"/>
  <c r="AS2324" i="37"/>
  <c r="AS2325" i="37"/>
  <c r="AS2326" i="37"/>
  <c r="AS2327" i="37"/>
  <c r="AS2328" i="37"/>
  <c r="AS2329" i="37"/>
  <c r="AS2330" i="37"/>
  <c r="AS2331" i="37"/>
  <c r="AS2332" i="37"/>
  <c r="AS2333" i="37"/>
  <c r="AS2334" i="37"/>
  <c r="AS2335" i="37"/>
  <c r="AS2336" i="37"/>
  <c r="AS2337" i="37"/>
  <c r="AS2338" i="37"/>
  <c r="AS2339" i="37"/>
  <c r="AS2340" i="37"/>
  <c r="AS2341" i="37"/>
  <c r="AS2342" i="37"/>
  <c r="AS2343" i="37"/>
  <c r="AS2344" i="37"/>
  <c r="AS2345" i="37"/>
  <c r="AS2346" i="37"/>
  <c r="AS2347" i="37"/>
  <c r="AS2348" i="37"/>
  <c r="AS2349" i="37"/>
  <c r="AS2350" i="37"/>
  <c r="AS2351" i="37"/>
  <c r="AS2352" i="37"/>
  <c r="AS2353" i="37"/>
  <c r="AS2354" i="37"/>
  <c r="AS2355" i="37"/>
  <c r="AS2356" i="37"/>
  <c r="AS2357" i="37"/>
  <c r="AS2358" i="37"/>
  <c r="AS2359" i="37"/>
  <c r="AS2360" i="37"/>
  <c r="AS2361" i="37"/>
  <c r="AS2362" i="37"/>
  <c r="AS2363" i="37"/>
  <c r="AS2364" i="37"/>
  <c r="AS2365" i="37"/>
  <c r="AS2366" i="37"/>
  <c r="AS2367" i="37"/>
  <c r="AS2368" i="37"/>
  <c r="AS2369" i="37"/>
  <c r="AS2370" i="37"/>
  <c r="AS2371" i="37"/>
  <c r="AS2372" i="37"/>
  <c r="AS2373" i="37"/>
  <c r="AS2374" i="37"/>
  <c r="AS2375" i="37"/>
  <c r="AS2376" i="37"/>
  <c r="AS2377" i="37"/>
  <c r="AS2378" i="37"/>
  <c r="AS2379" i="37"/>
  <c r="AS2380" i="37"/>
  <c r="AS2381" i="37"/>
  <c r="AS2382" i="37"/>
  <c r="AS2383" i="37"/>
  <c r="AS2384" i="37"/>
  <c r="AS2385" i="37"/>
  <c r="AS2386" i="37"/>
  <c r="AS2387" i="37"/>
  <c r="AS2388" i="37"/>
  <c r="AS2389" i="37"/>
  <c r="AS2390" i="37"/>
  <c r="AS2391" i="37"/>
  <c r="AS2392" i="37"/>
  <c r="AS2393" i="37"/>
  <c r="AS2394" i="37"/>
  <c r="AS2395" i="37"/>
  <c r="AS2396" i="37"/>
  <c r="AS2397" i="37"/>
  <c r="AS2398" i="37"/>
  <c r="AS2399" i="37"/>
  <c r="AS2400" i="37"/>
  <c r="AS2401" i="37"/>
  <c r="AS2402" i="37"/>
  <c r="AS2403" i="37"/>
  <c r="AS2404" i="37"/>
  <c r="AS2405" i="37"/>
  <c r="AS2406" i="37"/>
  <c r="AS2407" i="37"/>
  <c r="AS2408" i="37"/>
  <c r="AS2409" i="37"/>
  <c r="AS2410" i="37"/>
  <c r="AS2411" i="37"/>
  <c r="AS2412" i="37"/>
  <c r="AS2413" i="37"/>
  <c r="AS2414" i="37"/>
  <c r="AS2415" i="37"/>
  <c r="AS2416" i="37"/>
  <c r="AS2417" i="37"/>
  <c r="AS2418" i="37"/>
  <c r="AS2419" i="37"/>
  <c r="AS2420" i="37"/>
  <c r="AS2421" i="37"/>
  <c r="AS2422" i="37"/>
  <c r="AS2423" i="37"/>
  <c r="AS2424" i="37"/>
  <c r="AS2425" i="37"/>
  <c r="AS2426" i="37"/>
  <c r="AS2427" i="37"/>
  <c r="AS2428" i="37"/>
  <c r="AS2429" i="37"/>
  <c r="AS2430" i="37"/>
  <c r="AS2431" i="37"/>
  <c r="AS2432" i="37"/>
  <c r="AS2433" i="37"/>
  <c r="AS2434" i="37"/>
  <c r="AS2435" i="37"/>
  <c r="AS2436" i="37"/>
  <c r="AS2437" i="37"/>
  <c r="AS2438" i="37"/>
  <c r="AS2439" i="37"/>
  <c r="AS2440" i="37"/>
  <c r="AS2441" i="37"/>
  <c r="AS2442" i="37"/>
  <c r="AS2443" i="37"/>
  <c r="AS2444" i="37"/>
  <c r="AS2445" i="37"/>
  <c r="AS2446" i="37"/>
  <c r="AS2447" i="37"/>
  <c r="AS2448" i="37"/>
  <c r="AS2449" i="37"/>
  <c r="AS2450" i="37"/>
  <c r="AS2451" i="37"/>
  <c r="AS2452" i="37"/>
  <c r="AS2453" i="37"/>
  <c r="AS2454" i="37"/>
  <c r="AS2455" i="37"/>
  <c r="AS2456" i="37"/>
  <c r="AS2457" i="37"/>
  <c r="AS2458" i="37"/>
  <c r="AS2459" i="37"/>
  <c r="AS2460" i="37"/>
  <c r="AS2461" i="37"/>
  <c r="AS2462" i="37"/>
  <c r="AS2463" i="37"/>
  <c r="AS2464" i="37"/>
  <c r="AS2465" i="37"/>
  <c r="AS2466" i="37"/>
  <c r="AS2467" i="37"/>
  <c r="AS2468" i="37"/>
  <c r="AS2469" i="37"/>
  <c r="AS2470" i="37"/>
  <c r="AS2471" i="37"/>
  <c r="AS2472" i="37"/>
  <c r="AS2473" i="37"/>
  <c r="AS2474" i="37"/>
  <c r="AS2475" i="37"/>
  <c r="AS2476" i="37"/>
  <c r="AS2477" i="37"/>
  <c r="AS2478" i="37"/>
  <c r="AS2479" i="37"/>
  <c r="AS2480" i="37"/>
  <c r="AS2481" i="37"/>
  <c r="AS2482" i="37"/>
  <c r="AS2483" i="37"/>
  <c r="AS2484" i="37"/>
  <c r="AS2485" i="37"/>
  <c r="AS2486" i="37"/>
  <c r="AS2487" i="37"/>
  <c r="AS2488" i="37"/>
  <c r="AS2489" i="37"/>
  <c r="AS2490" i="37"/>
  <c r="AS2491" i="37"/>
  <c r="AS2492" i="37"/>
  <c r="AS2493" i="37"/>
  <c r="AS2494" i="37"/>
  <c r="AS2495" i="37"/>
  <c r="AS2496" i="37"/>
  <c r="AS2497" i="37"/>
  <c r="AS2498" i="37"/>
  <c r="AS2499" i="37"/>
  <c r="AS2500" i="37"/>
  <c r="AS2501" i="37"/>
  <c r="AS2502" i="37"/>
  <c r="AS2503" i="37"/>
  <c r="AS2504" i="37"/>
  <c r="AS2505" i="37"/>
  <c r="AS2506" i="37"/>
  <c r="AS2507" i="37"/>
  <c r="AS2508" i="37"/>
  <c r="AS2509" i="37"/>
  <c r="AS2510" i="37"/>
  <c r="AS2511" i="37"/>
  <c r="AS2512" i="37"/>
  <c r="AS2513" i="37"/>
  <c r="AS2514" i="37"/>
  <c r="AS2515" i="37"/>
  <c r="AS2516" i="37"/>
  <c r="AS2517" i="37"/>
  <c r="AS2518" i="37"/>
  <c r="AS2519" i="37"/>
  <c r="AS2520" i="37"/>
  <c r="AS2521" i="37"/>
  <c r="AS2522" i="37"/>
  <c r="AS2523" i="37"/>
  <c r="AS2524" i="37"/>
  <c r="AS2525" i="37"/>
  <c r="AS2526" i="37"/>
  <c r="AS2527" i="37"/>
  <c r="AS2528" i="37"/>
  <c r="AS2529" i="37"/>
  <c r="AS2530" i="37"/>
  <c r="AS2531" i="37"/>
  <c r="AS2532" i="37"/>
  <c r="AS2533" i="37"/>
  <c r="AS2534" i="37"/>
  <c r="AS2535" i="37"/>
  <c r="AS2536" i="37"/>
  <c r="AS2537" i="37"/>
  <c r="AS2538" i="37"/>
  <c r="AS2539" i="37"/>
  <c r="AS2540" i="37"/>
  <c r="AS2541" i="37"/>
  <c r="AS2542" i="37"/>
  <c r="AS2543" i="37"/>
  <c r="AS2544" i="37"/>
  <c r="AS2545" i="37"/>
  <c r="AS2546" i="37"/>
  <c r="AS2547" i="37"/>
  <c r="AS2548" i="37"/>
  <c r="AS2549" i="37"/>
  <c r="AS2550" i="37"/>
  <c r="AS2551" i="37"/>
  <c r="AS2552" i="37"/>
  <c r="AS2553" i="37"/>
  <c r="AS2554" i="37"/>
  <c r="AS2555" i="37"/>
  <c r="AS2556" i="37"/>
  <c r="AS2557" i="37"/>
  <c r="AS2558" i="37"/>
  <c r="AS2559" i="37"/>
  <c r="AS2560" i="37"/>
  <c r="AS2561" i="37"/>
  <c r="AS2562" i="37"/>
  <c r="AS2563" i="37"/>
  <c r="AS2564" i="37"/>
  <c r="AS2565" i="37"/>
  <c r="AS2566" i="37"/>
  <c r="AS2567" i="37"/>
  <c r="AS2568" i="37"/>
  <c r="AS2569" i="37"/>
  <c r="AS2570" i="37"/>
  <c r="AS2571" i="37"/>
  <c r="AS2572" i="37"/>
  <c r="AS2573" i="37"/>
  <c r="AS2574" i="37"/>
  <c r="AS2575" i="37"/>
  <c r="AS2576" i="37"/>
  <c r="AS2577" i="37"/>
  <c r="AS2578" i="37"/>
  <c r="AS2579" i="37"/>
  <c r="AS2580" i="37"/>
  <c r="AS2581" i="37"/>
  <c r="AS2582" i="37"/>
  <c r="AS2583" i="37"/>
  <c r="AS2584" i="37"/>
  <c r="AS2585" i="37"/>
  <c r="AS2586" i="37"/>
  <c r="AS2587" i="37"/>
  <c r="AS2588" i="37"/>
  <c r="AS2589" i="37"/>
  <c r="AS2590" i="37"/>
  <c r="AS2591" i="37"/>
  <c r="AS2592" i="37"/>
  <c r="AS2593" i="37"/>
  <c r="AS2594" i="37"/>
  <c r="AS2595" i="37"/>
  <c r="AS2596" i="37"/>
  <c r="AS2597" i="37"/>
  <c r="AS2598" i="37"/>
  <c r="AS2599" i="37"/>
  <c r="AS2600" i="37"/>
  <c r="AS2601" i="37"/>
  <c r="AS2602" i="37"/>
  <c r="AS2603" i="37"/>
  <c r="AS2604" i="37"/>
  <c r="AS2605" i="37"/>
  <c r="AS2606" i="37"/>
  <c r="AS2607" i="37"/>
  <c r="AS2608" i="37"/>
  <c r="AS2609" i="37"/>
  <c r="AS2610" i="37"/>
  <c r="AS2611" i="37"/>
  <c r="AS2612" i="37"/>
  <c r="AS2613" i="37"/>
  <c r="AS2614" i="37"/>
  <c r="AS2615" i="37"/>
  <c r="AS2616" i="37"/>
  <c r="AS2617" i="37"/>
  <c r="AS2618" i="37"/>
  <c r="AS2619" i="37"/>
  <c r="AS2620" i="37"/>
  <c r="AS2621" i="37"/>
  <c r="AS2622" i="37"/>
  <c r="AS2623" i="37"/>
  <c r="AS2624" i="37"/>
  <c r="AS2625" i="37"/>
  <c r="AS2626" i="37"/>
  <c r="AS2627" i="37"/>
  <c r="AS2628" i="37"/>
  <c r="AS2629" i="37"/>
  <c r="AS2630" i="37"/>
  <c r="AS2631" i="37"/>
  <c r="AS2632" i="37"/>
  <c r="AS2633" i="37"/>
  <c r="AS2634" i="37"/>
  <c r="AS2635" i="37"/>
  <c r="AS2636" i="37"/>
  <c r="AS2637" i="37"/>
  <c r="AS2638" i="37"/>
  <c r="AS2639" i="37"/>
  <c r="AS2640" i="37"/>
  <c r="AS2641" i="37"/>
  <c r="AS2642" i="37"/>
  <c r="AS2643" i="37"/>
  <c r="AS2644" i="37"/>
  <c r="AS2645" i="37"/>
  <c r="AS2646" i="37"/>
  <c r="AS2647" i="37"/>
  <c r="AS2648" i="37"/>
  <c r="AS2649" i="37"/>
  <c r="AS2650" i="37"/>
  <c r="AS2651" i="37"/>
  <c r="AS2652" i="37"/>
  <c r="AS2653" i="37"/>
  <c r="AS2654" i="37"/>
  <c r="AS2655" i="37"/>
  <c r="AS2656" i="37"/>
  <c r="AS2657" i="37"/>
  <c r="AS2658" i="37"/>
  <c r="AS2659" i="37"/>
  <c r="AS2660" i="37"/>
  <c r="AS2661" i="37"/>
  <c r="AS2662" i="37"/>
  <c r="AS2663" i="37"/>
  <c r="AS2664" i="37"/>
  <c r="AS2665" i="37"/>
  <c r="AS2666" i="37"/>
  <c r="AS2667" i="37"/>
  <c r="AS2668" i="37"/>
  <c r="AS2669" i="37"/>
  <c r="AS2670" i="37"/>
  <c r="AS2671" i="37"/>
  <c r="AS2672" i="37"/>
  <c r="AS2673" i="37"/>
  <c r="AS2674" i="37"/>
  <c r="AS2675" i="37"/>
  <c r="AS2676" i="37"/>
  <c r="AS2677" i="37"/>
  <c r="AS2678" i="37"/>
  <c r="AS2679" i="37"/>
  <c r="AS2680" i="37"/>
  <c r="AS2681" i="37"/>
  <c r="AS2682" i="37"/>
  <c r="AS2683" i="37"/>
  <c r="AS2684" i="37"/>
  <c r="AS2685" i="37"/>
  <c r="AS2686" i="37"/>
  <c r="AS2687" i="37"/>
  <c r="AS2688" i="37"/>
  <c r="AS2689" i="37"/>
  <c r="AS2690" i="37"/>
  <c r="AS2691" i="37"/>
  <c r="AS2692" i="37"/>
  <c r="AS2693" i="37"/>
  <c r="AS2694" i="37"/>
  <c r="AS2695" i="37"/>
  <c r="AS2696" i="37"/>
  <c r="AS2697" i="37"/>
  <c r="AS2698" i="37"/>
  <c r="AS2699" i="37"/>
  <c r="AS2700" i="37"/>
  <c r="AS2701" i="37"/>
  <c r="AS2702" i="37"/>
  <c r="AS2703" i="37"/>
  <c r="AS2704" i="37"/>
  <c r="AS2705" i="37"/>
  <c r="AS2706" i="37"/>
  <c r="AS2707" i="37"/>
  <c r="AS2708" i="37"/>
  <c r="AS2709" i="37"/>
  <c r="AS2710" i="37"/>
  <c r="AS2711" i="37"/>
  <c r="AS2712" i="37"/>
  <c r="AS2713" i="37"/>
  <c r="AS2714" i="37"/>
  <c r="AS2715" i="37"/>
  <c r="AS2716" i="37"/>
  <c r="AS2717" i="37"/>
  <c r="AS2718" i="37"/>
  <c r="AS2719" i="37"/>
  <c r="AS2720" i="37"/>
  <c r="AS2721" i="37"/>
  <c r="AS2722" i="37"/>
  <c r="AS2723" i="37"/>
  <c r="AS2724" i="37"/>
  <c r="AS2725" i="37"/>
  <c r="AS2726" i="37"/>
  <c r="AS2727" i="37"/>
  <c r="AS2728" i="37"/>
  <c r="AS2729" i="37"/>
  <c r="AS2730" i="37"/>
  <c r="AS2731" i="37"/>
  <c r="AS2732" i="37"/>
  <c r="AS2733" i="37"/>
  <c r="AS2734" i="37"/>
  <c r="AS2735" i="37"/>
  <c r="AS2736" i="37"/>
  <c r="AS2737" i="37"/>
  <c r="AS2738" i="37"/>
  <c r="AS2739" i="37"/>
  <c r="AS2740" i="37"/>
  <c r="AS2741" i="37"/>
  <c r="AS2742" i="37"/>
  <c r="AS2743" i="37"/>
  <c r="AS2744" i="37"/>
  <c r="AS2745" i="37"/>
  <c r="AS2746" i="37"/>
  <c r="AS2747" i="37"/>
  <c r="AS2748" i="37"/>
  <c r="AS2749" i="37"/>
  <c r="AS2750" i="37"/>
  <c r="AS2751" i="37"/>
  <c r="AS2752" i="37"/>
  <c r="AS2753" i="37"/>
  <c r="AS2754" i="37"/>
  <c r="AS2755" i="37"/>
  <c r="AS2756" i="37"/>
  <c r="AS2757" i="37"/>
  <c r="AS2758" i="37"/>
  <c r="AS2759" i="37"/>
  <c r="AS2760" i="37"/>
  <c r="AS2761" i="37"/>
  <c r="AS2762" i="37"/>
  <c r="AS2763" i="37"/>
  <c r="AS2764" i="37"/>
  <c r="AS2765" i="37"/>
  <c r="AS2766" i="37"/>
  <c r="AS2767" i="37"/>
  <c r="AS2768" i="37"/>
  <c r="AS2769" i="37"/>
  <c r="AS2770" i="37"/>
  <c r="AS2771" i="37"/>
  <c r="AS2772" i="37"/>
  <c r="AS2773" i="37"/>
  <c r="AS2774" i="37"/>
  <c r="AS2775" i="37"/>
  <c r="AS2776" i="37"/>
  <c r="AS2777" i="37"/>
  <c r="AS2778" i="37"/>
  <c r="AS2779" i="37"/>
  <c r="AS2780" i="37"/>
  <c r="AS2781" i="37"/>
  <c r="AS2782" i="37"/>
  <c r="AS2783" i="37"/>
  <c r="AS2784" i="37"/>
  <c r="AS2785" i="37"/>
  <c r="AS2786" i="37"/>
  <c r="AS2787" i="37"/>
  <c r="AS2788" i="37"/>
  <c r="AS2789" i="37"/>
  <c r="AS2790" i="37"/>
  <c r="AS2791" i="37"/>
  <c r="AS2792" i="37"/>
  <c r="AS2793" i="37"/>
  <c r="AS2794" i="37"/>
  <c r="AS2795" i="37"/>
  <c r="AS2796" i="37"/>
  <c r="AS2797" i="37"/>
  <c r="AS2798" i="37"/>
  <c r="AS2799" i="37"/>
  <c r="AS2800" i="37"/>
  <c r="AS2801" i="37"/>
  <c r="AS2802" i="37"/>
  <c r="AS2803" i="37"/>
  <c r="AS2804" i="37"/>
  <c r="AS2805" i="37"/>
  <c r="AS2806" i="37"/>
  <c r="AS2807" i="37"/>
  <c r="AS2808" i="37"/>
  <c r="AS2809" i="37"/>
  <c r="AS2810" i="37"/>
  <c r="AS2811" i="37"/>
  <c r="AS2812" i="37"/>
  <c r="AS2813" i="37"/>
  <c r="AS2814" i="37"/>
  <c r="AS2815" i="37"/>
  <c r="AS2816" i="37"/>
  <c r="AS2817" i="37"/>
  <c r="AS2818" i="37"/>
  <c r="AS2819" i="37"/>
  <c r="AS2820" i="37"/>
  <c r="AS2821" i="37"/>
  <c r="AS2822" i="37"/>
  <c r="AS2823" i="37"/>
  <c r="AS2824" i="37"/>
  <c r="AS2825" i="37"/>
  <c r="AS2826" i="37"/>
  <c r="AS2827" i="37"/>
  <c r="AS2828" i="37"/>
  <c r="AS2829" i="37"/>
  <c r="AS2830" i="37"/>
  <c r="AS2831" i="37"/>
  <c r="AS2832" i="37"/>
  <c r="AS2833" i="37"/>
  <c r="AS2834" i="37"/>
  <c r="AS2835" i="37"/>
  <c r="AS2836" i="37"/>
  <c r="AS2837" i="37"/>
  <c r="AS2838" i="37"/>
  <c r="AS2839" i="37"/>
  <c r="AS2840" i="37"/>
  <c r="AS2841" i="37"/>
  <c r="AS2842" i="37"/>
  <c r="AS2843" i="37"/>
  <c r="AS2844" i="37"/>
  <c r="AS2845" i="37"/>
  <c r="AS2846" i="37"/>
  <c r="AS2847" i="37"/>
  <c r="AS2848" i="37"/>
  <c r="AS2849" i="37"/>
  <c r="AS2850" i="37"/>
  <c r="AS2851" i="37"/>
  <c r="AS2852" i="37"/>
  <c r="AS2853" i="37"/>
  <c r="AS2854" i="37"/>
  <c r="AS2855" i="37"/>
  <c r="AS2856" i="37"/>
  <c r="AS2857" i="37"/>
  <c r="AS2858" i="37"/>
  <c r="AS2859" i="37"/>
  <c r="AS2860" i="37"/>
  <c r="AS2861" i="37"/>
  <c r="AS2862" i="37"/>
  <c r="AS2863" i="37"/>
  <c r="AS2864" i="37"/>
  <c r="AS2865" i="37"/>
  <c r="AS2866" i="37"/>
  <c r="AS2867" i="37"/>
  <c r="AS2868" i="37"/>
  <c r="AS2869" i="37"/>
  <c r="AS2870" i="37"/>
  <c r="AS2871" i="37"/>
  <c r="AS2872" i="37"/>
  <c r="AS2873" i="37"/>
  <c r="AS2874" i="37"/>
  <c r="AS2875" i="37"/>
  <c r="AS2876" i="37"/>
  <c r="AS2877" i="37"/>
  <c r="AS2878" i="37"/>
  <c r="AS2879" i="37"/>
  <c r="AS2880" i="37"/>
  <c r="AS2881" i="37"/>
  <c r="AS2882" i="37"/>
  <c r="AS2883" i="37"/>
  <c r="AS2884" i="37"/>
  <c r="AS2885" i="37"/>
  <c r="AS2886" i="37"/>
  <c r="AS2887" i="37"/>
  <c r="AS2888" i="37"/>
  <c r="AS2889" i="37"/>
  <c r="AS2890" i="37"/>
  <c r="AS2891" i="37"/>
  <c r="AS2892" i="37"/>
  <c r="AS2893" i="37"/>
  <c r="AS2894" i="37"/>
  <c r="AS2895" i="37"/>
  <c r="AS2896" i="37"/>
  <c r="AS2897" i="37"/>
  <c r="AS2898" i="37"/>
  <c r="AS2899" i="37"/>
  <c r="AS2900" i="37"/>
  <c r="AS2901" i="37"/>
  <c r="AS2902" i="37"/>
  <c r="AS2903" i="37"/>
  <c r="AS2904" i="37"/>
  <c r="AS2905" i="37"/>
  <c r="AS2906" i="37"/>
  <c r="AS2907" i="37"/>
  <c r="AS2908" i="37"/>
  <c r="AS2909" i="37"/>
  <c r="AS2910" i="37"/>
  <c r="AS2911" i="37"/>
  <c r="AS2912" i="37"/>
  <c r="AS2913" i="37"/>
  <c r="AS2914" i="37"/>
  <c r="AS2915" i="37"/>
  <c r="AS2916" i="37"/>
  <c r="AS2917" i="37"/>
  <c r="AS2918" i="37"/>
  <c r="AS2919" i="37"/>
  <c r="AS2920" i="37"/>
  <c r="AS2921" i="37"/>
  <c r="AS2922" i="37"/>
  <c r="AS2923" i="37"/>
  <c r="AS2924" i="37"/>
  <c r="AS2925" i="37"/>
  <c r="AS2926" i="37"/>
  <c r="AS2927" i="37"/>
  <c r="AS2928" i="37"/>
  <c r="AS2929" i="37"/>
  <c r="AS2930" i="37"/>
  <c r="AS2931" i="37"/>
  <c r="AS2932" i="37"/>
  <c r="AS2933" i="37"/>
  <c r="AS2934" i="37"/>
  <c r="AS2935" i="37"/>
  <c r="AS2936" i="37"/>
  <c r="AS2937" i="37"/>
  <c r="AS2938" i="37"/>
  <c r="AS2939" i="37"/>
  <c r="AS2940" i="37"/>
  <c r="AS2941" i="37"/>
  <c r="AS2942" i="37"/>
  <c r="AS2943" i="37"/>
  <c r="AS2944" i="37"/>
  <c r="AS2945" i="37"/>
  <c r="AS2946" i="37"/>
  <c r="AS2947" i="37"/>
  <c r="AS2948" i="37"/>
  <c r="AS2949" i="37"/>
  <c r="AS2950" i="37"/>
  <c r="AS2951" i="37"/>
  <c r="AS2952" i="37"/>
  <c r="AS2953" i="37"/>
  <c r="AS2954" i="37"/>
  <c r="AS2955" i="37"/>
  <c r="AS2956" i="37"/>
  <c r="AS2957" i="37"/>
  <c r="AS2958" i="37"/>
  <c r="AS2959" i="37"/>
  <c r="AS2960" i="37"/>
  <c r="AS2961" i="37"/>
  <c r="AS2962" i="37"/>
  <c r="AS2963" i="37"/>
  <c r="AS2964" i="37"/>
  <c r="AS2965" i="37"/>
  <c r="AS2966" i="37"/>
  <c r="AS2967" i="37"/>
  <c r="AS2968" i="37"/>
  <c r="AS2969" i="37"/>
  <c r="AS2970" i="37"/>
  <c r="AS2971" i="37"/>
  <c r="AS2972" i="37"/>
  <c r="AS2973" i="37"/>
  <c r="AS2974" i="37"/>
  <c r="AS2975" i="37"/>
  <c r="AS2976" i="37"/>
  <c r="AS2977" i="37"/>
  <c r="AS2978" i="37"/>
  <c r="AS2979" i="37"/>
  <c r="AS2980" i="37"/>
  <c r="AS2981" i="37"/>
  <c r="AS2982" i="37"/>
  <c r="AS2983" i="37"/>
  <c r="AS2984" i="37"/>
  <c r="AS2985" i="37"/>
  <c r="AS2986" i="37"/>
  <c r="AS2987" i="37"/>
  <c r="AS2988" i="37"/>
  <c r="AS2989" i="37"/>
  <c r="AS2990" i="37"/>
  <c r="AS2991" i="37"/>
  <c r="AS2992" i="37"/>
  <c r="AS2993" i="37"/>
  <c r="AS2994" i="37"/>
  <c r="AS2995" i="37"/>
  <c r="AS2996" i="37"/>
  <c r="AS2997" i="37"/>
  <c r="AS2998" i="37"/>
  <c r="AS2999" i="37"/>
  <c r="AS3000" i="37"/>
  <c r="AS3001" i="37"/>
  <c r="AS3002" i="37"/>
  <c r="AS3003" i="37"/>
  <c r="AS3004" i="37"/>
  <c r="AS3005" i="37"/>
  <c r="AS3006" i="37"/>
  <c r="AS3007" i="37"/>
  <c r="AS3008" i="37"/>
  <c r="AS3009" i="37"/>
  <c r="AS3010" i="37"/>
  <c r="AS3011" i="37"/>
  <c r="AS3012" i="37"/>
  <c r="AS3013" i="37"/>
  <c r="AS3014" i="37"/>
  <c r="AS3015" i="37"/>
  <c r="AS3016" i="37"/>
  <c r="AS3017" i="37"/>
  <c r="AS3018" i="37"/>
  <c r="AS3019" i="37"/>
  <c r="AS3020" i="37"/>
  <c r="AS3021" i="37"/>
  <c r="AS3022" i="37"/>
  <c r="AS3023" i="37"/>
  <c r="AS3024" i="37"/>
  <c r="AS3025" i="37"/>
  <c r="AS3026" i="37"/>
  <c r="AS3027" i="37"/>
  <c r="AS3028" i="37"/>
  <c r="AS3029" i="37"/>
  <c r="AS3030" i="37"/>
  <c r="AS3031" i="37"/>
  <c r="AS3032" i="37"/>
  <c r="AS3033" i="37"/>
  <c r="AS3034" i="37"/>
  <c r="AS3035" i="37"/>
  <c r="AS3036" i="37"/>
  <c r="AS3037" i="37"/>
  <c r="AS3038" i="37"/>
  <c r="AS3039" i="37"/>
  <c r="AS3040" i="37"/>
  <c r="AS3041" i="37"/>
  <c r="AS3042" i="37"/>
  <c r="AS3043" i="37"/>
  <c r="AS3044" i="37"/>
  <c r="AS3045" i="37"/>
  <c r="AS3046" i="37"/>
  <c r="AS3047" i="37"/>
  <c r="AS3048" i="37"/>
  <c r="AS3049" i="37"/>
  <c r="AS3050" i="37"/>
  <c r="AS3051" i="37"/>
  <c r="AS3052" i="37"/>
  <c r="AS3053" i="37"/>
  <c r="AS3054" i="37"/>
  <c r="AS3055" i="37"/>
  <c r="AS3056" i="37"/>
  <c r="AS3057" i="37"/>
  <c r="AS3058" i="37"/>
  <c r="AS3059" i="37"/>
  <c r="AS3060" i="37"/>
  <c r="AS3061" i="37"/>
  <c r="AS3062" i="37"/>
  <c r="AS3063" i="37"/>
  <c r="AS3064" i="37"/>
  <c r="AS3065" i="37"/>
  <c r="AS3066" i="37"/>
  <c r="AS3067" i="37"/>
  <c r="AS3068" i="37"/>
  <c r="AS3069" i="37"/>
  <c r="AS3070" i="37"/>
  <c r="AS3071" i="37"/>
  <c r="AS3072" i="37"/>
  <c r="AS3073" i="37"/>
  <c r="AS3074" i="37"/>
  <c r="AS3075" i="37"/>
  <c r="AS3076" i="37"/>
  <c r="AS3077" i="37"/>
  <c r="AS3078" i="37"/>
  <c r="AS3079" i="37"/>
  <c r="AS3080" i="37"/>
  <c r="AS3081" i="37"/>
  <c r="AS3082" i="37"/>
  <c r="AS3083" i="37"/>
  <c r="AS3084" i="37"/>
  <c r="AS3085" i="37"/>
  <c r="AS3086" i="37"/>
  <c r="AS3087" i="37"/>
  <c r="AS3088" i="37"/>
  <c r="AS3089" i="37"/>
  <c r="AS3090" i="37"/>
  <c r="AS3091" i="37"/>
  <c r="AS3092" i="37"/>
  <c r="AS3093" i="37"/>
  <c r="AS3094" i="37"/>
  <c r="AS3095" i="37"/>
  <c r="AS3096" i="37"/>
  <c r="AS3097" i="37"/>
  <c r="AS3098" i="37"/>
  <c r="AS3099" i="37"/>
  <c r="AS3100" i="37"/>
  <c r="AS3101" i="37"/>
  <c r="AS3102" i="37"/>
  <c r="AS3103" i="37"/>
  <c r="AS3104" i="37"/>
  <c r="AS3105" i="37"/>
  <c r="AS3106" i="37"/>
  <c r="AS3107" i="37"/>
  <c r="AS3108" i="37"/>
  <c r="AS3109" i="37"/>
  <c r="AS3110" i="37"/>
  <c r="AS3111" i="37"/>
  <c r="AS3112" i="37"/>
  <c r="AS3113" i="37"/>
  <c r="AS3114" i="37"/>
  <c r="AS3115" i="37"/>
  <c r="AS3116" i="37"/>
  <c r="AS3117" i="37"/>
  <c r="AS3118" i="37"/>
  <c r="AS3119" i="37"/>
  <c r="AS3120" i="37"/>
  <c r="AS3121" i="37"/>
  <c r="AS3122" i="37"/>
  <c r="AS3123" i="37"/>
  <c r="AS3124" i="37"/>
  <c r="AS3125" i="37"/>
  <c r="AS3126" i="37"/>
  <c r="AS3127" i="37"/>
  <c r="AS3128" i="37"/>
  <c r="AS3129" i="37"/>
  <c r="AS3130" i="37"/>
  <c r="AS3131" i="37"/>
  <c r="AS3132" i="37"/>
  <c r="AS3133" i="37"/>
  <c r="AS3134" i="37"/>
  <c r="AS3135" i="37"/>
  <c r="AS3136" i="37"/>
  <c r="AS3137" i="37"/>
  <c r="AS3138" i="37"/>
  <c r="AS3139" i="37"/>
  <c r="AS3140" i="37"/>
  <c r="AS3141" i="37"/>
  <c r="AS3142" i="37"/>
  <c r="AS3143" i="37"/>
  <c r="AS3144" i="37"/>
  <c r="AS3145" i="37"/>
  <c r="AS3146" i="37"/>
  <c r="AS3147" i="37"/>
  <c r="AS3148" i="37"/>
  <c r="AS3149" i="37"/>
  <c r="AS3150" i="37"/>
  <c r="AS3151" i="37"/>
  <c r="AS3152" i="37"/>
  <c r="AS3153" i="37"/>
  <c r="AS3154" i="37"/>
  <c r="AS3155" i="37"/>
  <c r="AS3156" i="37"/>
  <c r="AS3157" i="37"/>
  <c r="AS3158" i="37"/>
  <c r="AS3159" i="37"/>
  <c r="AS3160" i="37"/>
  <c r="AS3161" i="37"/>
  <c r="AS3162" i="37"/>
  <c r="AS3163" i="37"/>
  <c r="AS3164" i="37"/>
  <c r="AS3165" i="37"/>
  <c r="AS3166" i="37"/>
  <c r="AS3167" i="37"/>
  <c r="AS3168" i="37"/>
  <c r="AS3169" i="37"/>
  <c r="AS3170" i="37"/>
  <c r="AS3171" i="37"/>
  <c r="AS3172" i="37"/>
  <c r="AS3173" i="37"/>
  <c r="AS3174" i="37"/>
  <c r="AS3175" i="37"/>
  <c r="AS3176" i="37"/>
  <c r="AS3177" i="37"/>
  <c r="AS3178" i="37"/>
  <c r="AS3179" i="37"/>
  <c r="AS3180" i="37"/>
  <c r="AS3181" i="37"/>
  <c r="AS3182" i="37"/>
  <c r="AS3183" i="37"/>
  <c r="AS3184" i="37"/>
  <c r="AS3185" i="37"/>
  <c r="AS3186" i="37"/>
  <c r="AS3187" i="37"/>
  <c r="AS3188" i="37"/>
  <c r="AS3189" i="37"/>
  <c r="AS3190" i="37"/>
  <c r="AS3191" i="37"/>
  <c r="AS3192" i="37"/>
  <c r="AS3193" i="37"/>
  <c r="AS3194" i="37"/>
  <c r="AS3195" i="37"/>
  <c r="AS3196" i="37"/>
  <c r="AS3197" i="37"/>
  <c r="AS3198" i="37"/>
  <c r="AS3199" i="37"/>
  <c r="AS3200" i="37"/>
  <c r="AS3201" i="37"/>
  <c r="AS3202" i="37"/>
  <c r="AS3203" i="37"/>
  <c r="AS3204" i="37"/>
  <c r="AS3205" i="37"/>
  <c r="AS3206" i="37"/>
  <c r="AS3207" i="37"/>
  <c r="AS3208" i="37"/>
  <c r="AS3209" i="37"/>
  <c r="AS3210" i="37"/>
  <c r="AS3211" i="37"/>
  <c r="AS3212" i="37"/>
  <c r="AS3213" i="37"/>
  <c r="AS3214" i="37"/>
  <c r="AS3215" i="37"/>
  <c r="AS3216" i="37"/>
  <c r="AS3217" i="37"/>
  <c r="AS3218" i="37"/>
  <c r="AS3219" i="37"/>
  <c r="AS3220" i="37"/>
  <c r="AS3221" i="37"/>
  <c r="AS3222" i="37"/>
  <c r="AS3223" i="37"/>
  <c r="AS3224" i="37"/>
  <c r="AS3225" i="37"/>
  <c r="AS3226" i="37"/>
  <c r="AS3227" i="37"/>
  <c r="AS3228" i="37"/>
  <c r="AS3229" i="37"/>
  <c r="AS3230" i="37"/>
  <c r="AS3231" i="37"/>
  <c r="AS3232" i="37"/>
  <c r="AS3233" i="37"/>
  <c r="AS3234" i="37"/>
  <c r="AS3235" i="37"/>
  <c r="AS3236" i="37"/>
  <c r="AS3237" i="37"/>
  <c r="AS3238" i="37"/>
  <c r="AS3239" i="37"/>
  <c r="AS3240" i="37"/>
  <c r="AS3241" i="37"/>
  <c r="AS3242" i="37"/>
  <c r="AS3243" i="37"/>
  <c r="AS3244" i="37"/>
  <c r="AS3245" i="37"/>
  <c r="AS3246" i="37"/>
  <c r="AS3247" i="37"/>
  <c r="AS3248" i="37"/>
  <c r="AS3249" i="37"/>
  <c r="AS3250" i="37"/>
  <c r="AS3251" i="37"/>
  <c r="AS3252" i="37"/>
  <c r="AS3253" i="37"/>
  <c r="AS3254" i="37"/>
  <c r="AS3255" i="37"/>
  <c r="AS3256" i="37"/>
  <c r="AS3257" i="37"/>
  <c r="AS3258" i="37"/>
  <c r="AS3259" i="37"/>
  <c r="AS3260" i="37"/>
  <c r="AS3261" i="37"/>
  <c r="AS3262" i="37"/>
  <c r="AS3263" i="37"/>
  <c r="AS3264" i="37"/>
  <c r="AS3265" i="37"/>
  <c r="AS3266" i="37"/>
  <c r="AS3267" i="37"/>
  <c r="AS3268" i="37"/>
  <c r="AS3269" i="37"/>
  <c r="AS3270" i="37"/>
  <c r="AS3271" i="37"/>
  <c r="AS3272" i="37"/>
  <c r="AS3273" i="37"/>
  <c r="AS3274" i="37"/>
  <c r="AS3275" i="37"/>
  <c r="AS3276" i="37"/>
  <c r="AS3277" i="37"/>
  <c r="AS3278" i="37"/>
  <c r="AS3279" i="37"/>
  <c r="AS3280" i="37"/>
  <c r="AS3281" i="37"/>
  <c r="AS3282" i="37"/>
  <c r="AS3283" i="37"/>
  <c r="AS3284" i="37"/>
  <c r="AS3285" i="37"/>
  <c r="AS3286" i="37"/>
  <c r="AS3287" i="37"/>
  <c r="AS3288" i="37"/>
  <c r="AS3289" i="37"/>
  <c r="AS3290" i="37"/>
  <c r="AS3291" i="37"/>
  <c r="AS3292" i="37"/>
  <c r="AS3293" i="37"/>
  <c r="AS3294" i="37"/>
  <c r="AS3295" i="37"/>
  <c r="AS3296" i="37"/>
  <c r="AS3297" i="37"/>
  <c r="AS3298" i="37"/>
  <c r="AS3299" i="37"/>
  <c r="AS3300" i="37"/>
  <c r="AS3301" i="37"/>
  <c r="AS3302" i="37"/>
  <c r="AS3303" i="37"/>
  <c r="AS3304" i="37"/>
  <c r="AS3305" i="37"/>
  <c r="AS3306" i="37"/>
  <c r="AS3307" i="37"/>
  <c r="AS3308" i="37"/>
  <c r="AS3309" i="37"/>
  <c r="AS3310" i="37"/>
  <c r="AS3311" i="37"/>
  <c r="AS3312" i="37"/>
  <c r="AS3313" i="37"/>
  <c r="AS3314" i="37"/>
  <c r="AS3315" i="37"/>
  <c r="AS3316" i="37"/>
  <c r="AS3317" i="37"/>
  <c r="AS3318" i="37"/>
  <c r="AS3319" i="37"/>
  <c r="AS3320" i="37"/>
  <c r="AS3321" i="37"/>
  <c r="AS3322" i="37"/>
  <c r="AS3323" i="37"/>
  <c r="AS3324" i="37"/>
  <c r="AS3325" i="37"/>
  <c r="AS3326" i="37"/>
  <c r="AS3327" i="37"/>
  <c r="AS3328" i="37"/>
  <c r="AS3329" i="37"/>
  <c r="AS3330" i="37"/>
  <c r="AS3331" i="37"/>
  <c r="AS3332" i="37"/>
  <c r="AS3333" i="37"/>
  <c r="AS3334" i="37"/>
  <c r="AS3335" i="37"/>
  <c r="AS3336" i="37"/>
  <c r="AS3337" i="37"/>
  <c r="AS3338" i="37"/>
  <c r="AS3339" i="37"/>
  <c r="AS3340" i="37"/>
  <c r="AS3341" i="37"/>
  <c r="AS3342" i="37"/>
  <c r="AS3343" i="37"/>
  <c r="AS3344" i="37"/>
  <c r="AS3345" i="37"/>
  <c r="AS3346" i="37"/>
  <c r="AS3347" i="37"/>
  <c r="AS3348" i="37"/>
  <c r="AS3349" i="37"/>
  <c r="AS3350" i="37"/>
  <c r="AS3351" i="37"/>
  <c r="AS3352" i="37"/>
  <c r="AS3353" i="37"/>
  <c r="AS3354" i="37"/>
  <c r="AS3355" i="37"/>
  <c r="AS3356" i="37"/>
  <c r="AS3357" i="37"/>
  <c r="AS3358" i="37"/>
  <c r="AS3359" i="37"/>
  <c r="AS3360" i="37"/>
  <c r="AS3361" i="37"/>
  <c r="AS3362" i="37"/>
  <c r="AS3363" i="37"/>
  <c r="AS3364" i="37"/>
  <c r="AS3365" i="37"/>
  <c r="AS3366" i="37"/>
  <c r="AS3367" i="37"/>
  <c r="AS3368" i="37"/>
  <c r="AS3369" i="37"/>
  <c r="AS3370" i="37"/>
  <c r="AS3371" i="37"/>
  <c r="AS3372" i="37"/>
  <c r="AS3373" i="37"/>
  <c r="AS3374" i="37"/>
  <c r="AS3375" i="37"/>
  <c r="AS3376" i="37"/>
  <c r="AS3377" i="37"/>
  <c r="AS3378" i="37"/>
  <c r="AS3379" i="37"/>
  <c r="AS3380" i="37"/>
  <c r="AS3381" i="37"/>
  <c r="AS3382" i="37"/>
  <c r="AS3383" i="37"/>
  <c r="AS3384" i="37"/>
  <c r="AS3385" i="37"/>
  <c r="AS3386" i="37"/>
  <c r="AS3387" i="37"/>
  <c r="AS3388" i="37"/>
  <c r="AS3389" i="37"/>
  <c r="AS3390" i="37"/>
  <c r="AS3391" i="37"/>
  <c r="AS3392" i="37"/>
  <c r="AS3393" i="37"/>
  <c r="AS3394" i="37"/>
  <c r="AS3395" i="37"/>
  <c r="AS3396" i="37"/>
  <c r="AS3397" i="37"/>
  <c r="AS3398" i="37"/>
  <c r="AS3399" i="37"/>
  <c r="AS3400" i="37"/>
  <c r="AS3401" i="37"/>
  <c r="AS3402" i="37"/>
  <c r="AS3403" i="37"/>
  <c r="AS3404" i="37"/>
  <c r="AS3405" i="37"/>
  <c r="AS3406" i="37"/>
  <c r="AS3407" i="37"/>
  <c r="AS3408" i="37"/>
  <c r="AS3409" i="37"/>
  <c r="AS3410" i="37"/>
  <c r="AS3411" i="37"/>
  <c r="AS3412" i="37"/>
  <c r="AS3413" i="37"/>
  <c r="AS3414" i="37"/>
  <c r="AS3415" i="37"/>
  <c r="AS3416" i="37"/>
  <c r="AS3417" i="37"/>
  <c r="AS3418" i="37"/>
  <c r="AS3419" i="37"/>
  <c r="AS3420" i="37"/>
  <c r="AS3421" i="37"/>
  <c r="AS3422" i="37"/>
  <c r="AS3423" i="37"/>
  <c r="AS3424" i="37"/>
  <c r="AS3425" i="37"/>
  <c r="AS3426" i="37"/>
  <c r="AS3427" i="37"/>
  <c r="AS3428" i="37"/>
  <c r="AS3429" i="37"/>
  <c r="AS3430" i="37"/>
  <c r="AS3431" i="37"/>
  <c r="AS3432" i="37"/>
  <c r="AS3433" i="37"/>
  <c r="AS3434" i="37"/>
  <c r="AS3435" i="37"/>
  <c r="AS3436" i="37"/>
  <c r="AS3437" i="37"/>
  <c r="AS3438" i="37"/>
  <c r="AS3439" i="37"/>
  <c r="AS3440" i="37"/>
  <c r="AS3441" i="37"/>
  <c r="AS3442" i="37"/>
  <c r="AS3443" i="37"/>
  <c r="AS3444" i="37"/>
  <c r="AS3445" i="37"/>
  <c r="AS3446" i="37"/>
  <c r="AS3447" i="37"/>
  <c r="AS3448" i="37"/>
  <c r="AS3449" i="37"/>
  <c r="AS3450" i="37"/>
  <c r="AS3451" i="37"/>
  <c r="AS3452" i="37"/>
  <c r="AS3453" i="37"/>
  <c r="AS3454" i="37"/>
  <c r="AS3455" i="37"/>
  <c r="AS3456" i="37"/>
  <c r="AS3457" i="37"/>
  <c r="AS3458" i="37"/>
  <c r="AS3459" i="37"/>
  <c r="AS3460" i="37"/>
  <c r="AS3461" i="37"/>
  <c r="AS3462" i="37"/>
  <c r="AS3463" i="37"/>
  <c r="AS3464" i="37"/>
  <c r="AS3465" i="37"/>
  <c r="AS3466" i="37"/>
  <c r="AS3467" i="37"/>
  <c r="AS3468" i="37"/>
  <c r="AS3469" i="37"/>
  <c r="AS3470" i="37"/>
  <c r="AS3471" i="37"/>
  <c r="AS3472" i="37"/>
  <c r="AS3473" i="37"/>
  <c r="AS3474" i="37"/>
  <c r="AS3475" i="37"/>
  <c r="AS3476" i="37"/>
  <c r="AS3477" i="37"/>
  <c r="AS3478" i="37"/>
  <c r="AS3479" i="37"/>
  <c r="AS3480" i="37"/>
  <c r="AS3481" i="37"/>
  <c r="AS3482" i="37"/>
  <c r="AS3483" i="37"/>
  <c r="AS3484" i="37"/>
  <c r="AS3485" i="37"/>
  <c r="AS3486" i="37"/>
  <c r="AS3487" i="37"/>
  <c r="AS3488" i="37"/>
  <c r="AS3489" i="37"/>
  <c r="AS3490" i="37"/>
  <c r="AS3491" i="37"/>
  <c r="AS3492" i="37"/>
  <c r="AS3493" i="37"/>
  <c r="AS3494" i="37"/>
  <c r="AS3495" i="37"/>
  <c r="AS3496" i="37"/>
  <c r="AS3497" i="37"/>
  <c r="AS3498" i="37"/>
  <c r="AS3499" i="37"/>
  <c r="AS3500" i="37"/>
  <c r="AS3501" i="37"/>
  <c r="AS3502" i="37"/>
  <c r="AS3503" i="37"/>
  <c r="AS3504" i="37"/>
  <c r="AS3505" i="37"/>
  <c r="AS3506" i="37"/>
  <c r="AS3507" i="37"/>
  <c r="AS3508" i="37"/>
  <c r="AS3509" i="37"/>
  <c r="AS3510" i="37"/>
  <c r="AS3511" i="37"/>
  <c r="AS3512" i="37"/>
  <c r="AS3513" i="37"/>
  <c r="AS3514" i="37"/>
  <c r="AS3515" i="37"/>
  <c r="AS3516" i="37"/>
  <c r="AS3517" i="37"/>
  <c r="AS3518" i="37"/>
  <c r="AS3519" i="37"/>
  <c r="AS3520" i="37"/>
  <c r="AS3521" i="37"/>
  <c r="AS3522" i="37"/>
  <c r="AS3523" i="37"/>
  <c r="AS3524" i="37"/>
  <c r="AS3525" i="37"/>
  <c r="AS3526" i="37"/>
  <c r="AS3527" i="37"/>
  <c r="AS3528" i="37"/>
  <c r="AS3529" i="37"/>
  <c r="AS3530" i="37"/>
  <c r="AS3531" i="37"/>
  <c r="AS3532" i="37"/>
  <c r="AS3533" i="37"/>
  <c r="AS3534" i="37"/>
  <c r="AS3535" i="37"/>
  <c r="AS3536" i="37"/>
  <c r="AS3537" i="37"/>
  <c r="AS3538" i="37"/>
  <c r="AS3539" i="37"/>
  <c r="AS3540" i="37"/>
  <c r="AS3541" i="37"/>
  <c r="AS3542" i="37"/>
  <c r="AS3543" i="37"/>
  <c r="AS3544" i="37"/>
  <c r="AS3545" i="37"/>
  <c r="AS3546" i="37"/>
  <c r="AS3547" i="37"/>
  <c r="AS3548" i="37"/>
  <c r="AS3549" i="37"/>
  <c r="AS3550" i="37"/>
  <c r="AS3551" i="37"/>
  <c r="AS3552" i="37"/>
  <c r="AS3553" i="37"/>
  <c r="AS3554" i="37"/>
  <c r="AS3555" i="37"/>
  <c r="AS3556" i="37"/>
  <c r="AS3557" i="37"/>
  <c r="AS3558" i="37"/>
  <c r="AS3559" i="37"/>
  <c r="AS3560" i="37"/>
  <c r="AS3561" i="37"/>
  <c r="AS3562" i="37"/>
  <c r="AS3563" i="37"/>
  <c r="AS3564" i="37"/>
  <c r="AS3565" i="37"/>
  <c r="AS3566" i="37"/>
  <c r="AS3567" i="37"/>
  <c r="AS3568" i="37"/>
  <c r="AS3569" i="37"/>
  <c r="AS3570" i="37"/>
  <c r="AS3571" i="37"/>
  <c r="AS3572" i="37"/>
  <c r="AS3573" i="37"/>
  <c r="AS3574" i="37"/>
  <c r="AS3575" i="37"/>
  <c r="AS3576" i="37"/>
  <c r="AS3577" i="37"/>
  <c r="AS3578" i="37"/>
  <c r="AS3579" i="37"/>
  <c r="AS3580" i="37"/>
  <c r="AS3581" i="37"/>
  <c r="AS3582" i="37"/>
  <c r="AS3583" i="37"/>
  <c r="AS3584" i="37"/>
  <c r="AS3585" i="37"/>
  <c r="AS3586" i="37"/>
  <c r="AS3587" i="37"/>
  <c r="AS3588" i="37"/>
  <c r="AS3589" i="37"/>
  <c r="AS3590" i="37"/>
  <c r="AS3591" i="37"/>
  <c r="AS3592" i="37"/>
  <c r="AS3593" i="37"/>
  <c r="AS3594" i="37"/>
  <c r="AS3595" i="37"/>
  <c r="AS3596" i="37"/>
  <c r="AS3597" i="37"/>
  <c r="AS3598" i="37"/>
  <c r="AS3599" i="37"/>
  <c r="AS3600" i="37"/>
  <c r="AS3601" i="37"/>
  <c r="AS3602" i="37"/>
  <c r="AS3603" i="37"/>
  <c r="AS3604" i="37"/>
  <c r="AS3605" i="37"/>
  <c r="AS3606" i="37"/>
  <c r="AS3607" i="37"/>
  <c r="AS3608" i="37"/>
  <c r="AS3609" i="37"/>
  <c r="AS3610" i="37"/>
  <c r="AS3611" i="37"/>
  <c r="AS3612" i="37"/>
  <c r="AS3613" i="37"/>
  <c r="AS3614" i="37"/>
  <c r="AS3615" i="37"/>
  <c r="AS3616" i="37"/>
  <c r="AS3617" i="37"/>
  <c r="AS3618" i="37"/>
  <c r="AS3619" i="37"/>
  <c r="AS3620" i="37"/>
  <c r="AS3621" i="37"/>
  <c r="AS3622" i="37"/>
  <c r="AS3623" i="37"/>
  <c r="AS3624" i="37"/>
  <c r="AS3625" i="37"/>
  <c r="AS3626" i="37"/>
  <c r="AS3627" i="37"/>
  <c r="AS3628" i="37"/>
  <c r="AS3629" i="37"/>
  <c r="AS3630" i="37"/>
  <c r="AS3631" i="37"/>
  <c r="AS3632" i="37"/>
  <c r="AS3633" i="37"/>
  <c r="AS3634" i="37"/>
  <c r="AS3635" i="37"/>
  <c r="AS3636" i="37"/>
  <c r="AS3637" i="37"/>
  <c r="AS3638" i="37"/>
  <c r="AS3639" i="37"/>
  <c r="AS3640" i="37"/>
  <c r="AS3641" i="37"/>
  <c r="AS3642" i="37"/>
  <c r="AS3643" i="37"/>
  <c r="AS3644" i="37"/>
  <c r="AS3645" i="37"/>
  <c r="AS3646" i="37"/>
  <c r="AS3647" i="37"/>
  <c r="AS3648" i="37"/>
  <c r="AS3649" i="37"/>
  <c r="AS3650" i="37"/>
  <c r="AS3651" i="37"/>
  <c r="AS3652" i="37"/>
  <c r="AS3653" i="37"/>
  <c r="AS3654" i="37"/>
  <c r="AS3655" i="37"/>
  <c r="AS3656" i="37"/>
  <c r="AS3657" i="37"/>
  <c r="AS3658" i="37"/>
  <c r="AS3659" i="37"/>
  <c r="AS3660" i="37"/>
  <c r="AS3661" i="37"/>
  <c r="AS3662" i="37"/>
  <c r="AS3663" i="37"/>
  <c r="AS3664" i="37"/>
  <c r="AS3665" i="37"/>
  <c r="AS3666" i="37"/>
  <c r="AS3667" i="37"/>
  <c r="AS3668" i="37"/>
  <c r="AS3669" i="37"/>
  <c r="AS3670" i="37"/>
  <c r="AS3671" i="37"/>
  <c r="AS3672" i="37"/>
  <c r="AS3673" i="37"/>
  <c r="AS3674" i="37"/>
  <c r="AS3675" i="37"/>
  <c r="AS3676" i="37"/>
  <c r="AS3677" i="37"/>
  <c r="AS3678" i="37"/>
  <c r="AS3679" i="37"/>
  <c r="AS3680" i="37"/>
  <c r="AS3681" i="37"/>
  <c r="AS3682" i="37"/>
  <c r="AS3683" i="37"/>
  <c r="AS3684" i="37"/>
  <c r="AS3685" i="37"/>
  <c r="AS3686" i="37"/>
  <c r="AS3687" i="37"/>
  <c r="AS3688" i="37"/>
  <c r="AS3689" i="37"/>
  <c r="AS3690" i="37"/>
  <c r="AS3691" i="37"/>
  <c r="AS3692" i="37"/>
  <c r="AS3693" i="37"/>
  <c r="AS3694" i="37"/>
  <c r="AS3695" i="37"/>
  <c r="AS3696" i="37"/>
  <c r="AS3697" i="37"/>
  <c r="AS3698" i="37"/>
  <c r="AS3699" i="37"/>
  <c r="AS3700" i="37"/>
  <c r="AS3701" i="37"/>
  <c r="AS3702" i="37"/>
  <c r="AS3703" i="37"/>
  <c r="AS3704" i="37"/>
  <c r="AS3705" i="37"/>
  <c r="AS3706" i="37"/>
  <c r="AS3707" i="37"/>
  <c r="AS3708" i="37"/>
  <c r="AS3709" i="37"/>
  <c r="AS3710" i="37"/>
  <c r="AS3711" i="37"/>
  <c r="AS3712" i="37"/>
  <c r="AS3713" i="37"/>
  <c r="AS3714" i="37"/>
  <c r="AS3715" i="37"/>
  <c r="AS3716" i="37"/>
  <c r="AS3717" i="37"/>
  <c r="AS3718" i="37"/>
  <c r="AS3719" i="37"/>
  <c r="AS3720" i="37"/>
  <c r="AS3721" i="37"/>
  <c r="AS3722" i="37"/>
  <c r="AS3723" i="37"/>
  <c r="AS3724" i="37"/>
  <c r="AS3725" i="37"/>
  <c r="AS3726" i="37"/>
  <c r="AS3727" i="37"/>
  <c r="AS3728" i="37"/>
  <c r="AS3729" i="37"/>
  <c r="AS3730" i="37"/>
  <c r="AS3731" i="37"/>
  <c r="AS3732" i="37"/>
  <c r="AS3733" i="37"/>
  <c r="AS3734" i="37"/>
  <c r="AS3735" i="37"/>
  <c r="AS3736" i="37"/>
  <c r="AS3737" i="37"/>
  <c r="AS3738" i="37"/>
  <c r="AS3739" i="37"/>
  <c r="AS3740" i="37"/>
  <c r="AS3741" i="37"/>
  <c r="AS3742" i="37"/>
  <c r="AS3743" i="37"/>
  <c r="AS3744" i="37"/>
  <c r="AS3745" i="37"/>
  <c r="AS3746" i="37"/>
  <c r="AS3747" i="37"/>
  <c r="AS3748" i="37"/>
  <c r="AS3749" i="37"/>
  <c r="AS3750" i="37"/>
  <c r="AS3751" i="37"/>
  <c r="AS3752" i="37"/>
  <c r="AS3753" i="37"/>
  <c r="AS3754" i="37"/>
  <c r="AS3755" i="37"/>
  <c r="AS3756" i="37"/>
  <c r="AS3757" i="37"/>
  <c r="AS3758" i="37"/>
  <c r="AS3759" i="37"/>
  <c r="AS3760" i="37"/>
  <c r="AS3761" i="37"/>
  <c r="AS3762" i="37"/>
  <c r="AS3763" i="37"/>
  <c r="AS3764" i="37"/>
  <c r="AS3765" i="37"/>
  <c r="AS3766" i="37"/>
  <c r="AS3767" i="37"/>
  <c r="AS3768" i="37"/>
  <c r="AS3769" i="37"/>
  <c r="AS3770" i="37"/>
  <c r="AS3771" i="37"/>
  <c r="AS3772" i="37"/>
  <c r="AS3773" i="37"/>
  <c r="AS3774" i="37"/>
  <c r="AS3775" i="37"/>
  <c r="AS3776" i="37"/>
  <c r="AS3777" i="37"/>
  <c r="AS3778" i="37"/>
  <c r="AS3779" i="37"/>
  <c r="AS3780" i="37"/>
  <c r="AS3781" i="37"/>
  <c r="AS3782" i="37"/>
  <c r="AS3783" i="37"/>
  <c r="AS3784" i="37"/>
  <c r="AS3785" i="37"/>
  <c r="AS3786" i="37"/>
  <c r="AS3787" i="37"/>
  <c r="AS3788" i="37"/>
  <c r="AS3789" i="37"/>
  <c r="AS3790" i="37"/>
  <c r="AS3791" i="37"/>
  <c r="AS3792" i="37"/>
  <c r="AS3793" i="37"/>
  <c r="AS3794" i="37"/>
  <c r="AS3795" i="37"/>
  <c r="AS3796" i="37"/>
  <c r="AS3797" i="37"/>
  <c r="AS3798" i="37"/>
  <c r="AS3799" i="37"/>
  <c r="AS3800" i="37"/>
  <c r="AS3801" i="37"/>
  <c r="AS3802" i="37"/>
  <c r="AS3803" i="37"/>
  <c r="AS3804" i="37"/>
  <c r="AS3805" i="37"/>
  <c r="AS3806" i="37"/>
  <c r="AS3807" i="37"/>
  <c r="AS3808" i="37"/>
  <c r="AS3809" i="37"/>
  <c r="AS3810" i="37"/>
  <c r="AS3811" i="37"/>
  <c r="AS3812" i="37"/>
  <c r="AS3813" i="37"/>
  <c r="AS3814" i="37"/>
  <c r="AS3815" i="37"/>
  <c r="AS3816" i="37"/>
  <c r="AS3817" i="37"/>
  <c r="AS3818" i="37"/>
  <c r="AS3819" i="37"/>
  <c r="AS3820" i="37"/>
  <c r="AS3821" i="37"/>
  <c r="AS3822" i="37"/>
  <c r="AS3823" i="37"/>
  <c r="AS3824" i="37"/>
  <c r="AS3825" i="37"/>
  <c r="AS3826" i="37"/>
  <c r="AS3827" i="37"/>
  <c r="AS3828" i="37"/>
  <c r="AS3829" i="37"/>
  <c r="AS3830" i="37"/>
  <c r="AS3831" i="37"/>
  <c r="AS3832" i="37"/>
  <c r="AS3833" i="37"/>
  <c r="AS3834" i="37"/>
  <c r="AS3835" i="37"/>
  <c r="AS3836" i="37"/>
  <c r="AS3837" i="37"/>
  <c r="AS3838" i="37"/>
  <c r="AS3839" i="37"/>
  <c r="AS3840" i="37"/>
  <c r="AS3841" i="37"/>
  <c r="AS3842" i="37"/>
  <c r="AS3843" i="37"/>
  <c r="AS3844" i="37"/>
  <c r="AS3845" i="37"/>
  <c r="AS3846" i="37"/>
  <c r="AS3847" i="37"/>
  <c r="AS3848" i="37"/>
  <c r="AS3849" i="37"/>
  <c r="AS3850" i="37"/>
  <c r="AS3851" i="37"/>
  <c r="AS3852" i="37"/>
  <c r="AS3853" i="37"/>
  <c r="AS3854" i="37"/>
  <c r="AS3855" i="37"/>
  <c r="AS3856" i="37"/>
  <c r="AS3857" i="37"/>
  <c r="AS3858" i="37"/>
  <c r="AS3859" i="37"/>
  <c r="AS3860" i="37"/>
  <c r="AS3861" i="37"/>
  <c r="AS3862" i="37"/>
  <c r="AS3863" i="37"/>
  <c r="AS3864" i="37"/>
  <c r="AS3865" i="37"/>
  <c r="AS3866" i="37"/>
  <c r="AS3867" i="37"/>
  <c r="AS3868" i="37"/>
  <c r="AS3869" i="37"/>
  <c r="AS3870" i="37"/>
  <c r="AS3871" i="37"/>
  <c r="AS3872" i="37"/>
  <c r="AS3873" i="37"/>
  <c r="AS3874" i="37"/>
  <c r="AS3875" i="37"/>
  <c r="AS3876" i="37"/>
  <c r="AS3877" i="37"/>
  <c r="AS3878" i="37"/>
  <c r="AS3879" i="37"/>
  <c r="AS3880" i="37"/>
  <c r="AS3881" i="37"/>
  <c r="AS3882" i="37"/>
  <c r="AS3883" i="37"/>
  <c r="AS3884" i="37"/>
  <c r="AS3885" i="37"/>
  <c r="AS3886" i="37"/>
  <c r="AS3887" i="37"/>
  <c r="AS3888" i="37"/>
  <c r="AS3889" i="37"/>
  <c r="AS3890" i="37"/>
  <c r="AS3891" i="37"/>
  <c r="AS3892" i="37"/>
  <c r="AS3893" i="37"/>
  <c r="AS3894" i="37"/>
  <c r="AS3895" i="37"/>
  <c r="AS3896" i="37"/>
  <c r="AS3897" i="37"/>
  <c r="AS3898" i="37"/>
  <c r="AS3899" i="37"/>
  <c r="AS3900" i="37"/>
  <c r="AS3901" i="37"/>
  <c r="AS3902" i="37"/>
  <c r="AS3903" i="37"/>
  <c r="AS3904" i="37"/>
  <c r="AS3905" i="37"/>
  <c r="AS3906" i="37"/>
  <c r="AS3907" i="37"/>
  <c r="AS3908" i="37"/>
  <c r="AS3909" i="37"/>
  <c r="AS3910" i="37"/>
  <c r="AS3911" i="37"/>
  <c r="AS3912" i="37"/>
  <c r="AS3913" i="37"/>
  <c r="AS3914" i="37"/>
  <c r="AS3915" i="37"/>
  <c r="AS3916" i="37"/>
  <c r="AS3917" i="37"/>
  <c r="AS3918" i="37"/>
  <c r="AS3919" i="37"/>
  <c r="AS3920" i="37"/>
  <c r="AS3921" i="37"/>
  <c r="AS3922" i="37"/>
  <c r="AS3923" i="37"/>
  <c r="AS3924" i="37"/>
  <c r="AS3925" i="37"/>
  <c r="AS3926" i="37"/>
  <c r="AS3927" i="37"/>
  <c r="AS3928" i="37"/>
  <c r="AS3929" i="37"/>
  <c r="AS3930" i="37"/>
  <c r="AS3931" i="37"/>
  <c r="AS3932" i="37"/>
  <c r="AS3933" i="37"/>
  <c r="AS3934" i="37"/>
  <c r="AS3935" i="37"/>
  <c r="AS3936" i="37"/>
  <c r="AS3937" i="37"/>
  <c r="AS3938" i="37"/>
  <c r="AS3939" i="37"/>
  <c r="AS3940" i="37"/>
  <c r="AS3941" i="37"/>
  <c r="AS3942" i="37"/>
  <c r="AS3943" i="37"/>
  <c r="AS3944" i="37"/>
  <c r="AS3945" i="37"/>
  <c r="AS3946" i="37"/>
  <c r="AS3947" i="37"/>
  <c r="AS3948" i="37"/>
  <c r="AS3949" i="37"/>
  <c r="AS3950" i="37"/>
  <c r="AS3951" i="37"/>
  <c r="AS3952" i="37"/>
  <c r="AS3953" i="37"/>
  <c r="AS3954" i="37"/>
  <c r="AS3955" i="37"/>
  <c r="AS3956" i="37"/>
  <c r="AS3957" i="37"/>
  <c r="AS3958" i="37"/>
  <c r="AS3959" i="37"/>
  <c r="AS3960" i="37"/>
  <c r="AS3961" i="37"/>
  <c r="AS3962" i="37"/>
  <c r="AS3963" i="37"/>
  <c r="AS3964" i="37"/>
  <c r="AS3965" i="37"/>
  <c r="AS3966" i="37"/>
  <c r="AS3967" i="37"/>
  <c r="AS3968" i="37"/>
  <c r="AS3969" i="37"/>
  <c r="AS3970" i="37"/>
  <c r="AS3971" i="37"/>
  <c r="AS3972" i="37"/>
  <c r="AS3973" i="37"/>
  <c r="AS3974" i="37"/>
  <c r="AS3975" i="37"/>
  <c r="AS3976" i="37"/>
  <c r="AS3977" i="37"/>
  <c r="AS3978" i="37"/>
  <c r="AS3979" i="37"/>
  <c r="AS3980" i="37"/>
  <c r="AS3981" i="37"/>
  <c r="AS3982" i="37"/>
  <c r="AS3983" i="37"/>
  <c r="AS3984" i="37"/>
  <c r="AS3985" i="37"/>
  <c r="AS3986" i="37"/>
  <c r="AS3987" i="37"/>
  <c r="AS3988" i="37"/>
  <c r="AS3989" i="37"/>
  <c r="AS3990" i="37"/>
  <c r="AS3991" i="37"/>
  <c r="AS3992" i="37"/>
  <c r="AS3993" i="37"/>
  <c r="AS3994" i="37"/>
  <c r="AS3995" i="37"/>
  <c r="AS3996" i="37"/>
  <c r="AS3997" i="37"/>
  <c r="AS3998" i="37"/>
  <c r="AS3999" i="37"/>
  <c r="AS4000" i="37"/>
  <c r="G1270" i="30"/>
  <c r="F1270" i="30"/>
  <c r="E1270" i="30"/>
  <c r="D1270" i="30"/>
  <c r="G1269" i="30"/>
  <c r="F1269" i="30"/>
  <c r="E1269" i="30"/>
  <c r="D1269" i="30"/>
  <c r="G1268" i="30"/>
  <c r="F1268" i="30"/>
  <c r="E1268" i="30"/>
  <c r="D1268" i="30"/>
  <c r="G1267" i="30"/>
  <c r="F1267" i="30"/>
  <c r="E1267" i="30"/>
  <c r="D1267" i="30"/>
  <c r="G1266" i="30"/>
  <c r="F1266" i="30"/>
  <c r="E1266" i="30"/>
  <c r="D1266" i="30"/>
  <c r="G1265" i="30"/>
  <c r="F1265" i="30"/>
  <c r="E1265" i="30"/>
  <c r="D1265" i="30"/>
  <c r="G1264" i="30"/>
  <c r="F1264" i="30"/>
  <c r="E1264" i="30"/>
  <c r="D1264" i="30"/>
  <c r="G1263" i="30"/>
  <c r="F1263" i="30"/>
  <c r="E1263" i="30"/>
  <c r="D1263" i="30"/>
  <c r="G1262" i="30"/>
  <c r="F1262" i="30"/>
  <c r="E1262" i="30"/>
  <c r="D1262" i="30"/>
  <c r="G1261" i="30"/>
  <c r="F1261" i="30"/>
  <c r="E1261" i="30"/>
  <c r="D1261" i="30"/>
  <c r="G1260" i="30"/>
  <c r="F1260" i="30"/>
  <c r="E1260" i="30"/>
  <c r="D1260" i="30"/>
  <c r="G1259" i="30"/>
  <c r="F1259" i="30"/>
  <c r="E1259" i="30"/>
  <c r="D1259" i="30"/>
  <c r="G1258" i="30"/>
  <c r="F1258" i="30"/>
  <c r="E1258" i="30"/>
  <c r="D1258" i="30"/>
  <c r="G1257" i="30"/>
  <c r="F1257" i="30"/>
  <c r="E1257" i="30"/>
  <c r="D1257" i="30"/>
  <c r="G1256" i="30"/>
  <c r="F1256" i="30"/>
  <c r="E1256" i="30"/>
  <c r="D1256" i="30"/>
  <c r="G1255" i="30"/>
  <c r="F1255" i="30"/>
  <c r="E1255" i="30"/>
  <c r="D1255" i="30"/>
  <c r="G1254" i="30"/>
  <c r="F1254" i="30"/>
  <c r="E1254" i="30"/>
  <c r="D1254" i="30"/>
  <c r="G1253" i="30"/>
  <c r="F1253" i="30"/>
  <c r="E1253" i="30"/>
  <c r="D1253" i="30"/>
  <c r="G1252" i="30"/>
  <c r="F1252" i="30"/>
  <c r="E1252" i="30"/>
  <c r="D1252" i="30"/>
  <c r="G1251" i="30"/>
  <c r="F1251" i="30"/>
  <c r="E1251" i="30"/>
  <c r="D1251" i="30"/>
  <c r="G1250" i="30"/>
  <c r="F1250" i="30"/>
  <c r="E1250" i="30"/>
  <c r="D1250" i="30"/>
  <c r="G1249" i="30"/>
  <c r="F1249" i="30"/>
  <c r="E1249" i="30"/>
  <c r="D1249" i="30"/>
  <c r="G1248" i="30"/>
  <c r="F1248" i="30"/>
  <c r="E1248" i="30"/>
  <c r="D1248" i="30"/>
  <c r="G1247" i="30"/>
  <c r="F1247" i="30"/>
  <c r="E1247" i="30"/>
  <c r="D1247" i="30"/>
  <c r="G1246" i="30"/>
  <c r="F1246" i="30"/>
  <c r="E1246" i="30"/>
  <c r="D1246" i="30"/>
  <c r="G1245" i="30"/>
  <c r="F1245" i="30"/>
  <c r="E1245" i="30"/>
  <c r="D1245" i="30"/>
  <c r="G1244" i="30"/>
  <c r="F1244" i="30"/>
  <c r="E1244" i="30"/>
  <c r="D1244" i="30"/>
  <c r="G1243" i="30"/>
  <c r="F1243" i="30"/>
  <c r="E1243" i="30"/>
  <c r="D1243" i="30"/>
  <c r="G1242" i="30"/>
  <c r="F1242" i="30"/>
  <c r="E1242" i="30"/>
  <c r="D1242" i="30"/>
  <c r="G1241" i="30"/>
  <c r="F1241" i="30"/>
  <c r="E1241" i="30"/>
  <c r="D1241" i="30"/>
  <c r="G1240" i="30"/>
  <c r="F1240" i="30"/>
  <c r="E1240" i="30"/>
  <c r="D1240" i="30"/>
  <c r="G1239" i="30"/>
  <c r="F1239" i="30"/>
  <c r="E1239" i="30"/>
  <c r="D1239" i="30"/>
  <c r="G1238" i="30"/>
  <c r="F1238" i="30"/>
  <c r="E1238" i="30"/>
  <c r="D1238" i="30"/>
  <c r="G1237" i="30"/>
  <c r="F1237" i="30"/>
  <c r="E1237" i="30"/>
  <c r="D1237" i="30"/>
  <c r="G1236" i="30"/>
  <c r="F1236" i="30"/>
  <c r="E1236" i="30"/>
  <c r="D1236" i="30"/>
  <c r="G1235" i="30"/>
  <c r="F1235" i="30"/>
  <c r="E1235" i="30"/>
  <c r="D1235" i="30"/>
  <c r="G1234" i="30"/>
  <c r="F1234" i="30"/>
  <c r="E1234" i="30"/>
  <c r="D1234" i="30"/>
  <c r="G1233" i="30"/>
  <c r="F1233" i="30"/>
  <c r="E1233" i="30"/>
  <c r="D1233" i="30"/>
  <c r="G1232" i="30"/>
  <c r="F1232" i="30"/>
  <c r="E1232" i="30"/>
  <c r="D1232" i="30"/>
  <c r="G1231" i="30"/>
  <c r="F1231" i="30"/>
  <c r="E1231" i="30"/>
  <c r="D1231" i="30"/>
  <c r="G1230" i="30"/>
  <c r="F1230" i="30"/>
  <c r="E1230" i="30"/>
  <c r="D1230" i="30"/>
  <c r="G1229" i="30"/>
  <c r="F1229" i="30"/>
  <c r="E1229" i="30"/>
  <c r="D1229" i="30"/>
  <c r="G1228" i="30"/>
  <c r="F1228" i="30"/>
  <c r="E1228" i="30"/>
  <c r="D1228" i="30"/>
  <c r="G1227" i="30"/>
  <c r="F1227" i="30"/>
  <c r="E1227" i="30"/>
  <c r="D1227" i="30"/>
  <c r="G1226" i="30"/>
  <c r="F1226" i="30"/>
  <c r="E1226" i="30"/>
  <c r="D1226" i="30"/>
  <c r="G1225" i="30"/>
  <c r="F1225" i="30"/>
  <c r="E1225" i="30"/>
  <c r="D1225" i="30"/>
  <c r="G1224" i="30"/>
  <c r="F1224" i="30"/>
  <c r="E1224" i="30"/>
  <c r="D1224" i="30"/>
  <c r="G1223" i="30"/>
  <c r="F1223" i="30"/>
  <c r="E1223" i="30"/>
  <c r="D1223" i="30"/>
  <c r="G1222" i="30"/>
  <c r="F1222" i="30"/>
  <c r="E1222" i="30"/>
  <c r="D1222" i="30"/>
  <c r="G1221" i="30"/>
  <c r="F1221" i="30"/>
  <c r="E1221" i="30"/>
  <c r="D1221" i="30"/>
  <c r="G1220" i="30"/>
  <c r="F1220" i="30"/>
  <c r="E1220" i="30"/>
  <c r="D1220" i="30"/>
  <c r="G1219" i="30"/>
  <c r="F1219" i="30"/>
  <c r="E1219" i="30"/>
  <c r="D1219" i="30"/>
  <c r="G1218" i="30"/>
  <c r="F1218" i="30"/>
  <c r="E1218" i="30"/>
  <c r="D1218" i="30"/>
  <c r="G1217" i="30"/>
  <c r="F1217" i="30"/>
  <c r="E1217" i="30"/>
  <c r="D1217" i="30"/>
  <c r="G1216" i="30"/>
  <c r="F1216" i="30"/>
  <c r="E1216" i="30"/>
  <c r="D1216" i="30"/>
  <c r="G1215" i="30"/>
  <c r="F1215" i="30"/>
  <c r="E1215" i="30"/>
  <c r="D1215" i="30"/>
  <c r="G1214" i="30"/>
  <c r="F1214" i="30"/>
  <c r="E1214" i="30"/>
  <c r="D1214" i="30"/>
  <c r="G1213" i="30"/>
  <c r="F1213" i="30"/>
  <c r="E1213" i="30"/>
  <c r="D1213" i="30"/>
  <c r="G1212" i="30"/>
  <c r="F1212" i="30"/>
  <c r="E1212" i="30"/>
  <c r="D1212" i="30"/>
  <c r="G1211" i="30"/>
  <c r="F1211" i="30"/>
  <c r="E1211" i="30"/>
  <c r="D1211" i="30"/>
  <c r="G1210" i="30"/>
  <c r="F1210" i="30"/>
  <c r="E1210" i="30"/>
  <c r="D1210" i="30"/>
  <c r="G1209" i="30"/>
  <c r="F1209" i="30"/>
  <c r="E1209" i="30"/>
  <c r="D1209" i="30"/>
  <c r="G1208" i="30"/>
  <c r="F1208" i="30"/>
  <c r="E1208" i="30"/>
  <c r="D1208" i="30"/>
  <c r="G1207" i="30"/>
  <c r="F1207" i="30"/>
  <c r="E1207" i="30"/>
  <c r="D1207" i="30"/>
  <c r="G1206" i="30"/>
  <c r="F1206" i="30"/>
  <c r="E1206" i="30"/>
  <c r="D1206" i="30"/>
  <c r="G1205" i="30"/>
  <c r="F1205" i="30"/>
  <c r="E1205" i="30"/>
  <c r="D1205" i="30"/>
  <c r="G1204" i="30"/>
  <c r="F1204" i="30"/>
  <c r="E1204" i="30"/>
  <c r="D1204" i="30"/>
  <c r="G1203" i="30"/>
  <c r="F1203" i="30"/>
  <c r="E1203" i="30"/>
  <c r="D1203" i="30"/>
  <c r="G1202" i="30"/>
  <c r="F1202" i="30"/>
  <c r="E1202" i="30"/>
  <c r="D1202" i="30"/>
  <c r="G1201" i="30"/>
  <c r="F1201" i="30"/>
  <c r="E1201" i="30"/>
  <c r="D1201" i="30"/>
  <c r="G1200" i="30"/>
  <c r="F1200" i="30"/>
  <c r="E1200" i="30"/>
  <c r="D1200" i="30"/>
  <c r="G1199" i="30"/>
  <c r="F1199" i="30"/>
  <c r="E1199" i="30"/>
  <c r="D1199" i="30"/>
  <c r="G1198" i="30"/>
  <c r="F1198" i="30"/>
  <c r="E1198" i="30"/>
  <c r="D1198" i="30"/>
  <c r="G1197" i="30"/>
  <c r="F1197" i="30"/>
  <c r="E1197" i="30"/>
  <c r="D1197" i="30"/>
  <c r="G1196" i="30"/>
  <c r="F1196" i="30"/>
  <c r="E1196" i="30"/>
  <c r="D1196" i="30"/>
  <c r="G1195" i="30"/>
  <c r="F1195" i="30"/>
  <c r="E1195" i="30"/>
  <c r="D1195" i="30"/>
  <c r="G1194" i="30"/>
  <c r="F1194" i="30"/>
  <c r="E1194" i="30"/>
  <c r="D1194" i="30"/>
  <c r="G1193" i="30"/>
  <c r="F1193" i="30"/>
  <c r="E1193" i="30"/>
  <c r="D1193" i="30"/>
  <c r="G1192" i="30"/>
  <c r="F1192" i="30"/>
  <c r="E1192" i="30"/>
  <c r="D1192" i="30"/>
  <c r="G1191" i="30"/>
  <c r="F1191" i="30"/>
  <c r="E1191" i="30"/>
  <c r="D1191" i="30"/>
  <c r="G1190" i="30"/>
  <c r="F1190" i="30"/>
  <c r="E1190" i="30"/>
  <c r="D1190" i="30"/>
  <c r="G1189" i="30"/>
  <c r="F1189" i="30"/>
  <c r="E1189" i="30"/>
  <c r="D1189" i="30"/>
  <c r="G1188" i="30"/>
  <c r="F1188" i="30"/>
  <c r="E1188" i="30"/>
  <c r="D1188" i="30"/>
  <c r="G1187" i="30"/>
  <c r="F1187" i="30"/>
  <c r="E1187" i="30"/>
  <c r="D1187" i="30"/>
  <c r="G1186" i="30"/>
  <c r="F1186" i="30"/>
  <c r="E1186" i="30"/>
  <c r="D1186" i="30"/>
  <c r="G1185" i="30"/>
  <c r="F1185" i="30"/>
  <c r="E1185" i="30"/>
  <c r="D1185" i="30"/>
  <c r="G1184" i="30"/>
  <c r="F1184" i="30"/>
  <c r="E1184" i="30"/>
  <c r="D1184" i="30"/>
  <c r="G1183" i="30"/>
  <c r="F1183" i="30"/>
  <c r="E1183" i="30"/>
  <c r="D1183" i="30"/>
  <c r="G1182" i="30"/>
  <c r="F1182" i="30"/>
  <c r="E1182" i="30"/>
  <c r="D1182" i="30"/>
  <c r="G1181" i="30"/>
  <c r="F1181" i="30"/>
  <c r="E1181" i="30"/>
  <c r="D1181" i="30"/>
  <c r="G1180" i="30"/>
  <c r="F1180" i="30"/>
  <c r="E1180" i="30"/>
  <c r="D1180" i="30"/>
  <c r="G1179" i="30"/>
  <c r="F1179" i="30"/>
  <c r="E1179" i="30"/>
  <c r="D1179" i="30"/>
  <c r="G1178" i="30"/>
  <c r="F1178" i="30"/>
  <c r="E1178" i="30"/>
  <c r="D1178" i="30"/>
  <c r="G1177" i="30"/>
  <c r="F1177" i="30"/>
  <c r="E1177" i="30"/>
  <c r="D1177" i="30"/>
  <c r="G1176" i="30"/>
  <c r="F1176" i="30"/>
  <c r="E1176" i="30"/>
  <c r="D1176" i="30"/>
  <c r="G1175" i="30"/>
  <c r="F1175" i="30"/>
  <c r="E1175" i="30"/>
  <c r="D1175" i="30"/>
  <c r="G1174" i="30"/>
  <c r="F1174" i="30"/>
  <c r="E1174" i="30"/>
  <c r="D1174" i="30"/>
  <c r="G1173" i="30"/>
  <c r="F1173" i="30"/>
  <c r="E1173" i="30"/>
  <c r="D1173" i="30"/>
  <c r="G1172" i="30"/>
  <c r="F1172" i="30"/>
  <c r="E1172" i="30"/>
  <c r="D1172" i="30"/>
  <c r="G1171" i="30"/>
  <c r="F1171" i="30"/>
  <c r="E1171" i="30"/>
  <c r="D1171" i="30"/>
  <c r="G1170" i="30"/>
  <c r="F1170" i="30"/>
  <c r="E1170" i="30"/>
  <c r="D1170" i="30"/>
  <c r="G1169" i="30"/>
  <c r="F1169" i="30"/>
  <c r="E1169" i="30"/>
  <c r="D1169" i="30"/>
  <c r="G1168" i="30"/>
  <c r="F1168" i="30"/>
  <c r="E1168" i="30"/>
  <c r="D1168" i="30"/>
  <c r="G1167" i="30"/>
  <c r="F1167" i="30"/>
  <c r="E1167" i="30"/>
  <c r="D1167" i="30"/>
  <c r="G1166" i="30"/>
  <c r="F1166" i="30"/>
  <c r="E1166" i="30"/>
  <c r="D1166" i="30"/>
  <c r="G1165" i="30"/>
  <c r="F1165" i="30"/>
  <c r="E1165" i="30"/>
  <c r="D1165" i="30"/>
  <c r="G1164" i="30"/>
  <c r="F1164" i="30"/>
  <c r="E1164" i="30"/>
  <c r="D1164" i="30"/>
  <c r="G1163" i="30"/>
  <c r="F1163" i="30"/>
  <c r="E1163" i="30"/>
  <c r="D1163" i="30"/>
  <c r="G1162" i="30"/>
  <c r="F1162" i="30"/>
  <c r="E1162" i="30"/>
  <c r="D1162" i="30"/>
  <c r="G1161" i="30"/>
  <c r="F1161" i="30"/>
  <c r="E1161" i="30"/>
  <c r="D1161" i="30"/>
  <c r="G1160" i="30"/>
  <c r="F1160" i="30"/>
  <c r="E1160" i="30"/>
  <c r="D1160" i="30"/>
  <c r="G1159" i="30"/>
  <c r="F1159" i="30"/>
  <c r="E1159" i="30"/>
  <c r="D1159" i="30"/>
  <c r="G1158" i="30"/>
  <c r="F1158" i="30"/>
  <c r="E1158" i="30"/>
  <c r="D1158" i="30"/>
  <c r="G1157" i="30"/>
  <c r="F1157" i="30"/>
  <c r="E1157" i="30"/>
  <c r="D1157" i="30"/>
  <c r="G1156" i="30"/>
  <c r="F1156" i="30"/>
  <c r="E1156" i="30"/>
  <c r="D1156" i="30"/>
  <c r="G1155" i="30"/>
  <c r="F1155" i="30"/>
  <c r="E1155" i="30"/>
  <c r="D1155" i="30"/>
  <c r="G1154" i="30"/>
  <c r="F1154" i="30"/>
  <c r="E1154" i="30"/>
  <c r="D1154" i="30"/>
  <c r="G1153" i="30"/>
  <c r="F1153" i="30"/>
  <c r="E1153" i="30"/>
  <c r="D1153" i="30"/>
  <c r="G1152" i="30"/>
  <c r="F1152" i="30"/>
  <c r="E1152" i="30"/>
  <c r="D1152" i="30"/>
  <c r="G1151" i="30"/>
  <c r="F1151" i="30"/>
  <c r="E1151" i="30"/>
  <c r="D1151" i="30"/>
  <c r="G1150" i="30"/>
  <c r="F1150" i="30"/>
  <c r="E1150" i="30"/>
  <c r="D1150" i="30"/>
  <c r="G1149" i="30"/>
  <c r="F1149" i="30"/>
  <c r="E1149" i="30"/>
  <c r="D1149" i="30"/>
  <c r="G1148" i="30"/>
  <c r="F1148" i="30"/>
  <c r="E1148" i="30"/>
  <c r="D1148" i="30"/>
  <c r="G1147" i="30"/>
  <c r="F1147" i="30"/>
  <c r="E1147" i="30"/>
  <c r="D1147" i="30"/>
  <c r="G1146" i="30"/>
  <c r="F1146" i="30"/>
  <c r="E1146" i="30"/>
  <c r="D1146" i="30"/>
  <c r="G1145" i="30"/>
  <c r="F1145" i="30"/>
  <c r="E1145" i="30"/>
  <c r="D1145" i="30"/>
  <c r="G1144" i="30"/>
  <c r="F1144" i="30"/>
  <c r="E1144" i="30"/>
  <c r="D1144" i="30"/>
  <c r="G1143" i="30"/>
  <c r="F1143" i="30"/>
  <c r="E1143" i="30"/>
  <c r="D1143" i="30"/>
  <c r="G1142" i="30"/>
  <c r="F1142" i="30"/>
  <c r="E1142" i="30"/>
  <c r="D1142" i="30"/>
  <c r="G1141" i="30"/>
  <c r="F1141" i="30"/>
  <c r="E1141" i="30"/>
  <c r="D1141" i="30"/>
  <c r="G1140" i="30"/>
  <c r="F1140" i="30"/>
  <c r="E1140" i="30"/>
  <c r="D1140" i="30"/>
  <c r="G1139" i="30"/>
  <c r="F1139" i="30"/>
  <c r="E1139" i="30"/>
  <c r="D1139" i="30"/>
  <c r="G1138" i="30"/>
  <c r="F1138" i="30"/>
  <c r="E1138" i="30"/>
  <c r="D1138" i="30"/>
  <c r="G1137" i="30"/>
  <c r="F1137" i="30"/>
  <c r="E1137" i="30"/>
  <c r="D1137" i="30"/>
  <c r="G1136" i="30"/>
  <c r="F1136" i="30"/>
  <c r="E1136" i="30"/>
  <c r="D1136" i="30"/>
  <c r="G1135" i="30"/>
  <c r="F1135" i="30"/>
  <c r="E1135" i="30"/>
  <c r="D1135" i="30"/>
  <c r="G1134" i="30"/>
  <c r="F1134" i="30"/>
  <c r="E1134" i="30"/>
  <c r="D1134" i="30"/>
  <c r="G1133" i="30"/>
  <c r="F1133" i="30"/>
  <c r="E1133" i="30"/>
  <c r="D1133" i="30"/>
  <c r="G1132" i="30"/>
  <c r="F1132" i="30"/>
  <c r="E1132" i="30"/>
  <c r="D1132" i="30"/>
  <c r="G1131" i="30"/>
  <c r="F1131" i="30"/>
  <c r="E1131" i="30"/>
  <c r="D1131" i="30"/>
  <c r="G1130" i="30"/>
  <c r="F1130" i="30"/>
  <c r="E1130" i="30"/>
  <c r="D1130" i="30"/>
  <c r="G1129" i="30"/>
  <c r="F1129" i="30"/>
  <c r="E1129" i="30"/>
  <c r="D1129" i="30"/>
  <c r="G1128" i="30"/>
  <c r="F1128" i="30"/>
  <c r="E1128" i="30"/>
  <c r="D1128" i="30"/>
  <c r="G1127" i="30"/>
  <c r="F1127" i="30"/>
  <c r="E1127" i="30"/>
  <c r="D1127" i="30"/>
  <c r="G1126" i="30"/>
  <c r="F1126" i="30"/>
  <c r="E1126" i="30"/>
  <c r="D1126" i="30"/>
  <c r="G1125" i="30"/>
  <c r="F1125" i="30"/>
  <c r="E1125" i="30"/>
  <c r="D1125" i="30"/>
  <c r="G1124" i="30"/>
  <c r="F1124" i="30"/>
  <c r="E1124" i="30"/>
  <c r="D1124" i="30"/>
  <c r="G1123" i="30"/>
  <c r="F1123" i="30"/>
  <c r="E1123" i="30"/>
  <c r="D1123" i="30"/>
  <c r="G1122" i="30"/>
  <c r="F1122" i="30"/>
  <c r="E1122" i="30"/>
  <c r="D1122" i="30"/>
  <c r="G1121" i="30"/>
  <c r="F1121" i="30"/>
  <c r="E1121" i="30"/>
  <c r="D1121" i="30"/>
  <c r="G1120" i="30"/>
  <c r="F1120" i="30"/>
  <c r="E1120" i="30"/>
  <c r="D1120" i="30"/>
  <c r="G1119" i="30"/>
  <c r="F1119" i="30"/>
  <c r="E1119" i="30"/>
  <c r="D1119" i="30"/>
  <c r="G1118" i="30"/>
  <c r="F1118" i="30"/>
  <c r="E1118" i="30"/>
  <c r="D1118" i="30"/>
  <c r="G1117" i="30"/>
  <c r="F1117" i="30"/>
  <c r="E1117" i="30"/>
  <c r="D1117" i="30"/>
  <c r="G1116" i="30"/>
  <c r="F1116" i="30"/>
  <c r="E1116" i="30"/>
  <c r="D1116" i="30"/>
  <c r="G1115" i="30"/>
  <c r="F1115" i="30"/>
  <c r="E1115" i="30"/>
  <c r="D1115" i="30"/>
  <c r="G1114" i="30"/>
  <c r="F1114" i="30"/>
  <c r="E1114" i="30"/>
  <c r="D1114" i="30"/>
  <c r="G1113" i="30"/>
  <c r="F1113" i="30"/>
  <c r="E1113" i="30"/>
  <c r="D1113" i="30"/>
  <c r="G1112" i="30"/>
  <c r="F1112" i="30"/>
  <c r="E1112" i="30"/>
  <c r="D1112" i="30"/>
  <c r="G1111" i="30"/>
  <c r="F1111" i="30"/>
  <c r="E1111" i="30"/>
  <c r="D1111" i="30"/>
  <c r="G1110" i="30"/>
  <c r="F1110" i="30"/>
  <c r="E1110" i="30"/>
  <c r="D1110" i="30"/>
  <c r="G1109" i="30"/>
  <c r="F1109" i="30"/>
  <c r="E1109" i="30"/>
  <c r="D1109" i="30"/>
  <c r="G1108" i="30"/>
  <c r="F1108" i="30"/>
  <c r="E1108" i="30"/>
  <c r="D1108" i="30"/>
  <c r="G1107" i="30"/>
  <c r="F1107" i="30"/>
  <c r="E1107" i="30"/>
  <c r="D1107" i="30"/>
  <c r="G1106" i="30"/>
  <c r="F1106" i="30"/>
  <c r="E1106" i="30"/>
  <c r="D1106" i="30"/>
  <c r="G1105" i="30"/>
  <c r="F1105" i="30"/>
  <c r="E1105" i="30"/>
  <c r="D1105" i="30"/>
  <c r="G1104" i="30"/>
  <c r="F1104" i="30"/>
  <c r="E1104" i="30"/>
  <c r="D1104" i="30"/>
  <c r="G1103" i="30"/>
  <c r="F1103" i="30"/>
  <c r="E1103" i="30"/>
  <c r="D1103" i="30"/>
  <c r="G1102" i="30"/>
  <c r="F1102" i="30"/>
  <c r="E1102" i="30"/>
  <c r="D1102" i="30"/>
  <c r="G1101" i="30"/>
  <c r="F1101" i="30"/>
  <c r="E1101" i="30"/>
  <c r="D1101" i="30"/>
  <c r="G1100" i="30"/>
  <c r="F1100" i="30"/>
  <c r="E1100" i="30"/>
  <c r="D1100" i="30"/>
  <c r="G1099" i="30"/>
  <c r="F1099" i="30"/>
  <c r="E1099" i="30"/>
  <c r="D1099" i="30"/>
  <c r="G1098" i="30"/>
  <c r="F1098" i="30"/>
  <c r="E1098" i="30"/>
  <c r="D1098" i="30"/>
  <c r="G1097" i="30"/>
  <c r="F1097" i="30"/>
  <c r="E1097" i="30"/>
  <c r="D1097" i="30"/>
  <c r="G1096" i="30"/>
  <c r="F1096" i="30"/>
  <c r="E1096" i="30"/>
  <c r="D1096" i="30"/>
  <c r="G1095" i="30"/>
  <c r="F1095" i="30"/>
  <c r="E1095" i="30"/>
  <c r="D1095" i="30"/>
  <c r="G1094" i="30"/>
  <c r="F1094" i="30"/>
  <c r="E1094" i="30"/>
  <c r="D1094" i="30"/>
  <c r="G1093" i="30"/>
  <c r="F1093" i="30"/>
  <c r="E1093" i="30"/>
  <c r="D1093" i="30"/>
  <c r="G1092" i="30"/>
  <c r="F1092" i="30"/>
  <c r="E1092" i="30"/>
  <c r="D1092" i="30"/>
  <c r="G1091" i="30"/>
  <c r="F1091" i="30"/>
  <c r="E1091" i="30"/>
  <c r="D1091" i="30"/>
  <c r="G1090" i="30"/>
  <c r="F1090" i="30"/>
  <c r="E1090" i="30"/>
  <c r="D1090" i="30"/>
  <c r="G1089" i="30"/>
  <c r="F1089" i="30"/>
  <c r="E1089" i="30"/>
  <c r="D1089" i="30"/>
  <c r="G1088" i="30"/>
  <c r="F1088" i="30"/>
  <c r="E1088" i="30"/>
  <c r="D1088" i="30"/>
  <c r="G1087" i="30"/>
  <c r="F1087" i="30"/>
  <c r="E1087" i="30"/>
  <c r="D1087" i="30"/>
  <c r="G1086" i="30"/>
  <c r="F1086" i="30"/>
  <c r="E1086" i="30"/>
  <c r="D1086" i="30"/>
  <c r="G1085" i="30"/>
  <c r="F1085" i="30"/>
  <c r="E1085" i="30"/>
  <c r="D1085" i="30"/>
  <c r="G1084" i="30"/>
  <c r="F1084" i="30"/>
  <c r="E1084" i="30"/>
  <c r="D1084" i="30"/>
  <c r="G1083" i="30"/>
  <c r="F1083" i="30"/>
  <c r="E1083" i="30"/>
  <c r="D1083" i="30"/>
  <c r="G1082" i="30"/>
  <c r="F1082" i="30"/>
  <c r="E1082" i="30"/>
  <c r="D1082" i="30"/>
  <c r="G1081" i="30"/>
  <c r="F1081" i="30"/>
  <c r="E1081" i="30"/>
  <c r="D1081" i="30"/>
  <c r="G1080" i="30"/>
  <c r="F1080" i="30"/>
  <c r="E1080" i="30"/>
  <c r="D1080" i="30"/>
  <c r="G1079" i="30"/>
  <c r="F1079" i="30"/>
  <c r="E1079" i="30"/>
  <c r="D1079" i="30"/>
  <c r="G1078" i="30"/>
  <c r="F1078" i="30"/>
  <c r="E1078" i="30"/>
  <c r="D1078" i="30"/>
  <c r="G1077" i="30"/>
  <c r="F1077" i="30"/>
  <c r="E1077" i="30"/>
  <c r="D1077" i="30"/>
  <c r="G1076" i="30"/>
  <c r="F1076" i="30"/>
  <c r="E1076" i="30"/>
  <c r="D1076" i="30"/>
  <c r="G1075" i="30"/>
  <c r="F1075" i="30"/>
  <c r="E1075" i="30"/>
  <c r="D1075" i="30"/>
  <c r="G1074" i="30"/>
  <c r="F1074" i="30"/>
  <c r="E1074" i="30"/>
  <c r="D1074" i="30"/>
  <c r="G1073" i="30"/>
  <c r="F1073" i="30"/>
  <c r="E1073" i="30"/>
  <c r="D1073" i="30"/>
  <c r="G1072" i="30"/>
  <c r="F1072" i="30"/>
  <c r="E1072" i="30"/>
  <c r="D1072" i="30"/>
  <c r="G1071" i="30"/>
  <c r="F1071" i="30"/>
  <c r="E1071" i="30"/>
  <c r="D1071" i="30"/>
  <c r="G1070" i="30"/>
  <c r="F1070" i="30"/>
  <c r="E1070" i="30"/>
  <c r="D1070" i="30"/>
  <c r="G1069" i="30"/>
  <c r="F1069" i="30"/>
  <c r="E1069" i="30"/>
  <c r="D1069" i="30"/>
  <c r="G1068" i="30"/>
  <c r="F1068" i="30"/>
  <c r="E1068" i="30"/>
  <c r="D1068" i="30"/>
  <c r="G1067" i="30"/>
  <c r="F1067" i="30"/>
  <c r="E1067" i="30"/>
  <c r="D1067" i="30"/>
  <c r="G1066" i="30"/>
  <c r="F1066" i="30"/>
  <c r="E1066" i="30"/>
  <c r="D1066" i="30"/>
  <c r="G1065" i="30"/>
  <c r="F1065" i="30"/>
  <c r="E1065" i="30"/>
  <c r="D1065" i="30"/>
  <c r="G1064" i="30"/>
  <c r="F1064" i="30"/>
  <c r="E1064" i="30"/>
  <c r="D1064" i="30"/>
  <c r="G1063" i="30"/>
  <c r="F1063" i="30"/>
  <c r="E1063" i="30"/>
  <c r="D1063" i="30"/>
  <c r="G1062" i="30"/>
  <c r="F1062" i="30"/>
  <c r="E1062" i="30"/>
  <c r="D1062" i="30"/>
  <c r="G1061" i="30"/>
  <c r="F1061" i="30"/>
  <c r="E1061" i="30"/>
  <c r="D1061" i="30"/>
  <c r="G1060" i="30"/>
  <c r="F1060" i="30"/>
  <c r="E1060" i="30"/>
  <c r="D1060" i="30"/>
  <c r="G1059" i="30"/>
  <c r="F1059" i="30"/>
  <c r="E1059" i="30"/>
  <c r="D1059" i="30"/>
  <c r="G1058" i="30"/>
  <c r="F1058" i="30"/>
  <c r="E1058" i="30"/>
  <c r="D1058" i="30"/>
  <c r="G1057" i="30"/>
  <c r="F1057" i="30"/>
  <c r="E1057" i="30"/>
  <c r="D1057" i="30"/>
  <c r="G1056" i="30"/>
  <c r="F1056" i="30"/>
  <c r="E1056" i="30"/>
  <c r="D1056" i="30"/>
  <c r="G1055" i="30"/>
  <c r="F1055" i="30"/>
  <c r="E1055" i="30"/>
  <c r="D1055" i="30"/>
  <c r="G1054" i="30"/>
  <c r="F1054" i="30"/>
  <c r="E1054" i="30"/>
  <c r="D1054" i="30"/>
  <c r="G1053" i="30"/>
  <c r="F1053" i="30"/>
  <c r="E1053" i="30"/>
  <c r="D1053" i="30"/>
  <c r="G1052" i="30"/>
  <c r="F1052" i="30"/>
  <c r="E1052" i="30"/>
  <c r="D1052" i="30"/>
  <c r="G1051" i="30"/>
  <c r="F1051" i="30"/>
  <c r="E1051" i="30"/>
  <c r="D1051" i="30"/>
  <c r="G1050" i="30"/>
  <c r="F1050" i="30"/>
  <c r="E1050" i="30"/>
  <c r="D1050" i="30"/>
  <c r="G1049" i="30"/>
  <c r="F1049" i="30"/>
  <c r="E1049" i="30"/>
  <c r="D1049" i="30"/>
  <c r="G1048" i="30"/>
  <c r="F1048" i="30"/>
  <c r="E1048" i="30"/>
  <c r="D1048" i="30"/>
  <c r="G1047" i="30"/>
  <c r="F1047" i="30"/>
  <c r="E1047" i="30"/>
  <c r="D1047" i="30"/>
  <c r="G1046" i="30"/>
  <c r="F1046" i="30"/>
  <c r="E1046" i="30"/>
  <c r="D1046" i="30"/>
  <c r="G1045" i="30"/>
  <c r="F1045" i="30"/>
  <c r="E1045" i="30"/>
  <c r="D1045" i="30"/>
  <c r="G1044" i="30"/>
  <c r="F1044" i="30"/>
  <c r="E1044" i="30"/>
  <c r="D1044" i="30"/>
  <c r="G1043" i="30"/>
  <c r="F1043" i="30"/>
  <c r="E1043" i="30"/>
  <c r="D1043" i="30"/>
  <c r="G1042" i="30"/>
  <c r="F1042" i="30"/>
  <c r="E1042" i="30"/>
  <c r="D1042" i="30"/>
  <c r="G1041" i="30"/>
  <c r="F1041" i="30"/>
  <c r="E1041" i="30"/>
  <c r="D1041" i="30"/>
  <c r="G1040" i="30"/>
  <c r="F1040" i="30"/>
  <c r="E1040" i="30"/>
  <c r="D1040" i="30"/>
  <c r="G1039" i="30"/>
  <c r="F1039" i="30"/>
  <c r="E1039" i="30"/>
  <c r="D1039" i="30"/>
  <c r="G1038" i="30"/>
  <c r="F1038" i="30"/>
  <c r="E1038" i="30"/>
  <c r="D1038" i="30"/>
  <c r="G1037" i="30"/>
  <c r="F1037" i="30"/>
  <c r="E1037" i="30"/>
  <c r="D1037" i="30"/>
  <c r="G1036" i="30"/>
  <c r="F1036" i="30"/>
  <c r="E1036" i="30"/>
  <c r="D1036" i="30"/>
  <c r="G1035" i="30"/>
  <c r="F1035" i="30"/>
  <c r="E1035" i="30"/>
  <c r="D1035" i="30"/>
  <c r="G1034" i="30"/>
  <c r="F1034" i="30"/>
  <c r="E1034" i="30"/>
  <c r="D1034" i="30"/>
  <c r="G1033" i="30"/>
  <c r="F1033" i="30"/>
  <c r="E1033" i="30"/>
  <c r="D1033" i="30"/>
  <c r="G1032" i="30"/>
  <c r="F1032" i="30"/>
  <c r="E1032" i="30"/>
  <c r="D1032" i="30"/>
  <c r="G1031" i="30"/>
  <c r="F1031" i="30"/>
  <c r="E1031" i="30"/>
  <c r="D1031" i="30"/>
  <c r="G1030" i="30"/>
  <c r="F1030" i="30"/>
  <c r="E1030" i="30"/>
  <c r="D1030" i="30"/>
  <c r="G1029" i="30"/>
  <c r="F1029" i="30"/>
  <c r="E1029" i="30"/>
  <c r="D1029" i="30"/>
  <c r="G1028" i="30"/>
  <c r="F1028" i="30"/>
  <c r="E1028" i="30"/>
  <c r="D1028" i="30"/>
  <c r="G1027" i="30"/>
  <c r="F1027" i="30"/>
  <c r="E1027" i="30"/>
  <c r="D1027" i="30"/>
  <c r="G1026" i="30"/>
  <c r="F1026" i="30"/>
  <c r="E1026" i="30"/>
  <c r="D1026" i="30"/>
  <c r="G1025" i="30"/>
  <c r="F1025" i="30"/>
  <c r="E1025" i="30"/>
  <c r="D1025" i="30"/>
  <c r="G1024" i="30"/>
  <c r="F1024" i="30"/>
  <c r="E1024" i="30"/>
  <c r="D1024" i="30"/>
  <c r="G1023" i="30"/>
  <c r="F1023" i="30"/>
  <c r="E1023" i="30"/>
  <c r="D1023" i="30"/>
  <c r="G1022" i="30"/>
  <c r="F1022" i="30"/>
  <c r="E1022" i="30"/>
  <c r="D1022" i="30"/>
  <c r="G1021" i="30"/>
  <c r="F1021" i="30"/>
  <c r="E1021" i="30"/>
  <c r="D1021" i="30"/>
  <c r="G1020" i="30"/>
  <c r="F1020" i="30"/>
  <c r="E1020" i="30"/>
  <c r="D1020" i="30"/>
  <c r="G1019" i="30"/>
  <c r="F1019" i="30"/>
  <c r="E1019" i="30"/>
  <c r="D1019" i="30"/>
  <c r="G1018" i="30"/>
  <c r="F1018" i="30"/>
  <c r="E1018" i="30"/>
  <c r="D1018" i="30"/>
  <c r="G1017" i="30"/>
  <c r="F1017" i="30"/>
  <c r="E1017" i="30"/>
  <c r="D1017" i="30"/>
  <c r="G1016" i="30"/>
  <c r="F1016" i="30"/>
  <c r="E1016" i="30"/>
  <c r="D1016" i="30"/>
  <c r="G1015" i="30"/>
  <c r="F1015" i="30"/>
  <c r="E1015" i="30"/>
  <c r="D1015" i="30"/>
  <c r="G1014" i="30"/>
  <c r="F1014" i="30"/>
  <c r="E1014" i="30"/>
  <c r="D1014" i="30"/>
  <c r="G1013" i="30"/>
  <c r="F1013" i="30"/>
  <c r="E1013" i="30"/>
  <c r="D1013" i="30"/>
  <c r="G1012" i="30"/>
  <c r="F1012" i="30"/>
  <c r="E1012" i="30"/>
  <c r="D1012" i="30"/>
  <c r="G1011" i="30"/>
  <c r="F1011" i="30"/>
  <c r="E1011" i="30"/>
  <c r="D1011" i="30"/>
  <c r="G1010" i="30"/>
  <c r="F1010" i="30"/>
  <c r="E1010" i="30"/>
  <c r="D1010" i="30"/>
  <c r="G1009" i="30"/>
  <c r="F1009" i="30"/>
  <c r="E1009" i="30"/>
  <c r="D1009" i="30"/>
  <c r="G1008" i="30"/>
  <c r="F1008" i="30"/>
  <c r="E1008" i="30"/>
  <c r="D1008" i="30"/>
  <c r="G1007" i="30"/>
  <c r="F1007" i="30"/>
  <c r="E1007" i="30"/>
  <c r="D1007" i="30"/>
  <c r="G1006" i="30"/>
  <c r="F1006" i="30"/>
  <c r="E1006" i="30"/>
  <c r="D1006" i="30"/>
  <c r="G1005" i="30"/>
  <c r="F1005" i="30"/>
  <c r="E1005" i="30"/>
  <c r="D1005" i="30"/>
  <c r="G1004" i="30"/>
  <c r="F1004" i="30"/>
  <c r="E1004" i="30"/>
  <c r="D1004" i="30"/>
  <c r="G1003" i="30"/>
  <c r="F1003" i="30"/>
  <c r="E1003" i="30"/>
  <c r="D1003" i="30"/>
  <c r="G1002" i="30"/>
  <c r="F1002" i="30"/>
  <c r="E1002" i="30"/>
  <c r="D1002" i="30"/>
  <c r="G1001" i="30"/>
  <c r="F1001" i="30"/>
  <c r="E1001" i="30"/>
  <c r="D1001" i="30"/>
  <c r="G1000" i="30"/>
  <c r="F1000" i="30"/>
  <c r="E1000" i="30"/>
  <c r="D1000" i="30"/>
  <c r="G999" i="30"/>
  <c r="F999" i="30"/>
  <c r="E999" i="30"/>
  <c r="D999" i="30"/>
  <c r="G998" i="30"/>
  <c r="F998" i="30"/>
  <c r="E998" i="30"/>
  <c r="D998" i="30"/>
  <c r="G997" i="30"/>
  <c r="F997" i="30"/>
  <c r="E997" i="30"/>
  <c r="D997" i="30"/>
  <c r="G996" i="30"/>
  <c r="F996" i="30"/>
  <c r="E996" i="30"/>
  <c r="D996" i="30"/>
  <c r="G995" i="30"/>
  <c r="F995" i="30"/>
  <c r="E995" i="30"/>
  <c r="D995" i="30"/>
  <c r="G994" i="30"/>
  <c r="F994" i="30"/>
  <c r="E994" i="30"/>
  <c r="D994" i="30"/>
  <c r="G993" i="30"/>
  <c r="F993" i="30"/>
  <c r="E993" i="30"/>
  <c r="D993" i="30"/>
  <c r="G992" i="30"/>
  <c r="F992" i="30"/>
  <c r="E992" i="30"/>
  <c r="D992" i="30"/>
  <c r="G991" i="30"/>
  <c r="F991" i="30"/>
  <c r="E991" i="30"/>
  <c r="D991" i="30"/>
  <c r="G990" i="30"/>
  <c r="F990" i="30"/>
  <c r="E990" i="30"/>
  <c r="D990" i="30"/>
  <c r="G989" i="30"/>
  <c r="F989" i="30"/>
  <c r="E989" i="30"/>
  <c r="D989" i="30"/>
  <c r="G988" i="30"/>
  <c r="F988" i="30"/>
  <c r="E988" i="30"/>
  <c r="D988" i="30"/>
  <c r="G987" i="30"/>
  <c r="F987" i="30"/>
  <c r="E987" i="30"/>
  <c r="D987" i="30"/>
  <c r="G986" i="30"/>
  <c r="F986" i="30"/>
  <c r="E986" i="30"/>
  <c r="D986" i="30"/>
  <c r="G985" i="30"/>
  <c r="F985" i="30"/>
  <c r="E985" i="30"/>
  <c r="D985" i="30"/>
  <c r="G984" i="30"/>
  <c r="F984" i="30"/>
  <c r="E984" i="30"/>
  <c r="D984" i="30"/>
  <c r="G983" i="30"/>
  <c r="F983" i="30"/>
  <c r="E983" i="30"/>
  <c r="D983" i="30"/>
  <c r="G982" i="30"/>
  <c r="F982" i="30"/>
  <c r="E982" i="30"/>
  <c r="D982" i="30"/>
  <c r="G981" i="30"/>
  <c r="F981" i="30"/>
  <c r="E981" i="30"/>
  <c r="D981" i="30"/>
  <c r="G980" i="30"/>
  <c r="F980" i="30"/>
  <c r="E980" i="30"/>
  <c r="D980" i="30"/>
  <c r="G979" i="30"/>
  <c r="F979" i="30"/>
  <c r="E979" i="30"/>
  <c r="D979" i="30"/>
  <c r="G978" i="30"/>
  <c r="F978" i="30"/>
  <c r="E978" i="30"/>
  <c r="D978" i="30"/>
  <c r="G977" i="30"/>
  <c r="F977" i="30"/>
  <c r="E977" i="30"/>
  <c r="D977" i="30"/>
  <c r="G976" i="30"/>
  <c r="F976" i="30"/>
  <c r="E976" i="30"/>
  <c r="D976" i="30"/>
  <c r="G975" i="30"/>
  <c r="F975" i="30"/>
  <c r="E975" i="30"/>
  <c r="D975" i="30"/>
  <c r="G974" i="30"/>
  <c r="F974" i="30"/>
  <c r="E974" i="30"/>
  <c r="D974" i="30"/>
  <c r="G973" i="30"/>
  <c r="F973" i="30"/>
  <c r="E973" i="30"/>
  <c r="D973" i="30"/>
  <c r="G972" i="30"/>
  <c r="F972" i="30"/>
  <c r="E972" i="30"/>
  <c r="D972" i="30"/>
  <c r="G971" i="30"/>
  <c r="F971" i="30"/>
  <c r="E971" i="30"/>
  <c r="D971" i="30"/>
  <c r="G970" i="30"/>
  <c r="F970" i="30"/>
  <c r="E970" i="30"/>
  <c r="D970" i="30"/>
  <c r="G969" i="30"/>
  <c r="F969" i="30"/>
  <c r="E969" i="30"/>
  <c r="D969" i="30"/>
  <c r="G968" i="30"/>
  <c r="F968" i="30"/>
  <c r="E968" i="30"/>
  <c r="D968" i="30"/>
  <c r="G967" i="30"/>
  <c r="F967" i="30"/>
  <c r="E967" i="30"/>
  <c r="D967" i="30"/>
  <c r="G966" i="30"/>
  <c r="F966" i="30"/>
  <c r="E966" i="30"/>
  <c r="D966" i="30"/>
  <c r="G965" i="30"/>
  <c r="F965" i="30"/>
  <c r="E965" i="30"/>
  <c r="D965" i="30"/>
  <c r="G964" i="30"/>
  <c r="F964" i="30"/>
  <c r="E964" i="30"/>
  <c r="D964" i="30"/>
  <c r="G963" i="30"/>
  <c r="F963" i="30"/>
  <c r="E963" i="30"/>
  <c r="D963" i="30"/>
  <c r="G962" i="30"/>
  <c r="F962" i="30"/>
  <c r="E962" i="30"/>
  <c r="D962" i="30"/>
  <c r="G961" i="30"/>
  <c r="F961" i="30"/>
  <c r="E961" i="30"/>
  <c r="D961" i="30"/>
  <c r="G960" i="30"/>
  <c r="F960" i="30"/>
  <c r="E960" i="30"/>
  <c r="D960" i="30"/>
  <c r="G959" i="30"/>
  <c r="F959" i="30"/>
  <c r="E959" i="30"/>
  <c r="D959" i="30"/>
  <c r="G958" i="30"/>
  <c r="F958" i="30"/>
  <c r="E958" i="30"/>
  <c r="D958" i="30"/>
  <c r="G957" i="30"/>
  <c r="F957" i="30"/>
  <c r="E957" i="30"/>
  <c r="D957" i="30"/>
  <c r="G956" i="30"/>
  <c r="F956" i="30"/>
  <c r="E956" i="30"/>
  <c r="D956" i="30"/>
  <c r="G955" i="30"/>
  <c r="F955" i="30"/>
  <c r="E955" i="30"/>
  <c r="D955" i="30"/>
  <c r="G954" i="30"/>
  <c r="F954" i="30"/>
  <c r="E954" i="30"/>
  <c r="D954" i="30"/>
  <c r="G953" i="30"/>
  <c r="F953" i="30"/>
  <c r="E953" i="30"/>
  <c r="D953" i="30"/>
  <c r="G952" i="30"/>
  <c r="F952" i="30"/>
  <c r="E952" i="30"/>
  <c r="D952" i="30"/>
  <c r="G951" i="30"/>
  <c r="F951" i="30"/>
  <c r="E951" i="30"/>
  <c r="D951" i="30"/>
  <c r="G950" i="30"/>
  <c r="F950" i="30"/>
  <c r="E950" i="30"/>
  <c r="D950" i="30"/>
  <c r="G949" i="30"/>
  <c r="F949" i="30"/>
  <c r="E949" i="30"/>
  <c r="D949" i="30"/>
  <c r="G948" i="30"/>
  <c r="F948" i="30"/>
  <c r="E948" i="30"/>
  <c r="D948" i="30"/>
  <c r="G947" i="30"/>
  <c r="F947" i="30"/>
  <c r="E947" i="30"/>
  <c r="D947" i="30"/>
  <c r="G946" i="30"/>
  <c r="F946" i="30"/>
  <c r="E946" i="30"/>
  <c r="D946" i="30"/>
  <c r="G945" i="30"/>
  <c r="F945" i="30"/>
  <c r="E945" i="30"/>
  <c r="D945" i="30"/>
  <c r="G944" i="30"/>
  <c r="F944" i="30"/>
  <c r="E944" i="30"/>
  <c r="D944" i="30"/>
  <c r="G943" i="30"/>
  <c r="F943" i="30"/>
  <c r="E943" i="30"/>
  <c r="D943" i="30"/>
  <c r="G942" i="30"/>
  <c r="F942" i="30"/>
  <c r="E942" i="30"/>
  <c r="D942" i="30"/>
  <c r="G941" i="30"/>
  <c r="F941" i="30"/>
  <c r="E941" i="30"/>
  <c r="D941" i="30"/>
  <c r="G940" i="30"/>
  <c r="F940" i="30"/>
  <c r="E940" i="30"/>
  <c r="D940" i="30"/>
  <c r="G939" i="30"/>
  <c r="F939" i="30"/>
  <c r="E939" i="30"/>
  <c r="D939" i="30"/>
  <c r="G938" i="30"/>
  <c r="F938" i="30"/>
  <c r="E938" i="30"/>
  <c r="D938" i="30"/>
  <c r="G937" i="30"/>
  <c r="F937" i="30"/>
  <c r="E937" i="30"/>
  <c r="D937" i="30"/>
  <c r="G936" i="30"/>
  <c r="F936" i="30"/>
  <c r="E936" i="30"/>
  <c r="D936" i="30"/>
  <c r="G935" i="30"/>
  <c r="F935" i="30"/>
  <c r="E935" i="30"/>
  <c r="D935" i="30"/>
  <c r="G934" i="30"/>
  <c r="F934" i="30"/>
  <c r="E934" i="30"/>
  <c r="D934" i="30"/>
  <c r="G933" i="30"/>
  <c r="F933" i="30"/>
  <c r="E933" i="30"/>
  <c r="D933" i="30"/>
  <c r="G932" i="30"/>
  <c r="F932" i="30"/>
  <c r="E932" i="30"/>
  <c r="D932" i="30"/>
  <c r="G931" i="30"/>
  <c r="F931" i="30"/>
  <c r="E931" i="30"/>
  <c r="D931" i="30"/>
  <c r="G930" i="30"/>
  <c r="F930" i="30"/>
  <c r="E930" i="30"/>
  <c r="D930" i="30"/>
  <c r="G929" i="30"/>
  <c r="F929" i="30"/>
  <c r="E929" i="30"/>
  <c r="D929" i="30"/>
  <c r="G928" i="30"/>
  <c r="F928" i="30"/>
  <c r="E928" i="30"/>
  <c r="D928" i="30"/>
  <c r="G927" i="30"/>
  <c r="F927" i="30"/>
  <c r="E927" i="30"/>
  <c r="D927" i="30"/>
  <c r="G926" i="30"/>
  <c r="F926" i="30"/>
  <c r="E926" i="30"/>
  <c r="D926" i="30"/>
  <c r="G925" i="30"/>
  <c r="F925" i="30"/>
  <c r="E925" i="30"/>
  <c r="D925" i="30"/>
  <c r="G924" i="30"/>
  <c r="F924" i="30"/>
  <c r="E924" i="30"/>
  <c r="D924" i="30"/>
  <c r="G923" i="30"/>
  <c r="F923" i="30"/>
  <c r="E923" i="30"/>
  <c r="D923" i="30"/>
  <c r="G922" i="30"/>
  <c r="F922" i="30"/>
  <c r="E922" i="30"/>
  <c r="D922" i="30"/>
  <c r="G921" i="30"/>
  <c r="F921" i="30"/>
  <c r="E921" i="30"/>
  <c r="D921" i="30"/>
  <c r="G920" i="30"/>
  <c r="F920" i="30"/>
  <c r="E920" i="30"/>
  <c r="D920" i="30"/>
  <c r="G919" i="30"/>
  <c r="F919" i="30"/>
  <c r="E919" i="30"/>
  <c r="D919" i="30"/>
  <c r="G918" i="30"/>
  <c r="F918" i="30"/>
  <c r="E918" i="30"/>
  <c r="D918" i="30"/>
  <c r="G917" i="30"/>
  <c r="F917" i="30"/>
  <c r="E917" i="30"/>
  <c r="D917" i="30"/>
  <c r="G916" i="30"/>
  <c r="F916" i="30"/>
  <c r="E916" i="30"/>
  <c r="D916" i="30"/>
  <c r="G915" i="30"/>
  <c r="F915" i="30"/>
  <c r="E915" i="30"/>
  <c r="D915" i="30"/>
  <c r="G914" i="30"/>
  <c r="F914" i="30"/>
  <c r="E914" i="30"/>
  <c r="D914" i="30"/>
  <c r="G913" i="30"/>
  <c r="F913" i="30"/>
  <c r="E913" i="30"/>
  <c r="D913" i="30"/>
  <c r="G912" i="30"/>
  <c r="F912" i="30"/>
  <c r="E912" i="30"/>
  <c r="D912" i="30"/>
  <c r="G911" i="30"/>
  <c r="F911" i="30"/>
  <c r="E911" i="30"/>
  <c r="D911" i="30"/>
  <c r="G910" i="30"/>
  <c r="F910" i="30"/>
  <c r="E910" i="30"/>
  <c r="D910" i="30"/>
  <c r="G909" i="30"/>
  <c r="F909" i="30"/>
  <c r="E909" i="30"/>
  <c r="D909" i="30"/>
  <c r="G908" i="30"/>
  <c r="F908" i="30"/>
  <c r="E908" i="30"/>
  <c r="D908" i="30"/>
  <c r="G907" i="30"/>
  <c r="F907" i="30"/>
  <c r="E907" i="30"/>
  <c r="D907" i="30"/>
  <c r="G906" i="30"/>
  <c r="F906" i="30"/>
  <c r="E906" i="30"/>
  <c r="D906" i="30"/>
  <c r="G905" i="30"/>
  <c r="F905" i="30"/>
  <c r="E905" i="30"/>
  <c r="D905" i="30"/>
  <c r="G904" i="30"/>
  <c r="F904" i="30"/>
  <c r="E904" i="30"/>
  <c r="D904" i="30"/>
  <c r="G903" i="30"/>
  <c r="F903" i="30"/>
  <c r="E903" i="30"/>
  <c r="D903" i="30"/>
  <c r="G902" i="30"/>
  <c r="F902" i="30"/>
  <c r="E902" i="30"/>
  <c r="D902" i="30"/>
  <c r="G901" i="30"/>
  <c r="F901" i="30"/>
  <c r="E901" i="30"/>
  <c r="D901" i="30"/>
  <c r="G900" i="30"/>
  <c r="F900" i="30"/>
  <c r="E900" i="30"/>
  <c r="D900" i="30"/>
  <c r="G899" i="30"/>
  <c r="F899" i="30"/>
  <c r="E899" i="30"/>
  <c r="D899" i="30"/>
  <c r="G898" i="30"/>
  <c r="F898" i="30"/>
  <c r="E898" i="30"/>
  <c r="D898" i="30"/>
  <c r="G897" i="30"/>
  <c r="F897" i="30"/>
  <c r="E897" i="30"/>
  <c r="D897" i="30"/>
  <c r="G896" i="30"/>
  <c r="F896" i="30"/>
  <c r="E896" i="30"/>
  <c r="D896" i="30"/>
  <c r="G895" i="30"/>
  <c r="F895" i="30"/>
  <c r="E895" i="30"/>
  <c r="D895" i="30"/>
  <c r="G894" i="30"/>
  <c r="F894" i="30"/>
  <c r="E894" i="30"/>
  <c r="D894" i="30"/>
  <c r="G893" i="30"/>
  <c r="F893" i="30"/>
  <c r="E893" i="30"/>
  <c r="D893" i="30"/>
  <c r="G892" i="30"/>
  <c r="F892" i="30"/>
  <c r="E892" i="30"/>
  <c r="D892" i="30"/>
  <c r="G891" i="30"/>
  <c r="F891" i="30"/>
  <c r="E891" i="30"/>
  <c r="D891" i="30"/>
  <c r="G890" i="30"/>
  <c r="F890" i="30"/>
  <c r="E890" i="30"/>
  <c r="D890" i="30"/>
  <c r="G889" i="30"/>
  <c r="F889" i="30"/>
  <c r="E889" i="30"/>
  <c r="D889" i="30"/>
  <c r="G888" i="30"/>
  <c r="F888" i="30"/>
  <c r="E888" i="30"/>
  <c r="D888" i="30"/>
  <c r="G887" i="30"/>
  <c r="F887" i="30"/>
  <c r="E887" i="30"/>
  <c r="D887" i="30"/>
  <c r="G886" i="30"/>
  <c r="F886" i="30"/>
  <c r="E886" i="30"/>
  <c r="D886" i="30"/>
  <c r="G885" i="30"/>
  <c r="F885" i="30"/>
  <c r="E885" i="30"/>
  <c r="D885" i="30"/>
  <c r="G884" i="30"/>
  <c r="F884" i="30"/>
  <c r="E884" i="30"/>
  <c r="D884" i="30"/>
  <c r="G883" i="30"/>
  <c r="F883" i="30"/>
  <c r="E883" i="30"/>
  <c r="D883" i="30"/>
  <c r="G882" i="30"/>
  <c r="F882" i="30"/>
  <c r="E882" i="30"/>
  <c r="D882" i="30"/>
  <c r="G881" i="30"/>
  <c r="F881" i="30"/>
  <c r="E881" i="30"/>
  <c r="D881" i="30"/>
  <c r="G880" i="30"/>
  <c r="F880" i="30"/>
  <c r="E880" i="30"/>
  <c r="D880" i="30"/>
  <c r="G879" i="30"/>
  <c r="F879" i="30"/>
  <c r="E879" i="30"/>
  <c r="D879" i="30"/>
  <c r="G878" i="30"/>
  <c r="F878" i="30"/>
  <c r="E878" i="30"/>
  <c r="D878" i="30"/>
  <c r="G877" i="30"/>
  <c r="F877" i="30"/>
  <c r="E877" i="30"/>
  <c r="D877" i="30"/>
  <c r="G876" i="30"/>
  <c r="F876" i="30"/>
  <c r="E876" i="30"/>
  <c r="D876" i="30"/>
  <c r="G875" i="30"/>
  <c r="F875" i="30"/>
  <c r="E875" i="30"/>
  <c r="D875" i="30"/>
  <c r="G874" i="30"/>
  <c r="F874" i="30"/>
  <c r="E874" i="30"/>
  <c r="D874" i="30"/>
  <c r="G873" i="30"/>
  <c r="F873" i="30"/>
  <c r="E873" i="30"/>
  <c r="D873" i="30"/>
  <c r="G872" i="30"/>
  <c r="F872" i="30"/>
  <c r="E872" i="30"/>
  <c r="D872" i="30"/>
  <c r="G871" i="30"/>
  <c r="F871" i="30"/>
  <c r="E871" i="30"/>
  <c r="D871" i="30"/>
  <c r="G870" i="30"/>
  <c r="F870" i="30"/>
  <c r="E870" i="30"/>
  <c r="D870" i="30"/>
  <c r="G869" i="30"/>
  <c r="F869" i="30"/>
  <c r="E869" i="30"/>
  <c r="D869" i="30"/>
  <c r="G868" i="30"/>
  <c r="F868" i="30"/>
  <c r="E868" i="30"/>
  <c r="D868" i="30"/>
  <c r="G867" i="30"/>
  <c r="F867" i="30"/>
  <c r="E867" i="30"/>
  <c r="D867" i="30"/>
  <c r="G866" i="30"/>
  <c r="F866" i="30"/>
  <c r="E866" i="30"/>
  <c r="D866" i="30"/>
  <c r="G865" i="30"/>
  <c r="F865" i="30"/>
  <c r="E865" i="30"/>
  <c r="D865" i="30"/>
  <c r="G864" i="30"/>
  <c r="F864" i="30"/>
  <c r="E864" i="30"/>
  <c r="D864" i="30"/>
  <c r="G863" i="30"/>
  <c r="F863" i="30"/>
  <c r="E863" i="30"/>
  <c r="D863" i="30"/>
  <c r="G862" i="30"/>
  <c r="F862" i="30"/>
  <c r="E862" i="30"/>
  <c r="D862" i="30"/>
  <c r="G861" i="30"/>
  <c r="F861" i="30"/>
  <c r="E861" i="30"/>
  <c r="D861" i="30"/>
  <c r="G860" i="30"/>
  <c r="F860" i="30"/>
  <c r="E860" i="30"/>
  <c r="D860" i="30"/>
  <c r="G859" i="30"/>
  <c r="F859" i="30"/>
  <c r="E859" i="30"/>
  <c r="D859" i="30"/>
  <c r="G858" i="30"/>
  <c r="F858" i="30"/>
  <c r="E858" i="30"/>
  <c r="D858" i="30"/>
  <c r="G857" i="30"/>
  <c r="F857" i="30"/>
  <c r="E857" i="30"/>
  <c r="D857" i="30"/>
  <c r="G856" i="30"/>
  <c r="F856" i="30"/>
  <c r="E856" i="30"/>
  <c r="D856" i="30"/>
  <c r="G855" i="30"/>
  <c r="F855" i="30"/>
  <c r="E855" i="30"/>
  <c r="D855" i="30"/>
  <c r="G854" i="30"/>
  <c r="F854" i="30"/>
  <c r="E854" i="30"/>
  <c r="D854" i="30"/>
  <c r="G853" i="30"/>
  <c r="F853" i="30"/>
  <c r="E853" i="30"/>
  <c r="D853" i="30"/>
  <c r="G852" i="30"/>
  <c r="F852" i="30"/>
  <c r="E852" i="30"/>
  <c r="D852" i="30"/>
  <c r="G851" i="30"/>
  <c r="F851" i="30"/>
  <c r="E851" i="30"/>
  <c r="D851" i="30"/>
  <c r="G850" i="30"/>
  <c r="F850" i="30"/>
  <c r="E850" i="30"/>
  <c r="D850" i="30"/>
  <c r="G849" i="30"/>
  <c r="F849" i="30"/>
  <c r="E849" i="30"/>
  <c r="D849" i="30"/>
  <c r="G848" i="30"/>
  <c r="F848" i="30"/>
  <c r="E848" i="30"/>
  <c r="D848" i="30"/>
  <c r="G847" i="30"/>
  <c r="F847" i="30"/>
  <c r="E847" i="30"/>
  <c r="D847" i="30"/>
  <c r="G846" i="30"/>
  <c r="F846" i="30"/>
  <c r="E846" i="30"/>
  <c r="D846" i="30"/>
  <c r="G845" i="30"/>
  <c r="F845" i="30"/>
  <c r="E845" i="30"/>
  <c r="D845" i="30"/>
  <c r="G844" i="30"/>
  <c r="F844" i="30"/>
  <c r="E844" i="30"/>
  <c r="D844" i="30"/>
  <c r="G843" i="30"/>
  <c r="F843" i="30"/>
  <c r="E843" i="30"/>
  <c r="D843" i="30"/>
  <c r="G842" i="30"/>
  <c r="F842" i="30"/>
  <c r="E842" i="30"/>
  <c r="D842" i="30"/>
  <c r="G841" i="30"/>
  <c r="F841" i="30"/>
  <c r="E841" i="30"/>
  <c r="D841" i="30"/>
  <c r="G840" i="30"/>
  <c r="F840" i="30"/>
  <c r="E840" i="30"/>
  <c r="D840" i="30"/>
  <c r="G839" i="30"/>
  <c r="F839" i="30"/>
  <c r="E839" i="30"/>
  <c r="D839" i="30"/>
  <c r="G838" i="30"/>
  <c r="F838" i="30"/>
  <c r="E838" i="30"/>
  <c r="D838" i="30"/>
  <c r="G837" i="30"/>
  <c r="F837" i="30"/>
  <c r="E837" i="30"/>
  <c r="D837" i="30"/>
  <c r="G836" i="30"/>
  <c r="F836" i="30"/>
  <c r="E836" i="30"/>
  <c r="D836" i="30"/>
  <c r="G835" i="30"/>
  <c r="F835" i="30"/>
  <c r="E835" i="30"/>
  <c r="D835" i="30"/>
  <c r="G834" i="30"/>
  <c r="F834" i="30"/>
  <c r="E834" i="30"/>
  <c r="D834" i="30"/>
  <c r="G833" i="30"/>
  <c r="F833" i="30"/>
  <c r="E833" i="30"/>
  <c r="D833" i="30"/>
  <c r="G832" i="30"/>
  <c r="F832" i="30"/>
  <c r="E832" i="30"/>
  <c r="D832" i="30"/>
  <c r="G831" i="30"/>
  <c r="F831" i="30"/>
  <c r="E831" i="30"/>
  <c r="D831" i="30"/>
  <c r="G830" i="30"/>
  <c r="F830" i="30"/>
  <c r="E830" i="30"/>
  <c r="D830" i="30"/>
  <c r="G829" i="30"/>
  <c r="F829" i="30"/>
  <c r="E829" i="30"/>
  <c r="D829" i="30"/>
  <c r="G828" i="30"/>
  <c r="F828" i="30"/>
  <c r="E828" i="30"/>
  <c r="D828" i="30"/>
  <c r="G827" i="30"/>
  <c r="F827" i="30"/>
  <c r="E827" i="30"/>
  <c r="D827" i="30"/>
  <c r="G826" i="30"/>
  <c r="F826" i="30"/>
  <c r="E826" i="30"/>
  <c r="D826" i="30"/>
  <c r="G825" i="30"/>
  <c r="F825" i="30"/>
  <c r="E825" i="30"/>
  <c r="D825" i="30"/>
  <c r="G824" i="30"/>
  <c r="F824" i="30"/>
  <c r="E824" i="30"/>
  <c r="D824" i="30"/>
  <c r="G823" i="30"/>
  <c r="F823" i="30"/>
  <c r="E823" i="30"/>
  <c r="D823" i="30"/>
  <c r="G822" i="30"/>
  <c r="F822" i="30"/>
  <c r="E822" i="30"/>
  <c r="D822" i="30"/>
  <c r="G821" i="30"/>
  <c r="F821" i="30"/>
  <c r="E821" i="30"/>
  <c r="D821" i="30"/>
  <c r="G820" i="30"/>
  <c r="F820" i="30"/>
  <c r="E820" i="30"/>
  <c r="D820" i="30"/>
  <c r="G819" i="30"/>
  <c r="F819" i="30"/>
  <c r="E819" i="30"/>
  <c r="D819" i="30"/>
  <c r="G818" i="30"/>
  <c r="F818" i="30"/>
  <c r="E818" i="30"/>
  <c r="D818" i="30"/>
  <c r="G817" i="30"/>
  <c r="F817" i="30"/>
  <c r="E817" i="30"/>
  <c r="D817" i="30"/>
  <c r="G816" i="30"/>
  <c r="F816" i="30"/>
  <c r="E816" i="30"/>
  <c r="D816" i="30"/>
  <c r="G815" i="30"/>
  <c r="F815" i="30"/>
  <c r="E815" i="30"/>
  <c r="D815" i="30"/>
  <c r="G814" i="30"/>
  <c r="F814" i="30"/>
  <c r="E814" i="30"/>
  <c r="D814" i="30"/>
  <c r="G813" i="30"/>
  <c r="F813" i="30"/>
  <c r="E813" i="30"/>
  <c r="D813" i="30"/>
  <c r="G812" i="30"/>
  <c r="F812" i="30"/>
  <c r="E812" i="30"/>
  <c r="D812" i="30"/>
  <c r="G811" i="30"/>
  <c r="F811" i="30"/>
  <c r="E811" i="30"/>
  <c r="D811" i="30"/>
  <c r="G810" i="30"/>
  <c r="F810" i="30"/>
  <c r="E810" i="30"/>
  <c r="D810" i="30"/>
  <c r="G809" i="30"/>
  <c r="F809" i="30"/>
  <c r="E809" i="30"/>
  <c r="D809" i="30"/>
  <c r="G808" i="30"/>
  <c r="F808" i="30"/>
  <c r="E808" i="30"/>
  <c r="D808" i="30"/>
  <c r="G807" i="30"/>
  <c r="F807" i="30"/>
  <c r="E807" i="30"/>
  <c r="D807" i="30"/>
  <c r="G806" i="30"/>
  <c r="F806" i="30"/>
  <c r="E806" i="30"/>
  <c r="D806" i="30"/>
  <c r="G805" i="30"/>
  <c r="F805" i="30"/>
  <c r="E805" i="30"/>
  <c r="D805" i="30"/>
  <c r="G804" i="30"/>
  <c r="F804" i="30"/>
  <c r="E804" i="30"/>
  <c r="D804" i="30"/>
  <c r="G803" i="30"/>
  <c r="F803" i="30"/>
  <c r="E803" i="30"/>
  <c r="D803" i="30"/>
  <c r="G802" i="30"/>
  <c r="F802" i="30"/>
  <c r="E802" i="30"/>
  <c r="D802" i="30"/>
  <c r="G801" i="30"/>
  <c r="F801" i="30"/>
  <c r="E801" i="30"/>
  <c r="D801" i="30"/>
  <c r="G800" i="30"/>
  <c r="F800" i="30"/>
  <c r="E800" i="30"/>
  <c r="D800" i="30"/>
  <c r="G799" i="30"/>
  <c r="F799" i="30"/>
  <c r="E799" i="30"/>
  <c r="D799" i="30"/>
  <c r="G798" i="30"/>
  <c r="F798" i="30"/>
  <c r="E798" i="30"/>
  <c r="D798" i="30"/>
  <c r="G797" i="30"/>
  <c r="F797" i="30"/>
  <c r="E797" i="30"/>
  <c r="D797" i="30"/>
  <c r="G796" i="30"/>
  <c r="F796" i="30"/>
  <c r="E796" i="30"/>
  <c r="D796" i="30"/>
  <c r="G795" i="30"/>
  <c r="F795" i="30"/>
  <c r="E795" i="30"/>
  <c r="D795" i="30"/>
  <c r="G794" i="30"/>
  <c r="F794" i="30"/>
  <c r="E794" i="30"/>
  <c r="D794" i="30"/>
  <c r="G793" i="30"/>
  <c r="F793" i="30"/>
  <c r="E793" i="30"/>
  <c r="D793" i="30"/>
  <c r="G792" i="30"/>
  <c r="F792" i="30"/>
  <c r="E792" i="30"/>
  <c r="D792" i="30"/>
  <c r="G791" i="30"/>
  <c r="F791" i="30"/>
  <c r="E791" i="30"/>
  <c r="D791" i="30"/>
  <c r="G790" i="30"/>
  <c r="F790" i="30"/>
  <c r="E790" i="30"/>
  <c r="D790" i="30"/>
  <c r="G789" i="30"/>
  <c r="F789" i="30"/>
  <c r="E789" i="30"/>
  <c r="D789" i="30"/>
  <c r="G788" i="30"/>
  <c r="F788" i="30"/>
  <c r="E788" i="30"/>
  <c r="D788" i="30"/>
  <c r="G787" i="30"/>
  <c r="F787" i="30"/>
  <c r="E787" i="30"/>
  <c r="D787" i="30"/>
  <c r="G786" i="30"/>
  <c r="F786" i="30"/>
  <c r="E786" i="30"/>
  <c r="D786" i="30"/>
  <c r="G785" i="30"/>
  <c r="F785" i="30"/>
  <c r="E785" i="30"/>
  <c r="D785" i="30"/>
  <c r="G784" i="30"/>
  <c r="F784" i="30"/>
  <c r="E784" i="30"/>
  <c r="D784" i="30"/>
  <c r="G783" i="30"/>
  <c r="F783" i="30"/>
  <c r="E783" i="30"/>
  <c r="D783" i="30"/>
  <c r="G782" i="30"/>
  <c r="F782" i="30"/>
  <c r="E782" i="30"/>
  <c r="D782" i="30"/>
  <c r="G781" i="30"/>
  <c r="F781" i="30"/>
  <c r="E781" i="30"/>
  <c r="D781" i="30"/>
  <c r="G780" i="30"/>
  <c r="F780" i="30"/>
  <c r="E780" i="30"/>
  <c r="D780" i="30"/>
  <c r="G779" i="30"/>
  <c r="F779" i="30"/>
  <c r="E779" i="30"/>
  <c r="D779" i="30"/>
  <c r="G778" i="30"/>
  <c r="F778" i="30"/>
  <c r="E778" i="30"/>
  <c r="D778" i="30"/>
  <c r="G777" i="30"/>
  <c r="F777" i="30"/>
  <c r="E777" i="30"/>
  <c r="D777" i="30"/>
  <c r="G776" i="30"/>
  <c r="F776" i="30"/>
  <c r="E776" i="30"/>
  <c r="D776" i="30"/>
  <c r="G775" i="30"/>
  <c r="F775" i="30"/>
  <c r="E775" i="30"/>
  <c r="D775" i="30"/>
  <c r="G774" i="30"/>
  <c r="F774" i="30"/>
  <c r="E774" i="30"/>
  <c r="D774" i="30"/>
  <c r="G773" i="30"/>
  <c r="F773" i="30"/>
  <c r="E773" i="30"/>
  <c r="D773" i="30"/>
  <c r="G772" i="30"/>
  <c r="F772" i="30"/>
  <c r="E772" i="30"/>
  <c r="D772" i="30"/>
  <c r="G771" i="30"/>
  <c r="F771" i="30"/>
  <c r="E771" i="30"/>
  <c r="D771" i="30"/>
  <c r="G770" i="30"/>
  <c r="F770" i="30"/>
  <c r="E770" i="30"/>
  <c r="D770" i="30"/>
  <c r="G769" i="30"/>
  <c r="F769" i="30"/>
  <c r="E769" i="30"/>
  <c r="D769" i="30"/>
  <c r="G768" i="30"/>
  <c r="F768" i="30"/>
  <c r="E768" i="30"/>
  <c r="D768" i="30"/>
  <c r="G767" i="30"/>
  <c r="F767" i="30"/>
  <c r="E767" i="30"/>
  <c r="D767" i="30"/>
  <c r="G766" i="30"/>
  <c r="F766" i="30"/>
  <c r="E766" i="30"/>
  <c r="D766" i="30"/>
  <c r="G765" i="30"/>
  <c r="F765" i="30"/>
  <c r="E765" i="30"/>
  <c r="D765" i="30"/>
  <c r="G764" i="30"/>
  <c r="F764" i="30"/>
  <c r="E764" i="30"/>
  <c r="D764" i="30"/>
  <c r="G763" i="30"/>
  <c r="F763" i="30"/>
  <c r="E763" i="30"/>
  <c r="D763" i="30"/>
  <c r="G762" i="30"/>
  <c r="F762" i="30"/>
  <c r="E762" i="30"/>
  <c r="D762" i="30"/>
  <c r="G761" i="30"/>
  <c r="F761" i="30"/>
  <c r="E761" i="30"/>
  <c r="D761" i="30"/>
  <c r="G760" i="30"/>
  <c r="F760" i="30"/>
  <c r="E760" i="30"/>
  <c r="D760" i="30"/>
  <c r="G759" i="30"/>
  <c r="F759" i="30"/>
  <c r="E759" i="30"/>
  <c r="D759" i="30"/>
  <c r="G758" i="30"/>
  <c r="F758" i="30"/>
  <c r="E758" i="30"/>
  <c r="D758" i="30"/>
  <c r="G757" i="30"/>
  <c r="F757" i="30"/>
  <c r="E757" i="30"/>
  <c r="D757" i="30"/>
  <c r="G756" i="30"/>
  <c r="F756" i="30"/>
  <c r="E756" i="30"/>
  <c r="D756" i="30"/>
  <c r="G755" i="30"/>
  <c r="F755" i="30"/>
  <c r="E755" i="30"/>
  <c r="D755" i="30"/>
  <c r="G754" i="30"/>
  <c r="F754" i="30"/>
  <c r="E754" i="30"/>
  <c r="D754" i="30"/>
  <c r="G753" i="30"/>
  <c r="F753" i="30"/>
  <c r="E753" i="30"/>
  <c r="D753" i="30"/>
  <c r="G752" i="30"/>
  <c r="F752" i="30"/>
  <c r="E752" i="30"/>
  <c r="D752" i="30"/>
  <c r="G751" i="30"/>
  <c r="F751" i="30"/>
  <c r="E751" i="30"/>
  <c r="D751" i="30"/>
  <c r="G750" i="30"/>
  <c r="F750" i="30"/>
  <c r="E750" i="30"/>
  <c r="D750" i="30"/>
  <c r="G749" i="30"/>
  <c r="F749" i="30"/>
  <c r="E749" i="30"/>
  <c r="D749" i="30"/>
  <c r="G748" i="30"/>
  <c r="F748" i="30"/>
  <c r="E748" i="30"/>
  <c r="D748" i="30"/>
  <c r="G747" i="30"/>
  <c r="F747" i="30"/>
  <c r="E747" i="30"/>
  <c r="D747" i="30"/>
  <c r="G746" i="30"/>
  <c r="F746" i="30"/>
  <c r="E746" i="30"/>
  <c r="D746" i="30"/>
  <c r="G745" i="30"/>
  <c r="F745" i="30"/>
  <c r="E745" i="30"/>
  <c r="D745" i="30"/>
  <c r="G744" i="30"/>
  <c r="F744" i="30"/>
  <c r="E744" i="30"/>
  <c r="D744" i="30"/>
  <c r="G743" i="30"/>
  <c r="F743" i="30"/>
  <c r="E743" i="30"/>
  <c r="D743" i="30"/>
  <c r="G742" i="30"/>
  <c r="F742" i="30"/>
  <c r="E742" i="30"/>
  <c r="D742" i="30"/>
  <c r="G741" i="30"/>
  <c r="F741" i="30"/>
  <c r="E741" i="30"/>
  <c r="D741" i="30"/>
  <c r="G740" i="30"/>
  <c r="F740" i="30"/>
  <c r="E740" i="30"/>
  <c r="D740" i="30"/>
  <c r="G739" i="30"/>
  <c r="F739" i="30"/>
  <c r="E739" i="30"/>
  <c r="D739" i="30"/>
  <c r="G738" i="30"/>
  <c r="F738" i="30"/>
  <c r="E738" i="30"/>
  <c r="D738" i="30"/>
  <c r="G737" i="30"/>
  <c r="F737" i="30"/>
  <c r="E737" i="30"/>
  <c r="D737" i="30"/>
  <c r="G736" i="30"/>
  <c r="F736" i="30"/>
  <c r="E736" i="30"/>
  <c r="D736" i="30"/>
  <c r="G735" i="30"/>
  <c r="F735" i="30"/>
  <c r="E735" i="30"/>
  <c r="D735" i="30"/>
  <c r="G734" i="30"/>
  <c r="F734" i="30"/>
  <c r="E734" i="30"/>
  <c r="D734" i="30"/>
  <c r="G733" i="30"/>
  <c r="F733" i="30"/>
  <c r="E733" i="30"/>
  <c r="D733" i="30"/>
  <c r="G732" i="30"/>
  <c r="F732" i="30"/>
  <c r="E732" i="30"/>
  <c r="D732" i="30"/>
  <c r="G731" i="30"/>
  <c r="F731" i="30"/>
  <c r="E731" i="30"/>
  <c r="D731" i="30"/>
  <c r="G730" i="30"/>
  <c r="F730" i="30"/>
  <c r="E730" i="30"/>
  <c r="D730" i="30"/>
  <c r="G729" i="30"/>
  <c r="F729" i="30"/>
  <c r="E729" i="30"/>
  <c r="D729" i="30"/>
  <c r="G728" i="30"/>
  <c r="F728" i="30"/>
  <c r="E728" i="30"/>
  <c r="D728" i="30"/>
  <c r="G727" i="30"/>
  <c r="F727" i="30"/>
  <c r="E727" i="30"/>
  <c r="D727" i="30"/>
  <c r="G726" i="30"/>
  <c r="F726" i="30"/>
  <c r="E726" i="30"/>
  <c r="D726" i="30"/>
  <c r="G725" i="30"/>
  <c r="F725" i="30"/>
  <c r="E725" i="30"/>
  <c r="D725" i="30"/>
  <c r="G724" i="30"/>
  <c r="F724" i="30"/>
  <c r="E724" i="30"/>
  <c r="D724" i="30"/>
  <c r="G723" i="30"/>
  <c r="F723" i="30"/>
  <c r="E723" i="30"/>
  <c r="D723" i="30"/>
  <c r="G722" i="30"/>
  <c r="F722" i="30"/>
  <c r="E722" i="30"/>
  <c r="D722" i="30"/>
  <c r="G721" i="30"/>
  <c r="F721" i="30"/>
  <c r="E721" i="30"/>
  <c r="D721" i="30"/>
  <c r="G720" i="30"/>
  <c r="F720" i="30"/>
  <c r="E720" i="30"/>
  <c r="D720" i="30"/>
  <c r="G719" i="30"/>
  <c r="F719" i="30"/>
  <c r="E719" i="30"/>
  <c r="D719" i="30"/>
  <c r="G718" i="30"/>
  <c r="F718" i="30"/>
  <c r="E718" i="30"/>
  <c r="D718" i="30"/>
  <c r="G717" i="30"/>
  <c r="F717" i="30"/>
  <c r="E717" i="30"/>
  <c r="D717" i="30"/>
  <c r="G716" i="30"/>
  <c r="F716" i="30"/>
  <c r="E716" i="30"/>
  <c r="D716" i="30"/>
  <c r="G715" i="30"/>
  <c r="F715" i="30"/>
  <c r="E715" i="30"/>
  <c r="D715" i="30"/>
  <c r="G714" i="30"/>
  <c r="F714" i="30"/>
  <c r="E714" i="30"/>
  <c r="D714" i="30"/>
  <c r="G713" i="30"/>
  <c r="F713" i="30"/>
  <c r="E713" i="30"/>
  <c r="D713" i="30"/>
  <c r="G712" i="30"/>
  <c r="F712" i="30"/>
  <c r="E712" i="30"/>
  <c r="D712" i="30"/>
  <c r="G711" i="30"/>
  <c r="F711" i="30"/>
  <c r="E711" i="30"/>
  <c r="D711" i="30"/>
  <c r="G710" i="30"/>
  <c r="F710" i="30"/>
  <c r="E710" i="30"/>
  <c r="D710" i="30"/>
  <c r="G709" i="30"/>
  <c r="F709" i="30"/>
  <c r="E709" i="30"/>
  <c r="D709" i="30"/>
  <c r="G708" i="30"/>
  <c r="F708" i="30"/>
  <c r="E708" i="30"/>
  <c r="D708" i="30"/>
  <c r="G707" i="30"/>
  <c r="F707" i="30"/>
  <c r="E707" i="30"/>
  <c r="D707" i="30"/>
  <c r="G706" i="30"/>
  <c r="F706" i="30"/>
  <c r="E706" i="30"/>
  <c r="D706" i="30"/>
  <c r="G705" i="30"/>
  <c r="F705" i="30"/>
  <c r="E705" i="30"/>
  <c r="D705" i="30"/>
  <c r="G704" i="30"/>
  <c r="F704" i="30"/>
  <c r="E704" i="30"/>
  <c r="D704" i="30"/>
  <c r="G703" i="30"/>
  <c r="F703" i="30"/>
  <c r="E703" i="30"/>
  <c r="D703" i="30"/>
  <c r="G702" i="30"/>
  <c r="F702" i="30"/>
  <c r="E702" i="30"/>
  <c r="D702" i="30"/>
  <c r="G701" i="30"/>
  <c r="F701" i="30"/>
  <c r="E701" i="30"/>
  <c r="D701" i="30"/>
  <c r="G700" i="30"/>
  <c r="F700" i="30"/>
  <c r="E700" i="30"/>
  <c r="D700" i="30"/>
  <c r="G699" i="30"/>
  <c r="F699" i="30"/>
  <c r="E699" i="30"/>
  <c r="D699" i="30"/>
  <c r="G698" i="30"/>
  <c r="F698" i="30"/>
  <c r="E698" i="30"/>
  <c r="D698" i="30"/>
  <c r="G697" i="30"/>
  <c r="F697" i="30"/>
  <c r="E697" i="30"/>
  <c r="D697" i="30"/>
  <c r="G696" i="30"/>
  <c r="F696" i="30"/>
  <c r="E696" i="30"/>
  <c r="D696" i="30"/>
  <c r="G695" i="30"/>
  <c r="F695" i="30"/>
  <c r="E695" i="30"/>
  <c r="D695" i="30"/>
  <c r="G694" i="30"/>
  <c r="F694" i="30"/>
  <c r="E694" i="30"/>
  <c r="D694" i="30"/>
  <c r="G693" i="30"/>
  <c r="F693" i="30"/>
  <c r="E693" i="30"/>
  <c r="D693" i="30"/>
  <c r="G692" i="30"/>
  <c r="F692" i="30"/>
  <c r="E692" i="30"/>
  <c r="D692" i="30"/>
  <c r="G691" i="30"/>
  <c r="F691" i="30"/>
  <c r="E691" i="30"/>
  <c r="D691" i="30"/>
  <c r="G690" i="30"/>
  <c r="F690" i="30"/>
  <c r="E690" i="30"/>
  <c r="D690" i="30"/>
  <c r="G689" i="30"/>
  <c r="F689" i="30"/>
  <c r="E689" i="30"/>
  <c r="D689" i="30"/>
  <c r="G688" i="30"/>
  <c r="F688" i="30"/>
  <c r="E688" i="30"/>
  <c r="D688" i="30"/>
  <c r="G687" i="30"/>
  <c r="F687" i="30"/>
  <c r="E687" i="30"/>
  <c r="D687" i="30"/>
  <c r="G686" i="30"/>
  <c r="F686" i="30"/>
  <c r="E686" i="30"/>
  <c r="D686" i="30"/>
  <c r="G685" i="30"/>
  <c r="F685" i="30"/>
  <c r="E685" i="30"/>
  <c r="D685" i="30"/>
  <c r="G684" i="30"/>
  <c r="F684" i="30"/>
  <c r="E684" i="30"/>
  <c r="D684" i="30"/>
  <c r="G683" i="30"/>
  <c r="F683" i="30"/>
  <c r="E683" i="30"/>
  <c r="D683" i="30"/>
  <c r="G682" i="30"/>
  <c r="F682" i="30"/>
  <c r="E682" i="30"/>
  <c r="D682" i="30"/>
  <c r="G681" i="30"/>
  <c r="F681" i="30"/>
  <c r="E681" i="30"/>
  <c r="D681" i="30"/>
  <c r="G680" i="30"/>
  <c r="F680" i="30"/>
  <c r="E680" i="30"/>
  <c r="D680" i="30"/>
  <c r="G679" i="30"/>
  <c r="F679" i="30"/>
  <c r="E679" i="30"/>
  <c r="D679" i="30"/>
  <c r="G678" i="30"/>
  <c r="F678" i="30"/>
  <c r="E678" i="30"/>
  <c r="D678" i="30"/>
  <c r="G677" i="30"/>
  <c r="F677" i="30"/>
  <c r="E677" i="30"/>
  <c r="D677" i="30"/>
  <c r="G676" i="30"/>
  <c r="F676" i="30"/>
  <c r="E676" i="30"/>
  <c r="D676" i="30"/>
  <c r="G675" i="30"/>
  <c r="F675" i="30"/>
  <c r="E675" i="30"/>
  <c r="D675" i="30"/>
  <c r="G674" i="30"/>
  <c r="F674" i="30"/>
  <c r="E674" i="30"/>
  <c r="D674" i="30"/>
  <c r="G673" i="30"/>
  <c r="F673" i="30"/>
  <c r="E673" i="30"/>
  <c r="D673" i="30"/>
  <c r="G672" i="30"/>
  <c r="F672" i="30"/>
  <c r="E672" i="30"/>
  <c r="D672" i="30"/>
  <c r="G671" i="30"/>
  <c r="F671" i="30"/>
  <c r="E671" i="30"/>
  <c r="D671" i="30"/>
  <c r="G670" i="30"/>
  <c r="F670" i="30"/>
  <c r="E670" i="30"/>
  <c r="D670" i="30"/>
  <c r="G669" i="30"/>
  <c r="F669" i="30"/>
  <c r="E669" i="30"/>
  <c r="D669" i="30"/>
  <c r="G668" i="30"/>
  <c r="F668" i="30"/>
  <c r="E668" i="30"/>
  <c r="D668" i="30"/>
  <c r="G667" i="30"/>
  <c r="F667" i="30"/>
  <c r="E667" i="30"/>
  <c r="D667" i="30"/>
  <c r="G666" i="30"/>
  <c r="F666" i="30"/>
  <c r="E666" i="30"/>
  <c r="D666" i="30"/>
  <c r="G665" i="30"/>
  <c r="F665" i="30"/>
  <c r="E665" i="30"/>
  <c r="D665" i="30"/>
  <c r="G664" i="30"/>
  <c r="F664" i="30"/>
  <c r="E664" i="30"/>
  <c r="D664" i="30"/>
  <c r="G663" i="30"/>
  <c r="F663" i="30"/>
  <c r="E663" i="30"/>
  <c r="D663" i="30"/>
  <c r="G662" i="30"/>
  <c r="F662" i="30"/>
  <c r="E662" i="30"/>
  <c r="D662" i="30"/>
  <c r="G661" i="30"/>
  <c r="F661" i="30"/>
  <c r="E661" i="30"/>
  <c r="D661" i="30"/>
  <c r="G660" i="30"/>
  <c r="F660" i="30"/>
  <c r="E660" i="30"/>
  <c r="D660" i="30"/>
  <c r="G659" i="30"/>
  <c r="F659" i="30"/>
  <c r="E659" i="30"/>
  <c r="D659" i="30"/>
  <c r="G658" i="30"/>
  <c r="F658" i="30"/>
  <c r="E658" i="30"/>
  <c r="D658" i="30"/>
  <c r="G657" i="30"/>
  <c r="F657" i="30"/>
  <c r="E657" i="30"/>
  <c r="D657" i="30"/>
  <c r="G656" i="30"/>
  <c r="F656" i="30"/>
  <c r="E656" i="30"/>
  <c r="D656" i="30"/>
  <c r="G655" i="30"/>
  <c r="F655" i="30"/>
  <c r="E655" i="30"/>
  <c r="D655" i="30"/>
  <c r="G654" i="30"/>
  <c r="F654" i="30"/>
  <c r="E654" i="30"/>
  <c r="D654" i="30"/>
  <c r="G653" i="30"/>
  <c r="F653" i="30"/>
  <c r="E653" i="30"/>
  <c r="D653" i="30"/>
  <c r="G652" i="30"/>
  <c r="F652" i="30"/>
  <c r="E652" i="30"/>
  <c r="D652" i="30"/>
  <c r="G651" i="30"/>
  <c r="F651" i="30"/>
  <c r="E651" i="30"/>
  <c r="D651" i="30"/>
  <c r="G650" i="30"/>
  <c r="F650" i="30"/>
  <c r="E650" i="30"/>
  <c r="D650" i="30"/>
  <c r="G649" i="30"/>
  <c r="F649" i="30"/>
  <c r="E649" i="30"/>
  <c r="D649" i="30"/>
  <c r="G648" i="30"/>
  <c r="F648" i="30"/>
  <c r="E648" i="30"/>
  <c r="D648" i="30"/>
  <c r="G647" i="30"/>
  <c r="F647" i="30"/>
  <c r="E647" i="30"/>
  <c r="D647" i="30"/>
  <c r="G646" i="30"/>
  <c r="F646" i="30"/>
  <c r="E646" i="30"/>
  <c r="D646" i="30"/>
  <c r="G645" i="30"/>
  <c r="F645" i="30"/>
  <c r="E645" i="30"/>
  <c r="D645" i="30"/>
  <c r="G644" i="30"/>
  <c r="F644" i="30"/>
  <c r="E644" i="30"/>
  <c r="D644" i="30"/>
  <c r="G643" i="30"/>
  <c r="F643" i="30"/>
  <c r="E643" i="30"/>
  <c r="D643" i="30"/>
  <c r="G642" i="30"/>
  <c r="F642" i="30"/>
  <c r="E642" i="30"/>
  <c r="D642" i="30"/>
  <c r="G641" i="30"/>
  <c r="F641" i="30"/>
  <c r="E641" i="30"/>
  <c r="D641" i="30"/>
  <c r="G640" i="30"/>
  <c r="F640" i="30"/>
  <c r="E640" i="30"/>
  <c r="D640" i="30"/>
  <c r="G639" i="30"/>
  <c r="F639" i="30"/>
  <c r="E639" i="30"/>
  <c r="D639" i="30"/>
  <c r="G638" i="30"/>
  <c r="F638" i="30"/>
  <c r="E638" i="30"/>
  <c r="D638" i="30"/>
  <c r="G637" i="30"/>
  <c r="F637" i="30"/>
  <c r="E637" i="30"/>
  <c r="D637" i="30"/>
  <c r="G636" i="30"/>
  <c r="F636" i="30"/>
  <c r="E636" i="30"/>
  <c r="D636" i="30"/>
  <c r="G635" i="30"/>
  <c r="F635" i="30"/>
  <c r="E635" i="30"/>
  <c r="D635" i="30"/>
  <c r="G634" i="30"/>
  <c r="F634" i="30"/>
  <c r="E634" i="30"/>
  <c r="D634" i="30"/>
  <c r="G633" i="30"/>
  <c r="F633" i="30"/>
  <c r="E633" i="30"/>
  <c r="D633" i="30"/>
  <c r="G632" i="30"/>
  <c r="F632" i="30"/>
  <c r="E632" i="30"/>
  <c r="D632" i="30"/>
  <c r="G631" i="30"/>
  <c r="F631" i="30"/>
  <c r="E631" i="30"/>
  <c r="D631" i="30"/>
  <c r="G630" i="30"/>
  <c r="F630" i="30"/>
  <c r="E630" i="30"/>
  <c r="D630" i="30"/>
  <c r="G629" i="30"/>
  <c r="F629" i="30"/>
  <c r="E629" i="30"/>
  <c r="D629" i="30"/>
  <c r="G628" i="30"/>
  <c r="F628" i="30"/>
  <c r="E628" i="30"/>
  <c r="D628" i="30"/>
  <c r="G627" i="30"/>
  <c r="F627" i="30"/>
  <c r="E627" i="30"/>
  <c r="D627" i="30"/>
  <c r="G626" i="30"/>
  <c r="F626" i="30"/>
  <c r="E626" i="30"/>
  <c r="D626" i="30"/>
  <c r="G625" i="30"/>
  <c r="F625" i="30"/>
  <c r="E625" i="30"/>
  <c r="D625" i="30"/>
  <c r="G624" i="30"/>
  <c r="F624" i="30"/>
  <c r="E624" i="30"/>
  <c r="D624" i="30"/>
  <c r="G623" i="30"/>
  <c r="F623" i="30"/>
  <c r="E623" i="30"/>
  <c r="D623" i="30"/>
  <c r="G622" i="30"/>
  <c r="F622" i="30"/>
  <c r="E622" i="30"/>
  <c r="D622" i="30"/>
  <c r="G621" i="30"/>
  <c r="F621" i="30"/>
  <c r="E621" i="30"/>
  <c r="D621" i="30"/>
  <c r="G620" i="30"/>
  <c r="F620" i="30"/>
  <c r="E620" i="30"/>
  <c r="D620" i="30"/>
  <c r="G619" i="30"/>
  <c r="F619" i="30"/>
  <c r="E619" i="30"/>
  <c r="D619" i="30"/>
  <c r="G618" i="30"/>
  <c r="F618" i="30"/>
  <c r="E618" i="30"/>
  <c r="D618" i="30"/>
  <c r="G617" i="30"/>
  <c r="F617" i="30"/>
  <c r="E617" i="30"/>
  <c r="D617" i="30"/>
  <c r="G616" i="30"/>
  <c r="F616" i="30"/>
  <c r="E616" i="30"/>
  <c r="D616" i="30"/>
  <c r="G615" i="30"/>
  <c r="F615" i="30"/>
  <c r="E615" i="30"/>
  <c r="D615" i="30"/>
  <c r="G614" i="30"/>
  <c r="F614" i="30"/>
  <c r="E614" i="30"/>
  <c r="D614" i="30"/>
  <c r="G613" i="30"/>
  <c r="F613" i="30"/>
  <c r="E613" i="30"/>
  <c r="D613" i="30"/>
  <c r="G612" i="30"/>
  <c r="F612" i="30"/>
  <c r="E612" i="30"/>
  <c r="D612" i="30"/>
  <c r="G611" i="30"/>
  <c r="F611" i="30"/>
  <c r="E611" i="30"/>
  <c r="D611" i="30"/>
  <c r="G610" i="30"/>
  <c r="F610" i="30"/>
  <c r="E610" i="30"/>
  <c r="D610" i="30"/>
  <c r="G609" i="30"/>
  <c r="F609" i="30"/>
  <c r="E609" i="30"/>
  <c r="D609" i="30"/>
  <c r="G608" i="30"/>
  <c r="F608" i="30"/>
  <c r="E608" i="30"/>
  <c r="D608" i="30"/>
  <c r="G607" i="30"/>
  <c r="F607" i="30"/>
  <c r="E607" i="30"/>
  <c r="D607" i="30"/>
  <c r="G606" i="30"/>
  <c r="F606" i="30"/>
  <c r="E606" i="30"/>
  <c r="D606" i="30"/>
  <c r="G605" i="30"/>
  <c r="F605" i="30"/>
  <c r="E605" i="30"/>
  <c r="D605" i="30"/>
  <c r="G604" i="30"/>
  <c r="F604" i="30"/>
  <c r="E604" i="30"/>
  <c r="D604" i="30"/>
  <c r="G603" i="30"/>
  <c r="F603" i="30"/>
  <c r="E603" i="30"/>
  <c r="D603" i="30"/>
  <c r="G602" i="30"/>
  <c r="F602" i="30"/>
  <c r="E602" i="30"/>
  <c r="D602" i="30"/>
  <c r="G601" i="30"/>
  <c r="F601" i="30"/>
  <c r="E601" i="30"/>
  <c r="D601" i="30"/>
  <c r="G600" i="30"/>
  <c r="F600" i="30"/>
  <c r="E600" i="30"/>
  <c r="D600" i="30"/>
  <c r="G599" i="30"/>
  <c r="F599" i="30"/>
  <c r="E599" i="30"/>
  <c r="D599" i="30"/>
  <c r="G598" i="30"/>
  <c r="F598" i="30"/>
  <c r="E598" i="30"/>
  <c r="D598" i="30"/>
  <c r="G597" i="30"/>
  <c r="F597" i="30"/>
  <c r="E597" i="30"/>
  <c r="D597" i="30"/>
  <c r="G596" i="30"/>
  <c r="F596" i="30"/>
  <c r="E596" i="30"/>
  <c r="D596" i="30"/>
  <c r="G595" i="30"/>
  <c r="F595" i="30"/>
  <c r="E595" i="30"/>
  <c r="D595" i="30"/>
  <c r="G594" i="30"/>
  <c r="F594" i="30"/>
  <c r="E594" i="30"/>
  <c r="D594" i="30"/>
  <c r="G593" i="30"/>
  <c r="F593" i="30"/>
  <c r="E593" i="30"/>
  <c r="D593" i="30"/>
  <c r="G592" i="30"/>
  <c r="F592" i="30"/>
  <c r="E592" i="30"/>
  <c r="D592" i="30"/>
  <c r="G591" i="30"/>
  <c r="F591" i="30"/>
  <c r="E591" i="30"/>
  <c r="D591" i="30"/>
  <c r="G590" i="30"/>
  <c r="F590" i="30"/>
  <c r="E590" i="30"/>
  <c r="D590" i="30"/>
  <c r="G589" i="30"/>
  <c r="F589" i="30"/>
  <c r="E589" i="30"/>
  <c r="D589" i="30"/>
  <c r="G588" i="30"/>
  <c r="F588" i="30"/>
  <c r="E588" i="30"/>
  <c r="D588" i="30"/>
  <c r="G587" i="30"/>
  <c r="F587" i="30"/>
  <c r="E587" i="30"/>
  <c r="D587" i="30"/>
  <c r="G586" i="30"/>
  <c r="F586" i="30"/>
  <c r="E586" i="30"/>
  <c r="D586" i="30"/>
  <c r="G585" i="30"/>
  <c r="F585" i="30"/>
  <c r="E585" i="30"/>
  <c r="D585" i="30"/>
  <c r="G584" i="30"/>
  <c r="F584" i="30"/>
  <c r="E584" i="30"/>
  <c r="D584" i="30"/>
  <c r="G583" i="30"/>
  <c r="F583" i="30"/>
  <c r="E583" i="30"/>
  <c r="D583" i="30"/>
  <c r="G582" i="30"/>
  <c r="F582" i="30"/>
  <c r="E582" i="30"/>
  <c r="D582" i="30"/>
  <c r="G581" i="30"/>
  <c r="F581" i="30"/>
  <c r="E581" i="30"/>
  <c r="D581" i="30"/>
  <c r="G580" i="30"/>
  <c r="F580" i="30"/>
  <c r="E580" i="30"/>
  <c r="D580" i="30"/>
  <c r="G579" i="30"/>
  <c r="F579" i="30"/>
  <c r="E579" i="30"/>
  <c r="D579" i="30"/>
  <c r="G578" i="30"/>
  <c r="F578" i="30"/>
  <c r="E578" i="30"/>
  <c r="D578" i="30"/>
  <c r="G577" i="30"/>
  <c r="F577" i="30"/>
  <c r="E577" i="30"/>
  <c r="D577" i="30"/>
  <c r="G576" i="30"/>
  <c r="F576" i="30"/>
  <c r="E576" i="30"/>
  <c r="D576" i="30"/>
  <c r="G575" i="30"/>
  <c r="F575" i="30"/>
  <c r="E575" i="30"/>
  <c r="D575" i="30"/>
  <c r="G574" i="30"/>
  <c r="F574" i="30"/>
  <c r="E574" i="30"/>
  <c r="D574" i="30"/>
  <c r="G573" i="30"/>
  <c r="F573" i="30"/>
  <c r="E573" i="30"/>
  <c r="D573" i="30"/>
  <c r="G572" i="30"/>
  <c r="F572" i="30"/>
  <c r="E572" i="30"/>
  <c r="D572" i="30"/>
  <c r="G571" i="30"/>
  <c r="F571" i="30"/>
  <c r="E571" i="30"/>
  <c r="D571" i="30"/>
  <c r="G570" i="30"/>
  <c r="F570" i="30"/>
  <c r="E570" i="30"/>
  <c r="D570" i="30"/>
  <c r="G569" i="30"/>
  <c r="F569" i="30"/>
  <c r="E569" i="30"/>
  <c r="D569" i="30"/>
  <c r="G568" i="30"/>
  <c r="F568" i="30"/>
  <c r="E568" i="30"/>
  <c r="D568" i="30"/>
  <c r="G567" i="30"/>
  <c r="F567" i="30"/>
  <c r="E567" i="30"/>
  <c r="D567" i="30"/>
  <c r="G566" i="30"/>
  <c r="F566" i="30"/>
  <c r="E566" i="30"/>
  <c r="D566" i="30"/>
  <c r="G565" i="30"/>
  <c r="F565" i="30"/>
  <c r="E565" i="30"/>
  <c r="D565" i="30"/>
  <c r="G564" i="30"/>
  <c r="F564" i="30"/>
  <c r="E564" i="30"/>
  <c r="D564" i="30"/>
  <c r="G563" i="30"/>
  <c r="F563" i="30"/>
  <c r="E563" i="30"/>
  <c r="D563" i="30"/>
  <c r="G562" i="30"/>
  <c r="F562" i="30"/>
  <c r="E562" i="30"/>
  <c r="D562" i="30"/>
  <c r="G561" i="30"/>
  <c r="F561" i="30"/>
  <c r="E561" i="30"/>
  <c r="D561" i="30"/>
  <c r="G560" i="30"/>
  <c r="F560" i="30"/>
  <c r="E560" i="30"/>
  <c r="D560" i="30"/>
  <c r="G559" i="30"/>
  <c r="F559" i="30"/>
  <c r="E559" i="30"/>
  <c r="D559" i="30"/>
  <c r="G558" i="30"/>
  <c r="F558" i="30"/>
  <c r="E558" i="30"/>
  <c r="D558" i="30"/>
  <c r="G557" i="30"/>
  <c r="F557" i="30"/>
  <c r="E557" i="30"/>
  <c r="D557" i="30"/>
  <c r="G556" i="30"/>
  <c r="F556" i="30"/>
  <c r="E556" i="30"/>
  <c r="D556" i="30"/>
  <c r="G555" i="30"/>
  <c r="F555" i="30"/>
  <c r="E555" i="30"/>
  <c r="D555" i="30"/>
  <c r="G554" i="30"/>
  <c r="F554" i="30"/>
  <c r="E554" i="30"/>
  <c r="D554" i="30"/>
  <c r="G553" i="30"/>
  <c r="F553" i="30"/>
  <c r="E553" i="30"/>
  <c r="D553" i="30"/>
  <c r="G552" i="30"/>
  <c r="F552" i="30"/>
  <c r="E552" i="30"/>
  <c r="D552" i="30"/>
  <c r="G551" i="30"/>
  <c r="F551" i="30"/>
  <c r="E551" i="30"/>
  <c r="D551" i="30"/>
  <c r="G550" i="30"/>
  <c r="F550" i="30"/>
  <c r="E550" i="30"/>
  <c r="D550" i="30"/>
  <c r="G549" i="30"/>
  <c r="F549" i="30"/>
  <c r="E549" i="30"/>
  <c r="D549" i="30"/>
  <c r="G548" i="30"/>
  <c r="F548" i="30"/>
  <c r="E548" i="30"/>
  <c r="D548" i="30"/>
  <c r="G547" i="30"/>
  <c r="F547" i="30"/>
  <c r="E547" i="30"/>
  <c r="D547" i="30"/>
  <c r="G546" i="30"/>
  <c r="F546" i="30"/>
  <c r="E546" i="30"/>
  <c r="D546" i="30"/>
  <c r="G545" i="30"/>
  <c r="F545" i="30"/>
  <c r="E545" i="30"/>
  <c r="D545" i="30"/>
  <c r="G544" i="30"/>
  <c r="F544" i="30"/>
  <c r="E544" i="30"/>
  <c r="D544" i="30"/>
  <c r="G543" i="30"/>
  <c r="F543" i="30"/>
  <c r="E543" i="30"/>
  <c r="D543" i="30"/>
  <c r="G542" i="30"/>
  <c r="F542" i="30"/>
  <c r="E542" i="30"/>
  <c r="D542" i="30"/>
  <c r="G541" i="30"/>
  <c r="F541" i="30"/>
  <c r="E541" i="30"/>
  <c r="D541" i="30"/>
  <c r="G540" i="30"/>
  <c r="F540" i="30"/>
  <c r="E540" i="30"/>
  <c r="D540" i="30"/>
  <c r="G539" i="30"/>
  <c r="F539" i="30"/>
  <c r="E539" i="30"/>
  <c r="D539" i="30"/>
  <c r="G538" i="30"/>
  <c r="F538" i="30"/>
  <c r="E538" i="30"/>
  <c r="D538" i="30"/>
  <c r="G537" i="30"/>
  <c r="F537" i="30"/>
  <c r="E537" i="30"/>
  <c r="D537" i="30"/>
  <c r="G536" i="30"/>
  <c r="F536" i="30"/>
  <c r="E536" i="30"/>
  <c r="D536" i="30"/>
  <c r="G535" i="30"/>
  <c r="F535" i="30"/>
  <c r="E535" i="30"/>
  <c r="D535" i="30"/>
  <c r="G534" i="30"/>
  <c r="F534" i="30"/>
  <c r="E534" i="30"/>
  <c r="D534" i="30"/>
  <c r="G533" i="30"/>
  <c r="F533" i="30"/>
  <c r="E533" i="30"/>
  <c r="D533" i="30"/>
  <c r="G532" i="30"/>
  <c r="F532" i="30"/>
  <c r="E532" i="30"/>
  <c r="D532" i="30"/>
  <c r="G531" i="30"/>
  <c r="F531" i="30"/>
  <c r="E531" i="30"/>
  <c r="D531" i="30"/>
  <c r="G530" i="30"/>
  <c r="F530" i="30"/>
  <c r="E530" i="30"/>
  <c r="D530" i="30"/>
  <c r="G529" i="30"/>
  <c r="F529" i="30"/>
  <c r="E529" i="30"/>
  <c r="D529" i="30"/>
  <c r="G528" i="30"/>
  <c r="F528" i="30"/>
  <c r="E528" i="30"/>
  <c r="D528" i="30"/>
  <c r="G527" i="30"/>
  <c r="F527" i="30"/>
  <c r="E527" i="30"/>
  <c r="D527" i="30"/>
  <c r="G526" i="30"/>
  <c r="F526" i="30"/>
  <c r="E526" i="30"/>
  <c r="D526" i="30"/>
  <c r="G525" i="30"/>
  <c r="F525" i="30"/>
  <c r="E525" i="30"/>
  <c r="D525" i="30"/>
  <c r="G524" i="30"/>
  <c r="F524" i="30"/>
  <c r="E524" i="30"/>
  <c r="D524" i="30"/>
  <c r="G523" i="30"/>
  <c r="F523" i="30"/>
  <c r="E523" i="30"/>
  <c r="D523" i="30"/>
  <c r="G522" i="30"/>
  <c r="F522" i="30"/>
  <c r="E522" i="30"/>
  <c r="D522" i="30"/>
  <c r="G521" i="30"/>
  <c r="F521" i="30"/>
  <c r="E521" i="30"/>
  <c r="D521" i="30"/>
  <c r="G520" i="30"/>
  <c r="F520" i="30"/>
  <c r="E520" i="30"/>
  <c r="D520" i="30"/>
  <c r="G519" i="30"/>
  <c r="F519" i="30"/>
  <c r="E519" i="30"/>
  <c r="D519" i="30"/>
  <c r="G518" i="30"/>
  <c r="F518" i="30"/>
  <c r="E518" i="30"/>
  <c r="D518" i="30"/>
  <c r="G517" i="30"/>
  <c r="F517" i="30"/>
  <c r="E517" i="30"/>
  <c r="D517" i="30"/>
  <c r="G516" i="30"/>
  <c r="F516" i="30"/>
  <c r="E516" i="30"/>
  <c r="D516" i="30"/>
  <c r="G515" i="30"/>
  <c r="F515" i="30"/>
  <c r="E515" i="30"/>
  <c r="D515" i="30"/>
  <c r="G514" i="30"/>
  <c r="F514" i="30"/>
  <c r="E514" i="30"/>
  <c r="D514" i="30"/>
  <c r="G513" i="30"/>
  <c r="F513" i="30"/>
  <c r="E513" i="30"/>
  <c r="D513" i="30"/>
  <c r="G512" i="30"/>
  <c r="F512" i="30"/>
  <c r="E512" i="30"/>
  <c r="D512" i="30"/>
  <c r="G511" i="30"/>
  <c r="F511" i="30"/>
  <c r="E511" i="30"/>
  <c r="D511" i="30"/>
  <c r="G510" i="30"/>
  <c r="F510" i="30"/>
  <c r="E510" i="30"/>
  <c r="D510" i="30"/>
  <c r="G509" i="30"/>
  <c r="F509" i="30"/>
  <c r="E509" i="30"/>
  <c r="D509" i="30"/>
  <c r="G508" i="30"/>
  <c r="F508" i="30"/>
  <c r="E508" i="30"/>
  <c r="D508" i="30"/>
  <c r="G507" i="30"/>
  <c r="F507" i="30"/>
  <c r="E507" i="30"/>
  <c r="D507" i="30"/>
  <c r="G506" i="30"/>
  <c r="F506" i="30"/>
  <c r="E506" i="30"/>
  <c r="D506" i="30"/>
  <c r="G505" i="30"/>
  <c r="F505" i="30"/>
  <c r="E505" i="30"/>
  <c r="D505" i="30"/>
  <c r="G504" i="30"/>
  <c r="F504" i="30"/>
  <c r="E504" i="30"/>
  <c r="D504" i="30"/>
  <c r="G503" i="30"/>
  <c r="F503" i="30"/>
  <c r="E503" i="30"/>
  <c r="D503" i="30"/>
  <c r="G502" i="30"/>
  <c r="F502" i="30"/>
  <c r="E502" i="30"/>
  <c r="D502" i="30"/>
  <c r="G501" i="30"/>
  <c r="F501" i="30"/>
  <c r="E501" i="30"/>
  <c r="D501" i="30"/>
  <c r="G500" i="30"/>
  <c r="F500" i="30"/>
  <c r="E500" i="30"/>
  <c r="D500" i="30"/>
  <c r="G499" i="30"/>
  <c r="F499" i="30"/>
  <c r="E499" i="30"/>
  <c r="D499" i="30"/>
  <c r="G498" i="30"/>
  <c r="F498" i="30"/>
  <c r="E498" i="30"/>
  <c r="D498" i="30"/>
  <c r="G497" i="30"/>
  <c r="F497" i="30"/>
  <c r="E497" i="30"/>
  <c r="D497" i="30"/>
  <c r="G496" i="30"/>
  <c r="F496" i="30"/>
  <c r="E496" i="30"/>
  <c r="D496" i="30"/>
  <c r="G495" i="30"/>
  <c r="F495" i="30"/>
  <c r="E495" i="30"/>
  <c r="D495" i="30"/>
  <c r="G494" i="30"/>
  <c r="F494" i="30"/>
  <c r="E494" i="30"/>
  <c r="D494" i="30"/>
  <c r="G493" i="30"/>
  <c r="F493" i="30"/>
  <c r="E493" i="30"/>
  <c r="D493" i="30"/>
  <c r="G492" i="30"/>
  <c r="F492" i="30"/>
  <c r="E492" i="30"/>
  <c r="D492" i="30"/>
  <c r="G491" i="30"/>
  <c r="F491" i="30"/>
  <c r="E491" i="30"/>
  <c r="D491" i="30"/>
  <c r="G490" i="30"/>
  <c r="F490" i="30"/>
  <c r="E490" i="30"/>
  <c r="D490" i="30"/>
  <c r="G489" i="30"/>
  <c r="F489" i="30"/>
  <c r="E489" i="30"/>
  <c r="D489" i="30"/>
  <c r="G488" i="30"/>
  <c r="F488" i="30"/>
  <c r="E488" i="30"/>
  <c r="D488" i="30"/>
  <c r="G487" i="30"/>
  <c r="F487" i="30"/>
  <c r="E487" i="30"/>
  <c r="D487" i="30"/>
  <c r="G486" i="30"/>
  <c r="F486" i="30"/>
  <c r="E486" i="30"/>
  <c r="D486" i="30"/>
  <c r="G485" i="30"/>
  <c r="F485" i="30"/>
  <c r="E485" i="30"/>
  <c r="D485" i="30"/>
  <c r="G484" i="30"/>
  <c r="F484" i="30"/>
  <c r="E484" i="30"/>
  <c r="D484" i="30"/>
  <c r="G483" i="30"/>
  <c r="F483" i="30"/>
  <c r="E483" i="30"/>
  <c r="D483" i="30"/>
  <c r="G482" i="30"/>
  <c r="F482" i="30"/>
  <c r="E482" i="30"/>
  <c r="D482" i="30"/>
  <c r="G481" i="30"/>
  <c r="F481" i="30"/>
  <c r="E481" i="30"/>
  <c r="D481" i="30"/>
  <c r="G480" i="30"/>
  <c r="F480" i="30"/>
  <c r="E480" i="30"/>
  <c r="D480" i="30"/>
  <c r="G479" i="30"/>
  <c r="F479" i="30"/>
  <c r="E479" i="30"/>
  <c r="D479" i="30"/>
  <c r="G478" i="30"/>
  <c r="F478" i="30"/>
  <c r="E478" i="30"/>
  <c r="D478" i="30"/>
  <c r="G477" i="30"/>
  <c r="F477" i="30"/>
  <c r="E477" i="30"/>
  <c r="D477" i="30"/>
  <c r="G476" i="30"/>
  <c r="F476" i="30"/>
  <c r="E476" i="30"/>
  <c r="D476" i="30"/>
  <c r="G475" i="30"/>
  <c r="F475" i="30"/>
  <c r="E475" i="30"/>
  <c r="D475" i="30"/>
  <c r="G474" i="30"/>
  <c r="F474" i="30"/>
  <c r="E474" i="30"/>
  <c r="D474" i="30"/>
  <c r="G473" i="30"/>
  <c r="F473" i="30"/>
  <c r="E473" i="30"/>
  <c r="D473" i="30"/>
  <c r="G472" i="30"/>
  <c r="F472" i="30"/>
  <c r="E472" i="30"/>
  <c r="D472" i="30"/>
  <c r="G471" i="30"/>
  <c r="F471" i="30"/>
  <c r="E471" i="30"/>
  <c r="D471" i="30"/>
  <c r="G470" i="30"/>
  <c r="F470" i="30"/>
  <c r="E470" i="30"/>
  <c r="D470" i="30"/>
  <c r="G469" i="30"/>
  <c r="F469" i="30"/>
  <c r="E469" i="30"/>
  <c r="D469" i="30"/>
  <c r="G468" i="30"/>
  <c r="F468" i="30"/>
  <c r="E468" i="30"/>
  <c r="D468" i="30"/>
  <c r="G467" i="30"/>
  <c r="F467" i="30"/>
  <c r="E467" i="30"/>
  <c r="D467" i="30"/>
  <c r="G466" i="30"/>
  <c r="F466" i="30"/>
  <c r="E466" i="30"/>
  <c r="D466" i="30"/>
  <c r="G465" i="30"/>
  <c r="F465" i="30"/>
  <c r="E465" i="30"/>
  <c r="D465" i="30"/>
  <c r="G464" i="30"/>
  <c r="F464" i="30"/>
  <c r="E464" i="30"/>
  <c r="D464" i="30"/>
  <c r="G463" i="30"/>
  <c r="F463" i="30"/>
  <c r="E463" i="30"/>
  <c r="D463" i="30"/>
  <c r="G462" i="30"/>
  <c r="F462" i="30"/>
  <c r="E462" i="30"/>
  <c r="D462" i="30"/>
  <c r="G461" i="30"/>
  <c r="F461" i="30"/>
  <c r="E461" i="30"/>
  <c r="D461" i="30"/>
  <c r="G460" i="30"/>
  <c r="F460" i="30"/>
  <c r="E460" i="30"/>
  <c r="D460" i="30"/>
  <c r="G459" i="30"/>
  <c r="F459" i="30"/>
  <c r="E459" i="30"/>
  <c r="D459" i="30"/>
  <c r="G458" i="30"/>
  <c r="F458" i="30"/>
  <c r="E458" i="30"/>
  <c r="D458" i="30"/>
  <c r="G457" i="30"/>
  <c r="F457" i="30"/>
  <c r="E457" i="30"/>
  <c r="D457" i="30"/>
  <c r="G456" i="30"/>
  <c r="F456" i="30"/>
  <c r="E456" i="30"/>
  <c r="D456" i="30"/>
  <c r="G455" i="30"/>
  <c r="F455" i="30"/>
  <c r="E455" i="30"/>
  <c r="D455" i="30"/>
  <c r="G454" i="30"/>
  <c r="F454" i="30"/>
  <c r="E454" i="30"/>
  <c r="D454" i="30"/>
  <c r="G453" i="30"/>
  <c r="F453" i="30"/>
  <c r="E453" i="30"/>
  <c r="D453" i="30"/>
  <c r="G452" i="30"/>
  <c r="F452" i="30"/>
  <c r="E452" i="30"/>
  <c r="D452" i="30"/>
  <c r="G451" i="30"/>
  <c r="F451" i="30"/>
  <c r="E451" i="30"/>
  <c r="D451" i="30"/>
  <c r="G450" i="30"/>
  <c r="F450" i="30"/>
  <c r="E450" i="30"/>
  <c r="D450" i="30"/>
  <c r="G449" i="30"/>
  <c r="F449" i="30"/>
  <c r="E449" i="30"/>
  <c r="D449" i="30"/>
  <c r="G448" i="30"/>
  <c r="F448" i="30"/>
  <c r="E448" i="30"/>
  <c r="D448" i="30"/>
  <c r="G447" i="30"/>
  <c r="F447" i="30"/>
  <c r="E447" i="30"/>
  <c r="D447" i="30"/>
  <c r="G446" i="30"/>
  <c r="F446" i="30"/>
  <c r="E446" i="30"/>
  <c r="D446" i="30"/>
  <c r="G445" i="30"/>
  <c r="F445" i="30"/>
  <c r="E445" i="30"/>
  <c r="D445" i="30"/>
  <c r="G444" i="30"/>
  <c r="F444" i="30"/>
  <c r="E444" i="30"/>
  <c r="D444" i="30"/>
  <c r="G443" i="30"/>
  <c r="F443" i="30"/>
  <c r="E443" i="30"/>
  <c r="D443" i="30"/>
  <c r="G442" i="30"/>
  <c r="F442" i="30"/>
  <c r="E442" i="30"/>
  <c r="D442" i="30"/>
  <c r="G441" i="30"/>
  <c r="F441" i="30"/>
  <c r="E441" i="30"/>
  <c r="D441" i="30"/>
  <c r="G440" i="30"/>
  <c r="F440" i="30"/>
  <c r="E440" i="30"/>
  <c r="D440" i="30"/>
  <c r="G439" i="30"/>
  <c r="F439" i="30"/>
  <c r="E439" i="30"/>
  <c r="D439" i="30"/>
  <c r="G438" i="30"/>
  <c r="F438" i="30"/>
  <c r="E438" i="30"/>
  <c r="D438" i="30"/>
  <c r="G437" i="30"/>
  <c r="F437" i="30"/>
  <c r="E437" i="30"/>
  <c r="D437" i="30"/>
  <c r="G436" i="30"/>
  <c r="F436" i="30"/>
  <c r="E436" i="30"/>
  <c r="D436" i="30"/>
  <c r="G435" i="30"/>
  <c r="F435" i="30"/>
  <c r="E435" i="30"/>
  <c r="D435" i="30"/>
  <c r="G434" i="30"/>
  <c r="F434" i="30"/>
  <c r="E434" i="30"/>
  <c r="D434" i="30"/>
  <c r="G433" i="30"/>
  <c r="F433" i="30"/>
  <c r="E433" i="30"/>
  <c r="D433" i="30"/>
  <c r="G432" i="30"/>
  <c r="F432" i="30"/>
  <c r="E432" i="30"/>
  <c r="D432" i="30"/>
  <c r="G431" i="30"/>
  <c r="F431" i="30"/>
  <c r="E431" i="30"/>
  <c r="D431" i="30"/>
  <c r="G430" i="30"/>
  <c r="F430" i="30"/>
  <c r="E430" i="30"/>
  <c r="D430" i="30"/>
  <c r="G429" i="30"/>
  <c r="F429" i="30"/>
  <c r="E429" i="30"/>
  <c r="D429" i="30"/>
  <c r="G428" i="30"/>
  <c r="F428" i="30"/>
  <c r="E428" i="30"/>
  <c r="D428" i="30"/>
  <c r="G427" i="30"/>
  <c r="F427" i="30"/>
  <c r="E427" i="30"/>
  <c r="D427" i="30"/>
  <c r="G426" i="30"/>
  <c r="F426" i="30"/>
  <c r="E426" i="30"/>
  <c r="D426" i="30"/>
  <c r="G425" i="30"/>
  <c r="F425" i="30"/>
  <c r="E425" i="30"/>
  <c r="D425" i="30"/>
  <c r="G424" i="30"/>
  <c r="F424" i="30"/>
  <c r="E424" i="30"/>
  <c r="D424" i="30"/>
  <c r="G423" i="30"/>
  <c r="F423" i="30"/>
  <c r="E423" i="30"/>
  <c r="D423" i="30"/>
  <c r="G422" i="30"/>
  <c r="F422" i="30"/>
  <c r="E422" i="30"/>
  <c r="D422" i="30"/>
  <c r="G421" i="30"/>
  <c r="F421" i="30"/>
  <c r="E421" i="30"/>
  <c r="D421" i="30"/>
  <c r="G420" i="30"/>
  <c r="F420" i="30"/>
  <c r="E420" i="30"/>
  <c r="D420" i="30"/>
  <c r="G419" i="30"/>
  <c r="F419" i="30"/>
  <c r="E419" i="30"/>
  <c r="D419" i="30"/>
  <c r="G418" i="30"/>
  <c r="F418" i="30"/>
  <c r="E418" i="30"/>
  <c r="D418" i="30"/>
  <c r="G417" i="30"/>
  <c r="F417" i="30"/>
  <c r="E417" i="30"/>
  <c r="D417" i="30"/>
  <c r="G416" i="30"/>
  <c r="F416" i="30"/>
  <c r="E416" i="30"/>
  <c r="D416" i="30"/>
  <c r="G415" i="30"/>
  <c r="F415" i="30"/>
  <c r="E415" i="30"/>
  <c r="D415" i="30"/>
  <c r="G414" i="30"/>
  <c r="F414" i="30"/>
  <c r="E414" i="30"/>
  <c r="D414" i="30"/>
  <c r="G413" i="30"/>
  <c r="F413" i="30"/>
  <c r="E413" i="30"/>
  <c r="D413" i="30"/>
  <c r="G412" i="30"/>
  <c r="F412" i="30"/>
  <c r="E412" i="30"/>
  <c r="D412" i="30"/>
  <c r="G411" i="30"/>
  <c r="F411" i="30"/>
  <c r="E411" i="30"/>
  <c r="D411" i="30"/>
  <c r="G410" i="30"/>
  <c r="F410" i="30"/>
  <c r="E410" i="30"/>
  <c r="D410" i="30"/>
  <c r="G409" i="30"/>
  <c r="F409" i="30"/>
  <c r="E409" i="30"/>
  <c r="D409" i="30"/>
  <c r="G408" i="30"/>
  <c r="F408" i="30"/>
  <c r="E408" i="30"/>
  <c r="D408" i="30"/>
  <c r="G407" i="30"/>
  <c r="F407" i="30"/>
  <c r="E407" i="30"/>
  <c r="D407" i="30"/>
  <c r="G406" i="30"/>
  <c r="F406" i="30"/>
  <c r="E406" i="30"/>
  <c r="D406" i="30"/>
  <c r="G405" i="30"/>
  <c r="F405" i="30"/>
  <c r="E405" i="30"/>
  <c r="D405" i="30"/>
  <c r="G404" i="30"/>
  <c r="F404" i="30"/>
  <c r="E404" i="30"/>
  <c r="D404" i="30"/>
  <c r="G403" i="30"/>
  <c r="F403" i="30"/>
  <c r="E403" i="30"/>
  <c r="D403" i="30"/>
  <c r="G402" i="30"/>
  <c r="F402" i="30"/>
  <c r="E402" i="30"/>
  <c r="D402" i="30"/>
  <c r="G401" i="30"/>
  <c r="F401" i="30"/>
  <c r="E401" i="30"/>
  <c r="D401" i="30"/>
  <c r="G400" i="30"/>
  <c r="F400" i="30"/>
  <c r="E400" i="30"/>
  <c r="D400" i="30"/>
  <c r="G399" i="30"/>
  <c r="F399" i="30"/>
  <c r="E399" i="30"/>
  <c r="D399" i="30"/>
  <c r="G398" i="30"/>
  <c r="F398" i="30"/>
  <c r="E398" i="30"/>
  <c r="D398" i="30"/>
  <c r="G397" i="30"/>
  <c r="F397" i="30"/>
  <c r="E397" i="30"/>
  <c r="D397" i="30"/>
  <c r="G396" i="30"/>
  <c r="F396" i="30"/>
  <c r="E396" i="30"/>
  <c r="D396" i="30"/>
  <c r="G395" i="30"/>
  <c r="F395" i="30"/>
  <c r="E395" i="30"/>
  <c r="D395" i="30"/>
  <c r="G394" i="30"/>
  <c r="F394" i="30"/>
  <c r="E394" i="30"/>
  <c r="D394" i="30"/>
  <c r="G393" i="30"/>
  <c r="F393" i="30"/>
  <c r="E393" i="30"/>
  <c r="D393" i="30"/>
  <c r="G392" i="30"/>
  <c r="F392" i="30"/>
  <c r="E392" i="30"/>
  <c r="D392" i="30"/>
  <c r="G391" i="30"/>
  <c r="F391" i="30"/>
  <c r="E391" i="30"/>
  <c r="D391" i="30"/>
  <c r="G390" i="30"/>
  <c r="F390" i="30"/>
  <c r="E390" i="30"/>
  <c r="D390" i="30"/>
  <c r="G389" i="30"/>
  <c r="F389" i="30"/>
  <c r="E389" i="30"/>
  <c r="D389" i="30"/>
  <c r="G388" i="30"/>
  <c r="F388" i="30"/>
  <c r="E388" i="30"/>
  <c r="D388" i="30"/>
  <c r="G387" i="30"/>
  <c r="F387" i="30"/>
  <c r="E387" i="30"/>
  <c r="D387" i="30"/>
  <c r="G386" i="30"/>
  <c r="F386" i="30"/>
  <c r="E386" i="30"/>
  <c r="D386" i="30"/>
  <c r="G385" i="30"/>
  <c r="F385" i="30"/>
  <c r="E385" i="30"/>
  <c r="D385" i="30"/>
  <c r="G384" i="30"/>
  <c r="F384" i="30"/>
  <c r="E384" i="30"/>
  <c r="D384" i="30"/>
  <c r="G383" i="30"/>
  <c r="F383" i="30"/>
  <c r="E383" i="30"/>
  <c r="D383" i="30"/>
  <c r="G382" i="30"/>
  <c r="F382" i="30"/>
  <c r="E382" i="30"/>
  <c r="D382" i="30"/>
  <c r="G381" i="30"/>
  <c r="F381" i="30"/>
  <c r="E381" i="30"/>
  <c r="D381" i="30"/>
  <c r="G380" i="30"/>
  <c r="F380" i="30"/>
  <c r="E380" i="30"/>
  <c r="D380" i="30"/>
  <c r="G379" i="30"/>
  <c r="F379" i="30"/>
  <c r="E379" i="30"/>
  <c r="D379" i="30"/>
  <c r="G378" i="30"/>
  <c r="F378" i="30"/>
  <c r="E378" i="30"/>
  <c r="D378" i="30"/>
  <c r="G377" i="30"/>
  <c r="F377" i="30"/>
  <c r="E377" i="30"/>
  <c r="D377" i="30"/>
  <c r="G376" i="30"/>
  <c r="F376" i="30"/>
  <c r="E376" i="30"/>
  <c r="D376" i="30"/>
  <c r="G375" i="30"/>
  <c r="F375" i="30"/>
  <c r="E375" i="30"/>
  <c r="D375" i="30"/>
  <c r="G374" i="30"/>
  <c r="F374" i="30"/>
  <c r="E374" i="30"/>
  <c r="D374" i="30"/>
  <c r="G373" i="30"/>
  <c r="F373" i="30"/>
  <c r="E373" i="30"/>
  <c r="D373" i="30"/>
  <c r="G372" i="30"/>
  <c r="F372" i="30"/>
  <c r="E372" i="30"/>
  <c r="D372" i="30"/>
  <c r="G371" i="30"/>
  <c r="F371" i="30"/>
  <c r="E371" i="30"/>
  <c r="D371" i="30"/>
  <c r="G370" i="30"/>
  <c r="F370" i="30"/>
  <c r="E370" i="30"/>
  <c r="D370" i="30"/>
  <c r="G369" i="30"/>
  <c r="F369" i="30"/>
  <c r="E369" i="30"/>
  <c r="D369" i="30"/>
  <c r="G368" i="30"/>
  <c r="F368" i="30"/>
  <c r="E368" i="30"/>
  <c r="D368" i="30"/>
  <c r="G367" i="30"/>
  <c r="F367" i="30"/>
  <c r="E367" i="30"/>
  <c r="D367" i="30"/>
  <c r="G366" i="30"/>
  <c r="F366" i="30"/>
  <c r="E366" i="30"/>
  <c r="D366" i="30"/>
  <c r="G365" i="30"/>
  <c r="F365" i="30"/>
  <c r="E365" i="30"/>
  <c r="D365" i="30"/>
  <c r="G364" i="30"/>
  <c r="F364" i="30"/>
  <c r="E364" i="30"/>
  <c r="D364" i="30"/>
  <c r="G363" i="30"/>
  <c r="F363" i="30"/>
  <c r="E363" i="30"/>
  <c r="D363" i="30"/>
  <c r="G362" i="30"/>
  <c r="F362" i="30"/>
  <c r="E362" i="30"/>
  <c r="D362" i="30"/>
  <c r="G361" i="30"/>
  <c r="F361" i="30"/>
  <c r="E361" i="30"/>
  <c r="D361" i="30"/>
  <c r="G360" i="30"/>
  <c r="F360" i="30"/>
  <c r="E360" i="30"/>
  <c r="D360" i="30"/>
  <c r="G359" i="30"/>
  <c r="F359" i="30"/>
  <c r="E359" i="30"/>
  <c r="D359" i="30"/>
  <c r="G358" i="30"/>
  <c r="F358" i="30"/>
  <c r="E358" i="30"/>
  <c r="D358" i="30"/>
  <c r="G357" i="30"/>
  <c r="F357" i="30"/>
  <c r="E357" i="30"/>
  <c r="D357" i="30"/>
  <c r="G356" i="30"/>
  <c r="F356" i="30"/>
  <c r="E356" i="30"/>
  <c r="D356" i="30"/>
  <c r="G355" i="30"/>
  <c r="F355" i="30"/>
  <c r="E355" i="30"/>
  <c r="D355" i="30"/>
  <c r="G354" i="30"/>
  <c r="F354" i="30"/>
  <c r="E354" i="30"/>
  <c r="D354" i="30"/>
  <c r="G353" i="30"/>
  <c r="F353" i="30"/>
  <c r="E353" i="30"/>
  <c r="D353" i="30"/>
  <c r="G352" i="30"/>
  <c r="F352" i="30"/>
  <c r="E352" i="30"/>
  <c r="D352" i="30"/>
  <c r="G351" i="30"/>
  <c r="F351" i="30"/>
  <c r="E351" i="30"/>
  <c r="D351" i="30"/>
  <c r="G350" i="30"/>
  <c r="F350" i="30"/>
  <c r="E350" i="30"/>
  <c r="D350" i="30"/>
  <c r="G349" i="30"/>
  <c r="F349" i="30"/>
  <c r="E349" i="30"/>
  <c r="D349" i="30"/>
  <c r="G348" i="30"/>
  <c r="F348" i="30"/>
  <c r="E348" i="30"/>
  <c r="D348" i="30"/>
  <c r="G347" i="30"/>
  <c r="F347" i="30"/>
  <c r="E347" i="30"/>
  <c r="D347" i="30"/>
  <c r="G346" i="30"/>
  <c r="F346" i="30"/>
  <c r="E346" i="30"/>
  <c r="D346" i="30"/>
  <c r="G345" i="30"/>
  <c r="F345" i="30"/>
  <c r="E345" i="30"/>
  <c r="D345" i="30"/>
  <c r="G344" i="30"/>
  <c r="F344" i="30"/>
  <c r="E344" i="30"/>
  <c r="D344" i="30"/>
  <c r="G343" i="30"/>
  <c r="F343" i="30"/>
  <c r="E343" i="30"/>
  <c r="D343" i="30"/>
  <c r="G342" i="30"/>
  <c r="F342" i="30"/>
  <c r="E342" i="30"/>
  <c r="D342" i="30"/>
  <c r="G341" i="30"/>
  <c r="F341" i="30"/>
  <c r="E341" i="30"/>
  <c r="D341" i="30"/>
  <c r="G340" i="30"/>
  <c r="F340" i="30"/>
  <c r="E340" i="30"/>
  <c r="D340" i="30"/>
  <c r="G339" i="30"/>
  <c r="F339" i="30"/>
  <c r="E339" i="30"/>
  <c r="D339" i="30"/>
  <c r="G338" i="30"/>
  <c r="F338" i="30"/>
  <c r="E338" i="30"/>
  <c r="D338" i="30"/>
  <c r="G337" i="30"/>
  <c r="F337" i="30"/>
  <c r="E337" i="30"/>
  <c r="D337" i="30"/>
  <c r="G336" i="30"/>
  <c r="F336" i="30"/>
  <c r="E336" i="30"/>
  <c r="D336" i="30"/>
  <c r="G335" i="30"/>
  <c r="F335" i="30"/>
  <c r="E335" i="30"/>
  <c r="D335" i="30"/>
  <c r="G334" i="30"/>
  <c r="F334" i="30"/>
  <c r="E334" i="30"/>
  <c r="D334" i="30"/>
  <c r="G333" i="30"/>
  <c r="F333" i="30"/>
  <c r="E333" i="30"/>
  <c r="D333" i="30"/>
  <c r="G332" i="30"/>
  <c r="F332" i="30"/>
  <c r="E332" i="30"/>
  <c r="D332" i="30"/>
  <c r="G331" i="30"/>
  <c r="F331" i="30"/>
  <c r="E331" i="30"/>
  <c r="D331" i="30"/>
  <c r="G330" i="30"/>
  <c r="F330" i="30"/>
  <c r="E330" i="30"/>
  <c r="D330" i="30"/>
  <c r="G329" i="30"/>
  <c r="F329" i="30"/>
  <c r="E329" i="30"/>
  <c r="D329" i="30"/>
  <c r="G328" i="30"/>
  <c r="F328" i="30"/>
  <c r="E328" i="30"/>
  <c r="D328" i="30"/>
  <c r="G327" i="30"/>
  <c r="F327" i="30"/>
  <c r="E327" i="30"/>
  <c r="D327" i="30"/>
  <c r="G326" i="30"/>
  <c r="F326" i="30"/>
  <c r="E326" i="30"/>
  <c r="D326" i="30"/>
  <c r="G325" i="30"/>
  <c r="F325" i="30"/>
  <c r="E325" i="30"/>
  <c r="D325" i="30"/>
  <c r="G324" i="30"/>
  <c r="F324" i="30"/>
  <c r="E324" i="30"/>
  <c r="D324" i="30"/>
  <c r="G323" i="30"/>
  <c r="F323" i="30"/>
  <c r="E323" i="30"/>
  <c r="D323" i="30"/>
  <c r="G322" i="30"/>
  <c r="F322" i="30"/>
  <c r="E322" i="30"/>
  <c r="D322" i="30"/>
  <c r="G321" i="30"/>
  <c r="F321" i="30"/>
  <c r="E321" i="30"/>
  <c r="D321" i="30"/>
  <c r="G320" i="30"/>
  <c r="F320" i="30"/>
  <c r="E320" i="30"/>
  <c r="D320" i="30"/>
  <c r="G319" i="30"/>
  <c r="F319" i="30"/>
  <c r="E319" i="30"/>
  <c r="D319" i="30"/>
  <c r="G318" i="30"/>
  <c r="F318" i="30"/>
  <c r="E318" i="30"/>
  <c r="D318" i="30"/>
  <c r="G317" i="30"/>
  <c r="F317" i="30"/>
  <c r="E317" i="30"/>
  <c r="D317" i="30"/>
  <c r="G316" i="30"/>
  <c r="F316" i="30"/>
  <c r="E316" i="30"/>
  <c r="D316" i="30"/>
  <c r="G315" i="30"/>
  <c r="F315" i="30"/>
  <c r="E315" i="30"/>
  <c r="D315" i="30"/>
  <c r="G314" i="30"/>
  <c r="F314" i="30"/>
  <c r="E314" i="30"/>
  <c r="D314" i="30"/>
  <c r="G313" i="30"/>
  <c r="F313" i="30"/>
  <c r="E313" i="30"/>
  <c r="D313" i="30"/>
  <c r="G312" i="30"/>
  <c r="F312" i="30"/>
  <c r="E312" i="30"/>
  <c r="D312" i="30"/>
  <c r="G311" i="30"/>
  <c r="F311" i="30"/>
  <c r="E311" i="30"/>
  <c r="D311" i="30"/>
  <c r="G310" i="30"/>
  <c r="F310" i="30"/>
  <c r="E310" i="30"/>
  <c r="D310" i="30"/>
  <c r="G309" i="30"/>
  <c r="F309" i="30"/>
  <c r="E309" i="30"/>
  <c r="D309" i="30"/>
  <c r="G308" i="30"/>
  <c r="F308" i="30"/>
  <c r="E308" i="30"/>
  <c r="D308" i="30"/>
  <c r="G307" i="30"/>
  <c r="F307" i="30"/>
  <c r="E307" i="30"/>
  <c r="D307" i="30"/>
  <c r="G306" i="30"/>
  <c r="F306" i="30"/>
  <c r="E306" i="30"/>
  <c r="D306" i="30"/>
  <c r="G305" i="30"/>
  <c r="F305" i="30"/>
  <c r="E305" i="30"/>
  <c r="D305" i="30"/>
  <c r="G304" i="30"/>
  <c r="F304" i="30"/>
  <c r="E304" i="30"/>
  <c r="D304" i="30"/>
  <c r="G303" i="30"/>
  <c r="F303" i="30"/>
  <c r="E303" i="30"/>
  <c r="D303" i="30"/>
  <c r="G302" i="30"/>
  <c r="F302" i="30"/>
  <c r="E302" i="30"/>
  <c r="D302" i="30"/>
  <c r="G301" i="30"/>
  <c r="F301" i="30"/>
  <c r="E301" i="30"/>
  <c r="D301" i="30"/>
  <c r="G300" i="30"/>
  <c r="F300" i="30"/>
  <c r="E300" i="30"/>
  <c r="D300" i="30"/>
  <c r="G299" i="30"/>
  <c r="F299" i="30"/>
  <c r="E299" i="30"/>
  <c r="D299" i="30"/>
  <c r="G298" i="30"/>
  <c r="F298" i="30"/>
  <c r="E298" i="30"/>
  <c r="D298" i="30"/>
  <c r="G297" i="30"/>
  <c r="F297" i="30"/>
  <c r="E297" i="30"/>
  <c r="D297" i="30"/>
  <c r="G296" i="30"/>
  <c r="F296" i="30"/>
  <c r="E296" i="30"/>
  <c r="D296" i="30"/>
  <c r="G295" i="30"/>
  <c r="F295" i="30"/>
  <c r="E295" i="30"/>
  <c r="D295" i="30"/>
  <c r="G294" i="30"/>
  <c r="F294" i="30"/>
  <c r="E294" i="30"/>
  <c r="D294" i="30"/>
  <c r="G293" i="30"/>
  <c r="F293" i="30"/>
  <c r="E293" i="30"/>
  <c r="D293" i="30"/>
  <c r="G292" i="30"/>
  <c r="F292" i="30"/>
  <c r="E292" i="30"/>
  <c r="D292" i="30"/>
  <c r="G291" i="30"/>
  <c r="F291" i="30"/>
  <c r="E291" i="30"/>
  <c r="D291" i="30"/>
  <c r="G290" i="30"/>
  <c r="F290" i="30"/>
  <c r="E290" i="30"/>
  <c r="D290" i="30"/>
  <c r="G289" i="30"/>
  <c r="F289" i="30"/>
  <c r="E289" i="30"/>
  <c r="D289" i="30"/>
  <c r="G288" i="30"/>
  <c r="F288" i="30"/>
  <c r="E288" i="30"/>
  <c r="D288" i="30"/>
  <c r="G287" i="30"/>
  <c r="F287" i="30"/>
  <c r="E287" i="30"/>
  <c r="D287" i="30"/>
  <c r="G286" i="30"/>
  <c r="F286" i="30"/>
  <c r="E286" i="30"/>
  <c r="D286" i="30"/>
  <c r="G285" i="30"/>
  <c r="F285" i="30"/>
  <c r="E285" i="30"/>
  <c r="D285" i="30"/>
  <c r="G284" i="30"/>
  <c r="F284" i="30"/>
  <c r="E284" i="30"/>
  <c r="D284" i="30"/>
  <c r="G283" i="30"/>
  <c r="F283" i="30"/>
  <c r="E283" i="30"/>
  <c r="D283" i="30"/>
  <c r="G282" i="30"/>
  <c r="F282" i="30"/>
  <c r="E282" i="30"/>
  <c r="D282" i="30"/>
  <c r="G281" i="30"/>
  <c r="F281" i="30"/>
  <c r="E281" i="30"/>
  <c r="D281" i="30"/>
  <c r="G280" i="30"/>
  <c r="F280" i="30"/>
  <c r="E280" i="30"/>
  <c r="D280" i="30"/>
  <c r="G279" i="30"/>
  <c r="F279" i="30"/>
  <c r="E279" i="30"/>
  <c r="D279" i="30"/>
  <c r="G278" i="30"/>
  <c r="F278" i="30"/>
  <c r="E278" i="30"/>
  <c r="D278" i="30"/>
  <c r="G277" i="30"/>
  <c r="F277" i="30"/>
  <c r="E277" i="30"/>
  <c r="D277" i="30"/>
  <c r="G276" i="30"/>
  <c r="F276" i="30"/>
  <c r="E276" i="30"/>
  <c r="D276" i="30"/>
  <c r="G275" i="30"/>
  <c r="F275" i="30"/>
  <c r="E275" i="30"/>
  <c r="D275" i="30"/>
  <c r="G274" i="30"/>
  <c r="F274" i="30"/>
  <c r="E274" i="30"/>
  <c r="D274" i="30"/>
  <c r="G273" i="30"/>
  <c r="F273" i="30"/>
  <c r="E273" i="30"/>
  <c r="D273" i="30"/>
  <c r="G272" i="30"/>
  <c r="F272" i="30"/>
  <c r="E272" i="30"/>
  <c r="D272" i="30"/>
  <c r="G271" i="30"/>
  <c r="F271" i="30"/>
  <c r="E271" i="30"/>
  <c r="D271" i="30"/>
  <c r="G270" i="30"/>
  <c r="F270" i="30"/>
  <c r="E270" i="30"/>
  <c r="D270" i="30"/>
  <c r="G269" i="30"/>
  <c r="F269" i="30"/>
  <c r="E269" i="30"/>
  <c r="D269" i="30"/>
  <c r="G268" i="30"/>
  <c r="F268" i="30"/>
  <c r="E268" i="30"/>
  <c r="D268" i="30"/>
  <c r="G267" i="30"/>
  <c r="F267" i="30"/>
  <c r="E267" i="30"/>
  <c r="D267" i="30"/>
  <c r="G266" i="30"/>
  <c r="F266" i="30"/>
  <c r="E266" i="30"/>
  <c r="D266" i="30"/>
  <c r="G265" i="30"/>
  <c r="F265" i="30"/>
  <c r="E265" i="30"/>
  <c r="D265" i="30"/>
  <c r="G264" i="30"/>
  <c r="F264" i="30"/>
  <c r="E264" i="30"/>
  <c r="D264" i="30"/>
  <c r="G263" i="30"/>
  <c r="F263" i="30"/>
  <c r="E263" i="30"/>
  <c r="D263" i="30"/>
  <c r="G262" i="30"/>
  <c r="F262" i="30"/>
  <c r="E262" i="30"/>
  <c r="D262" i="30"/>
  <c r="G261" i="30"/>
  <c r="F261" i="30"/>
  <c r="E261" i="30"/>
  <c r="D261" i="30"/>
  <c r="G260" i="30"/>
  <c r="F260" i="30"/>
  <c r="E260" i="30"/>
  <c r="D260" i="30"/>
  <c r="G259" i="30"/>
  <c r="F259" i="30"/>
  <c r="E259" i="30"/>
  <c r="D259" i="30"/>
  <c r="G258" i="30"/>
  <c r="F258" i="30"/>
  <c r="E258" i="30"/>
  <c r="D258" i="30"/>
  <c r="G257" i="30"/>
  <c r="F257" i="30"/>
  <c r="E257" i="30"/>
  <c r="D257" i="30"/>
  <c r="G256" i="30"/>
  <c r="F256" i="30"/>
  <c r="E256" i="30"/>
  <c r="D256" i="30"/>
  <c r="G255" i="30"/>
  <c r="F255" i="30"/>
  <c r="E255" i="30"/>
  <c r="D255" i="30"/>
  <c r="G254" i="30"/>
  <c r="F254" i="30"/>
  <c r="E254" i="30"/>
  <c r="D254" i="30"/>
  <c r="G253" i="30"/>
  <c r="F253" i="30"/>
  <c r="E253" i="30"/>
  <c r="D253" i="30"/>
  <c r="G252" i="30"/>
  <c r="F252" i="30"/>
  <c r="E252" i="30"/>
  <c r="D252" i="30"/>
  <c r="G251" i="30"/>
  <c r="F251" i="30"/>
  <c r="E251" i="30"/>
  <c r="D251" i="30"/>
  <c r="G250" i="30"/>
  <c r="F250" i="30"/>
  <c r="E250" i="30"/>
  <c r="D250" i="30"/>
  <c r="G249" i="30"/>
  <c r="F249" i="30"/>
  <c r="E249" i="30"/>
  <c r="D249" i="30"/>
  <c r="G248" i="30"/>
  <c r="F248" i="30"/>
  <c r="E248" i="30"/>
  <c r="D248" i="30"/>
  <c r="G247" i="30"/>
  <c r="F247" i="30"/>
  <c r="E247" i="30"/>
  <c r="D247" i="30"/>
  <c r="G246" i="30"/>
  <c r="F246" i="30"/>
  <c r="E246" i="30"/>
  <c r="D246" i="30"/>
  <c r="G245" i="30"/>
  <c r="F245" i="30"/>
  <c r="E245" i="30"/>
  <c r="D245" i="30"/>
  <c r="G244" i="30"/>
  <c r="F244" i="30"/>
  <c r="E244" i="30"/>
  <c r="D244" i="30"/>
  <c r="G243" i="30"/>
  <c r="F243" i="30"/>
  <c r="E243" i="30"/>
  <c r="D243" i="30"/>
  <c r="G242" i="30"/>
  <c r="F242" i="30"/>
  <c r="E242" i="30"/>
  <c r="D242" i="30"/>
  <c r="G241" i="30"/>
  <c r="F241" i="30"/>
  <c r="E241" i="30"/>
  <c r="D241" i="30"/>
  <c r="G240" i="30"/>
  <c r="F240" i="30"/>
  <c r="E240" i="30"/>
  <c r="D240" i="30"/>
  <c r="G239" i="30"/>
  <c r="F239" i="30"/>
  <c r="E239" i="30"/>
  <c r="D239" i="30"/>
  <c r="G238" i="30"/>
  <c r="F238" i="30"/>
  <c r="E238" i="30"/>
  <c r="D238" i="30"/>
  <c r="G237" i="30"/>
  <c r="F237" i="30"/>
  <c r="E237" i="30"/>
  <c r="D237" i="30"/>
  <c r="G236" i="30"/>
  <c r="F236" i="30"/>
  <c r="E236" i="30"/>
  <c r="D236" i="30"/>
  <c r="G235" i="30"/>
  <c r="F235" i="30"/>
  <c r="E235" i="30"/>
  <c r="D235" i="30"/>
  <c r="G234" i="30"/>
  <c r="F234" i="30"/>
  <c r="E234" i="30"/>
  <c r="D234" i="30"/>
  <c r="G233" i="30"/>
  <c r="F233" i="30"/>
  <c r="E233" i="30"/>
  <c r="D233" i="30"/>
  <c r="G232" i="30"/>
  <c r="F232" i="30"/>
  <c r="E232" i="30"/>
  <c r="D232" i="30"/>
  <c r="G231" i="30"/>
  <c r="F231" i="30"/>
  <c r="E231" i="30"/>
  <c r="D231" i="30"/>
  <c r="G230" i="30"/>
  <c r="F230" i="30"/>
  <c r="E230" i="30"/>
  <c r="D230" i="30"/>
  <c r="G229" i="30"/>
  <c r="F229" i="30"/>
  <c r="E229" i="30"/>
  <c r="D229" i="30"/>
  <c r="G228" i="30"/>
  <c r="F228" i="30"/>
  <c r="E228" i="30"/>
  <c r="D228" i="30"/>
  <c r="G227" i="30"/>
  <c r="F227" i="30"/>
  <c r="E227" i="30"/>
  <c r="D227" i="30"/>
  <c r="G226" i="30"/>
  <c r="F226" i="30"/>
  <c r="E226" i="30"/>
  <c r="D226" i="30"/>
  <c r="G225" i="30"/>
  <c r="F225" i="30"/>
  <c r="E225" i="30"/>
  <c r="D225" i="30"/>
  <c r="G224" i="30"/>
  <c r="F224" i="30"/>
  <c r="E224" i="30"/>
  <c r="D224" i="30"/>
  <c r="G223" i="30"/>
  <c r="F223" i="30"/>
  <c r="E223" i="30"/>
  <c r="D223" i="30"/>
  <c r="G222" i="30"/>
  <c r="F222" i="30"/>
  <c r="E222" i="30"/>
  <c r="D222" i="30"/>
  <c r="G221" i="30"/>
  <c r="F221" i="30"/>
  <c r="E221" i="30"/>
  <c r="D221" i="30"/>
  <c r="G220" i="30"/>
  <c r="F220" i="30"/>
  <c r="E220" i="30"/>
  <c r="D220" i="30"/>
  <c r="G219" i="30"/>
  <c r="F219" i="30"/>
  <c r="E219" i="30"/>
  <c r="D219" i="30"/>
  <c r="G218" i="30"/>
  <c r="F218" i="30"/>
  <c r="E218" i="30"/>
  <c r="D218" i="30"/>
  <c r="G217" i="30"/>
  <c r="F217" i="30"/>
  <c r="E217" i="30"/>
  <c r="D217" i="30"/>
  <c r="G216" i="30"/>
  <c r="F216" i="30"/>
  <c r="E216" i="30"/>
  <c r="D216" i="30"/>
  <c r="G215" i="30"/>
  <c r="F215" i="30"/>
  <c r="E215" i="30"/>
  <c r="D215" i="30"/>
  <c r="G214" i="30"/>
  <c r="F214" i="30"/>
  <c r="E214" i="30"/>
  <c r="D214" i="30"/>
  <c r="G213" i="30"/>
  <c r="F213" i="30"/>
  <c r="E213" i="30"/>
  <c r="D213" i="30"/>
  <c r="G212" i="30"/>
  <c r="F212" i="30"/>
  <c r="E212" i="30"/>
  <c r="D212" i="30"/>
  <c r="G211" i="30"/>
  <c r="F211" i="30"/>
  <c r="E211" i="30"/>
  <c r="D211" i="30"/>
  <c r="G210" i="30"/>
  <c r="F210" i="30"/>
  <c r="E210" i="30"/>
  <c r="D210" i="30"/>
  <c r="G209" i="30"/>
  <c r="F209" i="30"/>
  <c r="E209" i="30"/>
  <c r="D209" i="30"/>
  <c r="G208" i="30"/>
  <c r="F208" i="30"/>
  <c r="E208" i="30"/>
  <c r="D208" i="30"/>
  <c r="G207" i="30"/>
  <c r="F207" i="30"/>
  <c r="E207" i="30"/>
  <c r="D207" i="30"/>
  <c r="G206" i="30"/>
  <c r="F206" i="30"/>
  <c r="E206" i="30"/>
  <c r="D206" i="30"/>
  <c r="G205" i="30"/>
  <c r="F205" i="30"/>
  <c r="E205" i="30"/>
  <c r="D205" i="30"/>
  <c r="G204" i="30"/>
  <c r="F204" i="30"/>
  <c r="E204" i="30"/>
  <c r="D204" i="30"/>
  <c r="G203" i="30"/>
  <c r="F203" i="30"/>
  <c r="E203" i="30"/>
  <c r="D203" i="30"/>
  <c r="G202" i="30"/>
  <c r="F202" i="30"/>
  <c r="E202" i="30"/>
  <c r="D202" i="30"/>
  <c r="G201" i="30"/>
  <c r="F201" i="30"/>
  <c r="E201" i="30"/>
  <c r="D201" i="30"/>
  <c r="G200" i="30"/>
  <c r="F200" i="30"/>
  <c r="E200" i="30"/>
  <c r="D200" i="30"/>
  <c r="G199" i="30"/>
  <c r="F199" i="30"/>
  <c r="E199" i="30"/>
  <c r="D199" i="30"/>
  <c r="G198" i="30"/>
  <c r="F198" i="30"/>
  <c r="E198" i="30"/>
  <c r="D198" i="30"/>
  <c r="G197" i="30"/>
  <c r="F197" i="30"/>
  <c r="E197" i="30"/>
  <c r="D197" i="30"/>
  <c r="G196" i="30"/>
  <c r="F196" i="30"/>
  <c r="E196" i="30"/>
  <c r="D196" i="30"/>
  <c r="G195" i="30"/>
  <c r="F195" i="30"/>
  <c r="E195" i="30"/>
  <c r="D195" i="30"/>
  <c r="G194" i="30"/>
  <c r="F194" i="30"/>
  <c r="E194" i="30"/>
  <c r="D194" i="30"/>
  <c r="G193" i="30"/>
  <c r="F193" i="30"/>
  <c r="E193" i="30"/>
  <c r="D193" i="30"/>
  <c r="G192" i="30"/>
  <c r="F192" i="30"/>
  <c r="E192" i="30"/>
  <c r="D192" i="30"/>
  <c r="G191" i="30"/>
  <c r="F191" i="30"/>
  <c r="E191" i="30"/>
  <c r="D191" i="30"/>
  <c r="G190" i="30"/>
  <c r="F190" i="30"/>
  <c r="E190" i="30"/>
  <c r="D190" i="30"/>
  <c r="G189" i="30"/>
  <c r="F189" i="30"/>
  <c r="E189" i="30"/>
  <c r="D189" i="30"/>
  <c r="G188" i="30"/>
  <c r="F188" i="30"/>
  <c r="E188" i="30"/>
  <c r="D188" i="30"/>
  <c r="G187" i="30"/>
  <c r="F187" i="30"/>
  <c r="E187" i="30"/>
  <c r="D187" i="30"/>
  <c r="G186" i="30"/>
  <c r="F186" i="30"/>
  <c r="E186" i="30"/>
  <c r="D186" i="30"/>
  <c r="G185" i="30"/>
  <c r="F185" i="30"/>
  <c r="E185" i="30"/>
  <c r="D185" i="30"/>
  <c r="G184" i="30"/>
  <c r="F184" i="30"/>
  <c r="E184" i="30"/>
  <c r="D184" i="30"/>
  <c r="G183" i="30"/>
  <c r="F183" i="30"/>
  <c r="E183" i="30"/>
  <c r="D183" i="30"/>
  <c r="G182" i="30"/>
  <c r="F182" i="30"/>
  <c r="E182" i="30"/>
  <c r="D182" i="30"/>
  <c r="G181" i="30"/>
  <c r="F181" i="30"/>
  <c r="E181" i="30"/>
  <c r="D181" i="30"/>
  <c r="G180" i="30"/>
  <c r="F180" i="30"/>
  <c r="E180" i="30"/>
  <c r="D180" i="30"/>
  <c r="G179" i="30"/>
  <c r="F179" i="30"/>
  <c r="E179" i="30"/>
  <c r="D179" i="30"/>
  <c r="G178" i="30"/>
  <c r="F178" i="30"/>
  <c r="E178" i="30"/>
  <c r="D178" i="30"/>
  <c r="G177" i="30"/>
  <c r="F177" i="30"/>
  <c r="E177" i="30"/>
  <c r="D177" i="30"/>
  <c r="G176" i="30"/>
  <c r="F176" i="30"/>
  <c r="E176" i="30"/>
  <c r="D176" i="30"/>
  <c r="G175" i="30"/>
  <c r="F175" i="30"/>
  <c r="E175" i="30"/>
  <c r="D175" i="30"/>
  <c r="G174" i="30"/>
  <c r="F174" i="30"/>
  <c r="E174" i="30"/>
  <c r="D174" i="30"/>
  <c r="G173" i="30"/>
  <c r="F173" i="30"/>
  <c r="E173" i="30"/>
  <c r="D173" i="30"/>
  <c r="G172" i="30"/>
  <c r="F172" i="30"/>
  <c r="E172" i="30"/>
  <c r="D172" i="30"/>
  <c r="G171" i="30"/>
  <c r="F171" i="30"/>
  <c r="E171" i="30"/>
  <c r="D171" i="30"/>
  <c r="G170" i="30"/>
  <c r="F170" i="30"/>
  <c r="E170" i="30"/>
  <c r="D170" i="30"/>
  <c r="G169" i="30"/>
  <c r="F169" i="30"/>
  <c r="E169" i="30"/>
  <c r="D169" i="30"/>
  <c r="G168" i="30"/>
  <c r="F168" i="30"/>
  <c r="E168" i="30"/>
  <c r="D168" i="30"/>
  <c r="G167" i="30"/>
  <c r="F167" i="30"/>
  <c r="E167" i="30"/>
  <c r="D167" i="30"/>
  <c r="G166" i="30"/>
  <c r="F166" i="30"/>
  <c r="E166" i="30"/>
  <c r="D166" i="30"/>
  <c r="G165" i="30"/>
  <c r="F165" i="30"/>
  <c r="E165" i="30"/>
  <c r="D165" i="30"/>
  <c r="G164" i="30"/>
  <c r="F164" i="30"/>
  <c r="E164" i="30"/>
  <c r="D164" i="30"/>
  <c r="G163" i="30"/>
  <c r="F163" i="30"/>
  <c r="E163" i="30"/>
  <c r="D163" i="30"/>
  <c r="G162" i="30"/>
  <c r="F162" i="30"/>
  <c r="E162" i="30"/>
  <c r="D162" i="30"/>
  <c r="G161" i="30"/>
  <c r="F161" i="30"/>
  <c r="E161" i="30"/>
  <c r="D161" i="30"/>
  <c r="G160" i="30"/>
  <c r="F160" i="30"/>
  <c r="E160" i="30"/>
  <c r="D160" i="30"/>
  <c r="G159" i="30"/>
  <c r="F159" i="30"/>
  <c r="E159" i="30"/>
  <c r="D159" i="30"/>
  <c r="G158" i="30"/>
  <c r="F158" i="30"/>
  <c r="E158" i="30"/>
  <c r="D158" i="30"/>
  <c r="G157" i="30"/>
  <c r="F157" i="30"/>
  <c r="E157" i="30"/>
  <c r="D157" i="30"/>
  <c r="G156" i="30"/>
  <c r="F156" i="30"/>
  <c r="E156" i="30"/>
  <c r="D156" i="30"/>
  <c r="G155" i="30"/>
  <c r="F155" i="30"/>
  <c r="E155" i="30"/>
  <c r="D155" i="30"/>
  <c r="G154" i="30"/>
  <c r="F154" i="30"/>
  <c r="E154" i="30"/>
  <c r="D154" i="30"/>
  <c r="G153" i="30"/>
  <c r="F153" i="30"/>
  <c r="E153" i="30"/>
  <c r="D153" i="30"/>
  <c r="G152" i="30"/>
  <c r="F152" i="30"/>
  <c r="E152" i="30"/>
  <c r="D152" i="30"/>
  <c r="G151" i="30"/>
  <c r="F151" i="30"/>
  <c r="E151" i="30"/>
  <c r="D151" i="30"/>
  <c r="G150" i="30"/>
  <c r="F150" i="30"/>
  <c r="E150" i="30"/>
  <c r="D150" i="30"/>
  <c r="G149" i="30"/>
  <c r="F149" i="30"/>
  <c r="E149" i="30"/>
  <c r="D149" i="30"/>
  <c r="G148" i="30"/>
  <c r="F148" i="30"/>
  <c r="E148" i="30"/>
  <c r="D148" i="30"/>
  <c r="G147" i="30"/>
  <c r="F147" i="30"/>
  <c r="E147" i="30"/>
  <c r="D147" i="30"/>
  <c r="G146" i="30"/>
  <c r="F146" i="30"/>
  <c r="E146" i="30"/>
  <c r="D146" i="30"/>
  <c r="G145" i="30"/>
  <c r="F145" i="30"/>
  <c r="E145" i="30"/>
  <c r="D145" i="30"/>
  <c r="G144" i="30"/>
  <c r="F144" i="30"/>
  <c r="E144" i="30"/>
  <c r="D144" i="30"/>
  <c r="G143" i="30"/>
  <c r="F143" i="30"/>
  <c r="E143" i="30"/>
  <c r="D143" i="30"/>
  <c r="G142" i="30"/>
  <c r="F142" i="30"/>
  <c r="E142" i="30"/>
  <c r="D142" i="30"/>
  <c r="G141" i="30"/>
  <c r="F141" i="30"/>
  <c r="E141" i="30"/>
  <c r="D141" i="30"/>
  <c r="G140" i="30"/>
  <c r="F140" i="30"/>
  <c r="E140" i="30"/>
  <c r="D140" i="30"/>
  <c r="G139" i="30"/>
  <c r="F139" i="30"/>
  <c r="E139" i="30"/>
  <c r="D139" i="30"/>
  <c r="G138" i="30"/>
  <c r="F138" i="30"/>
  <c r="E138" i="30"/>
  <c r="D138" i="30"/>
  <c r="G137" i="30"/>
  <c r="F137" i="30"/>
  <c r="E137" i="30"/>
  <c r="D137" i="30"/>
  <c r="G136" i="30"/>
  <c r="F136" i="30"/>
  <c r="E136" i="30"/>
  <c r="D136" i="30"/>
  <c r="G135" i="30"/>
  <c r="F135" i="30"/>
  <c r="E135" i="30"/>
  <c r="D135" i="30"/>
  <c r="G134" i="30"/>
  <c r="F134" i="30"/>
  <c r="E134" i="30"/>
  <c r="D134" i="30"/>
  <c r="G133" i="30"/>
  <c r="F133" i="30"/>
  <c r="E133" i="30"/>
  <c r="D133" i="30"/>
  <c r="G132" i="30"/>
  <c r="F132" i="30"/>
  <c r="E132" i="30"/>
  <c r="D132" i="30"/>
  <c r="G131" i="30"/>
  <c r="F131" i="30"/>
  <c r="E131" i="30"/>
  <c r="D131" i="30"/>
  <c r="G130" i="30"/>
  <c r="F130" i="30"/>
  <c r="E130" i="30"/>
  <c r="D130" i="30"/>
  <c r="G129" i="30"/>
  <c r="F129" i="30"/>
  <c r="E129" i="30"/>
  <c r="D129" i="30"/>
  <c r="G128" i="30"/>
  <c r="F128" i="30"/>
  <c r="E128" i="30"/>
  <c r="D128" i="30"/>
  <c r="G127" i="30"/>
  <c r="F127" i="30"/>
  <c r="E127" i="30"/>
  <c r="D127" i="30"/>
  <c r="G126" i="30"/>
  <c r="F126" i="30"/>
  <c r="E126" i="30"/>
  <c r="D126" i="30"/>
  <c r="G125" i="30"/>
  <c r="F125" i="30"/>
  <c r="E125" i="30"/>
  <c r="D125" i="30"/>
  <c r="G124" i="30"/>
  <c r="F124" i="30"/>
  <c r="E124" i="30"/>
  <c r="D124" i="30"/>
  <c r="R123" i="30"/>
  <c r="Q123" i="30"/>
  <c r="G123" i="30"/>
  <c r="F123" i="30"/>
  <c r="E123" i="30"/>
  <c r="D123" i="30"/>
  <c r="R122" i="30"/>
  <c r="Q122" i="30"/>
  <c r="G122" i="30"/>
  <c r="F122" i="30"/>
  <c r="E122" i="30"/>
  <c r="D122" i="30"/>
  <c r="R121" i="30"/>
  <c r="Q121" i="30"/>
  <c r="G121" i="30"/>
  <c r="F121" i="30"/>
  <c r="E121" i="30"/>
  <c r="D121" i="30"/>
  <c r="R120" i="30"/>
  <c r="Q120" i="30"/>
  <c r="G120" i="30"/>
  <c r="F120" i="30"/>
  <c r="E120" i="30"/>
  <c r="D120" i="30"/>
  <c r="R119" i="30"/>
  <c r="Q119" i="30"/>
  <c r="G119" i="30"/>
  <c r="F119" i="30"/>
  <c r="E119" i="30"/>
  <c r="D119" i="30"/>
  <c r="R118" i="30"/>
  <c r="Q118" i="30"/>
  <c r="G118" i="30"/>
  <c r="F118" i="30"/>
  <c r="E118" i="30"/>
  <c r="D118" i="30"/>
  <c r="R117" i="30"/>
  <c r="Q117" i="30"/>
  <c r="G117" i="30"/>
  <c r="F117" i="30"/>
  <c r="E117" i="30"/>
  <c r="D117" i="30"/>
  <c r="R116" i="30"/>
  <c r="Q116" i="30"/>
  <c r="G116" i="30"/>
  <c r="F116" i="30"/>
  <c r="E116" i="30"/>
  <c r="D116" i="30"/>
  <c r="R115" i="30"/>
  <c r="Q115" i="30"/>
  <c r="G115" i="30"/>
  <c r="F115" i="30"/>
  <c r="E115" i="30"/>
  <c r="D115" i="30"/>
  <c r="R114" i="30"/>
  <c r="Q114" i="30"/>
  <c r="G114" i="30"/>
  <c r="F114" i="30"/>
  <c r="E114" i="30"/>
  <c r="D114" i="30"/>
  <c r="R113" i="30"/>
  <c r="Q113" i="30"/>
  <c r="G113" i="30"/>
  <c r="F113" i="30"/>
  <c r="E113" i="30"/>
  <c r="D113" i="30"/>
  <c r="R112" i="30"/>
  <c r="Q112" i="30"/>
  <c r="G112" i="30"/>
  <c r="F112" i="30"/>
  <c r="E112" i="30"/>
  <c r="D112" i="30"/>
  <c r="R111" i="30"/>
  <c r="Q111" i="30"/>
  <c r="G111" i="30"/>
  <c r="F111" i="30"/>
  <c r="E111" i="30"/>
  <c r="D111" i="30"/>
  <c r="R110" i="30"/>
  <c r="Q110" i="30"/>
  <c r="G110" i="30"/>
  <c r="F110" i="30"/>
  <c r="E110" i="30"/>
  <c r="D110" i="30"/>
  <c r="R109" i="30"/>
  <c r="Q109" i="30"/>
  <c r="G109" i="30"/>
  <c r="F109" i="30"/>
  <c r="E109" i="30"/>
  <c r="D109" i="30"/>
  <c r="R108" i="30"/>
  <c r="Q108" i="30"/>
  <c r="G108" i="30"/>
  <c r="F108" i="30"/>
  <c r="E108" i="30"/>
  <c r="D108" i="30"/>
  <c r="R107" i="30"/>
  <c r="Q107" i="30"/>
  <c r="G107" i="30"/>
  <c r="F107" i="30"/>
  <c r="E107" i="30"/>
  <c r="D107" i="30"/>
  <c r="R106" i="30"/>
  <c r="Q106" i="30"/>
  <c r="G106" i="30"/>
  <c r="F106" i="30"/>
  <c r="E106" i="30"/>
  <c r="D106" i="30"/>
  <c r="R105" i="30"/>
  <c r="Q105" i="30"/>
  <c r="G105" i="30"/>
  <c r="F105" i="30"/>
  <c r="E105" i="30"/>
  <c r="D105" i="30"/>
  <c r="R104" i="30"/>
  <c r="Q104" i="30"/>
  <c r="G104" i="30"/>
  <c r="F104" i="30"/>
  <c r="E104" i="30"/>
  <c r="D104" i="30"/>
  <c r="R103" i="30"/>
  <c r="Q103" i="30"/>
  <c r="G103" i="30"/>
  <c r="F103" i="30"/>
  <c r="E103" i="30"/>
  <c r="D103" i="30"/>
  <c r="R102" i="30"/>
  <c r="Q102" i="30"/>
  <c r="G102" i="30"/>
  <c r="F102" i="30"/>
  <c r="E102" i="30"/>
  <c r="D102" i="30"/>
  <c r="R101" i="30"/>
  <c r="Q101" i="30"/>
  <c r="G101" i="30"/>
  <c r="F101" i="30"/>
  <c r="E101" i="30"/>
  <c r="D101" i="30"/>
  <c r="R100" i="30"/>
  <c r="Q100" i="30"/>
  <c r="G100" i="30"/>
  <c r="F100" i="30"/>
  <c r="E100" i="30"/>
  <c r="D100" i="30"/>
  <c r="R99" i="30"/>
  <c r="Q99" i="30"/>
  <c r="G99" i="30"/>
  <c r="F99" i="30"/>
  <c r="E99" i="30"/>
  <c r="D99" i="30"/>
  <c r="R98" i="30"/>
  <c r="Q98" i="30"/>
  <c r="G98" i="30"/>
  <c r="F98" i="30"/>
  <c r="E98" i="30"/>
  <c r="D98" i="30"/>
  <c r="R97" i="30"/>
  <c r="Q97" i="30"/>
  <c r="G97" i="30"/>
  <c r="F97" i="30"/>
  <c r="E97" i="30"/>
  <c r="D97" i="30"/>
  <c r="R96" i="30"/>
  <c r="Q96" i="30"/>
  <c r="G96" i="30"/>
  <c r="F96" i="30"/>
  <c r="E96" i="30"/>
  <c r="D96" i="30"/>
  <c r="R95" i="30"/>
  <c r="Q95" i="30"/>
  <c r="G95" i="30"/>
  <c r="F95" i="30"/>
  <c r="E95" i="30"/>
  <c r="D95" i="30"/>
  <c r="R94" i="30"/>
  <c r="Q94" i="30"/>
  <c r="G94" i="30"/>
  <c r="F94" i="30"/>
  <c r="E94" i="30"/>
  <c r="D94" i="30"/>
  <c r="R93" i="30"/>
  <c r="Q93" i="30"/>
  <c r="G93" i="30"/>
  <c r="F93" i="30"/>
  <c r="E93" i="30"/>
  <c r="D93" i="30"/>
  <c r="R92" i="30"/>
  <c r="Q92" i="30"/>
  <c r="G92" i="30"/>
  <c r="F92" i="30"/>
  <c r="E92" i="30"/>
  <c r="D92" i="30"/>
  <c r="R91" i="30"/>
  <c r="Q91" i="30"/>
  <c r="G91" i="30"/>
  <c r="F91" i="30"/>
  <c r="E91" i="30"/>
  <c r="D91" i="30"/>
  <c r="R90" i="30"/>
  <c r="Q90" i="30"/>
  <c r="G90" i="30"/>
  <c r="F90" i="30"/>
  <c r="E90" i="30"/>
  <c r="D90" i="30"/>
  <c r="R89" i="30"/>
  <c r="Q89" i="30"/>
  <c r="G89" i="30"/>
  <c r="F89" i="30"/>
  <c r="E89" i="30"/>
  <c r="D89" i="30"/>
  <c r="R88" i="30"/>
  <c r="Q88" i="30"/>
  <c r="G88" i="30"/>
  <c r="F88" i="30"/>
  <c r="E88" i="30"/>
  <c r="D88" i="30"/>
  <c r="R87" i="30"/>
  <c r="Q87" i="30"/>
  <c r="G87" i="30"/>
  <c r="F87" i="30"/>
  <c r="E87" i="30"/>
  <c r="D87" i="30"/>
  <c r="R86" i="30"/>
  <c r="Q86" i="30"/>
  <c r="G86" i="30"/>
  <c r="F86" i="30"/>
  <c r="E86" i="30"/>
  <c r="D86" i="30"/>
  <c r="R85" i="30"/>
  <c r="Q85" i="30"/>
  <c r="G85" i="30"/>
  <c r="F85" i="30"/>
  <c r="E85" i="30"/>
  <c r="D85" i="30"/>
  <c r="R84" i="30"/>
  <c r="Q84" i="30"/>
  <c r="G84" i="30"/>
  <c r="F84" i="30"/>
  <c r="E84" i="30"/>
  <c r="D84" i="30"/>
  <c r="R83" i="30"/>
  <c r="Q83" i="30"/>
  <c r="G83" i="30"/>
  <c r="F83" i="30"/>
  <c r="E83" i="30"/>
  <c r="D83" i="30"/>
  <c r="R82" i="30"/>
  <c r="Q82" i="30"/>
  <c r="G82" i="30"/>
  <c r="F82" i="30"/>
  <c r="E82" i="30"/>
  <c r="D82" i="30"/>
  <c r="R81" i="30"/>
  <c r="Q81" i="30"/>
  <c r="G81" i="30"/>
  <c r="F81" i="30"/>
  <c r="E81" i="30"/>
  <c r="D81" i="30"/>
  <c r="R80" i="30"/>
  <c r="Q80" i="30"/>
  <c r="G80" i="30"/>
  <c r="F80" i="30"/>
  <c r="E80" i="30"/>
  <c r="D80" i="30"/>
  <c r="R79" i="30"/>
  <c r="Q79" i="30"/>
  <c r="G79" i="30"/>
  <c r="F79" i="30"/>
  <c r="E79" i="30"/>
  <c r="D79" i="30"/>
  <c r="R78" i="30"/>
  <c r="Q78" i="30"/>
  <c r="G78" i="30"/>
  <c r="F78" i="30"/>
  <c r="E78" i="30"/>
  <c r="D78" i="30"/>
  <c r="R77" i="30"/>
  <c r="Q77" i="30"/>
  <c r="G77" i="30"/>
  <c r="F77" i="30"/>
  <c r="E77" i="30"/>
  <c r="D77" i="30"/>
  <c r="R76" i="30"/>
  <c r="Q76" i="30"/>
  <c r="G76" i="30"/>
  <c r="F76" i="30"/>
  <c r="E76" i="30"/>
  <c r="D76" i="30"/>
  <c r="R75" i="30"/>
  <c r="Q75" i="30"/>
  <c r="G75" i="30"/>
  <c r="F75" i="30"/>
  <c r="E75" i="30"/>
  <c r="D75" i="30"/>
  <c r="R74" i="30"/>
  <c r="Q74" i="30"/>
  <c r="G74" i="30"/>
  <c r="F74" i="30"/>
  <c r="E74" i="30"/>
  <c r="D74" i="30"/>
  <c r="R73" i="30"/>
  <c r="Q73" i="30"/>
  <c r="G73" i="30"/>
  <c r="F73" i="30"/>
  <c r="E73" i="30"/>
  <c r="D73" i="30"/>
  <c r="R72" i="30"/>
  <c r="Q72" i="30"/>
  <c r="G72" i="30"/>
  <c r="F72" i="30"/>
  <c r="E72" i="30"/>
  <c r="D72" i="30"/>
  <c r="R71" i="30"/>
  <c r="Q71" i="30"/>
  <c r="G71" i="30"/>
  <c r="F71" i="30"/>
  <c r="E71" i="30"/>
  <c r="D71" i="30"/>
  <c r="R70" i="30"/>
  <c r="Q70" i="30"/>
  <c r="G70" i="30"/>
  <c r="F70" i="30"/>
  <c r="E70" i="30"/>
  <c r="D70" i="30"/>
  <c r="R69" i="30"/>
  <c r="Q69" i="30"/>
  <c r="G69" i="30"/>
  <c r="F69" i="30"/>
  <c r="E69" i="30"/>
  <c r="D69" i="30"/>
  <c r="R68" i="30"/>
  <c r="Q68" i="30"/>
  <c r="G68" i="30"/>
  <c r="F68" i="30"/>
  <c r="E68" i="30"/>
  <c r="D68" i="30"/>
  <c r="R67" i="30"/>
  <c r="Q67" i="30"/>
  <c r="G67" i="30"/>
  <c r="F67" i="30"/>
  <c r="E67" i="30"/>
  <c r="D67" i="30"/>
  <c r="R66" i="30"/>
  <c r="Q66" i="30"/>
  <c r="G66" i="30"/>
  <c r="F66" i="30"/>
  <c r="E66" i="30"/>
  <c r="D66" i="30"/>
  <c r="R65" i="30"/>
  <c r="Q65" i="30"/>
  <c r="G65" i="30"/>
  <c r="F65" i="30"/>
  <c r="E65" i="30"/>
  <c r="D65" i="30"/>
  <c r="R64" i="30"/>
  <c r="Q64" i="30"/>
  <c r="G64" i="30"/>
  <c r="F64" i="30"/>
  <c r="E64" i="30"/>
  <c r="D64" i="30"/>
  <c r="R63" i="30"/>
  <c r="Q63" i="30"/>
  <c r="G63" i="30"/>
  <c r="F63" i="30"/>
  <c r="E63" i="30"/>
  <c r="D63" i="30"/>
  <c r="R62" i="30"/>
  <c r="Q62" i="30"/>
  <c r="G62" i="30"/>
  <c r="F62" i="30"/>
  <c r="E62" i="30"/>
  <c r="D62" i="30"/>
  <c r="R61" i="30"/>
  <c r="Q61" i="30"/>
  <c r="G61" i="30"/>
  <c r="F61" i="30"/>
  <c r="E61" i="30"/>
  <c r="D61" i="30"/>
  <c r="R60" i="30"/>
  <c r="Q60" i="30"/>
  <c r="G60" i="30"/>
  <c r="F60" i="30"/>
  <c r="E60" i="30"/>
  <c r="D60" i="30"/>
  <c r="R59" i="30"/>
  <c r="Q59" i="30"/>
  <c r="G59" i="30"/>
  <c r="F59" i="30"/>
  <c r="E59" i="30"/>
  <c r="D59" i="30"/>
  <c r="R58" i="30"/>
  <c r="Q58" i="30"/>
  <c r="G58" i="30"/>
  <c r="F58" i="30"/>
  <c r="E58" i="30"/>
  <c r="D58" i="30"/>
  <c r="R57" i="30"/>
  <c r="Q57" i="30"/>
  <c r="G57" i="30"/>
  <c r="F57" i="30"/>
  <c r="E57" i="30"/>
  <c r="D57" i="30"/>
  <c r="R56" i="30"/>
  <c r="Q56" i="30"/>
  <c r="G56" i="30"/>
  <c r="F56" i="30"/>
  <c r="E56" i="30"/>
  <c r="D56" i="30"/>
  <c r="R55" i="30"/>
  <c r="Q55" i="30"/>
  <c r="K55" i="30"/>
  <c r="G55" i="30"/>
  <c r="F55" i="30"/>
  <c r="E55" i="30"/>
  <c r="D55" i="30"/>
  <c r="R54" i="30"/>
  <c r="Q54" i="30"/>
  <c r="K54" i="30"/>
  <c r="G54" i="30"/>
  <c r="F54" i="30"/>
  <c r="E54" i="30"/>
  <c r="D54" i="30"/>
  <c r="R53" i="30"/>
  <c r="Q53" i="30"/>
  <c r="K53" i="30"/>
  <c r="G53" i="30"/>
  <c r="F53" i="30"/>
  <c r="E53" i="30"/>
  <c r="D53" i="30"/>
  <c r="R52" i="30"/>
  <c r="Q52" i="30"/>
  <c r="G52" i="30"/>
  <c r="F52" i="30"/>
  <c r="E52" i="30"/>
  <c r="D52" i="30"/>
  <c r="R51" i="30"/>
  <c r="Q51" i="30"/>
  <c r="G51" i="30"/>
  <c r="F51" i="30"/>
  <c r="E51" i="30"/>
  <c r="D51" i="30"/>
  <c r="R50" i="30"/>
  <c r="Q50" i="30"/>
  <c r="L50" i="30"/>
  <c r="K50" i="30"/>
  <c r="G50" i="30"/>
  <c r="F50" i="30"/>
  <c r="E50" i="30"/>
  <c r="D50" i="30"/>
  <c r="R49" i="30"/>
  <c r="Q49" i="30"/>
  <c r="L49" i="30"/>
  <c r="K49" i="30"/>
  <c r="G49" i="30"/>
  <c r="F49" i="30"/>
  <c r="E49" i="30"/>
  <c r="D49" i="30"/>
  <c r="R48" i="30"/>
  <c r="Q48" i="30"/>
  <c r="L48" i="30"/>
  <c r="K48" i="30"/>
  <c r="G48" i="30"/>
  <c r="F48" i="30"/>
  <c r="E48" i="30"/>
  <c r="D48" i="30"/>
  <c r="R47" i="30"/>
  <c r="Q47" i="30"/>
  <c r="L47" i="30"/>
  <c r="K47" i="30"/>
  <c r="G47" i="30"/>
  <c r="F47" i="30"/>
  <c r="E47" i="30"/>
  <c r="D47" i="30"/>
  <c r="R46" i="30"/>
  <c r="Q46" i="30"/>
  <c r="G46" i="30"/>
  <c r="F46" i="30"/>
  <c r="E46" i="30"/>
  <c r="D46" i="30"/>
  <c r="R45" i="30"/>
  <c r="Q45" i="30"/>
  <c r="G45" i="30"/>
  <c r="F45" i="30"/>
  <c r="E45" i="30"/>
  <c r="D45" i="30"/>
  <c r="R44" i="30"/>
  <c r="Q44" i="30"/>
  <c r="G44" i="30"/>
  <c r="F44" i="30"/>
  <c r="E44" i="30"/>
  <c r="D44" i="30"/>
  <c r="R43" i="30"/>
  <c r="Q43" i="30"/>
  <c r="G43" i="30"/>
  <c r="F43" i="30"/>
  <c r="E43" i="30"/>
  <c r="D43" i="30"/>
  <c r="R42" i="30"/>
  <c r="Q42" i="30"/>
  <c r="M42" i="30"/>
  <c r="G42" i="30"/>
  <c r="F42" i="30"/>
  <c r="E42" i="30"/>
  <c r="D42" i="30"/>
  <c r="R41" i="30"/>
  <c r="Q41" i="30"/>
  <c r="M41" i="30"/>
  <c r="L41" i="30"/>
  <c r="G41" i="30"/>
  <c r="F41" i="30"/>
  <c r="E41" i="30"/>
  <c r="D41" i="30"/>
  <c r="R40" i="30"/>
  <c r="Q40" i="30"/>
  <c r="M40" i="30"/>
  <c r="L40" i="30"/>
  <c r="G40" i="30"/>
  <c r="F40" i="30"/>
  <c r="E40" i="30"/>
  <c r="D40" i="30"/>
  <c r="R39" i="30"/>
  <c r="Q39" i="30"/>
  <c r="M39" i="30"/>
  <c r="L39" i="30"/>
  <c r="G39" i="30"/>
  <c r="F39" i="30"/>
  <c r="E39" i="30"/>
  <c r="D39" i="30"/>
  <c r="R38" i="30"/>
  <c r="Q38" i="30"/>
  <c r="M38" i="30"/>
  <c r="L38" i="30"/>
  <c r="G38" i="30"/>
  <c r="F38" i="30"/>
  <c r="E38" i="30"/>
  <c r="D38" i="30"/>
  <c r="R37" i="30"/>
  <c r="Q37" i="30"/>
  <c r="M37" i="30"/>
  <c r="L37" i="30"/>
  <c r="G37" i="30"/>
  <c r="F37" i="30"/>
  <c r="E37" i="30"/>
  <c r="D37" i="30"/>
  <c r="R36" i="30"/>
  <c r="Q36" i="30"/>
  <c r="M36" i="30"/>
  <c r="L36" i="30"/>
  <c r="G36" i="30"/>
  <c r="F36" i="30"/>
  <c r="E36" i="30"/>
  <c r="D36" i="30"/>
  <c r="R35" i="30"/>
  <c r="Q35" i="30"/>
  <c r="M35" i="30"/>
  <c r="L35" i="30"/>
  <c r="G35" i="30"/>
  <c r="F35" i="30"/>
  <c r="E35" i="30"/>
  <c r="D35" i="30"/>
  <c r="R34" i="30"/>
  <c r="Q34" i="30"/>
  <c r="M34" i="30"/>
  <c r="L34" i="30"/>
  <c r="G34" i="30"/>
  <c r="F34" i="30"/>
  <c r="E34" i="30"/>
  <c r="D34" i="30"/>
  <c r="R33" i="30"/>
  <c r="Q33" i="30"/>
  <c r="M33" i="30"/>
  <c r="L33" i="30"/>
  <c r="G33" i="30"/>
  <c r="F33" i="30"/>
  <c r="E33" i="30"/>
  <c r="D33" i="30"/>
  <c r="R32" i="30"/>
  <c r="Q32" i="30"/>
  <c r="M32" i="30"/>
  <c r="L32" i="30"/>
  <c r="G32" i="30"/>
  <c r="F32" i="30"/>
  <c r="E32" i="30"/>
  <c r="D32" i="30"/>
  <c r="R31" i="30"/>
  <c r="Q31" i="30"/>
  <c r="M31" i="30"/>
  <c r="L31" i="30"/>
  <c r="G31" i="30"/>
  <c r="F31" i="30"/>
  <c r="E31" i="30"/>
  <c r="D31" i="30"/>
  <c r="R30" i="30"/>
  <c r="Q30" i="30"/>
  <c r="M30" i="30"/>
  <c r="L30" i="30"/>
  <c r="G30" i="30"/>
  <c r="F30" i="30"/>
  <c r="E30" i="30"/>
  <c r="D30" i="30"/>
  <c r="R29" i="30"/>
  <c r="Q29" i="30"/>
  <c r="M29" i="30"/>
  <c r="L29" i="30"/>
  <c r="G29" i="30"/>
  <c r="F29" i="30"/>
  <c r="E29" i="30"/>
  <c r="D29" i="30"/>
  <c r="R28" i="30"/>
  <c r="Q28" i="30"/>
  <c r="M28" i="30"/>
  <c r="L28" i="30"/>
  <c r="G28" i="30"/>
  <c r="F28" i="30"/>
  <c r="E28" i="30"/>
  <c r="D28" i="30"/>
  <c r="R27" i="30"/>
  <c r="Q27" i="30"/>
  <c r="M27" i="30"/>
  <c r="L27" i="30"/>
  <c r="G27" i="30"/>
  <c r="F27" i="30"/>
  <c r="E27" i="30"/>
  <c r="D27" i="30"/>
  <c r="R26" i="30"/>
  <c r="Q26" i="30"/>
  <c r="M26" i="30"/>
  <c r="L26" i="30"/>
  <c r="G26" i="30"/>
  <c r="F26" i="30"/>
  <c r="E26" i="30"/>
  <c r="D26" i="30"/>
  <c r="R25" i="30"/>
  <c r="Q25" i="30"/>
  <c r="M25" i="30"/>
  <c r="L25" i="30"/>
  <c r="G25" i="30"/>
  <c r="F25" i="30"/>
  <c r="E25" i="30"/>
  <c r="D25" i="30"/>
  <c r="R24" i="30"/>
  <c r="Q24" i="30"/>
  <c r="M24" i="30"/>
  <c r="L24" i="30"/>
  <c r="G24" i="30"/>
  <c r="F24" i="30"/>
  <c r="E24" i="30"/>
  <c r="D24" i="30"/>
  <c r="R23" i="30"/>
  <c r="Q23" i="30"/>
  <c r="M23" i="30"/>
  <c r="L23" i="30"/>
  <c r="G23" i="30"/>
  <c r="F23" i="30"/>
  <c r="E23" i="30"/>
  <c r="D23" i="30"/>
  <c r="R22" i="30"/>
  <c r="Q22" i="30"/>
  <c r="M22" i="30"/>
  <c r="L22" i="30"/>
  <c r="G22" i="30"/>
  <c r="F22" i="30"/>
  <c r="E22" i="30"/>
  <c r="D22" i="30"/>
  <c r="R21" i="30"/>
  <c r="Q21" i="30"/>
  <c r="M21" i="30"/>
  <c r="L21" i="30"/>
  <c r="G21" i="30"/>
  <c r="F21" i="30"/>
  <c r="E21" i="30"/>
  <c r="D21" i="30"/>
  <c r="R20" i="30"/>
  <c r="Q20" i="30"/>
  <c r="M20" i="30"/>
  <c r="L20" i="30"/>
  <c r="G20" i="30"/>
  <c r="F20" i="30"/>
  <c r="E20" i="30"/>
  <c r="D20" i="30"/>
  <c r="R19" i="30"/>
  <c r="Q19" i="30"/>
  <c r="M19" i="30"/>
  <c r="L19" i="30"/>
  <c r="G19" i="30"/>
  <c r="F19" i="30"/>
  <c r="E19" i="30"/>
  <c r="D19" i="30"/>
  <c r="R18" i="30"/>
  <c r="Q18" i="30"/>
  <c r="M18" i="30"/>
  <c r="L18" i="30"/>
  <c r="G18" i="30"/>
  <c r="F18" i="30"/>
  <c r="E18" i="30"/>
  <c r="D18" i="30"/>
  <c r="R17" i="30"/>
  <c r="Q17" i="30"/>
  <c r="M17" i="30"/>
  <c r="L17" i="30"/>
  <c r="G17" i="30"/>
  <c r="F17" i="30"/>
  <c r="E17" i="30"/>
  <c r="D17" i="30"/>
  <c r="R16" i="30"/>
  <c r="Q16" i="30"/>
  <c r="M16" i="30"/>
  <c r="L16" i="30"/>
  <c r="G16" i="30"/>
  <c r="F16" i="30"/>
  <c r="E16" i="30"/>
  <c r="D16" i="30"/>
  <c r="R15" i="30"/>
  <c r="Q15" i="30"/>
  <c r="M15" i="30"/>
  <c r="L15" i="30"/>
  <c r="G15" i="30"/>
  <c r="F15" i="30"/>
  <c r="E15" i="30"/>
  <c r="D15" i="30"/>
  <c r="R14" i="30"/>
  <c r="Q14" i="30"/>
  <c r="M14" i="30"/>
  <c r="L14" i="30"/>
  <c r="G14" i="30"/>
  <c r="F14" i="30"/>
  <c r="E14" i="30"/>
  <c r="D14" i="30"/>
  <c r="R13" i="30"/>
  <c r="Q13" i="30"/>
  <c r="M13" i="30"/>
  <c r="L13" i="30"/>
  <c r="G13" i="30"/>
  <c r="F13" i="30"/>
  <c r="E13" i="30"/>
  <c r="D13" i="30"/>
  <c r="R12" i="30"/>
  <c r="Q12" i="30"/>
  <c r="M12" i="30"/>
  <c r="L12" i="30"/>
  <c r="G12" i="30"/>
  <c r="F12" i="30"/>
  <c r="E12" i="30"/>
  <c r="D12" i="30"/>
  <c r="AG48" i="30"/>
  <c r="AG49" i="30"/>
  <c r="AG50" i="30"/>
  <c r="AG47" i="30"/>
  <c r="AF55" i="30"/>
  <c r="AF54" i="30"/>
  <c r="AF53" i="30"/>
  <c r="AF48" i="30"/>
  <c r="AF49" i="30"/>
  <c r="AF50" i="30"/>
  <c r="AF47" i="30"/>
  <c r="AL13" i="30"/>
  <c r="AM13" i="30"/>
  <c r="AL14" i="30"/>
  <c r="AM14" i="30"/>
  <c r="AL15" i="30"/>
  <c r="AM15" i="30"/>
  <c r="AL16" i="30"/>
  <c r="AM16" i="30"/>
  <c r="AL17" i="30"/>
  <c r="AM17" i="30"/>
  <c r="AL18" i="30"/>
  <c r="AM18" i="30"/>
  <c r="AL19" i="30"/>
  <c r="AM19" i="30"/>
  <c r="AL20" i="30"/>
  <c r="AM20" i="30"/>
  <c r="AL21" i="30"/>
  <c r="AM21" i="30"/>
  <c r="AL22" i="30"/>
  <c r="AM22" i="30"/>
  <c r="AL23" i="30"/>
  <c r="AM23" i="30"/>
  <c r="AL24" i="30"/>
  <c r="AM24" i="30"/>
  <c r="AL25" i="30"/>
  <c r="AM25" i="30"/>
  <c r="AL26" i="30"/>
  <c r="AM26" i="30"/>
  <c r="AL27" i="30"/>
  <c r="AM27" i="30"/>
  <c r="AL28" i="30"/>
  <c r="AM28" i="30"/>
  <c r="AL29" i="30"/>
  <c r="AM29" i="30"/>
  <c r="AL30" i="30"/>
  <c r="AM30" i="30"/>
  <c r="AL31" i="30"/>
  <c r="AM31" i="30"/>
  <c r="AL32" i="30"/>
  <c r="AM32" i="30"/>
  <c r="AL33" i="30"/>
  <c r="AM33" i="30"/>
  <c r="AL34" i="30"/>
  <c r="AM34" i="30"/>
  <c r="AL35" i="30"/>
  <c r="AM35" i="30"/>
  <c r="AL36" i="30"/>
  <c r="AM36" i="30"/>
  <c r="AL37" i="30"/>
  <c r="AM37" i="30"/>
  <c r="AL38" i="30"/>
  <c r="AM38" i="30"/>
  <c r="AL39" i="30"/>
  <c r="AM39" i="30"/>
  <c r="AL40" i="30"/>
  <c r="AM40" i="30"/>
  <c r="AL41" i="30"/>
  <c r="AM41" i="30"/>
  <c r="AL42" i="30"/>
  <c r="AM42" i="30"/>
  <c r="AL43" i="30"/>
  <c r="AM43" i="30"/>
  <c r="AL44" i="30"/>
  <c r="AM44" i="30"/>
  <c r="AL45" i="30"/>
  <c r="AM45" i="30"/>
  <c r="AL46" i="30"/>
  <c r="AM46" i="30"/>
  <c r="AL47" i="30"/>
  <c r="AM47" i="30"/>
  <c r="AL48" i="30"/>
  <c r="AM48" i="30"/>
  <c r="AL49" i="30"/>
  <c r="AM49" i="30"/>
  <c r="AL50" i="30"/>
  <c r="AM50" i="30"/>
  <c r="AL51" i="30"/>
  <c r="AM51" i="30"/>
  <c r="AL52" i="30"/>
  <c r="AM52" i="30"/>
  <c r="AL53" i="30"/>
  <c r="AM53" i="30"/>
  <c r="AL54" i="30"/>
  <c r="AM54" i="30"/>
  <c r="AL55" i="30"/>
  <c r="AM55" i="30"/>
  <c r="AL56" i="30"/>
  <c r="AM56" i="30"/>
  <c r="AL57" i="30"/>
  <c r="AM57" i="30"/>
  <c r="AL58" i="30"/>
  <c r="AM58" i="30"/>
  <c r="AL59" i="30"/>
  <c r="AM59" i="30"/>
  <c r="AL60" i="30"/>
  <c r="AM60" i="30"/>
  <c r="AL61" i="30"/>
  <c r="AM61" i="30"/>
  <c r="AL62" i="30"/>
  <c r="AM62" i="30"/>
  <c r="AL63" i="30"/>
  <c r="AM63" i="30"/>
  <c r="AL64" i="30"/>
  <c r="AM64" i="30"/>
  <c r="AL65" i="30"/>
  <c r="AM65" i="30"/>
  <c r="AL66" i="30"/>
  <c r="AM66" i="30"/>
  <c r="AL67" i="30"/>
  <c r="AM67" i="30"/>
  <c r="AL68" i="30"/>
  <c r="AM68" i="30"/>
  <c r="AL69" i="30"/>
  <c r="AM69" i="30"/>
  <c r="AL70" i="30"/>
  <c r="AM70" i="30"/>
  <c r="AL71" i="30"/>
  <c r="AM71" i="30"/>
  <c r="AL72" i="30"/>
  <c r="AM72" i="30"/>
  <c r="AL73" i="30"/>
  <c r="AM73" i="30"/>
  <c r="AL74" i="30"/>
  <c r="AM74" i="30"/>
  <c r="AL75" i="30"/>
  <c r="AM75" i="30"/>
  <c r="AL76" i="30"/>
  <c r="AM76" i="30"/>
  <c r="AL77" i="30"/>
  <c r="AM77" i="30"/>
  <c r="AL78" i="30"/>
  <c r="AM78" i="30"/>
  <c r="AL79" i="30"/>
  <c r="AM79" i="30"/>
  <c r="AL80" i="30"/>
  <c r="AM80" i="30"/>
  <c r="AL81" i="30"/>
  <c r="AM81" i="30"/>
  <c r="AL82" i="30"/>
  <c r="AM82" i="30"/>
  <c r="AL83" i="30"/>
  <c r="AM83" i="30"/>
  <c r="AL84" i="30"/>
  <c r="AM84" i="30"/>
  <c r="AL85" i="30"/>
  <c r="AM85" i="30"/>
  <c r="AL86" i="30"/>
  <c r="AM86" i="30"/>
  <c r="AL87" i="30"/>
  <c r="AM87" i="30"/>
  <c r="AL88" i="30"/>
  <c r="AM88" i="30"/>
  <c r="AL89" i="30"/>
  <c r="AM89" i="30"/>
  <c r="AL90" i="30"/>
  <c r="AM90" i="30"/>
  <c r="AL91" i="30"/>
  <c r="AM91" i="30"/>
  <c r="AL92" i="30"/>
  <c r="AM92" i="30"/>
  <c r="AL93" i="30"/>
  <c r="AM93" i="30"/>
  <c r="AL94" i="30"/>
  <c r="AM94" i="30"/>
  <c r="AL95" i="30"/>
  <c r="AM95" i="30"/>
  <c r="AL96" i="30"/>
  <c r="AM96" i="30"/>
  <c r="AL97" i="30"/>
  <c r="AM97" i="30"/>
  <c r="AL98" i="30"/>
  <c r="AM98" i="30"/>
  <c r="AL99" i="30"/>
  <c r="AM99" i="30"/>
  <c r="AL100" i="30"/>
  <c r="AM100" i="30"/>
  <c r="AL101" i="30"/>
  <c r="AM101" i="30"/>
  <c r="AL102" i="30"/>
  <c r="AM102" i="30"/>
  <c r="AL103" i="30"/>
  <c r="AM103" i="30"/>
  <c r="AL104" i="30"/>
  <c r="AM104" i="30"/>
  <c r="AL105" i="30"/>
  <c r="AM105" i="30"/>
  <c r="AL106" i="30"/>
  <c r="AM106" i="30"/>
  <c r="AL107" i="30"/>
  <c r="AM107" i="30"/>
  <c r="AL108" i="30"/>
  <c r="AM108" i="30"/>
  <c r="AL109" i="30"/>
  <c r="AM109" i="30"/>
  <c r="AL110" i="30"/>
  <c r="AM110" i="30"/>
  <c r="AL111" i="30"/>
  <c r="AM111" i="30"/>
  <c r="AL112" i="30"/>
  <c r="AM112" i="30"/>
  <c r="AL113" i="30"/>
  <c r="AM113" i="30"/>
  <c r="AL114" i="30"/>
  <c r="AM114" i="30"/>
  <c r="AL115" i="30"/>
  <c r="AM115" i="30"/>
  <c r="AL116" i="30"/>
  <c r="AM116" i="30"/>
  <c r="AL117" i="30"/>
  <c r="AM117" i="30"/>
  <c r="AL118" i="30"/>
  <c r="AM118" i="30"/>
  <c r="AL119" i="30"/>
  <c r="AM119" i="30"/>
  <c r="AL120" i="30"/>
  <c r="AM120" i="30"/>
  <c r="AL121" i="30"/>
  <c r="AM121" i="30"/>
  <c r="AL122" i="30"/>
  <c r="AM122" i="30"/>
  <c r="AL123" i="30"/>
  <c r="AM123" i="30"/>
  <c r="AM12" i="30"/>
  <c r="AL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AH40" i="30"/>
  <c r="AH41" i="30"/>
  <c r="AH42" i="30"/>
  <c r="AH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12" i="30"/>
  <c r="Y13" i="30"/>
  <c r="Z13" i="30"/>
  <c r="AA13" i="30"/>
  <c r="AB13" i="30"/>
  <c r="Y14" i="30"/>
  <c r="Z14" i="30"/>
  <c r="AA14" i="30"/>
  <c r="AB14" i="30"/>
  <c r="Y15" i="30"/>
  <c r="Z15" i="30"/>
  <c r="AA15" i="30"/>
  <c r="AB15" i="30"/>
  <c r="Y16" i="30"/>
  <c r="Z16" i="30"/>
  <c r="AA16" i="30"/>
  <c r="AB16" i="30"/>
  <c r="Y17" i="30"/>
  <c r="Z17" i="30"/>
  <c r="AA17" i="30"/>
  <c r="AB17" i="30"/>
  <c r="Y18" i="30"/>
  <c r="Z18" i="30"/>
  <c r="AA18" i="30"/>
  <c r="AB18" i="30"/>
  <c r="Y19" i="30"/>
  <c r="Z19" i="30"/>
  <c r="AA19" i="30"/>
  <c r="AB19" i="30"/>
  <c r="Y20" i="30"/>
  <c r="Z20" i="30"/>
  <c r="AA20" i="30"/>
  <c r="AB20" i="30"/>
  <c r="Y21" i="30"/>
  <c r="Z21" i="30"/>
  <c r="AA21" i="30"/>
  <c r="AB21" i="30"/>
  <c r="Y22" i="30"/>
  <c r="Z22" i="30"/>
  <c r="AA22" i="30"/>
  <c r="AB22" i="30"/>
  <c r="Y23" i="30"/>
  <c r="Z23" i="30"/>
  <c r="AA23" i="30"/>
  <c r="AB23" i="30"/>
  <c r="Y24" i="30"/>
  <c r="Z24" i="30"/>
  <c r="AA24" i="30"/>
  <c r="AB24" i="30"/>
  <c r="Y25" i="30"/>
  <c r="Z25" i="30"/>
  <c r="AA25" i="30"/>
  <c r="AB25" i="30"/>
  <c r="Y26" i="30"/>
  <c r="Z26" i="30"/>
  <c r="AA26" i="30"/>
  <c r="AB26" i="30"/>
  <c r="Y27" i="30"/>
  <c r="Z27" i="30"/>
  <c r="AA27" i="30"/>
  <c r="AB27" i="30"/>
  <c r="Y28" i="30"/>
  <c r="Z28" i="30"/>
  <c r="AA28" i="30"/>
  <c r="AB28" i="30"/>
  <c r="Y29" i="30"/>
  <c r="Z29" i="30"/>
  <c r="AA29" i="30"/>
  <c r="AB29" i="30"/>
  <c r="Y30" i="30"/>
  <c r="Z30" i="30"/>
  <c r="AA30" i="30"/>
  <c r="AB30" i="30"/>
  <c r="Y31" i="30"/>
  <c r="Z31" i="30"/>
  <c r="AA31" i="30"/>
  <c r="AB31" i="30"/>
  <c r="Y32" i="30"/>
  <c r="Z32" i="30"/>
  <c r="AA32" i="30"/>
  <c r="AB32" i="30"/>
  <c r="Y33" i="30"/>
  <c r="Z33" i="30"/>
  <c r="AA33" i="30"/>
  <c r="AB33" i="30"/>
  <c r="Y34" i="30"/>
  <c r="Z34" i="30"/>
  <c r="AA34" i="30"/>
  <c r="AB34" i="30"/>
  <c r="Y35" i="30"/>
  <c r="Z35" i="30"/>
  <c r="AA35" i="30"/>
  <c r="AB35" i="30"/>
  <c r="Y36" i="30"/>
  <c r="Z36" i="30"/>
  <c r="AA36" i="30"/>
  <c r="AB36" i="30"/>
  <c r="Y37" i="30"/>
  <c r="Z37" i="30"/>
  <c r="AA37" i="30"/>
  <c r="AB37" i="30"/>
  <c r="Y38" i="30"/>
  <c r="Z38" i="30"/>
  <c r="AA38" i="30"/>
  <c r="AB38" i="30"/>
  <c r="Y39" i="30"/>
  <c r="Z39" i="30"/>
  <c r="AA39" i="30"/>
  <c r="AB39" i="30"/>
  <c r="Y40" i="30"/>
  <c r="Z40" i="30"/>
  <c r="AA40" i="30"/>
  <c r="AB40" i="30"/>
  <c r="Y41" i="30"/>
  <c r="Z41" i="30"/>
  <c r="AA41" i="30"/>
  <c r="AB41" i="30"/>
  <c r="Y42" i="30"/>
  <c r="Z42" i="30"/>
  <c r="AA42" i="30"/>
  <c r="AB42" i="30"/>
  <c r="Y43" i="30"/>
  <c r="Z43" i="30"/>
  <c r="AA43" i="30"/>
  <c r="AB43" i="30"/>
  <c r="Y44" i="30"/>
  <c r="Z44" i="30"/>
  <c r="AA44" i="30"/>
  <c r="AB44" i="30"/>
  <c r="Y45" i="30"/>
  <c r="Z45" i="30"/>
  <c r="AA45" i="30"/>
  <c r="AB45" i="30"/>
  <c r="Y46" i="30"/>
  <c r="Z46" i="30"/>
  <c r="AA46" i="30"/>
  <c r="AB46" i="30"/>
  <c r="Y47" i="30"/>
  <c r="Z47" i="30"/>
  <c r="AA47" i="30"/>
  <c r="AB47" i="30"/>
  <c r="Y48" i="30"/>
  <c r="Z48" i="30"/>
  <c r="AA48" i="30"/>
  <c r="AB48" i="30"/>
  <c r="Y49" i="30"/>
  <c r="Z49" i="30"/>
  <c r="AA49" i="30"/>
  <c r="AB49" i="30"/>
  <c r="Y50" i="30"/>
  <c r="Z50" i="30"/>
  <c r="AA50" i="30"/>
  <c r="AB50" i="30"/>
  <c r="Y51" i="30"/>
  <c r="Z51" i="30"/>
  <c r="AA51" i="30"/>
  <c r="AB51" i="30"/>
  <c r="Y52" i="30"/>
  <c r="Z52" i="30"/>
  <c r="AA52" i="30"/>
  <c r="AB52" i="30"/>
  <c r="Y53" i="30"/>
  <c r="Z53" i="30"/>
  <c r="AA53" i="30"/>
  <c r="AB53" i="30"/>
  <c r="Y54" i="30"/>
  <c r="Z54" i="30"/>
  <c r="AA54" i="30"/>
  <c r="AB54" i="30"/>
  <c r="Y55" i="30"/>
  <c r="Z55" i="30"/>
  <c r="AA55" i="30"/>
  <c r="AB55" i="30"/>
  <c r="Y56" i="30"/>
  <c r="Z56" i="30"/>
  <c r="AA56" i="30"/>
  <c r="AB56" i="30"/>
  <c r="Y57" i="30"/>
  <c r="Z57" i="30"/>
  <c r="AA57" i="30"/>
  <c r="AB57" i="30"/>
  <c r="Y58" i="30"/>
  <c r="Z58" i="30"/>
  <c r="AA58" i="30"/>
  <c r="AB58" i="30"/>
  <c r="Y59" i="30"/>
  <c r="Z59" i="30"/>
  <c r="AA59" i="30"/>
  <c r="AB59" i="30"/>
  <c r="Y60" i="30"/>
  <c r="Z60" i="30"/>
  <c r="AA60" i="30"/>
  <c r="AB60" i="30"/>
  <c r="Y61" i="30"/>
  <c r="Z61" i="30"/>
  <c r="AA61" i="30"/>
  <c r="AB61" i="30"/>
  <c r="Y62" i="30"/>
  <c r="Z62" i="30"/>
  <c r="AA62" i="30"/>
  <c r="AB62" i="30"/>
  <c r="Y63" i="30"/>
  <c r="Z63" i="30"/>
  <c r="AA63" i="30"/>
  <c r="AB63" i="30"/>
  <c r="Y64" i="30"/>
  <c r="Z64" i="30"/>
  <c r="AA64" i="30"/>
  <c r="AB64" i="30"/>
  <c r="Y65" i="30"/>
  <c r="Z65" i="30"/>
  <c r="AA65" i="30"/>
  <c r="AB65" i="30"/>
  <c r="Y66" i="30"/>
  <c r="Z66" i="30"/>
  <c r="AA66" i="30"/>
  <c r="AB66" i="30"/>
  <c r="Y67" i="30"/>
  <c r="Z67" i="30"/>
  <c r="AA67" i="30"/>
  <c r="AB67" i="30"/>
  <c r="Y68" i="30"/>
  <c r="Z68" i="30"/>
  <c r="AA68" i="30"/>
  <c r="AB68" i="30"/>
  <c r="Y69" i="30"/>
  <c r="Z69" i="30"/>
  <c r="AA69" i="30"/>
  <c r="AB69" i="30"/>
  <c r="Y70" i="30"/>
  <c r="Z70" i="30"/>
  <c r="AA70" i="30"/>
  <c r="AB70" i="30"/>
  <c r="Y71" i="30"/>
  <c r="Z71" i="30"/>
  <c r="AA71" i="30"/>
  <c r="AB71" i="30"/>
  <c r="Y72" i="30"/>
  <c r="Z72" i="30"/>
  <c r="AA72" i="30"/>
  <c r="AB72" i="30"/>
  <c r="Y73" i="30"/>
  <c r="Z73" i="30"/>
  <c r="AA73" i="30"/>
  <c r="AB73" i="30"/>
  <c r="Y74" i="30"/>
  <c r="Z74" i="30"/>
  <c r="AA74" i="30"/>
  <c r="AB74" i="30"/>
  <c r="Y75" i="30"/>
  <c r="Z75" i="30"/>
  <c r="AA75" i="30"/>
  <c r="AB75" i="30"/>
  <c r="Y76" i="30"/>
  <c r="Z76" i="30"/>
  <c r="AA76" i="30"/>
  <c r="AB76" i="30"/>
  <c r="Y77" i="30"/>
  <c r="Z77" i="30"/>
  <c r="AA77" i="30"/>
  <c r="AB77" i="30"/>
  <c r="Y78" i="30"/>
  <c r="Z78" i="30"/>
  <c r="AA78" i="30"/>
  <c r="AB78" i="30"/>
  <c r="Y79" i="30"/>
  <c r="Z79" i="30"/>
  <c r="AA79" i="30"/>
  <c r="AB79" i="30"/>
  <c r="Y80" i="30"/>
  <c r="Z80" i="30"/>
  <c r="AA80" i="30"/>
  <c r="AB80" i="30"/>
  <c r="Y81" i="30"/>
  <c r="Z81" i="30"/>
  <c r="AA81" i="30"/>
  <c r="AB81" i="30"/>
  <c r="Y82" i="30"/>
  <c r="Z82" i="30"/>
  <c r="AA82" i="30"/>
  <c r="AB82" i="30"/>
  <c r="Y83" i="30"/>
  <c r="Z83" i="30"/>
  <c r="AA83" i="30"/>
  <c r="AB83" i="30"/>
  <c r="Y84" i="30"/>
  <c r="Z84" i="30"/>
  <c r="AA84" i="30"/>
  <c r="AB84" i="30"/>
  <c r="Y85" i="30"/>
  <c r="Z85" i="30"/>
  <c r="AA85" i="30"/>
  <c r="AB85" i="30"/>
  <c r="Y86" i="30"/>
  <c r="Z86" i="30"/>
  <c r="AA86" i="30"/>
  <c r="AB86" i="30"/>
  <c r="Y87" i="30"/>
  <c r="Z87" i="30"/>
  <c r="AA87" i="30"/>
  <c r="AB87" i="30"/>
  <c r="Y88" i="30"/>
  <c r="Z88" i="30"/>
  <c r="AA88" i="30"/>
  <c r="AB88" i="30"/>
  <c r="Y89" i="30"/>
  <c r="Z89" i="30"/>
  <c r="AA89" i="30"/>
  <c r="AB89" i="30"/>
  <c r="Y90" i="30"/>
  <c r="Z90" i="30"/>
  <c r="AA90" i="30"/>
  <c r="AB90" i="30"/>
  <c r="Y91" i="30"/>
  <c r="Z91" i="30"/>
  <c r="AA91" i="30"/>
  <c r="AB91" i="30"/>
  <c r="Y92" i="30"/>
  <c r="Z92" i="30"/>
  <c r="AA92" i="30"/>
  <c r="AB92" i="30"/>
  <c r="Y93" i="30"/>
  <c r="Z93" i="30"/>
  <c r="AA93" i="30"/>
  <c r="AB93" i="30"/>
  <c r="Y94" i="30"/>
  <c r="Z94" i="30"/>
  <c r="AA94" i="30"/>
  <c r="AB94" i="30"/>
  <c r="Y95" i="30"/>
  <c r="Z95" i="30"/>
  <c r="AA95" i="30"/>
  <c r="AB95" i="30"/>
  <c r="Y96" i="30"/>
  <c r="Z96" i="30"/>
  <c r="AA96" i="30"/>
  <c r="AB96" i="30"/>
  <c r="Y97" i="30"/>
  <c r="Z97" i="30"/>
  <c r="AA97" i="30"/>
  <c r="AB97" i="30"/>
  <c r="Y98" i="30"/>
  <c r="Z98" i="30"/>
  <c r="AA98" i="30"/>
  <c r="AB98" i="30"/>
  <c r="Y99" i="30"/>
  <c r="Z99" i="30"/>
  <c r="AA99" i="30"/>
  <c r="AB99" i="30"/>
  <c r="Y100" i="30"/>
  <c r="Z100" i="30"/>
  <c r="AA100" i="30"/>
  <c r="AB100" i="30"/>
  <c r="Y101" i="30"/>
  <c r="Z101" i="30"/>
  <c r="AA101" i="30"/>
  <c r="AB101" i="30"/>
  <c r="Y102" i="30"/>
  <c r="Z102" i="30"/>
  <c r="AA102" i="30"/>
  <c r="AB102" i="30"/>
  <c r="Y103" i="30"/>
  <c r="Z103" i="30"/>
  <c r="AA103" i="30"/>
  <c r="AB103" i="30"/>
  <c r="Y104" i="30"/>
  <c r="Z104" i="30"/>
  <c r="AA104" i="30"/>
  <c r="AB104" i="30"/>
  <c r="Y105" i="30"/>
  <c r="Z105" i="30"/>
  <c r="AA105" i="30"/>
  <c r="AB105" i="30"/>
  <c r="Y106" i="30"/>
  <c r="Z106" i="30"/>
  <c r="AA106" i="30"/>
  <c r="AB106" i="30"/>
  <c r="Y107" i="30"/>
  <c r="Z107" i="30"/>
  <c r="AA107" i="30"/>
  <c r="AB107" i="30"/>
  <c r="Y108" i="30"/>
  <c r="Z108" i="30"/>
  <c r="AA108" i="30"/>
  <c r="AB108" i="30"/>
  <c r="Y109" i="30"/>
  <c r="Z109" i="30"/>
  <c r="AA109" i="30"/>
  <c r="AB109" i="30"/>
  <c r="Y110" i="30"/>
  <c r="Z110" i="30"/>
  <c r="AA110" i="30"/>
  <c r="AB110" i="30"/>
  <c r="Y111" i="30"/>
  <c r="Z111" i="30"/>
  <c r="AA111" i="30"/>
  <c r="AB111" i="30"/>
  <c r="Y112" i="30"/>
  <c r="Z112" i="30"/>
  <c r="AA112" i="30"/>
  <c r="AB112" i="30"/>
  <c r="Y113" i="30"/>
  <c r="Z113" i="30"/>
  <c r="AA113" i="30"/>
  <c r="AB113" i="30"/>
  <c r="Y114" i="30"/>
  <c r="Z114" i="30"/>
  <c r="AA114" i="30"/>
  <c r="AB114" i="30"/>
  <c r="Y115" i="30"/>
  <c r="Z115" i="30"/>
  <c r="AA115" i="30"/>
  <c r="AB115" i="30"/>
  <c r="Y116" i="30"/>
  <c r="Z116" i="30"/>
  <c r="AA116" i="30"/>
  <c r="AB116" i="30"/>
  <c r="Y117" i="30"/>
  <c r="Z117" i="30"/>
  <c r="AA117" i="30"/>
  <c r="AB117" i="30"/>
  <c r="Y118" i="30"/>
  <c r="Z118" i="30"/>
  <c r="AA118" i="30"/>
  <c r="AB118" i="30"/>
  <c r="Y119" i="30"/>
  <c r="Z119" i="30"/>
  <c r="AA119" i="30"/>
  <c r="AB119" i="30"/>
  <c r="Y120" i="30"/>
  <c r="Z120" i="30"/>
  <c r="AA120" i="30"/>
  <c r="AB120" i="30"/>
  <c r="Y121" i="30"/>
  <c r="Z121" i="30"/>
  <c r="AA121" i="30"/>
  <c r="AB121" i="30"/>
  <c r="Y122" i="30"/>
  <c r="Z122" i="30"/>
  <c r="AA122" i="30"/>
  <c r="AB122" i="30"/>
  <c r="Y123" i="30"/>
  <c r="Z123" i="30"/>
  <c r="AA123" i="30"/>
  <c r="AB123" i="30"/>
  <c r="Y124" i="30"/>
  <c r="Z124" i="30"/>
  <c r="AA124" i="30"/>
  <c r="AB124" i="30"/>
  <c r="Y125" i="30"/>
  <c r="Z125" i="30"/>
  <c r="AA125" i="30"/>
  <c r="AB125" i="30"/>
  <c r="Y126" i="30"/>
  <c r="Z126" i="30"/>
  <c r="AA126" i="30"/>
  <c r="AB126" i="30"/>
  <c r="Y127" i="30"/>
  <c r="Z127" i="30"/>
  <c r="AA127" i="30"/>
  <c r="AB127" i="30"/>
  <c r="Y128" i="30"/>
  <c r="Z128" i="30"/>
  <c r="AA128" i="30"/>
  <c r="AB128" i="30"/>
  <c r="Y129" i="30"/>
  <c r="Z129" i="30"/>
  <c r="AA129" i="30"/>
  <c r="AB129" i="30"/>
  <c r="Y130" i="30"/>
  <c r="Z130" i="30"/>
  <c r="AA130" i="30"/>
  <c r="AB130" i="30"/>
  <c r="Y131" i="30"/>
  <c r="Z131" i="30"/>
  <c r="AA131" i="30"/>
  <c r="AB131" i="30"/>
  <c r="Y132" i="30"/>
  <c r="Z132" i="30"/>
  <c r="AA132" i="30"/>
  <c r="AB132" i="30"/>
  <c r="Y133" i="30"/>
  <c r="Z133" i="30"/>
  <c r="AA133" i="30"/>
  <c r="AB133" i="30"/>
  <c r="Y134" i="30"/>
  <c r="Z134" i="30"/>
  <c r="AA134" i="30"/>
  <c r="AB134" i="30"/>
  <c r="Y135" i="30"/>
  <c r="Z135" i="30"/>
  <c r="AA135" i="30"/>
  <c r="AB135" i="30"/>
  <c r="Y136" i="30"/>
  <c r="Z136" i="30"/>
  <c r="AA136" i="30"/>
  <c r="AB136" i="30"/>
  <c r="Y137" i="30"/>
  <c r="Z137" i="30"/>
  <c r="AA137" i="30"/>
  <c r="AB137" i="30"/>
  <c r="Y138" i="30"/>
  <c r="Z138" i="30"/>
  <c r="AA138" i="30"/>
  <c r="AB138" i="30"/>
  <c r="Y139" i="30"/>
  <c r="Z139" i="30"/>
  <c r="AA139" i="30"/>
  <c r="AB139" i="30"/>
  <c r="Y140" i="30"/>
  <c r="Z140" i="30"/>
  <c r="AA140" i="30"/>
  <c r="AB140" i="30"/>
  <c r="Y141" i="30"/>
  <c r="Z141" i="30"/>
  <c r="AA141" i="30"/>
  <c r="AB141" i="30"/>
  <c r="Y142" i="30"/>
  <c r="Z142" i="30"/>
  <c r="AA142" i="30"/>
  <c r="AB142" i="30"/>
  <c r="Y143" i="30"/>
  <c r="Z143" i="30"/>
  <c r="AA143" i="30"/>
  <c r="AB143" i="30"/>
  <c r="Y144" i="30"/>
  <c r="Z144" i="30"/>
  <c r="AA144" i="30"/>
  <c r="AB144" i="30"/>
  <c r="Y145" i="30"/>
  <c r="Z145" i="30"/>
  <c r="AA145" i="30"/>
  <c r="AB145" i="30"/>
  <c r="Y146" i="30"/>
  <c r="Z146" i="30"/>
  <c r="AA146" i="30"/>
  <c r="AB146" i="30"/>
  <c r="Y147" i="30"/>
  <c r="Z147" i="30"/>
  <c r="AA147" i="30"/>
  <c r="AB147" i="30"/>
  <c r="Y148" i="30"/>
  <c r="Z148" i="30"/>
  <c r="AA148" i="30"/>
  <c r="AB148" i="30"/>
  <c r="Y149" i="30"/>
  <c r="Z149" i="30"/>
  <c r="AA149" i="30"/>
  <c r="AB149" i="30"/>
  <c r="Y150" i="30"/>
  <c r="Z150" i="30"/>
  <c r="AA150" i="30"/>
  <c r="AB150" i="30"/>
  <c r="Y151" i="30"/>
  <c r="Z151" i="30"/>
  <c r="AA151" i="30"/>
  <c r="AB151" i="30"/>
  <c r="Y152" i="30"/>
  <c r="Z152" i="30"/>
  <c r="AA152" i="30"/>
  <c r="AB152" i="30"/>
  <c r="Y153" i="30"/>
  <c r="Z153" i="30"/>
  <c r="AA153" i="30"/>
  <c r="AB153" i="30"/>
  <c r="Y154" i="30"/>
  <c r="Z154" i="30"/>
  <c r="AA154" i="30"/>
  <c r="AB154" i="30"/>
  <c r="Y155" i="30"/>
  <c r="Z155" i="30"/>
  <c r="AA155" i="30"/>
  <c r="AB155" i="30"/>
  <c r="Y156" i="30"/>
  <c r="Z156" i="30"/>
  <c r="AA156" i="30"/>
  <c r="AB156" i="30"/>
  <c r="Y157" i="30"/>
  <c r="Z157" i="30"/>
  <c r="AA157" i="30"/>
  <c r="AB157" i="30"/>
  <c r="Y158" i="30"/>
  <c r="Z158" i="30"/>
  <c r="AA158" i="30"/>
  <c r="AB158" i="30"/>
  <c r="Y159" i="30"/>
  <c r="Z159" i="30"/>
  <c r="AA159" i="30"/>
  <c r="AB159" i="30"/>
  <c r="Y160" i="30"/>
  <c r="Z160" i="30"/>
  <c r="AA160" i="30"/>
  <c r="AB160" i="30"/>
  <c r="Y161" i="30"/>
  <c r="Z161" i="30"/>
  <c r="AA161" i="30"/>
  <c r="AB161" i="30"/>
  <c r="Y162" i="30"/>
  <c r="Z162" i="30"/>
  <c r="AA162" i="30"/>
  <c r="AB162" i="30"/>
  <c r="Y163" i="30"/>
  <c r="Z163" i="30"/>
  <c r="AA163" i="30"/>
  <c r="AB163" i="30"/>
  <c r="Y164" i="30"/>
  <c r="Z164" i="30"/>
  <c r="AA164" i="30"/>
  <c r="AB164" i="30"/>
  <c r="Y165" i="30"/>
  <c r="Z165" i="30"/>
  <c r="AA165" i="30"/>
  <c r="AB165" i="30"/>
  <c r="Y166" i="30"/>
  <c r="Z166" i="30"/>
  <c r="AA166" i="30"/>
  <c r="AB166" i="30"/>
  <c r="Y167" i="30"/>
  <c r="Z167" i="30"/>
  <c r="AA167" i="30"/>
  <c r="AB167" i="30"/>
  <c r="Y168" i="30"/>
  <c r="Z168" i="30"/>
  <c r="AA168" i="30"/>
  <c r="AB168" i="30"/>
  <c r="Y169" i="30"/>
  <c r="Z169" i="30"/>
  <c r="AA169" i="30"/>
  <c r="AB169" i="30"/>
  <c r="Y170" i="30"/>
  <c r="Z170" i="30"/>
  <c r="AA170" i="30"/>
  <c r="AB170" i="30"/>
  <c r="Y171" i="30"/>
  <c r="Z171" i="30"/>
  <c r="AA171" i="30"/>
  <c r="AB171" i="30"/>
  <c r="Y172" i="30"/>
  <c r="Z172" i="30"/>
  <c r="AA172" i="30"/>
  <c r="AB172" i="30"/>
  <c r="Y173" i="30"/>
  <c r="Z173" i="30"/>
  <c r="AA173" i="30"/>
  <c r="AB173" i="30"/>
  <c r="Y174" i="30"/>
  <c r="Z174" i="30"/>
  <c r="AA174" i="30"/>
  <c r="AB174" i="30"/>
  <c r="Y175" i="30"/>
  <c r="Z175" i="30"/>
  <c r="AA175" i="30"/>
  <c r="AB175" i="30"/>
  <c r="Y176" i="30"/>
  <c r="Z176" i="30"/>
  <c r="AA176" i="30"/>
  <c r="AB176" i="30"/>
  <c r="Y177" i="30"/>
  <c r="Z177" i="30"/>
  <c r="AA177" i="30"/>
  <c r="AB177" i="30"/>
  <c r="Y178" i="30"/>
  <c r="Z178" i="30"/>
  <c r="AA178" i="30"/>
  <c r="AB178" i="30"/>
  <c r="Y179" i="30"/>
  <c r="Z179" i="30"/>
  <c r="AA179" i="30"/>
  <c r="AB179" i="30"/>
  <c r="Y180" i="30"/>
  <c r="Z180" i="30"/>
  <c r="AA180" i="30"/>
  <c r="AB180" i="30"/>
  <c r="Y181" i="30"/>
  <c r="Z181" i="30"/>
  <c r="AA181" i="30"/>
  <c r="AB181" i="30"/>
  <c r="Y182" i="30"/>
  <c r="Z182" i="30"/>
  <c r="AA182" i="30"/>
  <c r="AB182" i="30"/>
  <c r="Y183" i="30"/>
  <c r="Z183" i="30"/>
  <c r="AA183" i="30"/>
  <c r="AB183" i="30"/>
  <c r="Y184" i="30"/>
  <c r="Z184" i="30"/>
  <c r="AA184" i="30"/>
  <c r="AB184" i="30"/>
  <c r="Y185" i="30"/>
  <c r="Z185" i="30"/>
  <c r="AA185" i="30"/>
  <c r="AB185" i="30"/>
  <c r="Y186" i="30"/>
  <c r="Z186" i="30"/>
  <c r="AA186" i="30"/>
  <c r="AB186" i="30"/>
  <c r="Y187" i="30"/>
  <c r="Z187" i="30"/>
  <c r="AA187" i="30"/>
  <c r="AB187" i="30"/>
  <c r="Y188" i="30"/>
  <c r="Z188" i="30"/>
  <c r="AA188" i="30"/>
  <c r="AB188" i="30"/>
  <c r="Y189" i="30"/>
  <c r="Z189" i="30"/>
  <c r="AA189" i="30"/>
  <c r="AB189" i="30"/>
  <c r="Y190" i="30"/>
  <c r="Z190" i="30"/>
  <c r="AA190" i="30"/>
  <c r="AB190" i="30"/>
  <c r="Y191" i="30"/>
  <c r="Z191" i="30"/>
  <c r="AA191" i="30"/>
  <c r="AB191" i="30"/>
  <c r="Y192" i="30"/>
  <c r="Z192" i="30"/>
  <c r="AA192" i="30"/>
  <c r="AB192" i="30"/>
  <c r="Y193" i="30"/>
  <c r="Z193" i="30"/>
  <c r="AA193" i="30"/>
  <c r="AB193" i="30"/>
  <c r="Y194" i="30"/>
  <c r="Z194" i="30"/>
  <c r="AA194" i="30"/>
  <c r="AB194" i="30"/>
  <c r="Y195" i="30"/>
  <c r="Z195" i="30"/>
  <c r="AA195" i="30"/>
  <c r="AB195" i="30"/>
  <c r="Y196" i="30"/>
  <c r="Z196" i="30"/>
  <c r="AA196" i="30"/>
  <c r="AB196" i="30"/>
  <c r="Y197" i="30"/>
  <c r="Z197" i="30"/>
  <c r="AA197" i="30"/>
  <c r="AB197" i="30"/>
  <c r="Y198" i="30"/>
  <c r="Z198" i="30"/>
  <c r="AA198" i="30"/>
  <c r="AB198" i="30"/>
  <c r="Y199" i="30"/>
  <c r="Z199" i="30"/>
  <c r="AA199" i="30"/>
  <c r="AB199" i="30"/>
  <c r="Y200" i="30"/>
  <c r="Z200" i="30"/>
  <c r="AA200" i="30"/>
  <c r="AB200" i="30"/>
  <c r="Y201" i="30"/>
  <c r="Z201" i="30"/>
  <c r="AA201" i="30"/>
  <c r="AB201" i="30"/>
  <c r="Y202" i="30"/>
  <c r="Z202" i="30"/>
  <c r="AA202" i="30"/>
  <c r="AB202" i="30"/>
  <c r="Y203" i="30"/>
  <c r="Z203" i="30"/>
  <c r="AA203" i="30"/>
  <c r="AB203" i="30"/>
  <c r="Y204" i="30"/>
  <c r="Z204" i="30"/>
  <c r="AA204" i="30"/>
  <c r="AB204" i="30"/>
  <c r="Y205" i="30"/>
  <c r="Z205" i="30"/>
  <c r="AA205" i="30"/>
  <c r="AB205" i="30"/>
  <c r="Y206" i="30"/>
  <c r="Z206" i="30"/>
  <c r="AA206" i="30"/>
  <c r="AB206" i="30"/>
  <c r="Y207" i="30"/>
  <c r="Z207" i="30"/>
  <c r="AA207" i="30"/>
  <c r="AB207" i="30"/>
  <c r="Y208" i="30"/>
  <c r="Z208" i="30"/>
  <c r="AA208" i="30"/>
  <c r="AB208" i="30"/>
  <c r="Y209" i="30"/>
  <c r="Z209" i="30"/>
  <c r="AA209" i="30"/>
  <c r="AB209" i="30"/>
  <c r="Y210" i="30"/>
  <c r="Z210" i="30"/>
  <c r="AA210" i="30"/>
  <c r="AB210" i="30"/>
  <c r="Y211" i="30"/>
  <c r="Z211" i="30"/>
  <c r="AA211" i="30"/>
  <c r="AB211" i="30"/>
  <c r="Y212" i="30"/>
  <c r="Z212" i="30"/>
  <c r="AA212" i="30"/>
  <c r="AB212" i="30"/>
  <c r="Y213" i="30"/>
  <c r="Z213" i="30"/>
  <c r="AA213" i="30"/>
  <c r="AB213" i="30"/>
  <c r="Y214" i="30"/>
  <c r="Z214" i="30"/>
  <c r="AA214" i="30"/>
  <c r="AB214" i="30"/>
  <c r="Y215" i="30"/>
  <c r="Z215" i="30"/>
  <c r="AA215" i="30"/>
  <c r="AB215" i="30"/>
  <c r="Y216" i="30"/>
  <c r="Z216" i="30"/>
  <c r="AA216" i="30"/>
  <c r="AB216" i="30"/>
  <c r="Y217" i="30"/>
  <c r="Z217" i="30"/>
  <c r="AA217" i="30"/>
  <c r="AB217" i="30"/>
  <c r="Y218" i="30"/>
  <c r="Z218" i="30"/>
  <c r="AA218" i="30"/>
  <c r="AB218" i="30"/>
  <c r="Y219" i="30"/>
  <c r="Z219" i="30"/>
  <c r="AA219" i="30"/>
  <c r="AB219" i="30"/>
  <c r="Y220" i="30"/>
  <c r="Z220" i="30"/>
  <c r="AA220" i="30"/>
  <c r="AB220" i="30"/>
  <c r="Y221" i="30"/>
  <c r="Z221" i="30"/>
  <c r="AA221" i="30"/>
  <c r="AB221" i="30"/>
  <c r="Y222" i="30"/>
  <c r="Z222" i="30"/>
  <c r="AA222" i="30"/>
  <c r="AB222" i="30"/>
  <c r="Y223" i="30"/>
  <c r="Z223" i="30"/>
  <c r="AA223" i="30"/>
  <c r="AB223" i="30"/>
  <c r="Y224" i="30"/>
  <c r="Z224" i="30"/>
  <c r="AA224" i="30"/>
  <c r="AB224" i="30"/>
  <c r="Y225" i="30"/>
  <c r="Z225" i="30"/>
  <c r="AA225" i="30"/>
  <c r="AB225" i="30"/>
  <c r="Y226" i="30"/>
  <c r="Z226" i="30"/>
  <c r="AA226" i="30"/>
  <c r="AB226" i="30"/>
  <c r="Y227" i="30"/>
  <c r="Z227" i="30"/>
  <c r="AA227" i="30"/>
  <c r="AB227" i="30"/>
  <c r="Y228" i="30"/>
  <c r="Z228" i="30"/>
  <c r="AA228" i="30"/>
  <c r="AB228" i="30"/>
  <c r="Y229" i="30"/>
  <c r="Z229" i="30"/>
  <c r="AA229" i="30"/>
  <c r="AB229" i="30"/>
  <c r="Y230" i="30"/>
  <c r="Z230" i="30"/>
  <c r="AA230" i="30"/>
  <c r="AB230" i="30"/>
  <c r="Y231" i="30"/>
  <c r="Z231" i="30"/>
  <c r="AA231" i="30"/>
  <c r="AB231" i="30"/>
  <c r="Y232" i="30"/>
  <c r="Z232" i="30"/>
  <c r="AA232" i="30"/>
  <c r="AB232" i="30"/>
  <c r="Y233" i="30"/>
  <c r="Z233" i="30"/>
  <c r="AA233" i="30"/>
  <c r="AB233" i="30"/>
  <c r="Y234" i="30"/>
  <c r="Z234" i="30"/>
  <c r="AA234" i="30"/>
  <c r="AB234" i="30"/>
  <c r="Y235" i="30"/>
  <c r="Z235" i="30"/>
  <c r="AA235" i="30"/>
  <c r="AB235" i="30"/>
  <c r="Y236" i="30"/>
  <c r="Z236" i="30"/>
  <c r="AA236" i="30"/>
  <c r="AB236" i="30"/>
  <c r="Y237" i="30"/>
  <c r="Z237" i="30"/>
  <c r="AA237" i="30"/>
  <c r="AB237" i="30"/>
  <c r="Y238" i="30"/>
  <c r="Z238" i="30"/>
  <c r="AA238" i="30"/>
  <c r="AB238" i="30"/>
  <c r="Y239" i="30"/>
  <c r="Z239" i="30"/>
  <c r="AA239" i="30"/>
  <c r="AB239" i="30"/>
  <c r="Y240" i="30"/>
  <c r="Z240" i="30"/>
  <c r="AA240" i="30"/>
  <c r="AB240" i="30"/>
  <c r="Y241" i="30"/>
  <c r="Z241" i="30"/>
  <c r="AA241" i="30"/>
  <c r="AB241" i="30"/>
  <c r="Y242" i="30"/>
  <c r="Z242" i="30"/>
  <c r="AA242" i="30"/>
  <c r="AB242" i="30"/>
  <c r="Y243" i="30"/>
  <c r="Z243" i="30"/>
  <c r="AA243" i="30"/>
  <c r="AB243" i="30"/>
  <c r="Y244" i="30"/>
  <c r="Z244" i="30"/>
  <c r="AA244" i="30"/>
  <c r="AB244" i="30"/>
  <c r="Y245" i="30"/>
  <c r="Z245" i="30"/>
  <c r="AA245" i="30"/>
  <c r="AB245" i="30"/>
  <c r="Y246" i="30"/>
  <c r="Z246" i="30"/>
  <c r="AA246" i="30"/>
  <c r="AB246" i="30"/>
  <c r="Y247" i="30"/>
  <c r="Z247" i="30"/>
  <c r="AA247" i="30"/>
  <c r="AB247" i="30"/>
  <c r="Y248" i="30"/>
  <c r="Z248" i="30"/>
  <c r="AA248" i="30"/>
  <c r="AB248" i="30"/>
  <c r="Y249" i="30"/>
  <c r="Z249" i="30"/>
  <c r="AA249" i="30"/>
  <c r="AB249" i="30"/>
  <c r="Y250" i="30"/>
  <c r="Z250" i="30"/>
  <c r="AA250" i="30"/>
  <c r="AB250" i="30"/>
  <c r="Y251" i="30"/>
  <c r="Z251" i="30"/>
  <c r="AA251" i="30"/>
  <c r="AB251" i="30"/>
  <c r="Y252" i="30"/>
  <c r="Z252" i="30"/>
  <c r="AA252" i="30"/>
  <c r="AB252" i="30"/>
  <c r="Y253" i="30"/>
  <c r="Z253" i="30"/>
  <c r="AA253" i="30"/>
  <c r="AB253" i="30"/>
  <c r="Y254" i="30"/>
  <c r="Z254" i="30"/>
  <c r="AA254" i="30"/>
  <c r="AB254" i="30"/>
  <c r="Y255" i="30"/>
  <c r="Z255" i="30"/>
  <c r="AA255" i="30"/>
  <c r="AB255" i="30"/>
  <c r="Y256" i="30"/>
  <c r="Z256" i="30"/>
  <c r="AA256" i="30"/>
  <c r="AB256" i="30"/>
  <c r="Y257" i="30"/>
  <c r="Z257" i="30"/>
  <c r="AA257" i="30"/>
  <c r="AB257" i="30"/>
  <c r="Y258" i="30"/>
  <c r="Z258" i="30"/>
  <c r="AA258" i="30"/>
  <c r="AB258" i="30"/>
  <c r="Y259" i="30"/>
  <c r="Z259" i="30"/>
  <c r="AA259" i="30"/>
  <c r="AB259" i="30"/>
  <c r="Y260" i="30"/>
  <c r="Z260" i="30"/>
  <c r="AA260" i="30"/>
  <c r="AB260" i="30"/>
  <c r="Y261" i="30"/>
  <c r="Z261" i="30"/>
  <c r="AA261" i="30"/>
  <c r="AB261" i="30"/>
  <c r="Y262" i="30"/>
  <c r="Z262" i="30"/>
  <c r="AA262" i="30"/>
  <c r="AB262" i="30"/>
  <c r="Y263" i="30"/>
  <c r="Z263" i="30"/>
  <c r="AA263" i="30"/>
  <c r="AB263" i="30"/>
  <c r="Y264" i="30"/>
  <c r="Z264" i="30"/>
  <c r="AA264" i="30"/>
  <c r="AB264" i="30"/>
  <c r="Y265" i="30"/>
  <c r="Z265" i="30"/>
  <c r="AA265" i="30"/>
  <c r="AB265" i="30"/>
  <c r="Y266" i="30"/>
  <c r="Z266" i="30"/>
  <c r="AA266" i="30"/>
  <c r="AB266" i="30"/>
  <c r="Y267" i="30"/>
  <c r="Z267" i="30"/>
  <c r="AA267" i="30"/>
  <c r="AB267" i="30"/>
  <c r="Y268" i="30"/>
  <c r="Z268" i="30"/>
  <c r="AA268" i="30"/>
  <c r="AB268" i="30"/>
  <c r="Y269" i="30"/>
  <c r="Z269" i="30"/>
  <c r="AA269" i="30"/>
  <c r="AB269" i="30"/>
  <c r="Y270" i="30"/>
  <c r="Z270" i="30"/>
  <c r="AA270" i="30"/>
  <c r="AB270" i="30"/>
  <c r="Y271" i="30"/>
  <c r="Z271" i="30"/>
  <c r="AA271" i="30"/>
  <c r="AB271" i="30"/>
  <c r="Y272" i="30"/>
  <c r="Z272" i="30"/>
  <c r="AA272" i="30"/>
  <c r="AB272" i="30"/>
  <c r="Y273" i="30"/>
  <c r="Z273" i="30"/>
  <c r="AA273" i="30"/>
  <c r="AB273" i="30"/>
  <c r="Y274" i="30"/>
  <c r="Z274" i="30"/>
  <c r="AA274" i="30"/>
  <c r="AB274" i="30"/>
  <c r="Y275" i="30"/>
  <c r="Z275" i="30"/>
  <c r="AA275" i="30"/>
  <c r="AB275" i="30"/>
  <c r="Y276" i="30"/>
  <c r="Z276" i="30"/>
  <c r="AA276" i="30"/>
  <c r="AB276" i="30"/>
  <c r="Y277" i="30"/>
  <c r="Z277" i="30"/>
  <c r="AA277" i="30"/>
  <c r="AB277" i="30"/>
  <c r="Y278" i="30"/>
  <c r="Z278" i="30"/>
  <c r="AA278" i="30"/>
  <c r="AB278" i="30"/>
  <c r="Y279" i="30"/>
  <c r="Z279" i="30"/>
  <c r="AA279" i="30"/>
  <c r="AB279" i="30"/>
  <c r="Y280" i="30"/>
  <c r="Z280" i="30"/>
  <c r="AA280" i="30"/>
  <c r="AB280" i="30"/>
  <c r="Y281" i="30"/>
  <c r="Z281" i="30"/>
  <c r="AA281" i="30"/>
  <c r="AB281" i="30"/>
  <c r="Y282" i="30"/>
  <c r="Z282" i="30"/>
  <c r="AA282" i="30"/>
  <c r="AB282" i="30"/>
  <c r="Y283" i="30"/>
  <c r="Z283" i="30"/>
  <c r="AA283" i="30"/>
  <c r="AB283" i="30"/>
  <c r="Y284" i="30"/>
  <c r="Z284" i="30"/>
  <c r="AA284" i="30"/>
  <c r="AB284" i="30"/>
  <c r="Y285" i="30"/>
  <c r="Z285" i="30"/>
  <c r="AA285" i="30"/>
  <c r="AB285" i="30"/>
  <c r="Y286" i="30"/>
  <c r="Z286" i="30"/>
  <c r="AA286" i="30"/>
  <c r="AB286" i="30"/>
  <c r="Y287" i="30"/>
  <c r="Z287" i="30"/>
  <c r="AA287" i="30"/>
  <c r="AB287" i="30"/>
  <c r="Y288" i="30"/>
  <c r="Z288" i="30"/>
  <c r="AA288" i="30"/>
  <c r="AB288" i="30"/>
  <c r="Y289" i="30"/>
  <c r="Z289" i="30"/>
  <c r="AA289" i="30"/>
  <c r="AB289" i="30"/>
  <c r="Y290" i="30"/>
  <c r="Z290" i="30"/>
  <c r="AA290" i="30"/>
  <c r="AB290" i="30"/>
  <c r="Y291" i="30"/>
  <c r="Z291" i="30"/>
  <c r="AA291" i="30"/>
  <c r="AB291" i="30"/>
  <c r="Y292" i="30"/>
  <c r="Z292" i="30"/>
  <c r="AA292" i="30"/>
  <c r="AB292" i="30"/>
  <c r="Y293" i="30"/>
  <c r="Z293" i="30"/>
  <c r="AA293" i="30"/>
  <c r="AB293" i="30"/>
  <c r="Y294" i="30"/>
  <c r="Z294" i="30"/>
  <c r="AA294" i="30"/>
  <c r="AB294" i="30"/>
  <c r="Y295" i="30"/>
  <c r="Z295" i="30"/>
  <c r="AA295" i="30"/>
  <c r="AB295" i="30"/>
  <c r="Y296" i="30"/>
  <c r="Z296" i="30"/>
  <c r="AA296" i="30"/>
  <c r="AB296" i="30"/>
  <c r="Y297" i="30"/>
  <c r="Z297" i="30"/>
  <c r="AA297" i="30"/>
  <c r="AB297" i="30"/>
  <c r="Y298" i="30"/>
  <c r="Z298" i="30"/>
  <c r="AA298" i="30"/>
  <c r="AB298" i="30"/>
  <c r="Y299" i="30"/>
  <c r="Z299" i="30"/>
  <c r="AA299" i="30"/>
  <c r="AB299" i="30"/>
  <c r="Y300" i="30"/>
  <c r="Z300" i="30"/>
  <c r="AA300" i="30"/>
  <c r="AB300" i="30"/>
  <c r="Y301" i="30"/>
  <c r="Z301" i="30"/>
  <c r="AA301" i="30"/>
  <c r="AB301" i="30"/>
  <c r="Y302" i="30"/>
  <c r="Z302" i="30"/>
  <c r="AA302" i="30"/>
  <c r="AB302" i="30"/>
  <c r="Y303" i="30"/>
  <c r="Z303" i="30"/>
  <c r="AA303" i="30"/>
  <c r="AB303" i="30"/>
  <c r="Y304" i="30"/>
  <c r="Z304" i="30"/>
  <c r="AA304" i="30"/>
  <c r="AB304" i="30"/>
  <c r="Y305" i="30"/>
  <c r="Z305" i="30"/>
  <c r="AA305" i="30"/>
  <c r="AB305" i="30"/>
  <c r="Y306" i="30"/>
  <c r="Z306" i="30"/>
  <c r="AA306" i="30"/>
  <c r="AB306" i="30"/>
  <c r="Y307" i="30"/>
  <c r="Z307" i="30"/>
  <c r="AA307" i="30"/>
  <c r="AB307" i="30"/>
  <c r="Y308" i="30"/>
  <c r="Z308" i="30"/>
  <c r="AA308" i="30"/>
  <c r="AB308" i="30"/>
  <c r="Y309" i="30"/>
  <c r="Z309" i="30"/>
  <c r="AA309" i="30"/>
  <c r="AB309" i="30"/>
  <c r="Y310" i="30"/>
  <c r="Z310" i="30"/>
  <c r="AA310" i="30"/>
  <c r="AB310" i="30"/>
  <c r="Y311" i="30"/>
  <c r="Z311" i="30"/>
  <c r="AA311" i="30"/>
  <c r="AB311" i="30"/>
  <c r="Y312" i="30"/>
  <c r="Z312" i="30"/>
  <c r="AA312" i="30"/>
  <c r="AB312" i="30"/>
  <c r="Y313" i="30"/>
  <c r="Z313" i="30"/>
  <c r="AA313" i="30"/>
  <c r="AB313" i="30"/>
  <c r="Y314" i="30"/>
  <c r="Z314" i="30"/>
  <c r="AA314" i="30"/>
  <c r="AB314" i="30"/>
  <c r="Y315" i="30"/>
  <c r="Z315" i="30"/>
  <c r="AA315" i="30"/>
  <c r="AB315" i="30"/>
  <c r="Y316" i="30"/>
  <c r="Z316" i="30"/>
  <c r="AA316" i="30"/>
  <c r="AB316" i="30"/>
  <c r="Y317" i="30"/>
  <c r="Z317" i="30"/>
  <c r="AA317" i="30"/>
  <c r="AB317" i="30"/>
  <c r="Y318" i="30"/>
  <c r="Z318" i="30"/>
  <c r="AA318" i="30"/>
  <c r="AB318" i="30"/>
  <c r="Y319" i="30"/>
  <c r="Z319" i="30"/>
  <c r="AA319" i="30"/>
  <c r="AB319" i="30"/>
  <c r="Y320" i="30"/>
  <c r="Z320" i="30"/>
  <c r="AA320" i="30"/>
  <c r="AB320" i="30"/>
  <c r="Y321" i="30"/>
  <c r="Z321" i="30"/>
  <c r="AA321" i="30"/>
  <c r="AB321" i="30"/>
  <c r="Y322" i="30"/>
  <c r="Z322" i="30"/>
  <c r="AA322" i="30"/>
  <c r="AB322" i="30"/>
  <c r="Y323" i="30"/>
  <c r="Z323" i="30"/>
  <c r="AA323" i="30"/>
  <c r="AB323" i="30"/>
  <c r="Y324" i="30"/>
  <c r="Z324" i="30"/>
  <c r="AA324" i="30"/>
  <c r="AB324" i="30"/>
  <c r="Y325" i="30"/>
  <c r="Z325" i="30"/>
  <c r="AA325" i="30"/>
  <c r="AB325" i="30"/>
  <c r="Y326" i="30"/>
  <c r="Z326" i="30"/>
  <c r="AA326" i="30"/>
  <c r="AB326" i="30"/>
  <c r="Y327" i="30"/>
  <c r="Z327" i="30"/>
  <c r="AA327" i="30"/>
  <c r="AB327" i="30"/>
  <c r="Y328" i="30"/>
  <c r="Z328" i="30"/>
  <c r="AA328" i="30"/>
  <c r="AB328" i="30"/>
  <c r="Y329" i="30"/>
  <c r="Z329" i="30"/>
  <c r="AA329" i="30"/>
  <c r="AB329" i="30"/>
  <c r="Y330" i="30"/>
  <c r="Z330" i="30"/>
  <c r="AA330" i="30"/>
  <c r="AB330" i="30"/>
  <c r="Y331" i="30"/>
  <c r="Z331" i="30"/>
  <c r="AA331" i="30"/>
  <c r="AB331" i="30"/>
  <c r="Y332" i="30"/>
  <c r="Z332" i="30"/>
  <c r="AA332" i="30"/>
  <c r="AB332" i="30"/>
  <c r="Y333" i="30"/>
  <c r="Z333" i="30"/>
  <c r="AA333" i="30"/>
  <c r="AB333" i="30"/>
  <c r="Y334" i="30"/>
  <c r="Z334" i="30"/>
  <c r="AA334" i="30"/>
  <c r="AB334" i="30"/>
  <c r="Y335" i="30"/>
  <c r="Z335" i="30"/>
  <c r="AA335" i="30"/>
  <c r="AB335" i="30"/>
  <c r="Y336" i="30"/>
  <c r="Z336" i="30"/>
  <c r="AA336" i="30"/>
  <c r="AB336" i="30"/>
  <c r="Y337" i="30"/>
  <c r="Z337" i="30"/>
  <c r="AA337" i="30"/>
  <c r="AB337" i="30"/>
  <c r="Y338" i="30"/>
  <c r="Z338" i="30"/>
  <c r="AA338" i="30"/>
  <c r="AB338" i="30"/>
  <c r="Y339" i="30"/>
  <c r="Z339" i="30"/>
  <c r="AA339" i="30"/>
  <c r="AB339" i="30"/>
  <c r="Y340" i="30"/>
  <c r="Z340" i="30"/>
  <c r="AA340" i="30"/>
  <c r="AB340" i="30"/>
  <c r="Y341" i="30"/>
  <c r="Z341" i="30"/>
  <c r="AA341" i="30"/>
  <c r="AB341" i="30"/>
  <c r="Y342" i="30"/>
  <c r="Z342" i="30"/>
  <c r="AA342" i="30"/>
  <c r="AB342" i="30"/>
  <c r="Y343" i="30"/>
  <c r="Z343" i="30"/>
  <c r="AA343" i="30"/>
  <c r="AB343" i="30"/>
  <c r="Y344" i="30"/>
  <c r="Z344" i="30"/>
  <c r="AA344" i="30"/>
  <c r="AB344" i="30"/>
  <c r="Y345" i="30"/>
  <c r="Z345" i="30"/>
  <c r="AA345" i="30"/>
  <c r="AB345" i="30"/>
  <c r="Y346" i="30"/>
  <c r="Z346" i="30"/>
  <c r="AA346" i="30"/>
  <c r="AB346" i="30"/>
  <c r="Y347" i="30"/>
  <c r="Z347" i="30"/>
  <c r="AA347" i="30"/>
  <c r="AB347" i="30"/>
  <c r="Y348" i="30"/>
  <c r="Z348" i="30"/>
  <c r="AA348" i="30"/>
  <c r="AB348" i="30"/>
  <c r="Y349" i="30"/>
  <c r="Z349" i="30"/>
  <c r="AA349" i="30"/>
  <c r="AB349" i="30"/>
  <c r="Y350" i="30"/>
  <c r="Z350" i="30"/>
  <c r="AA350" i="30"/>
  <c r="AB350" i="30"/>
  <c r="Y351" i="30"/>
  <c r="Z351" i="30"/>
  <c r="AA351" i="30"/>
  <c r="AB351" i="30"/>
  <c r="Y352" i="30"/>
  <c r="Z352" i="30"/>
  <c r="AA352" i="30"/>
  <c r="AB352" i="30"/>
  <c r="Y353" i="30"/>
  <c r="Z353" i="30"/>
  <c r="AA353" i="30"/>
  <c r="AB353" i="30"/>
  <c r="Y354" i="30"/>
  <c r="Z354" i="30"/>
  <c r="AA354" i="30"/>
  <c r="AB354" i="30"/>
  <c r="Y355" i="30"/>
  <c r="Z355" i="30"/>
  <c r="AA355" i="30"/>
  <c r="AB355" i="30"/>
  <c r="Y356" i="30"/>
  <c r="Z356" i="30"/>
  <c r="AA356" i="30"/>
  <c r="AB356" i="30"/>
  <c r="Y357" i="30"/>
  <c r="Z357" i="30"/>
  <c r="AA357" i="30"/>
  <c r="AB357" i="30"/>
  <c r="Y358" i="30"/>
  <c r="Z358" i="30"/>
  <c r="AA358" i="30"/>
  <c r="AB358" i="30"/>
  <c r="Y359" i="30"/>
  <c r="Z359" i="30"/>
  <c r="AA359" i="30"/>
  <c r="AB359" i="30"/>
  <c r="Y360" i="30"/>
  <c r="Z360" i="30"/>
  <c r="AA360" i="30"/>
  <c r="AB360" i="30"/>
  <c r="Y361" i="30"/>
  <c r="Z361" i="30"/>
  <c r="AA361" i="30"/>
  <c r="AB361" i="30"/>
  <c r="Y362" i="30"/>
  <c r="Z362" i="30"/>
  <c r="AA362" i="30"/>
  <c r="AB362" i="30"/>
  <c r="Y363" i="30"/>
  <c r="Z363" i="30"/>
  <c r="AA363" i="30"/>
  <c r="AB363" i="30"/>
  <c r="Y364" i="30"/>
  <c r="Z364" i="30"/>
  <c r="AA364" i="30"/>
  <c r="AB364" i="30"/>
  <c r="Y365" i="30"/>
  <c r="Z365" i="30"/>
  <c r="AA365" i="30"/>
  <c r="AB365" i="30"/>
  <c r="Y366" i="30"/>
  <c r="Z366" i="30"/>
  <c r="AA366" i="30"/>
  <c r="AB366" i="30"/>
  <c r="Y367" i="30"/>
  <c r="Z367" i="30"/>
  <c r="AA367" i="30"/>
  <c r="AB367" i="30"/>
  <c r="Y368" i="30"/>
  <c r="Z368" i="30"/>
  <c r="AA368" i="30"/>
  <c r="AB368" i="30"/>
  <c r="Y369" i="30"/>
  <c r="Z369" i="30"/>
  <c r="AA369" i="30"/>
  <c r="AB369" i="30"/>
  <c r="Y370" i="30"/>
  <c r="Z370" i="30"/>
  <c r="AA370" i="30"/>
  <c r="AB370" i="30"/>
  <c r="Y371" i="30"/>
  <c r="Z371" i="30"/>
  <c r="AA371" i="30"/>
  <c r="AB371" i="30"/>
  <c r="Y372" i="30"/>
  <c r="Z372" i="30"/>
  <c r="AA372" i="30"/>
  <c r="AB372" i="30"/>
  <c r="Y373" i="30"/>
  <c r="Z373" i="30"/>
  <c r="AA373" i="30"/>
  <c r="AB373" i="30"/>
  <c r="Y374" i="30"/>
  <c r="Z374" i="30"/>
  <c r="AA374" i="30"/>
  <c r="AB374" i="30"/>
  <c r="Y375" i="30"/>
  <c r="Z375" i="30"/>
  <c r="AA375" i="30"/>
  <c r="AB375" i="30"/>
  <c r="Y376" i="30"/>
  <c r="Z376" i="30"/>
  <c r="AA376" i="30"/>
  <c r="AB376" i="30"/>
  <c r="Y377" i="30"/>
  <c r="Z377" i="30"/>
  <c r="AA377" i="30"/>
  <c r="AB377" i="30"/>
  <c r="Y378" i="30"/>
  <c r="Z378" i="30"/>
  <c r="AA378" i="30"/>
  <c r="AB378" i="30"/>
  <c r="Y379" i="30"/>
  <c r="Z379" i="30"/>
  <c r="AA379" i="30"/>
  <c r="AB379" i="30"/>
  <c r="Y380" i="30"/>
  <c r="Z380" i="30"/>
  <c r="AA380" i="30"/>
  <c r="AB380" i="30"/>
  <c r="Y381" i="30"/>
  <c r="Z381" i="30"/>
  <c r="AA381" i="30"/>
  <c r="AB381" i="30"/>
  <c r="Y382" i="30"/>
  <c r="Z382" i="30"/>
  <c r="AA382" i="30"/>
  <c r="AB382" i="30"/>
  <c r="Y383" i="30"/>
  <c r="Z383" i="30"/>
  <c r="AA383" i="30"/>
  <c r="AB383" i="30"/>
  <c r="Y384" i="30"/>
  <c r="Z384" i="30"/>
  <c r="AA384" i="30"/>
  <c r="AB384" i="30"/>
  <c r="Y385" i="30"/>
  <c r="Z385" i="30"/>
  <c r="AA385" i="30"/>
  <c r="AB385" i="30"/>
  <c r="Y386" i="30"/>
  <c r="Z386" i="30"/>
  <c r="AA386" i="30"/>
  <c r="AB386" i="30"/>
  <c r="Y387" i="30"/>
  <c r="Z387" i="30"/>
  <c r="AA387" i="30"/>
  <c r="AB387" i="30"/>
  <c r="Y388" i="30"/>
  <c r="Z388" i="30"/>
  <c r="AA388" i="30"/>
  <c r="AB388" i="30"/>
  <c r="Y389" i="30"/>
  <c r="Z389" i="30"/>
  <c r="AA389" i="30"/>
  <c r="AB389" i="30"/>
  <c r="Y390" i="30"/>
  <c r="Z390" i="30"/>
  <c r="AA390" i="30"/>
  <c r="AB390" i="30"/>
  <c r="Y391" i="30"/>
  <c r="Z391" i="30"/>
  <c r="AA391" i="30"/>
  <c r="AB391" i="30"/>
  <c r="Y392" i="30"/>
  <c r="Z392" i="30"/>
  <c r="AA392" i="30"/>
  <c r="AB392" i="30"/>
  <c r="Y393" i="30"/>
  <c r="Z393" i="30"/>
  <c r="AA393" i="30"/>
  <c r="AB393" i="30"/>
  <c r="Y394" i="30"/>
  <c r="Z394" i="30"/>
  <c r="AA394" i="30"/>
  <c r="AB394" i="30"/>
  <c r="Y395" i="30"/>
  <c r="Z395" i="30"/>
  <c r="AA395" i="30"/>
  <c r="AB395" i="30"/>
  <c r="Y396" i="30"/>
  <c r="Z396" i="30"/>
  <c r="AA396" i="30"/>
  <c r="AB396" i="30"/>
  <c r="Y397" i="30"/>
  <c r="Z397" i="30"/>
  <c r="AA397" i="30"/>
  <c r="AB397" i="30"/>
  <c r="Y398" i="30"/>
  <c r="Z398" i="30"/>
  <c r="AA398" i="30"/>
  <c r="AB398" i="30"/>
  <c r="Y399" i="30"/>
  <c r="Z399" i="30"/>
  <c r="AA399" i="30"/>
  <c r="AB399" i="30"/>
  <c r="Y400" i="30"/>
  <c r="Z400" i="30"/>
  <c r="AA400" i="30"/>
  <c r="AB400" i="30"/>
  <c r="Y401" i="30"/>
  <c r="Z401" i="30"/>
  <c r="AA401" i="30"/>
  <c r="AB401" i="30"/>
  <c r="Y402" i="30"/>
  <c r="Z402" i="30"/>
  <c r="AA402" i="30"/>
  <c r="AB402" i="30"/>
  <c r="Y403" i="30"/>
  <c r="Z403" i="30"/>
  <c r="AA403" i="30"/>
  <c r="AB403" i="30"/>
  <c r="Y404" i="30"/>
  <c r="Z404" i="30"/>
  <c r="AA404" i="30"/>
  <c r="AB404" i="30"/>
  <c r="Y405" i="30"/>
  <c r="Z405" i="30"/>
  <c r="AA405" i="30"/>
  <c r="AB405" i="30"/>
  <c r="Y406" i="30"/>
  <c r="Z406" i="30"/>
  <c r="AA406" i="30"/>
  <c r="AB406" i="30"/>
  <c r="Y407" i="30"/>
  <c r="Z407" i="30"/>
  <c r="AA407" i="30"/>
  <c r="AB407" i="30"/>
  <c r="Y408" i="30"/>
  <c r="Z408" i="30"/>
  <c r="AA408" i="30"/>
  <c r="AB408" i="30"/>
  <c r="Y409" i="30"/>
  <c r="Z409" i="30"/>
  <c r="AA409" i="30"/>
  <c r="AB409" i="30"/>
  <c r="Y410" i="30"/>
  <c r="Z410" i="30"/>
  <c r="AA410" i="30"/>
  <c r="AB410" i="30"/>
  <c r="Y411" i="30"/>
  <c r="Z411" i="30"/>
  <c r="AA411" i="30"/>
  <c r="AB411" i="30"/>
  <c r="Y412" i="30"/>
  <c r="Z412" i="30"/>
  <c r="AA412" i="30"/>
  <c r="AB412" i="30"/>
  <c r="Y413" i="30"/>
  <c r="Z413" i="30"/>
  <c r="AA413" i="30"/>
  <c r="AB413" i="30"/>
  <c r="Y414" i="30"/>
  <c r="Z414" i="30"/>
  <c r="AA414" i="30"/>
  <c r="AB414" i="30"/>
  <c r="Y415" i="30"/>
  <c r="Z415" i="30"/>
  <c r="AA415" i="30"/>
  <c r="AB415" i="30"/>
  <c r="Y416" i="30"/>
  <c r="Z416" i="30"/>
  <c r="AA416" i="30"/>
  <c r="AB416" i="30"/>
  <c r="Y417" i="30"/>
  <c r="Z417" i="30"/>
  <c r="AA417" i="30"/>
  <c r="AB417" i="30"/>
  <c r="Y418" i="30"/>
  <c r="Z418" i="30"/>
  <c r="AA418" i="30"/>
  <c r="AB418" i="30"/>
  <c r="Y419" i="30"/>
  <c r="Z419" i="30"/>
  <c r="AA419" i="30"/>
  <c r="AB419" i="30"/>
  <c r="Y420" i="30"/>
  <c r="Z420" i="30"/>
  <c r="AA420" i="30"/>
  <c r="AB420" i="30"/>
  <c r="Y421" i="30"/>
  <c r="Z421" i="30"/>
  <c r="AA421" i="30"/>
  <c r="AB421" i="30"/>
  <c r="Y422" i="30"/>
  <c r="Z422" i="30"/>
  <c r="AA422" i="30"/>
  <c r="AB422" i="30"/>
  <c r="Y423" i="30"/>
  <c r="Z423" i="30"/>
  <c r="AA423" i="30"/>
  <c r="AB423" i="30"/>
  <c r="Y424" i="30"/>
  <c r="Z424" i="30"/>
  <c r="AA424" i="30"/>
  <c r="AB424" i="30"/>
  <c r="Y425" i="30"/>
  <c r="Z425" i="30"/>
  <c r="AA425" i="30"/>
  <c r="AB425" i="30"/>
  <c r="Y426" i="30"/>
  <c r="Z426" i="30"/>
  <c r="AA426" i="30"/>
  <c r="AB426" i="30"/>
  <c r="Y427" i="30"/>
  <c r="Z427" i="30"/>
  <c r="AA427" i="30"/>
  <c r="AB427" i="30"/>
  <c r="Y428" i="30"/>
  <c r="Z428" i="30"/>
  <c r="AA428" i="30"/>
  <c r="AB428" i="30"/>
  <c r="Y429" i="30"/>
  <c r="Z429" i="30"/>
  <c r="AA429" i="30"/>
  <c r="AB429" i="30"/>
  <c r="Y430" i="30"/>
  <c r="Z430" i="30"/>
  <c r="AA430" i="30"/>
  <c r="AB430" i="30"/>
  <c r="Y431" i="30"/>
  <c r="Z431" i="30"/>
  <c r="AA431" i="30"/>
  <c r="AB431" i="30"/>
  <c r="Y432" i="30"/>
  <c r="Z432" i="30"/>
  <c r="AA432" i="30"/>
  <c r="AB432" i="30"/>
  <c r="Y433" i="30"/>
  <c r="Z433" i="30"/>
  <c r="AA433" i="30"/>
  <c r="AB433" i="30"/>
  <c r="Y434" i="30"/>
  <c r="Z434" i="30"/>
  <c r="AA434" i="30"/>
  <c r="AB434" i="30"/>
  <c r="Y435" i="30"/>
  <c r="Z435" i="30"/>
  <c r="AA435" i="30"/>
  <c r="AB435" i="30"/>
  <c r="Y436" i="30"/>
  <c r="Z436" i="30"/>
  <c r="AA436" i="30"/>
  <c r="AB436" i="30"/>
  <c r="Y437" i="30"/>
  <c r="Z437" i="30"/>
  <c r="AA437" i="30"/>
  <c r="AB437" i="30"/>
  <c r="Y438" i="30"/>
  <c r="Z438" i="30"/>
  <c r="AA438" i="30"/>
  <c r="AB438" i="30"/>
  <c r="Y439" i="30"/>
  <c r="Z439" i="30"/>
  <c r="AA439" i="30"/>
  <c r="AB439" i="30"/>
  <c r="Y440" i="30"/>
  <c r="Z440" i="30"/>
  <c r="AA440" i="30"/>
  <c r="AB440" i="30"/>
  <c r="Y441" i="30"/>
  <c r="Z441" i="30"/>
  <c r="AA441" i="30"/>
  <c r="AB441" i="30"/>
  <c r="Y442" i="30"/>
  <c r="Z442" i="30"/>
  <c r="AA442" i="30"/>
  <c r="AB442" i="30"/>
  <c r="Y443" i="30"/>
  <c r="Z443" i="30"/>
  <c r="AA443" i="30"/>
  <c r="AB443" i="30"/>
  <c r="Y444" i="30"/>
  <c r="Z444" i="30"/>
  <c r="AA444" i="30"/>
  <c r="AB444" i="30"/>
  <c r="Y445" i="30"/>
  <c r="Z445" i="30"/>
  <c r="AA445" i="30"/>
  <c r="AB445" i="30"/>
  <c r="Y446" i="30"/>
  <c r="Z446" i="30"/>
  <c r="AA446" i="30"/>
  <c r="AB446" i="30"/>
  <c r="Y447" i="30"/>
  <c r="Z447" i="30"/>
  <c r="AA447" i="30"/>
  <c r="AB447" i="30"/>
  <c r="Y448" i="30"/>
  <c r="Z448" i="30"/>
  <c r="AA448" i="30"/>
  <c r="AB448" i="30"/>
  <c r="Y449" i="30"/>
  <c r="Z449" i="30"/>
  <c r="AA449" i="30"/>
  <c r="AB449" i="30"/>
  <c r="Y450" i="30"/>
  <c r="Z450" i="30"/>
  <c r="AA450" i="30"/>
  <c r="AB450" i="30"/>
  <c r="Y451" i="30"/>
  <c r="Z451" i="30"/>
  <c r="AA451" i="30"/>
  <c r="AB451" i="30"/>
  <c r="Y452" i="30"/>
  <c r="Z452" i="30"/>
  <c r="AA452" i="30"/>
  <c r="AB452" i="30"/>
  <c r="Y453" i="30"/>
  <c r="Z453" i="30"/>
  <c r="AA453" i="30"/>
  <c r="AB453" i="30"/>
  <c r="Y454" i="30"/>
  <c r="Z454" i="30"/>
  <c r="AA454" i="30"/>
  <c r="AB454" i="30"/>
  <c r="Y455" i="30"/>
  <c r="Z455" i="30"/>
  <c r="AA455" i="30"/>
  <c r="AB455" i="30"/>
  <c r="Y456" i="30"/>
  <c r="Z456" i="30"/>
  <c r="AA456" i="30"/>
  <c r="AB456" i="30"/>
  <c r="Y457" i="30"/>
  <c r="Z457" i="30"/>
  <c r="AA457" i="30"/>
  <c r="AB457" i="30"/>
  <c r="Y458" i="30"/>
  <c r="Z458" i="30"/>
  <c r="AA458" i="30"/>
  <c r="AB458" i="30"/>
  <c r="Y459" i="30"/>
  <c r="Z459" i="30"/>
  <c r="AA459" i="30"/>
  <c r="AB459" i="30"/>
  <c r="Y460" i="30"/>
  <c r="Z460" i="30"/>
  <c r="AA460" i="30"/>
  <c r="AB460" i="30"/>
  <c r="Y461" i="30"/>
  <c r="Z461" i="30"/>
  <c r="AA461" i="30"/>
  <c r="AB461" i="30"/>
  <c r="Y462" i="30"/>
  <c r="Z462" i="30"/>
  <c r="AA462" i="30"/>
  <c r="AB462" i="30"/>
  <c r="Y463" i="30"/>
  <c r="Z463" i="30"/>
  <c r="AA463" i="30"/>
  <c r="AB463" i="30"/>
  <c r="Y464" i="30"/>
  <c r="Z464" i="30"/>
  <c r="AA464" i="30"/>
  <c r="AB464" i="30"/>
  <c r="Y465" i="30"/>
  <c r="Z465" i="30"/>
  <c r="AA465" i="30"/>
  <c r="AB465" i="30"/>
  <c r="Y466" i="30"/>
  <c r="Z466" i="30"/>
  <c r="AA466" i="30"/>
  <c r="AB466" i="30"/>
  <c r="Y467" i="30"/>
  <c r="Z467" i="30"/>
  <c r="AA467" i="30"/>
  <c r="AB467" i="30"/>
  <c r="Y468" i="30"/>
  <c r="Z468" i="30"/>
  <c r="AA468" i="30"/>
  <c r="AB468" i="30"/>
  <c r="Y469" i="30"/>
  <c r="Z469" i="30"/>
  <c r="AA469" i="30"/>
  <c r="AB469" i="30"/>
  <c r="Y470" i="30"/>
  <c r="Z470" i="30"/>
  <c r="AA470" i="30"/>
  <c r="AB470" i="30"/>
  <c r="Y471" i="30"/>
  <c r="Z471" i="30"/>
  <c r="AA471" i="30"/>
  <c r="AB471" i="30"/>
  <c r="Y472" i="30"/>
  <c r="Z472" i="30"/>
  <c r="AA472" i="30"/>
  <c r="AB472" i="30"/>
  <c r="Y473" i="30"/>
  <c r="Z473" i="30"/>
  <c r="AA473" i="30"/>
  <c r="AB473" i="30"/>
  <c r="Y474" i="30"/>
  <c r="Z474" i="30"/>
  <c r="AA474" i="30"/>
  <c r="AB474" i="30"/>
  <c r="Y475" i="30"/>
  <c r="Z475" i="30"/>
  <c r="AA475" i="30"/>
  <c r="AB475" i="30"/>
  <c r="Y476" i="30"/>
  <c r="Z476" i="30"/>
  <c r="AA476" i="30"/>
  <c r="AB476" i="30"/>
  <c r="Y477" i="30"/>
  <c r="Z477" i="30"/>
  <c r="AA477" i="30"/>
  <c r="AB477" i="30"/>
  <c r="Y478" i="30"/>
  <c r="Z478" i="30"/>
  <c r="AA478" i="30"/>
  <c r="AB478" i="30"/>
  <c r="Y479" i="30"/>
  <c r="Z479" i="30"/>
  <c r="AA479" i="30"/>
  <c r="AB479" i="30"/>
  <c r="Y480" i="30"/>
  <c r="Z480" i="30"/>
  <c r="AA480" i="30"/>
  <c r="AB480" i="30"/>
  <c r="Y481" i="30"/>
  <c r="Z481" i="30"/>
  <c r="AA481" i="30"/>
  <c r="AB481" i="30"/>
  <c r="Y482" i="30"/>
  <c r="Z482" i="30"/>
  <c r="AA482" i="30"/>
  <c r="AB482" i="30"/>
  <c r="Y483" i="30"/>
  <c r="Z483" i="30"/>
  <c r="AA483" i="30"/>
  <c r="AB483" i="30"/>
  <c r="Y484" i="30"/>
  <c r="Z484" i="30"/>
  <c r="AA484" i="30"/>
  <c r="AB484" i="30"/>
  <c r="Y485" i="30"/>
  <c r="Z485" i="30"/>
  <c r="AA485" i="30"/>
  <c r="AB485" i="30"/>
  <c r="Y486" i="30"/>
  <c r="Z486" i="30"/>
  <c r="AA486" i="30"/>
  <c r="AB486" i="30"/>
  <c r="Y487" i="30"/>
  <c r="Z487" i="30"/>
  <c r="AA487" i="30"/>
  <c r="AB487" i="30"/>
  <c r="Y488" i="30"/>
  <c r="Z488" i="30"/>
  <c r="AA488" i="30"/>
  <c r="AB488" i="30"/>
  <c r="Y489" i="30"/>
  <c r="Z489" i="30"/>
  <c r="AA489" i="30"/>
  <c r="AB489" i="30"/>
  <c r="Y490" i="30"/>
  <c r="Z490" i="30"/>
  <c r="AA490" i="30"/>
  <c r="AB490" i="30"/>
  <c r="Y491" i="30"/>
  <c r="Z491" i="30"/>
  <c r="AA491" i="30"/>
  <c r="AB491" i="30"/>
  <c r="Y492" i="30"/>
  <c r="Z492" i="30"/>
  <c r="AA492" i="30"/>
  <c r="AB492" i="30"/>
  <c r="Y493" i="30"/>
  <c r="Z493" i="30"/>
  <c r="AA493" i="30"/>
  <c r="AB493" i="30"/>
  <c r="Y494" i="30"/>
  <c r="Z494" i="30"/>
  <c r="AA494" i="30"/>
  <c r="AB494" i="30"/>
  <c r="Y495" i="30"/>
  <c r="Z495" i="30"/>
  <c r="AA495" i="30"/>
  <c r="AB495" i="30"/>
  <c r="Y496" i="30"/>
  <c r="Z496" i="30"/>
  <c r="AA496" i="30"/>
  <c r="AB496" i="30"/>
  <c r="Y497" i="30"/>
  <c r="Z497" i="30"/>
  <c r="AA497" i="30"/>
  <c r="AB497" i="30"/>
  <c r="Y498" i="30"/>
  <c r="Z498" i="30"/>
  <c r="AA498" i="30"/>
  <c r="AB498" i="30"/>
  <c r="Y499" i="30"/>
  <c r="Z499" i="30"/>
  <c r="AA499" i="30"/>
  <c r="AB499" i="30"/>
  <c r="Y500" i="30"/>
  <c r="Z500" i="30"/>
  <c r="AA500" i="30"/>
  <c r="AB500" i="30"/>
  <c r="Y501" i="30"/>
  <c r="Z501" i="30"/>
  <c r="AA501" i="30"/>
  <c r="AB501" i="30"/>
  <c r="Y502" i="30"/>
  <c r="Z502" i="30"/>
  <c r="AA502" i="30"/>
  <c r="AB502" i="30"/>
  <c r="Y503" i="30"/>
  <c r="Z503" i="30"/>
  <c r="AA503" i="30"/>
  <c r="AB503" i="30"/>
  <c r="Y504" i="30"/>
  <c r="Z504" i="30"/>
  <c r="AA504" i="30"/>
  <c r="AB504" i="30"/>
  <c r="Y505" i="30"/>
  <c r="Z505" i="30"/>
  <c r="AA505" i="30"/>
  <c r="AB505" i="30"/>
  <c r="Y506" i="30"/>
  <c r="Z506" i="30"/>
  <c r="AA506" i="30"/>
  <c r="AB506" i="30"/>
  <c r="Y507" i="30"/>
  <c r="Z507" i="30"/>
  <c r="AA507" i="30"/>
  <c r="AB507" i="30"/>
  <c r="Y508" i="30"/>
  <c r="Z508" i="30"/>
  <c r="AA508" i="30"/>
  <c r="AB508" i="30"/>
  <c r="Y509" i="30"/>
  <c r="Z509" i="30"/>
  <c r="AA509" i="30"/>
  <c r="AB509" i="30"/>
  <c r="Y510" i="30"/>
  <c r="Z510" i="30"/>
  <c r="AA510" i="30"/>
  <c r="AB510" i="30"/>
  <c r="Y511" i="30"/>
  <c r="Z511" i="30"/>
  <c r="AA511" i="30"/>
  <c r="AB511" i="30"/>
  <c r="Y512" i="30"/>
  <c r="Z512" i="30"/>
  <c r="AA512" i="30"/>
  <c r="AB512" i="30"/>
  <c r="Y513" i="30"/>
  <c r="Z513" i="30"/>
  <c r="AA513" i="30"/>
  <c r="AB513" i="30"/>
  <c r="Y514" i="30"/>
  <c r="Z514" i="30"/>
  <c r="AA514" i="30"/>
  <c r="AB514" i="30"/>
  <c r="Y515" i="30"/>
  <c r="Z515" i="30"/>
  <c r="AA515" i="30"/>
  <c r="AB515" i="30"/>
  <c r="Y516" i="30"/>
  <c r="Z516" i="30"/>
  <c r="AA516" i="30"/>
  <c r="AB516" i="30"/>
  <c r="Y517" i="30"/>
  <c r="Z517" i="30"/>
  <c r="AA517" i="30"/>
  <c r="AB517" i="30"/>
  <c r="Y518" i="30"/>
  <c r="Z518" i="30"/>
  <c r="AA518" i="30"/>
  <c r="AB518" i="30"/>
  <c r="Y519" i="30"/>
  <c r="Z519" i="30"/>
  <c r="AA519" i="30"/>
  <c r="AB519" i="30"/>
  <c r="Y520" i="30"/>
  <c r="Z520" i="30"/>
  <c r="AA520" i="30"/>
  <c r="AB520" i="30"/>
  <c r="Y521" i="30"/>
  <c r="Z521" i="30"/>
  <c r="AA521" i="30"/>
  <c r="AB521" i="30"/>
  <c r="Y522" i="30"/>
  <c r="Z522" i="30"/>
  <c r="AA522" i="30"/>
  <c r="AB522" i="30"/>
  <c r="Y523" i="30"/>
  <c r="Z523" i="30"/>
  <c r="AA523" i="30"/>
  <c r="AB523" i="30"/>
  <c r="Y524" i="30"/>
  <c r="Z524" i="30"/>
  <c r="AA524" i="30"/>
  <c r="AB524" i="30"/>
  <c r="Y525" i="30"/>
  <c r="Z525" i="30"/>
  <c r="AA525" i="30"/>
  <c r="AB525" i="30"/>
  <c r="Y526" i="30"/>
  <c r="Z526" i="30"/>
  <c r="AA526" i="30"/>
  <c r="AB526" i="30"/>
  <c r="Y527" i="30"/>
  <c r="Z527" i="30"/>
  <c r="AA527" i="30"/>
  <c r="AB527" i="30"/>
  <c r="Y528" i="30"/>
  <c r="Z528" i="30"/>
  <c r="AA528" i="30"/>
  <c r="AB528" i="30"/>
  <c r="Y529" i="30"/>
  <c r="Z529" i="30"/>
  <c r="AA529" i="30"/>
  <c r="AB529" i="30"/>
  <c r="Y530" i="30"/>
  <c r="Z530" i="30"/>
  <c r="AA530" i="30"/>
  <c r="AB530" i="30"/>
  <c r="Y531" i="30"/>
  <c r="Z531" i="30"/>
  <c r="AA531" i="30"/>
  <c r="AB531" i="30"/>
  <c r="Y532" i="30"/>
  <c r="Z532" i="30"/>
  <c r="AA532" i="30"/>
  <c r="AB532" i="30"/>
  <c r="Y533" i="30"/>
  <c r="Z533" i="30"/>
  <c r="AA533" i="30"/>
  <c r="AB533" i="30"/>
  <c r="Y534" i="30"/>
  <c r="Z534" i="30"/>
  <c r="AA534" i="30"/>
  <c r="AB534" i="30"/>
  <c r="Y535" i="30"/>
  <c r="Z535" i="30"/>
  <c r="AA535" i="30"/>
  <c r="AB535" i="30"/>
  <c r="Y536" i="30"/>
  <c r="Z536" i="30"/>
  <c r="AA536" i="30"/>
  <c r="AB536" i="30"/>
  <c r="Y537" i="30"/>
  <c r="Z537" i="30"/>
  <c r="AA537" i="30"/>
  <c r="AB537" i="30"/>
  <c r="Y538" i="30"/>
  <c r="Z538" i="30"/>
  <c r="AA538" i="30"/>
  <c r="AB538" i="30"/>
  <c r="Y539" i="30"/>
  <c r="Z539" i="30"/>
  <c r="AA539" i="30"/>
  <c r="AB539" i="30"/>
  <c r="Y540" i="30"/>
  <c r="Z540" i="30"/>
  <c r="AA540" i="30"/>
  <c r="AB540" i="30"/>
  <c r="Y541" i="30"/>
  <c r="Z541" i="30"/>
  <c r="AA541" i="30"/>
  <c r="AB541" i="30"/>
  <c r="Y542" i="30"/>
  <c r="Z542" i="30"/>
  <c r="AA542" i="30"/>
  <c r="AB542" i="30"/>
  <c r="Y543" i="30"/>
  <c r="Z543" i="30"/>
  <c r="AA543" i="30"/>
  <c r="AB543" i="30"/>
  <c r="Y544" i="30"/>
  <c r="Z544" i="30"/>
  <c r="AA544" i="30"/>
  <c r="AB544" i="30"/>
  <c r="Y545" i="30"/>
  <c r="Z545" i="30"/>
  <c r="AA545" i="30"/>
  <c r="AB545" i="30"/>
  <c r="Y546" i="30"/>
  <c r="Z546" i="30"/>
  <c r="AA546" i="30"/>
  <c r="AB546" i="30"/>
  <c r="Y547" i="30"/>
  <c r="Z547" i="30"/>
  <c r="AA547" i="30"/>
  <c r="AB547" i="30"/>
  <c r="Y548" i="30"/>
  <c r="Z548" i="30"/>
  <c r="AA548" i="30"/>
  <c r="AB548" i="30"/>
  <c r="Y549" i="30"/>
  <c r="Z549" i="30"/>
  <c r="AA549" i="30"/>
  <c r="AB549" i="30"/>
  <c r="Y550" i="30"/>
  <c r="Z550" i="30"/>
  <c r="AA550" i="30"/>
  <c r="AB550" i="30"/>
  <c r="Y551" i="30"/>
  <c r="Z551" i="30"/>
  <c r="AA551" i="30"/>
  <c r="AB551" i="30"/>
  <c r="Y552" i="30"/>
  <c r="Z552" i="30"/>
  <c r="AA552" i="30"/>
  <c r="AB552" i="30"/>
  <c r="Y553" i="30"/>
  <c r="Z553" i="30"/>
  <c r="AA553" i="30"/>
  <c r="AB553" i="30"/>
  <c r="Y554" i="30"/>
  <c r="Z554" i="30"/>
  <c r="AA554" i="30"/>
  <c r="AB554" i="30"/>
  <c r="Y555" i="30"/>
  <c r="Z555" i="30"/>
  <c r="AA555" i="30"/>
  <c r="AB555" i="30"/>
  <c r="Y556" i="30"/>
  <c r="Z556" i="30"/>
  <c r="AA556" i="30"/>
  <c r="AB556" i="30"/>
  <c r="Y557" i="30"/>
  <c r="Z557" i="30"/>
  <c r="AA557" i="30"/>
  <c r="AB557" i="30"/>
  <c r="Y558" i="30"/>
  <c r="Z558" i="30"/>
  <c r="AA558" i="30"/>
  <c r="AB558" i="30"/>
  <c r="Y559" i="30"/>
  <c r="Z559" i="30"/>
  <c r="AA559" i="30"/>
  <c r="AB559" i="30"/>
  <c r="Y560" i="30"/>
  <c r="Z560" i="30"/>
  <c r="AA560" i="30"/>
  <c r="AB560" i="30"/>
  <c r="Y561" i="30"/>
  <c r="Z561" i="30"/>
  <c r="AA561" i="30"/>
  <c r="AB561" i="30"/>
  <c r="Y562" i="30"/>
  <c r="Z562" i="30"/>
  <c r="AA562" i="30"/>
  <c r="AB562" i="30"/>
  <c r="Y563" i="30"/>
  <c r="Z563" i="30"/>
  <c r="AA563" i="30"/>
  <c r="AB563" i="30"/>
  <c r="Y564" i="30"/>
  <c r="Z564" i="30"/>
  <c r="AA564" i="30"/>
  <c r="AB564" i="30"/>
  <c r="Y565" i="30"/>
  <c r="Z565" i="30"/>
  <c r="AA565" i="30"/>
  <c r="AB565" i="30"/>
  <c r="Y566" i="30"/>
  <c r="Z566" i="30"/>
  <c r="AA566" i="30"/>
  <c r="AB566" i="30"/>
  <c r="Y567" i="30"/>
  <c r="Z567" i="30"/>
  <c r="AA567" i="30"/>
  <c r="AB567" i="30"/>
  <c r="Y568" i="30"/>
  <c r="Z568" i="30"/>
  <c r="AA568" i="30"/>
  <c r="AB568" i="30"/>
  <c r="Y569" i="30"/>
  <c r="Z569" i="30"/>
  <c r="AA569" i="30"/>
  <c r="AB569" i="30"/>
  <c r="Y570" i="30"/>
  <c r="Z570" i="30"/>
  <c r="AA570" i="30"/>
  <c r="AB570" i="30"/>
  <c r="Y571" i="30"/>
  <c r="Z571" i="30"/>
  <c r="AA571" i="30"/>
  <c r="AB571" i="30"/>
  <c r="Y572" i="30"/>
  <c r="Z572" i="30"/>
  <c r="AA572" i="30"/>
  <c r="AB572" i="30"/>
  <c r="Y573" i="30"/>
  <c r="Z573" i="30"/>
  <c r="AA573" i="30"/>
  <c r="AB573" i="30"/>
  <c r="Y574" i="30"/>
  <c r="Z574" i="30"/>
  <c r="AA574" i="30"/>
  <c r="AB574" i="30"/>
  <c r="Y575" i="30"/>
  <c r="Z575" i="30"/>
  <c r="AA575" i="30"/>
  <c r="AB575" i="30"/>
  <c r="Y576" i="30"/>
  <c r="Z576" i="30"/>
  <c r="AA576" i="30"/>
  <c r="AB576" i="30"/>
  <c r="Y577" i="30"/>
  <c r="Z577" i="30"/>
  <c r="AA577" i="30"/>
  <c r="AB577" i="30"/>
  <c r="Y578" i="30"/>
  <c r="Z578" i="30"/>
  <c r="AA578" i="30"/>
  <c r="AB578" i="30"/>
  <c r="Y579" i="30"/>
  <c r="Z579" i="30"/>
  <c r="AA579" i="30"/>
  <c r="AB579" i="30"/>
  <c r="Y580" i="30"/>
  <c r="Z580" i="30"/>
  <c r="AA580" i="30"/>
  <c r="AB580" i="30"/>
  <c r="Y581" i="30"/>
  <c r="Z581" i="30"/>
  <c r="AA581" i="30"/>
  <c r="AB581" i="30"/>
  <c r="Y582" i="30"/>
  <c r="Z582" i="30"/>
  <c r="AA582" i="30"/>
  <c r="AB582" i="30"/>
  <c r="Y583" i="30"/>
  <c r="Z583" i="30"/>
  <c r="AA583" i="30"/>
  <c r="AB583" i="30"/>
  <c r="Y584" i="30"/>
  <c r="Z584" i="30"/>
  <c r="AA584" i="30"/>
  <c r="AB584" i="30"/>
  <c r="Y585" i="30"/>
  <c r="Z585" i="30"/>
  <c r="AA585" i="30"/>
  <c r="AB585" i="30"/>
  <c r="Y586" i="30"/>
  <c r="Z586" i="30"/>
  <c r="AA586" i="30"/>
  <c r="AB586" i="30"/>
  <c r="Y587" i="30"/>
  <c r="Z587" i="30"/>
  <c r="AA587" i="30"/>
  <c r="AB587" i="30"/>
  <c r="Y588" i="30"/>
  <c r="Z588" i="30"/>
  <c r="AA588" i="30"/>
  <c r="AB588" i="30"/>
  <c r="Y589" i="30"/>
  <c r="Z589" i="30"/>
  <c r="AA589" i="30"/>
  <c r="AB589" i="30"/>
  <c r="Y590" i="30"/>
  <c r="Z590" i="30"/>
  <c r="AA590" i="30"/>
  <c r="AB590" i="30"/>
  <c r="Y591" i="30"/>
  <c r="Z591" i="30"/>
  <c r="AA591" i="30"/>
  <c r="AB591" i="30"/>
  <c r="Y592" i="30"/>
  <c r="Z592" i="30"/>
  <c r="AA592" i="30"/>
  <c r="AB592" i="30"/>
  <c r="Y593" i="30"/>
  <c r="Z593" i="30"/>
  <c r="AA593" i="30"/>
  <c r="AB593" i="30"/>
  <c r="Y594" i="30"/>
  <c r="Z594" i="30"/>
  <c r="AA594" i="30"/>
  <c r="AB594" i="30"/>
  <c r="Y595" i="30"/>
  <c r="Z595" i="30"/>
  <c r="AA595" i="30"/>
  <c r="AB595" i="30"/>
  <c r="Y596" i="30"/>
  <c r="Z596" i="30"/>
  <c r="AA596" i="30"/>
  <c r="AB596" i="30"/>
  <c r="Y597" i="30"/>
  <c r="Z597" i="30"/>
  <c r="AA597" i="30"/>
  <c r="AB597" i="30"/>
  <c r="Y598" i="30"/>
  <c r="Z598" i="30"/>
  <c r="AA598" i="30"/>
  <c r="AB598" i="30"/>
  <c r="Y599" i="30"/>
  <c r="Z599" i="30"/>
  <c r="AA599" i="30"/>
  <c r="AB599" i="30"/>
  <c r="Y600" i="30"/>
  <c r="Z600" i="30"/>
  <c r="AA600" i="30"/>
  <c r="AB600" i="30"/>
  <c r="Y601" i="30"/>
  <c r="Z601" i="30"/>
  <c r="AA601" i="30"/>
  <c r="AB601" i="30"/>
  <c r="Y602" i="30"/>
  <c r="Z602" i="30"/>
  <c r="AA602" i="30"/>
  <c r="AB602" i="30"/>
  <c r="Y603" i="30"/>
  <c r="Z603" i="30"/>
  <c r="AA603" i="30"/>
  <c r="AB603" i="30"/>
  <c r="Y604" i="30"/>
  <c r="Z604" i="30"/>
  <c r="AA604" i="30"/>
  <c r="AB604" i="30"/>
  <c r="Y605" i="30"/>
  <c r="Z605" i="30"/>
  <c r="AA605" i="30"/>
  <c r="AB605" i="30"/>
  <c r="Y606" i="30"/>
  <c r="Z606" i="30"/>
  <c r="AA606" i="30"/>
  <c r="AB606" i="30"/>
  <c r="Y607" i="30"/>
  <c r="Z607" i="30"/>
  <c r="AA607" i="30"/>
  <c r="AB607" i="30"/>
  <c r="Y608" i="30"/>
  <c r="Z608" i="30"/>
  <c r="AA608" i="30"/>
  <c r="AB608" i="30"/>
  <c r="Y609" i="30"/>
  <c r="Z609" i="30"/>
  <c r="AA609" i="30"/>
  <c r="AB609" i="30"/>
  <c r="Y610" i="30"/>
  <c r="Z610" i="30"/>
  <c r="AA610" i="30"/>
  <c r="AB610" i="30"/>
  <c r="Y611" i="30"/>
  <c r="Z611" i="30"/>
  <c r="AA611" i="30"/>
  <c r="AB611" i="30"/>
  <c r="Y612" i="30"/>
  <c r="Z612" i="30"/>
  <c r="AA612" i="30"/>
  <c r="AB612" i="30"/>
  <c r="Y613" i="30"/>
  <c r="Z613" i="30"/>
  <c r="AA613" i="30"/>
  <c r="AB613" i="30"/>
  <c r="Y614" i="30"/>
  <c r="Z614" i="30"/>
  <c r="AA614" i="30"/>
  <c r="AB614" i="30"/>
  <c r="Y615" i="30"/>
  <c r="Z615" i="30"/>
  <c r="AA615" i="30"/>
  <c r="AB615" i="30"/>
  <c r="Y616" i="30"/>
  <c r="Z616" i="30"/>
  <c r="AA616" i="30"/>
  <c r="AB616" i="30"/>
  <c r="Y617" i="30"/>
  <c r="Z617" i="30"/>
  <c r="AA617" i="30"/>
  <c r="AB617" i="30"/>
  <c r="Y618" i="30"/>
  <c r="Z618" i="30"/>
  <c r="AA618" i="30"/>
  <c r="AB618" i="30"/>
  <c r="Y619" i="30"/>
  <c r="Z619" i="30"/>
  <c r="AA619" i="30"/>
  <c r="AB619" i="30"/>
  <c r="Y620" i="30"/>
  <c r="Z620" i="30"/>
  <c r="AA620" i="30"/>
  <c r="AB620" i="30"/>
  <c r="Y621" i="30"/>
  <c r="Z621" i="30"/>
  <c r="AA621" i="30"/>
  <c r="AB621" i="30"/>
  <c r="Y622" i="30"/>
  <c r="Z622" i="30"/>
  <c r="AA622" i="30"/>
  <c r="AB622" i="30"/>
  <c r="Y623" i="30"/>
  <c r="Z623" i="30"/>
  <c r="AA623" i="30"/>
  <c r="AB623" i="30"/>
  <c r="Y624" i="30"/>
  <c r="Z624" i="30"/>
  <c r="AA624" i="30"/>
  <c r="AB624" i="30"/>
  <c r="Y625" i="30"/>
  <c r="Z625" i="30"/>
  <c r="AA625" i="30"/>
  <c r="AB625" i="30"/>
  <c r="Y626" i="30"/>
  <c r="Z626" i="30"/>
  <c r="AA626" i="30"/>
  <c r="AB626" i="30"/>
  <c r="Y627" i="30"/>
  <c r="Z627" i="30"/>
  <c r="AA627" i="30"/>
  <c r="AB627" i="30"/>
  <c r="Y628" i="30"/>
  <c r="Z628" i="30"/>
  <c r="AA628" i="30"/>
  <c r="AB628" i="30"/>
  <c r="Y629" i="30"/>
  <c r="Z629" i="30"/>
  <c r="AA629" i="30"/>
  <c r="AB629" i="30"/>
  <c r="Y630" i="30"/>
  <c r="Z630" i="30"/>
  <c r="AA630" i="30"/>
  <c r="AB630" i="30"/>
  <c r="Y631" i="30"/>
  <c r="Z631" i="30"/>
  <c r="AA631" i="30"/>
  <c r="AB631" i="30"/>
  <c r="Y632" i="30"/>
  <c r="Z632" i="30"/>
  <c r="AA632" i="30"/>
  <c r="AB632" i="30"/>
  <c r="Y633" i="30"/>
  <c r="Z633" i="30"/>
  <c r="AA633" i="30"/>
  <c r="AB633" i="30"/>
  <c r="Y634" i="30"/>
  <c r="Z634" i="30"/>
  <c r="AA634" i="30"/>
  <c r="AB634" i="30"/>
  <c r="Y635" i="30"/>
  <c r="Z635" i="30"/>
  <c r="AA635" i="30"/>
  <c r="AB635" i="30"/>
  <c r="Y636" i="30"/>
  <c r="Z636" i="30"/>
  <c r="AA636" i="30"/>
  <c r="AB636" i="30"/>
  <c r="Y637" i="30"/>
  <c r="Z637" i="30"/>
  <c r="AA637" i="30"/>
  <c r="AB637" i="30"/>
  <c r="Y638" i="30"/>
  <c r="Z638" i="30"/>
  <c r="AA638" i="30"/>
  <c r="AB638" i="30"/>
  <c r="Y639" i="30"/>
  <c r="Z639" i="30"/>
  <c r="AA639" i="30"/>
  <c r="AB639" i="30"/>
  <c r="Y640" i="30"/>
  <c r="Z640" i="30"/>
  <c r="AA640" i="30"/>
  <c r="AB640" i="30"/>
  <c r="Y641" i="30"/>
  <c r="Z641" i="30"/>
  <c r="AA641" i="30"/>
  <c r="AB641" i="30"/>
  <c r="Y642" i="30"/>
  <c r="Z642" i="30"/>
  <c r="AA642" i="30"/>
  <c r="AB642" i="30"/>
  <c r="Y643" i="30"/>
  <c r="Z643" i="30"/>
  <c r="AA643" i="30"/>
  <c r="AB643" i="30"/>
  <c r="Y644" i="30"/>
  <c r="Z644" i="30"/>
  <c r="AA644" i="30"/>
  <c r="AB644" i="30"/>
  <c r="Y645" i="30"/>
  <c r="Z645" i="30"/>
  <c r="AA645" i="30"/>
  <c r="AB645" i="30"/>
  <c r="Y646" i="30"/>
  <c r="Z646" i="30"/>
  <c r="AA646" i="30"/>
  <c r="AB646" i="30"/>
  <c r="Y647" i="30"/>
  <c r="Z647" i="30"/>
  <c r="AA647" i="30"/>
  <c r="AB647" i="30"/>
  <c r="Y648" i="30"/>
  <c r="Z648" i="30"/>
  <c r="AA648" i="30"/>
  <c r="AB648" i="30"/>
  <c r="Y649" i="30"/>
  <c r="Z649" i="30"/>
  <c r="AA649" i="30"/>
  <c r="AB649" i="30"/>
  <c r="Y650" i="30"/>
  <c r="Z650" i="30"/>
  <c r="AA650" i="30"/>
  <c r="AB650" i="30"/>
  <c r="Y651" i="30"/>
  <c r="Z651" i="30"/>
  <c r="AA651" i="30"/>
  <c r="AB651" i="30"/>
  <c r="Y652" i="30"/>
  <c r="Z652" i="30"/>
  <c r="AA652" i="30"/>
  <c r="AB652" i="30"/>
  <c r="Y653" i="30"/>
  <c r="Z653" i="30"/>
  <c r="AA653" i="30"/>
  <c r="AB653" i="30"/>
  <c r="Y654" i="30"/>
  <c r="Z654" i="30"/>
  <c r="AA654" i="30"/>
  <c r="AB654" i="30"/>
  <c r="Y655" i="30"/>
  <c r="Z655" i="30"/>
  <c r="AA655" i="30"/>
  <c r="AB655" i="30"/>
  <c r="Y656" i="30"/>
  <c r="Z656" i="30"/>
  <c r="AA656" i="30"/>
  <c r="AB656" i="30"/>
  <c r="Y657" i="30"/>
  <c r="Z657" i="30"/>
  <c r="AA657" i="30"/>
  <c r="AB657" i="30"/>
  <c r="Y658" i="30"/>
  <c r="Z658" i="30"/>
  <c r="AA658" i="30"/>
  <c r="AB658" i="30"/>
  <c r="Y659" i="30"/>
  <c r="Z659" i="30"/>
  <c r="AA659" i="30"/>
  <c r="AB659" i="30"/>
  <c r="Y660" i="30"/>
  <c r="Z660" i="30"/>
  <c r="AA660" i="30"/>
  <c r="AB660" i="30"/>
  <c r="Y661" i="30"/>
  <c r="Z661" i="30"/>
  <c r="AA661" i="30"/>
  <c r="AB661" i="30"/>
  <c r="Y662" i="30"/>
  <c r="Z662" i="30"/>
  <c r="AA662" i="30"/>
  <c r="AB662" i="30"/>
  <c r="Y663" i="30"/>
  <c r="Z663" i="30"/>
  <c r="AA663" i="30"/>
  <c r="AB663" i="30"/>
  <c r="Y664" i="30"/>
  <c r="Z664" i="30"/>
  <c r="AA664" i="30"/>
  <c r="AB664" i="30"/>
  <c r="Y665" i="30"/>
  <c r="Z665" i="30"/>
  <c r="AA665" i="30"/>
  <c r="AB665" i="30"/>
  <c r="Y666" i="30"/>
  <c r="Z666" i="30"/>
  <c r="AA666" i="30"/>
  <c r="AB666" i="30"/>
  <c r="Y667" i="30"/>
  <c r="Z667" i="30"/>
  <c r="AA667" i="30"/>
  <c r="AB667" i="30"/>
  <c r="Y668" i="30"/>
  <c r="Z668" i="30"/>
  <c r="AA668" i="30"/>
  <c r="AB668" i="30"/>
  <c r="Y669" i="30"/>
  <c r="Z669" i="30"/>
  <c r="AA669" i="30"/>
  <c r="AB669" i="30"/>
  <c r="Y670" i="30"/>
  <c r="Z670" i="30"/>
  <c r="AA670" i="30"/>
  <c r="AB670" i="30"/>
  <c r="Y671" i="30"/>
  <c r="Z671" i="30"/>
  <c r="AA671" i="30"/>
  <c r="AB671" i="30"/>
  <c r="Y672" i="30"/>
  <c r="Z672" i="30"/>
  <c r="AA672" i="30"/>
  <c r="AB672" i="30"/>
  <c r="Y673" i="30"/>
  <c r="Z673" i="30"/>
  <c r="AA673" i="30"/>
  <c r="AB673" i="30"/>
  <c r="Y674" i="30"/>
  <c r="Z674" i="30"/>
  <c r="AA674" i="30"/>
  <c r="AB674" i="30"/>
  <c r="Y675" i="30"/>
  <c r="Z675" i="30"/>
  <c r="AA675" i="30"/>
  <c r="AB675" i="30"/>
  <c r="Y676" i="30"/>
  <c r="Z676" i="30"/>
  <c r="AA676" i="30"/>
  <c r="AB676" i="30"/>
  <c r="Y677" i="30"/>
  <c r="Z677" i="30"/>
  <c r="AA677" i="30"/>
  <c r="AB677" i="30"/>
  <c r="Y678" i="30"/>
  <c r="Z678" i="30"/>
  <c r="AA678" i="30"/>
  <c r="AB678" i="30"/>
  <c r="Y679" i="30"/>
  <c r="Z679" i="30"/>
  <c r="AA679" i="30"/>
  <c r="AB679" i="30"/>
  <c r="Y680" i="30"/>
  <c r="Z680" i="30"/>
  <c r="AA680" i="30"/>
  <c r="AB680" i="30"/>
  <c r="Y681" i="30"/>
  <c r="Z681" i="30"/>
  <c r="AA681" i="30"/>
  <c r="AB681" i="30"/>
  <c r="Y682" i="30"/>
  <c r="Z682" i="30"/>
  <c r="AA682" i="30"/>
  <c r="AB682" i="30"/>
  <c r="Y683" i="30"/>
  <c r="Z683" i="30"/>
  <c r="AA683" i="30"/>
  <c r="AB683" i="30"/>
  <c r="Y684" i="30"/>
  <c r="Z684" i="30"/>
  <c r="AA684" i="30"/>
  <c r="AB684" i="30"/>
  <c r="Y685" i="30"/>
  <c r="Z685" i="30"/>
  <c r="AA685" i="30"/>
  <c r="AB685" i="30"/>
  <c r="Y686" i="30"/>
  <c r="Z686" i="30"/>
  <c r="AA686" i="30"/>
  <c r="AB686" i="30"/>
  <c r="Y687" i="30"/>
  <c r="Z687" i="30"/>
  <c r="AA687" i="30"/>
  <c r="AB687" i="30"/>
  <c r="Y688" i="30"/>
  <c r="Z688" i="30"/>
  <c r="AA688" i="30"/>
  <c r="AB688" i="30"/>
  <c r="Y689" i="30"/>
  <c r="Z689" i="30"/>
  <c r="AA689" i="30"/>
  <c r="AB689" i="30"/>
  <c r="Y690" i="30"/>
  <c r="Z690" i="30"/>
  <c r="AA690" i="30"/>
  <c r="AB690" i="30"/>
  <c r="Y691" i="30"/>
  <c r="Z691" i="30"/>
  <c r="AA691" i="30"/>
  <c r="AB691" i="30"/>
  <c r="Y692" i="30"/>
  <c r="Z692" i="30"/>
  <c r="AA692" i="30"/>
  <c r="AB692" i="30"/>
  <c r="Y693" i="30"/>
  <c r="Z693" i="30"/>
  <c r="AA693" i="30"/>
  <c r="AB693" i="30"/>
  <c r="Y694" i="30"/>
  <c r="Z694" i="30"/>
  <c r="AA694" i="30"/>
  <c r="AB694" i="30"/>
  <c r="Y695" i="30"/>
  <c r="Z695" i="30"/>
  <c r="AA695" i="30"/>
  <c r="AB695" i="30"/>
  <c r="Y696" i="30"/>
  <c r="Z696" i="30"/>
  <c r="AA696" i="30"/>
  <c r="AB696" i="30"/>
  <c r="Y697" i="30"/>
  <c r="Z697" i="30"/>
  <c r="AA697" i="30"/>
  <c r="AB697" i="30"/>
  <c r="Y698" i="30"/>
  <c r="Z698" i="30"/>
  <c r="AA698" i="30"/>
  <c r="AB698" i="30"/>
  <c r="Y699" i="30"/>
  <c r="Z699" i="30"/>
  <c r="AA699" i="30"/>
  <c r="AB699" i="30"/>
  <c r="Y700" i="30"/>
  <c r="Z700" i="30"/>
  <c r="AA700" i="30"/>
  <c r="AB700" i="30"/>
  <c r="Y701" i="30"/>
  <c r="Z701" i="30"/>
  <c r="AA701" i="30"/>
  <c r="AB701" i="30"/>
  <c r="Y702" i="30"/>
  <c r="Z702" i="30"/>
  <c r="AA702" i="30"/>
  <c r="AB702" i="30"/>
  <c r="Y703" i="30"/>
  <c r="Z703" i="30"/>
  <c r="AA703" i="30"/>
  <c r="AB703" i="30"/>
  <c r="Y704" i="30"/>
  <c r="Z704" i="30"/>
  <c r="AA704" i="30"/>
  <c r="AB704" i="30"/>
  <c r="Y705" i="30"/>
  <c r="Z705" i="30"/>
  <c r="AA705" i="30"/>
  <c r="AB705" i="30"/>
  <c r="Y706" i="30"/>
  <c r="Z706" i="30"/>
  <c r="AA706" i="30"/>
  <c r="AB706" i="30"/>
  <c r="Y707" i="30"/>
  <c r="Z707" i="30"/>
  <c r="AA707" i="30"/>
  <c r="AB707" i="30"/>
  <c r="Y708" i="30"/>
  <c r="Z708" i="30"/>
  <c r="AA708" i="30"/>
  <c r="AB708" i="30"/>
  <c r="Y709" i="30"/>
  <c r="Z709" i="30"/>
  <c r="AA709" i="30"/>
  <c r="AB709" i="30"/>
  <c r="Y710" i="30"/>
  <c r="Z710" i="30"/>
  <c r="AA710" i="30"/>
  <c r="AB710" i="30"/>
  <c r="Y711" i="30"/>
  <c r="Z711" i="30"/>
  <c r="AA711" i="30"/>
  <c r="AB711" i="30"/>
  <c r="Y712" i="30"/>
  <c r="Z712" i="30"/>
  <c r="AA712" i="30"/>
  <c r="AB712" i="30"/>
  <c r="Y713" i="30"/>
  <c r="Z713" i="30"/>
  <c r="AA713" i="30"/>
  <c r="AB713" i="30"/>
  <c r="Y714" i="30"/>
  <c r="Z714" i="30"/>
  <c r="AA714" i="30"/>
  <c r="AB714" i="30"/>
  <c r="Y715" i="30"/>
  <c r="Z715" i="30"/>
  <c r="AA715" i="30"/>
  <c r="AB715" i="30"/>
  <c r="Y716" i="30"/>
  <c r="Z716" i="30"/>
  <c r="AA716" i="30"/>
  <c r="AB716" i="30"/>
  <c r="Y717" i="30"/>
  <c r="Z717" i="30"/>
  <c r="AA717" i="30"/>
  <c r="AB717" i="30"/>
  <c r="Y718" i="30"/>
  <c r="Z718" i="30"/>
  <c r="AA718" i="30"/>
  <c r="AB718" i="30"/>
  <c r="Y719" i="30"/>
  <c r="Z719" i="30"/>
  <c r="AA719" i="30"/>
  <c r="AB719" i="30"/>
  <c r="Y720" i="30"/>
  <c r="Z720" i="30"/>
  <c r="AA720" i="30"/>
  <c r="AB720" i="30"/>
  <c r="Y721" i="30"/>
  <c r="Z721" i="30"/>
  <c r="AA721" i="30"/>
  <c r="AB721" i="30"/>
  <c r="Y722" i="30"/>
  <c r="Z722" i="30"/>
  <c r="AA722" i="30"/>
  <c r="AB722" i="30"/>
  <c r="Y723" i="30"/>
  <c r="Z723" i="30"/>
  <c r="AA723" i="30"/>
  <c r="AB723" i="30"/>
  <c r="Y724" i="30"/>
  <c r="Z724" i="30"/>
  <c r="AA724" i="30"/>
  <c r="AB724" i="30"/>
  <c r="Y725" i="30"/>
  <c r="Z725" i="30"/>
  <c r="AA725" i="30"/>
  <c r="AB725" i="30"/>
  <c r="Y726" i="30"/>
  <c r="Z726" i="30"/>
  <c r="AA726" i="30"/>
  <c r="AB726" i="30"/>
  <c r="Y727" i="30"/>
  <c r="Z727" i="30"/>
  <c r="AA727" i="30"/>
  <c r="AB727" i="30"/>
  <c r="Y728" i="30"/>
  <c r="Z728" i="30"/>
  <c r="AA728" i="30"/>
  <c r="AB728" i="30"/>
  <c r="Y729" i="30"/>
  <c r="Z729" i="30"/>
  <c r="AA729" i="30"/>
  <c r="AB729" i="30"/>
  <c r="Y730" i="30"/>
  <c r="Z730" i="30"/>
  <c r="AA730" i="30"/>
  <c r="AB730" i="30"/>
  <c r="Y731" i="30"/>
  <c r="Z731" i="30"/>
  <c r="AA731" i="30"/>
  <c r="AB731" i="30"/>
  <c r="Y732" i="30"/>
  <c r="Z732" i="30"/>
  <c r="AA732" i="30"/>
  <c r="AB732" i="30"/>
  <c r="Y733" i="30"/>
  <c r="Z733" i="30"/>
  <c r="AA733" i="30"/>
  <c r="AB733" i="30"/>
  <c r="Y734" i="30"/>
  <c r="Z734" i="30"/>
  <c r="AA734" i="30"/>
  <c r="AB734" i="30"/>
  <c r="Y735" i="30"/>
  <c r="Z735" i="30"/>
  <c r="AA735" i="30"/>
  <c r="AB735" i="30"/>
  <c r="Y736" i="30"/>
  <c r="Z736" i="30"/>
  <c r="AA736" i="30"/>
  <c r="AB736" i="30"/>
  <c r="Y737" i="30"/>
  <c r="Z737" i="30"/>
  <c r="AA737" i="30"/>
  <c r="AB737" i="30"/>
  <c r="Y738" i="30"/>
  <c r="Z738" i="30"/>
  <c r="AA738" i="30"/>
  <c r="AB738" i="30"/>
  <c r="Y739" i="30"/>
  <c r="Z739" i="30"/>
  <c r="AA739" i="30"/>
  <c r="AB739" i="30"/>
  <c r="Y740" i="30"/>
  <c r="Z740" i="30"/>
  <c r="AA740" i="30"/>
  <c r="AB740" i="30"/>
  <c r="Y741" i="30"/>
  <c r="Z741" i="30"/>
  <c r="AA741" i="30"/>
  <c r="AB741" i="30"/>
  <c r="Y742" i="30"/>
  <c r="Z742" i="30"/>
  <c r="AA742" i="30"/>
  <c r="AB742" i="30"/>
  <c r="Y743" i="30"/>
  <c r="Z743" i="30"/>
  <c r="AA743" i="30"/>
  <c r="AB743" i="30"/>
  <c r="Y744" i="30"/>
  <c r="Z744" i="30"/>
  <c r="AA744" i="30"/>
  <c r="AB744" i="30"/>
  <c r="Y745" i="30"/>
  <c r="Z745" i="30"/>
  <c r="AA745" i="30"/>
  <c r="AB745" i="30"/>
  <c r="Y746" i="30"/>
  <c r="Z746" i="30"/>
  <c r="AA746" i="30"/>
  <c r="AB746" i="30"/>
  <c r="Y747" i="30"/>
  <c r="Z747" i="30"/>
  <c r="AA747" i="30"/>
  <c r="AB747" i="30"/>
  <c r="Y748" i="30"/>
  <c r="Z748" i="30"/>
  <c r="AA748" i="30"/>
  <c r="AB748" i="30"/>
  <c r="Y749" i="30"/>
  <c r="Z749" i="30"/>
  <c r="AA749" i="30"/>
  <c r="AB749" i="30"/>
  <c r="Y750" i="30"/>
  <c r="Z750" i="30"/>
  <c r="AA750" i="30"/>
  <c r="AB750" i="30"/>
  <c r="Y751" i="30"/>
  <c r="Z751" i="30"/>
  <c r="AA751" i="30"/>
  <c r="AB751" i="30"/>
  <c r="Y752" i="30"/>
  <c r="Z752" i="30"/>
  <c r="AA752" i="30"/>
  <c r="AB752" i="30"/>
  <c r="Y753" i="30"/>
  <c r="Z753" i="30"/>
  <c r="AA753" i="30"/>
  <c r="AB753" i="30"/>
  <c r="Y754" i="30"/>
  <c r="Z754" i="30"/>
  <c r="AA754" i="30"/>
  <c r="AB754" i="30"/>
  <c r="Y755" i="30"/>
  <c r="Z755" i="30"/>
  <c r="AA755" i="30"/>
  <c r="AB755" i="30"/>
  <c r="Y756" i="30"/>
  <c r="Z756" i="30"/>
  <c r="AA756" i="30"/>
  <c r="AB756" i="30"/>
  <c r="Y757" i="30"/>
  <c r="Z757" i="30"/>
  <c r="AA757" i="30"/>
  <c r="AB757" i="30"/>
  <c r="Y758" i="30"/>
  <c r="Z758" i="30"/>
  <c r="AA758" i="30"/>
  <c r="AB758" i="30"/>
  <c r="Y759" i="30"/>
  <c r="Z759" i="30"/>
  <c r="AA759" i="30"/>
  <c r="AB759" i="30"/>
  <c r="Y760" i="30"/>
  <c r="Z760" i="30"/>
  <c r="AA760" i="30"/>
  <c r="AB760" i="30"/>
  <c r="Y761" i="30"/>
  <c r="Z761" i="30"/>
  <c r="AA761" i="30"/>
  <c r="AB761" i="30"/>
  <c r="Y762" i="30"/>
  <c r="Z762" i="30"/>
  <c r="AA762" i="30"/>
  <c r="AB762" i="30"/>
  <c r="Y763" i="30"/>
  <c r="Z763" i="30"/>
  <c r="AA763" i="30"/>
  <c r="AB763" i="30"/>
  <c r="Y764" i="30"/>
  <c r="Z764" i="30"/>
  <c r="AA764" i="30"/>
  <c r="AB764" i="30"/>
  <c r="Y765" i="30"/>
  <c r="Z765" i="30"/>
  <c r="AA765" i="30"/>
  <c r="AB765" i="30"/>
  <c r="Y766" i="30"/>
  <c r="Z766" i="30"/>
  <c r="AA766" i="30"/>
  <c r="AB766" i="30"/>
  <c r="Y767" i="30"/>
  <c r="Z767" i="30"/>
  <c r="AA767" i="30"/>
  <c r="AB767" i="30"/>
  <c r="Y768" i="30"/>
  <c r="Z768" i="30"/>
  <c r="AA768" i="30"/>
  <c r="AB768" i="30"/>
  <c r="Y769" i="30"/>
  <c r="Z769" i="30"/>
  <c r="AA769" i="30"/>
  <c r="AB769" i="30"/>
  <c r="Y770" i="30"/>
  <c r="Z770" i="30"/>
  <c r="AA770" i="30"/>
  <c r="AB770" i="30"/>
  <c r="Y771" i="30"/>
  <c r="Z771" i="30"/>
  <c r="AA771" i="30"/>
  <c r="AB771" i="30"/>
  <c r="Y772" i="30"/>
  <c r="Z772" i="30"/>
  <c r="AA772" i="30"/>
  <c r="AB772" i="30"/>
  <c r="Y773" i="30"/>
  <c r="Z773" i="30"/>
  <c r="AA773" i="30"/>
  <c r="AB773" i="30"/>
  <c r="Y774" i="30"/>
  <c r="Z774" i="30"/>
  <c r="AA774" i="30"/>
  <c r="AB774" i="30"/>
  <c r="Y775" i="30"/>
  <c r="Z775" i="30"/>
  <c r="AA775" i="30"/>
  <c r="AB775" i="30"/>
  <c r="Y776" i="30"/>
  <c r="Z776" i="30"/>
  <c r="AA776" i="30"/>
  <c r="AB776" i="30"/>
  <c r="Y777" i="30"/>
  <c r="Z777" i="30"/>
  <c r="AA777" i="30"/>
  <c r="AB777" i="30"/>
  <c r="Y778" i="30"/>
  <c r="Z778" i="30"/>
  <c r="AA778" i="30"/>
  <c r="AB778" i="30"/>
  <c r="Y779" i="30"/>
  <c r="Z779" i="30"/>
  <c r="AA779" i="30"/>
  <c r="AB779" i="30"/>
  <c r="Y780" i="30"/>
  <c r="Z780" i="30"/>
  <c r="AA780" i="30"/>
  <c r="AB780" i="30"/>
  <c r="Y781" i="30"/>
  <c r="Z781" i="30"/>
  <c r="AA781" i="30"/>
  <c r="AB781" i="30"/>
  <c r="Y782" i="30"/>
  <c r="Z782" i="30"/>
  <c r="AA782" i="30"/>
  <c r="AB782" i="30"/>
  <c r="Y783" i="30"/>
  <c r="Z783" i="30"/>
  <c r="AA783" i="30"/>
  <c r="AB783" i="30"/>
  <c r="Y784" i="30"/>
  <c r="Z784" i="30"/>
  <c r="AA784" i="30"/>
  <c r="AB784" i="30"/>
  <c r="Y785" i="30"/>
  <c r="Z785" i="30"/>
  <c r="AA785" i="30"/>
  <c r="AB785" i="30"/>
  <c r="Y786" i="30"/>
  <c r="Z786" i="30"/>
  <c r="AA786" i="30"/>
  <c r="AB786" i="30"/>
  <c r="Y787" i="30"/>
  <c r="Z787" i="30"/>
  <c r="AA787" i="30"/>
  <c r="AB787" i="30"/>
  <c r="Y788" i="30"/>
  <c r="Z788" i="30"/>
  <c r="AA788" i="30"/>
  <c r="AB788" i="30"/>
  <c r="Y789" i="30"/>
  <c r="Z789" i="30"/>
  <c r="AA789" i="30"/>
  <c r="AB789" i="30"/>
  <c r="Y790" i="30"/>
  <c r="Z790" i="30"/>
  <c r="AA790" i="30"/>
  <c r="AB790" i="30"/>
  <c r="Y791" i="30"/>
  <c r="Z791" i="30"/>
  <c r="AA791" i="30"/>
  <c r="AB791" i="30"/>
  <c r="Y792" i="30"/>
  <c r="Z792" i="30"/>
  <c r="AA792" i="30"/>
  <c r="AB792" i="30"/>
  <c r="Y793" i="30"/>
  <c r="Z793" i="30"/>
  <c r="AA793" i="30"/>
  <c r="AB793" i="30"/>
  <c r="Y794" i="30"/>
  <c r="Z794" i="30"/>
  <c r="AA794" i="30"/>
  <c r="AB794" i="30"/>
  <c r="Y795" i="30"/>
  <c r="Z795" i="30"/>
  <c r="AA795" i="30"/>
  <c r="AB795" i="30"/>
  <c r="Y796" i="30"/>
  <c r="Z796" i="30"/>
  <c r="AA796" i="30"/>
  <c r="AB796" i="30"/>
  <c r="Y797" i="30"/>
  <c r="Z797" i="30"/>
  <c r="AA797" i="30"/>
  <c r="AB797" i="30"/>
  <c r="Y798" i="30"/>
  <c r="Z798" i="30"/>
  <c r="AA798" i="30"/>
  <c r="AB798" i="30"/>
  <c r="Y799" i="30"/>
  <c r="Z799" i="30"/>
  <c r="AA799" i="30"/>
  <c r="AB799" i="30"/>
  <c r="Y800" i="30"/>
  <c r="Z800" i="30"/>
  <c r="AA800" i="30"/>
  <c r="AB800" i="30"/>
  <c r="Y801" i="30"/>
  <c r="Z801" i="30"/>
  <c r="AA801" i="30"/>
  <c r="AB801" i="30"/>
  <c r="Y802" i="30"/>
  <c r="Z802" i="30"/>
  <c r="AA802" i="30"/>
  <c r="AB802" i="30"/>
  <c r="Y803" i="30"/>
  <c r="Z803" i="30"/>
  <c r="AA803" i="30"/>
  <c r="AB803" i="30"/>
  <c r="Y804" i="30"/>
  <c r="Z804" i="30"/>
  <c r="AA804" i="30"/>
  <c r="AB804" i="30"/>
  <c r="Y805" i="30"/>
  <c r="Z805" i="30"/>
  <c r="AA805" i="30"/>
  <c r="AB805" i="30"/>
  <c r="Y806" i="30"/>
  <c r="Z806" i="30"/>
  <c r="AA806" i="30"/>
  <c r="AB806" i="30"/>
  <c r="Y807" i="30"/>
  <c r="Z807" i="30"/>
  <c r="AA807" i="30"/>
  <c r="AB807" i="30"/>
  <c r="Y808" i="30"/>
  <c r="Z808" i="30"/>
  <c r="AA808" i="30"/>
  <c r="AB808" i="30"/>
  <c r="Y809" i="30"/>
  <c r="Z809" i="30"/>
  <c r="AA809" i="30"/>
  <c r="AB809" i="30"/>
  <c r="Y810" i="30"/>
  <c r="Z810" i="30"/>
  <c r="AA810" i="30"/>
  <c r="AB810" i="30"/>
  <c r="Y811" i="30"/>
  <c r="Z811" i="30"/>
  <c r="AA811" i="30"/>
  <c r="AB811" i="30"/>
  <c r="Y812" i="30"/>
  <c r="Z812" i="30"/>
  <c r="AA812" i="30"/>
  <c r="AB812" i="30"/>
  <c r="Y813" i="30"/>
  <c r="Z813" i="30"/>
  <c r="AA813" i="30"/>
  <c r="AB813" i="30"/>
  <c r="Y814" i="30"/>
  <c r="Z814" i="30"/>
  <c r="AA814" i="30"/>
  <c r="AB814" i="30"/>
  <c r="Y815" i="30"/>
  <c r="Z815" i="30"/>
  <c r="AA815" i="30"/>
  <c r="AB815" i="30"/>
  <c r="Y816" i="30"/>
  <c r="Z816" i="30"/>
  <c r="AA816" i="30"/>
  <c r="AB816" i="30"/>
  <c r="Y817" i="30"/>
  <c r="Z817" i="30"/>
  <c r="AA817" i="30"/>
  <c r="AB817" i="30"/>
  <c r="Y818" i="30"/>
  <c r="Z818" i="30"/>
  <c r="AA818" i="30"/>
  <c r="AB818" i="30"/>
  <c r="Y819" i="30"/>
  <c r="Z819" i="30"/>
  <c r="AA819" i="30"/>
  <c r="AB819" i="30"/>
  <c r="Y820" i="30"/>
  <c r="Z820" i="30"/>
  <c r="AA820" i="30"/>
  <c r="AB820" i="30"/>
  <c r="Y821" i="30"/>
  <c r="Z821" i="30"/>
  <c r="AA821" i="30"/>
  <c r="AB821" i="30"/>
  <c r="Y822" i="30"/>
  <c r="Z822" i="30"/>
  <c r="AA822" i="30"/>
  <c r="AB822" i="30"/>
  <c r="Y823" i="30"/>
  <c r="Z823" i="30"/>
  <c r="AA823" i="30"/>
  <c r="AB823" i="30"/>
  <c r="Y824" i="30"/>
  <c r="Z824" i="30"/>
  <c r="AA824" i="30"/>
  <c r="AB824" i="30"/>
  <c r="Y825" i="30"/>
  <c r="Z825" i="30"/>
  <c r="AA825" i="30"/>
  <c r="AB825" i="30"/>
  <c r="Y826" i="30"/>
  <c r="Z826" i="30"/>
  <c r="AA826" i="30"/>
  <c r="AB826" i="30"/>
  <c r="Y827" i="30"/>
  <c r="Z827" i="30"/>
  <c r="AA827" i="30"/>
  <c r="AB827" i="30"/>
  <c r="Y828" i="30"/>
  <c r="Z828" i="30"/>
  <c r="AA828" i="30"/>
  <c r="AB828" i="30"/>
  <c r="Y829" i="30"/>
  <c r="Z829" i="30"/>
  <c r="AA829" i="30"/>
  <c r="AB829" i="30"/>
  <c r="Y830" i="30"/>
  <c r="Z830" i="30"/>
  <c r="AA830" i="30"/>
  <c r="AB830" i="30"/>
  <c r="Y831" i="30"/>
  <c r="Z831" i="30"/>
  <c r="AA831" i="30"/>
  <c r="AB831" i="30"/>
  <c r="Y832" i="30"/>
  <c r="Z832" i="30"/>
  <c r="AA832" i="30"/>
  <c r="AB832" i="30"/>
  <c r="Y833" i="30"/>
  <c r="Z833" i="30"/>
  <c r="AA833" i="30"/>
  <c r="AB833" i="30"/>
  <c r="Y834" i="30"/>
  <c r="Z834" i="30"/>
  <c r="AA834" i="30"/>
  <c r="AB834" i="30"/>
  <c r="Y835" i="30"/>
  <c r="Z835" i="30"/>
  <c r="AA835" i="30"/>
  <c r="AB835" i="30"/>
  <c r="Y836" i="30"/>
  <c r="Z836" i="30"/>
  <c r="AA836" i="30"/>
  <c r="AB836" i="30"/>
  <c r="Y837" i="30"/>
  <c r="Z837" i="30"/>
  <c r="AA837" i="30"/>
  <c r="AB837" i="30"/>
  <c r="Y838" i="30"/>
  <c r="Z838" i="30"/>
  <c r="AA838" i="30"/>
  <c r="AB838" i="30"/>
  <c r="Y839" i="30"/>
  <c r="Z839" i="30"/>
  <c r="AA839" i="30"/>
  <c r="AB839" i="30"/>
  <c r="Y840" i="30"/>
  <c r="Z840" i="30"/>
  <c r="AA840" i="30"/>
  <c r="AB840" i="30"/>
  <c r="Y841" i="30"/>
  <c r="Z841" i="30"/>
  <c r="AA841" i="30"/>
  <c r="AB841" i="30"/>
  <c r="Y842" i="30"/>
  <c r="Z842" i="30"/>
  <c r="AA842" i="30"/>
  <c r="AB842" i="30"/>
  <c r="Y843" i="30"/>
  <c r="Z843" i="30"/>
  <c r="AA843" i="30"/>
  <c r="AB843" i="30"/>
  <c r="Y844" i="30"/>
  <c r="Z844" i="30"/>
  <c r="AA844" i="30"/>
  <c r="AB844" i="30"/>
  <c r="Y845" i="30"/>
  <c r="Z845" i="30"/>
  <c r="AA845" i="30"/>
  <c r="AB845" i="30"/>
  <c r="Y846" i="30"/>
  <c r="Z846" i="30"/>
  <c r="AA846" i="30"/>
  <c r="AB846" i="30"/>
  <c r="Y847" i="30"/>
  <c r="Z847" i="30"/>
  <c r="AA847" i="30"/>
  <c r="AB847" i="30"/>
  <c r="Y848" i="30"/>
  <c r="Z848" i="30"/>
  <c r="AA848" i="30"/>
  <c r="AB848" i="30"/>
  <c r="Y849" i="30"/>
  <c r="Z849" i="30"/>
  <c r="AA849" i="30"/>
  <c r="AB849" i="30"/>
  <c r="Y850" i="30"/>
  <c r="Z850" i="30"/>
  <c r="AA850" i="30"/>
  <c r="AB850" i="30"/>
  <c r="Y851" i="30"/>
  <c r="Z851" i="30"/>
  <c r="AA851" i="30"/>
  <c r="AB851" i="30"/>
  <c r="Y852" i="30"/>
  <c r="Z852" i="30"/>
  <c r="AA852" i="30"/>
  <c r="AB852" i="30"/>
  <c r="Y853" i="30"/>
  <c r="Z853" i="30"/>
  <c r="AA853" i="30"/>
  <c r="AB853" i="30"/>
  <c r="Y854" i="30"/>
  <c r="Z854" i="30"/>
  <c r="AA854" i="30"/>
  <c r="AB854" i="30"/>
  <c r="Y855" i="30"/>
  <c r="Z855" i="30"/>
  <c r="AA855" i="30"/>
  <c r="AB855" i="30"/>
  <c r="Y856" i="30"/>
  <c r="Z856" i="30"/>
  <c r="AA856" i="30"/>
  <c r="AB856" i="30"/>
  <c r="Y857" i="30"/>
  <c r="Z857" i="30"/>
  <c r="AA857" i="30"/>
  <c r="AB857" i="30"/>
  <c r="Y858" i="30"/>
  <c r="Z858" i="30"/>
  <c r="AA858" i="30"/>
  <c r="AB858" i="30"/>
  <c r="Y859" i="30"/>
  <c r="Z859" i="30"/>
  <c r="AA859" i="30"/>
  <c r="AB859" i="30"/>
  <c r="Y860" i="30"/>
  <c r="Z860" i="30"/>
  <c r="AA860" i="30"/>
  <c r="AB860" i="30"/>
  <c r="Y861" i="30"/>
  <c r="Z861" i="30"/>
  <c r="AA861" i="30"/>
  <c r="AB861" i="30"/>
  <c r="Y862" i="30"/>
  <c r="Z862" i="30"/>
  <c r="AA862" i="30"/>
  <c r="AB862" i="30"/>
  <c r="Y863" i="30"/>
  <c r="Z863" i="30"/>
  <c r="AA863" i="30"/>
  <c r="AB863" i="30"/>
  <c r="Y864" i="30"/>
  <c r="Z864" i="30"/>
  <c r="AA864" i="30"/>
  <c r="AB864" i="30"/>
  <c r="Y865" i="30"/>
  <c r="Z865" i="30"/>
  <c r="AA865" i="30"/>
  <c r="AB865" i="30"/>
  <c r="Y866" i="30"/>
  <c r="Z866" i="30"/>
  <c r="AA866" i="30"/>
  <c r="AB866" i="30"/>
  <c r="Y867" i="30"/>
  <c r="Z867" i="30"/>
  <c r="AA867" i="30"/>
  <c r="AB867" i="30"/>
  <c r="Y868" i="30"/>
  <c r="Z868" i="30"/>
  <c r="AA868" i="30"/>
  <c r="AB868" i="30"/>
  <c r="Y869" i="30"/>
  <c r="Z869" i="30"/>
  <c r="AA869" i="30"/>
  <c r="AB869" i="30"/>
  <c r="Y870" i="30"/>
  <c r="Z870" i="30"/>
  <c r="AA870" i="30"/>
  <c r="AB870" i="30"/>
  <c r="Y871" i="30"/>
  <c r="Z871" i="30"/>
  <c r="AA871" i="30"/>
  <c r="AB871" i="30"/>
  <c r="Y872" i="30"/>
  <c r="Z872" i="30"/>
  <c r="AA872" i="30"/>
  <c r="AB872" i="30"/>
  <c r="Y873" i="30"/>
  <c r="Z873" i="30"/>
  <c r="AA873" i="30"/>
  <c r="AB873" i="30"/>
  <c r="Y874" i="30"/>
  <c r="Z874" i="30"/>
  <c r="AA874" i="30"/>
  <c r="AB874" i="30"/>
  <c r="Y875" i="30"/>
  <c r="Z875" i="30"/>
  <c r="AA875" i="30"/>
  <c r="AB875" i="30"/>
  <c r="Y876" i="30"/>
  <c r="Z876" i="30"/>
  <c r="AA876" i="30"/>
  <c r="AB876" i="30"/>
  <c r="Y877" i="30"/>
  <c r="Z877" i="30"/>
  <c r="AA877" i="30"/>
  <c r="AB877" i="30"/>
  <c r="Y878" i="30"/>
  <c r="Z878" i="30"/>
  <c r="AA878" i="30"/>
  <c r="AB878" i="30"/>
  <c r="Y879" i="30"/>
  <c r="Z879" i="30"/>
  <c r="AA879" i="30"/>
  <c r="AB879" i="30"/>
  <c r="Y880" i="30"/>
  <c r="Z880" i="30"/>
  <c r="AA880" i="30"/>
  <c r="AB880" i="30"/>
  <c r="Y881" i="30"/>
  <c r="Z881" i="30"/>
  <c r="AA881" i="30"/>
  <c r="AB881" i="30"/>
  <c r="Y882" i="30"/>
  <c r="Z882" i="30"/>
  <c r="AA882" i="30"/>
  <c r="AB882" i="30"/>
  <c r="Y883" i="30"/>
  <c r="Z883" i="30"/>
  <c r="AA883" i="30"/>
  <c r="AB883" i="30"/>
  <c r="Y884" i="30"/>
  <c r="Z884" i="30"/>
  <c r="AA884" i="30"/>
  <c r="AB884" i="30"/>
  <c r="Y885" i="30"/>
  <c r="Z885" i="30"/>
  <c r="AA885" i="30"/>
  <c r="AB885" i="30"/>
  <c r="Y886" i="30"/>
  <c r="Z886" i="30"/>
  <c r="AA886" i="30"/>
  <c r="AB886" i="30"/>
  <c r="Y887" i="30"/>
  <c r="Z887" i="30"/>
  <c r="AA887" i="30"/>
  <c r="AB887" i="30"/>
  <c r="Y888" i="30"/>
  <c r="Z888" i="30"/>
  <c r="AA888" i="30"/>
  <c r="AB888" i="30"/>
  <c r="Y889" i="30"/>
  <c r="Z889" i="30"/>
  <c r="AA889" i="30"/>
  <c r="AB889" i="30"/>
  <c r="Y890" i="30"/>
  <c r="Z890" i="30"/>
  <c r="AA890" i="30"/>
  <c r="AB890" i="30"/>
  <c r="Y891" i="30"/>
  <c r="Z891" i="30"/>
  <c r="AA891" i="30"/>
  <c r="AB891" i="30"/>
  <c r="Y892" i="30"/>
  <c r="Z892" i="30"/>
  <c r="AA892" i="30"/>
  <c r="AB892" i="30"/>
  <c r="Y893" i="30"/>
  <c r="Z893" i="30"/>
  <c r="AA893" i="30"/>
  <c r="AB893" i="30"/>
  <c r="Y894" i="30"/>
  <c r="Z894" i="30"/>
  <c r="AA894" i="30"/>
  <c r="AB894" i="30"/>
  <c r="Y895" i="30"/>
  <c r="Z895" i="30"/>
  <c r="AA895" i="30"/>
  <c r="AB895" i="30"/>
  <c r="Y896" i="30"/>
  <c r="Z896" i="30"/>
  <c r="AA896" i="30"/>
  <c r="AB896" i="30"/>
  <c r="Y897" i="30"/>
  <c r="Z897" i="30"/>
  <c r="AA897" i="30"/>
  <c r="AB897" i="30"/>
  <c r="Y898" i="30"/>
  <c r="Z898" i="30"/>
  <c r="AA898" i="30"/>
  <c r="AB898" i="30"/>
  <c r="Y899" i="30"/>
  <c r="Z899" i="30"/>
  <c r="AA899" i="30"/>
  <c r="AB899" i="30"/>
  <c r="Y900" i="30"/>
  <c r="Z900" i="30"/>
  <c r="AA900" i="30"/>
  <c r="AB900" i="30"/>
  <c r="Y901" i="30"/>
  <c r="Z901" i="30"/>
  <c r="AA901" i="30"/>
  <c r="AB901" i="30"/>
  <c r="Y902" i="30"/>
  <c r="Z902" i="30"/>
  <c r="AA902" i="30"/>
  <c r="AB902" i="30"/>
  <c r="Y903" i="30"/>
  <c r="Z903" i="30"/>
  <c r="AA903" i="30"/>
  <c r="AB903" i="30"/>
  <c r="Y904" i="30"/>
  <c r="Z904" i="30"/>
  <c r="AA904" i="30"/>
  <c r="AB904" i="30"/>
  <c r="Y905" i="30"/>
  <c r="Z905" i="30"/>
  <c r="AA905" i="30"/>
  <c r="AB905" i="30"/>
  <c r="Y906" i="30"/>
  <c r="Z906" i="30"/>
  <c r="AA906" i="30"/>
  <c r="AB906" i="30"/>
  <c r="Y907" i="30"/>
  <c r="Z907" i="30"/>
  <c r="AA907" i="30"/>
  <c r="AB907" i="30"/>
  <c r="Y908" i="30"/>
  <c r="Z908" i="30"/>
  <c r="AA908" i="30"/>
  <c r="AB908" i="30"/>
  <c r="Y909" i="30"/>
  <c r="Z909" i="30"/>
  <c r="AA909" i="30"/>
  <c r="AB909" i="30"/>
  <c r="Y910" i="30"/>
  <c r="Z910" i="30"/>
  <c r="AA910" i="30"/>
  <c r="AB910" i="30"/>
  <c r="Y911" i="30"/>
  <c r="Z911" i="30"/>
  <c r="AA911" i="30"/>
  <c r="AB911" i="30"/>
  <c r="Y912" i="30"/>
  <c r="Z912" i="30"/>
  <c r="AA912" i="30"/>
  <c r="AB912" i="30"/>
  <c r="Y913" i="30"/>
  <c r="Z913" i="30"/>
  <c r="AA913" i="30"/>
  <c r="AB913" i="30"/>
  <c r="Y914" i="30"/>
  <c r="Z914" i="30"/>
  <c r="AA914" i="30"/>
  <c r="AB914" i="30"/>
  <c r="Y915" i="30"/>
  <c r="Z915" i="30"/>
  <c r="AA915" i="30"/>
  <c r="AB915" i="30"/>
  <c r="Y916" i="30"/>
  <c r="Z916" i="30"/>
  <c r="AA916" i="30"/>
  <c r="AB916" i="30"/>
  <c r="Y917" i="30"/>
  <c r="Z917" i="30"/>
  <c r="AA917" i="30"/>
  <c r="AB917" i="30"/>
  <c r="Y918" i="30"/>
  <c r="Z918" i="30"/>
  <c r="AA918" i="30"/>
  <c r="AB918" i="30"/>
  <c r="Y919" i="30"/>
  <c r="Z919" i="30"/>
  <c r="AA919" i="30"/>
  <c r="AB919" i="30"/>
  <c r="Y920" i="30"/>
  <c r="Z920" i="30"/>
  <c r="AA920" i="30"/>
  <c r="AB920" i="30"/>
  <c r="Y921" i="30"/>
  <c r="Z921" i="30"/>
  <c r="AA921" i="30"/>
  <c r="AB921" i="30"/>
  <c r="Y922" i="30"/>
  <c r="Z922" i="30"/>
  <c r="AA922" i="30"/>
  <c r="AB922" i="30"/>
  <c r="Y923" i="30"/>
  <c r="Z923" i="30"/>
  <c r="AA923" i="30"/>
  <c r="AB923" i="30"/>
  <c r="Y924" i="30"/>
  <c r="Z924" i="30"/>
  <c r="AA924" i="30"/>
  <c r="AB924" i="30"/>
  <c r="Y925" i="30"/>
  <c r="Z925" i="30"/>
  <c r="AA925" i="30"/>
  <c r="AB925" i="30"/>
  <c r="Y926" i="30"/>
  <c r="Z926" i="30"/>
  <c r="AA926" i="30"/>
  <c r="AB926" i="30"/>
  <c r="Y927" i="30"/>
  <c r="Z927" i="30"/>
  <c r="AA927" i="30"/>
  <c r="AB927" i="30"/>
  <c r="Y928" i="30"/>
  <c r="Z928" i="30"/>
  <c r="AA928" i="30"/>
  <c r="AB928" i="30"/>
  <c r="Y929" i="30"/>
  <c r="Z929" i="30"/>
  <c r="AA929" i="30"/>
  <c r="AB929" i="30"/>
  <c r="Y930" i="30"/>
  <c r="Z930" i="30"/>
  <c r="AA930" i="30"/>
  <c r="AB930" i="30"/>
  <c r="Y931" i="30"/>
  <c r="Z931" i="30"/>
  <c r="AA931" i="30"/>
  <c r="AB931" i="30"/>
  <c r="Y932" i="30"/>
  <c r="Z932" i="30"/>
  <c r="AA932" i="30"/>
  <c r="AB932" i="30"/>
  <c r="Y933" i="30"/>
  <c r="Z933" i="30"/>
  <c r="AA933" i="30"/>
  <c r="AB933" i="30"/>
  <c r="Y934" i="30"/>
  <c r="Z934" i="30"/>
  <c r="AA934" i="30"/>
  <c r="AB934" i="30"/>
  <c r="Y935" i="30"/>
  <c r="Z935" i="30"/>
  <c r="AA935" i="30"/>
  <c r="AB935" i="30"/>
  <c r="Y936" i="30"/>
  <c r="Z936" i="30"/>
  <c r="AA936" i="30"/>
  <c r="AB936" i="30"/>
  <c r="Y937" i="30"/>
  <c r="Z937" i="30"/>
  <c r="AA937" i="30"/>
  <c r="AB937" i="30"/>
  <c r="Y938" i="30"/>
  <c r="Z938" i="30"/>
  <c r="AA938" i="30"/>
  <c r="AB938" i="30"/>
  <c r="Y939" i="30"/>
  <c r="Z939" i="30"/>
  <c r="AA939" i="30"/>
  <c r="AB939" i="30"/>
  <c r="Y940" i="30"/>
  <c r="Z940" i="30"/>
  <c r="AA940" i="30"/>
  <c r="AB940" i="30"/>
  <c r="Y941" i="30"/>
  <c r="Z941" i="30"/>
  <c r="AA941" i="30"/>
  <c r="AB941" i="30"/>
  <c r="Y942" i="30"/>
  <c r="Z942" i="30"/>
  <c r="AA942" i="30"/>
  <c r="AB942" i="30"/>
  <c r="Y943" i="30"/>
  <c r="Z943" i="30"/>
  <c r="AA943" i="30"/>
  <c r="AB943" i="30"/>
  <c r="Y944" i="30"/>
  <c r="Z944" i="30"/>
  <c r="AA944" i="30"/>
  <c r="AB944" i="30"/>
  <c r="Y945" i="30"/>
  <c r="Z945" i="30"/>
  <c r="AA945" i="30"/>
  <c r="AB945" i="30"/>
  <c r="Y946" i="30"/>
  <c r="Z946" i="30"/>
  <c r="AA946" i="30"/>
  <c r="AB946" i="30"/>
  <c r="Y947" i="30"/>
  <c r="Z947" i="30"/>
  <c r="AA947" i="30"/>
  <c r="AB947" i="30"/>
  <c r="Y948" i="30"/>
  <c r="Z948" i="30"/>
  <c r="AA948" i="30"/>
  <c r="AB948" i="30"/>
  <c r="Y949" i="30"/>
  <c r="Z949" i="30"/>
  <c r="AA949" i="30"/>
  <c r="AB949" i="30"/>
  <c r="Y950" i="30"/>
  <c r="Z950" i="30"/>
  <c r="AA950" i="30"/>
  <c r="AB950" i="30"/>
  <c r="Y951" i="30"/>
  <c r="Z951" i="30"/>
  <c r="AA951" i="30"/>
  <c r="AB951" i="30"/>
  <c r="Y952" i="30"/>
  <c r="Z952" i="30"/>
  <c r="AA952" i="30"/>
  <c r="AB952" i="30"/>
  <c r="Y953" i="30"/>
  <c r="Z953" i="30"/>
  <c r="AA953" i="30"/>
  <c r="AB953" i="30"/>
  <c r="Y954" i="30"/>
  <c r="Z954" i="30"/>
  <c r="AA954" i="30"/>
  <c r="AB954" i="30"/>
  <c r="Y955" i="30"/>
  <c r="Z955" i="30"/>
  <c r="AA955" i="30"/>
  <c r="AB955" i="30"/>
  <c r="Y956" i="30"/>
  <c r="Z956" i="30"/>
  <c r="AA956" i="30"/>
  <c r="AB956" i="30"/>
  <c r="Y957" i="30"/>
  <c r="Z957" i="30"/>
  <c r="AA957" i="30"/>
  <c r="AB957" i="30"/>
  <c r="Y958" i="30"/>
  <c r="Z958" i="30"/>
  <c r="AA958" i="30"/>
  <c r="AB958" i="30"/>
  <c r="Y959" i="30"/>
  <c r="Z959" i="30"/>
  <c r="AA959" i="30"/>
  <c r="AB959" i="30"/>
  <c r="Y960" i="30"/>
  <c r="Z960" i="30"/>
  <c r="AA960" i="30"/>
  <c r="AB960" i="30"/>
  <c r="Y961" i="30"/>
  <c r="Z961" i="30"/>
  <c r="AA961" i="30"/>
  <c r="AB961" i="30"/>
  <c r="Y962" i="30"/>
  <c r="Z962" i="30"/>
  <c r="AA962" i="30"/>
  <c r="AB962" i="30"/>
  <c r="Y963" i="30"/>
  <c r="Z963" i="30"/>
  <c r="AA963" i="30"/>
  <c r="AB963" i="30"/>
  <c r="Y964" i="30"/>
  <c r="Z964" i="30"/>
  <c r="AA964" i="30"/>
  <c r="AB964" i="30"/>
  <c r="Y965" i="30"/>
  <c r="Z965" i="30"/>
  <c r="AA965" i="30"/>
  <c r="AB965" i="30"/>
  <c r="Y966" i="30"/>
  <c r="Z966" i="30"/>
  <c r="AA966" i="30"/>
  <c r="AB966" i="30"/>
  <c r="Y967" i="30"/>
  <c r="Z967" i="30"/>
  <c r="AA967" i="30"/>
  <c r="AB967" i="30"/>
  <c r="Y968" i="30"/>
  <c r="Z968" i="30"/>
  <c r="AA968" i="30"/>
  <c r="AB968" i="30"/>
  <c r="Y969" i="30"/>
  <c r="Z969" i="30"/>
  <c r="AA969" i="30"/>
  <c r="AB969" i="30"/>
  <c r="Y970" i="30"/>
  <c r="Z970" i="30"/>
  <c r="AA970" i="30"/>
  <c r="AB970" i="30"/>
  <c r="Y971" i="30"/>
  <c r="Z971" i="30"/>
  <c r="AA971" i="30"/>
  <c r="AB971" i="30"/>
  <c r="Y972" i="30"/>
  <c r="Z972" i="30"/>
  <c r="AA972" i="30"/>
  <c r="AB972" i="30"/>
  <c r="Y973" i="30"/>
  <c r="Z973" i="30"/>
  <c r="AA973" i="30"/>
  <c r="AB973" i="30"/>
  <c r="Y974" i="30"/>
  <c r="Z974" i="30"/>
  <c r="AA974" i="30"/>
  <c r="AB974" i="30"/>
  <c r="Y975" i="30"/>
  <c r="Z975" i="30"/>
  <c r="AA975" i="30"/>
  <c r="AB975" i="30"/>
  <c r="Y976" i="30"/>
  <c r="Z976" i="30"/>
  <c r="AA976" i="30"/>
  <c r="AB976" i="30"/>
  <c r="Y977" i="30"/>
  <c r="Z977" i="30"/>
  <c r="AA977" i="30"/>
  <c r="AB977" i="30"/>
  <c r="Y978" i="30"/>
  <c r="Z978" i="30"/>
  <c r="AA978" i="30"/>
  <c r="AB978" i="30"/>
  <c r="Y979" i="30"/>
  <c r="Z979" i="30"/>
  <c r="AA979" i="30"/>
  <c r="AB979" i="30"/>
  <c r="Y980" i="30"/>
  <c r="Z980" i="30"/>
  <c r="AA980" i="30"/>
  <c r="AB980" i="30"/>
  <c r="Y981" i="30"/>
  <c r="Z981" i="30"/>
  <c r="AA981" i="30"/>
  <c r="AB981" i="30"/>
  <c r="Y982" i="30"/>
  <c r="Z982" i="30"/>
  <c r="AA982" i="30"/>
  <c r="AB982" i="30"/>
  <c r="Y983" i="30"/>
  <c r="Z983" i="30"/>
  <c r="AA983" i="30"/>
  <c r="AB983" i="30"/>
  <c r="Y984" i="30"/>
  <c r="Z984" i="30"/>
  <c r="AA984" i="30"/>
  <c r="AB984" i="30"/>
  <c r="Y985" i="30"/>
  <c r="Z985" i="30"/>
  <c r="AA985" i="30"/>
  <c r="AB985" i="30"/>
  <c r="Y986" i="30"/>
  <c r="Z986" i="30"/>
  <c r="AA986" i="30"/>
  <c r="AB986" i="30"/>
  <c r="Y987" i="30"/>
  <c r="Z987" i="30"/>
  <c r="AA987" i="30"/>
  <c r="AB987" i="30"/>
  <c r="Y988" i="30"/>
  <c r="Z988" i="30"/>
  <c r="AA988" i="30"/>
  <c r="AB988" i="30"/>
  <c r="Y989" i="30"/>
  <c r="Z989" i="30"/>
  <c r="AA989" i="30"/>
  <c r="AB989" i="30"/>
  <c r="Y990" i="30"/>
  <c r="Z990" i="30"/>
  <c r="AA990" i="30"/>
  <c r="AB990" i="30"/>
  <c r="Y991" i="30"/>
  <c r="Z991" i="30"/>
  <c r="AA991" i="30"/>
  <c r="AB991" i="30"/>
  <c r="Y992" i="30"/>
  <c r="Z992" i="30"/>
  <c r="AA992" i="30"/>
  <c r="AB992" i="30"/>
  <c r="Y993" i="30"/>
  <c r="Z993" i="30"/>
  <c r="AA993" i="30"/>
  <c r="AB993" i="30"/>
  <c r="Y994" i="30"/>
  <c r="Z994" i="30"/>
  <c r="AA994" i="30"/>
  <c r="AB994" i="30"/>
  <c r="Y995" i="30"/>
  <c r="Z995" i="30"/>
  <c r="AA995" i="30"/>
  <c r="AB995" i="30"/>
  <c r="Y996" i="30"/>
  <c r="Z996" i="30"/>
  <c r="AA996" i="30"/>
  <c r="AB996" i="30"/>
  <c r="Y997" i="30"/>
  <c r="Z997" i="30"/>
  <c r="AA997" i="30"/>
  <c r="AB997" i="30"/>
  <c r="Y998" i="30"/>
  <c r="Z998" i="30"/>
  <c r="AA998" i="30"/>
  <c r="AB998" i="30"/>
  <c r="Y999" i="30"/>
  <c r="Z999" i="30"/>
  <c r="AA999" i="30"/>
  <c r="AB999" i="30"/>
  <c r="Y1000" i="30"/>
  <c r="Z1000" i="30"/>
  <c r="AA1000" i="30"/>
  <c r="AB1000" i="30"/>
  <c r="Y1001" i="30"/>
  <c r="Z1001" i="30"/>
  <c r="AA1001" i="30"/>
  <c r="AB1001" i="30"/>
  <c r="Y1002" i="30"/>
  <c r="Z1002" i="30"/>
  <c r="AA1002" i="30"/>
  <c r="AB1002" i="30"/>
  <c r="Y1003" i="30"/>
  <c r="Z1003" i="30"/>
  <c r="AA1003" i="30"/>
  <c r="AB1003" i="30"/>
  <c r="Y1004" i="30"/>
  <c r="Z1004" i="30"/>
  <c r="AA1004" i="30"/>
  <c r="AB1004" i="30"/>
  <c r="Y1005" i="30"/>
  <c r="Z1005" i="30"/>
  <c r="AA1005" i="30"/>
  <c r="AB1005" i="30"/>
  <c r="Y1006" i="30"/>
  <c r="Z1006" i="30"/>
  <c r="AA1006" i="30"/>
  <c r="AB1006" i="30"/>
  <c r="Y1007" i="30"/>
  <c r="Z1007" i="30"/>
  <c r="AA1007" i="30"/>
  <c r="AB1007" i="30"/>
  <c r="Y1008" i="30"/>
  <c r="Z1008" i="30"/>
  <c r="AA1008" i="30"/>
  <c r="AB1008" i="30"/>
  <c r="Y1009" i="30"/>
  <c r="Z1009" i="30"/>
  <c r="AA1009" i="30"/>
  <c r="AB1009" i="30"/>
  <c r="Y1010" i="30"/>
  <c r="Z1010" i="30"/>
  <c r="AA1010" i="30"/>
  <c r="AB1010" i="30"/>
  <c r="Y1011" i="30"/>
  <c r="Z1011" i="30"/>
  <c r="AA1011" i="30"/>
  <c r="AB1011" i="30"/>
  <c r="Y1012" i="30"/>
  <c r="Z1012" i="30"/>
  <c r="AA1012" i="30"/>
  <c r="AB1012" i="30"/>
  <c r="Y1013" i="30"/>
  <c r="Z1013" i="30"/>
  <c r="AA1013" i="30"/>
  <c r="AB1013" i="30"/>
  <c r="Y1014" i="30"/>
  <c r="Z1014" i="30"/>
  <c r="AA1014" i="30"/>
  <c r="AB1014" i="30"/>
  <c r="Y1015" i="30"/>
  <c r="Z1015" i="30"/>
  <c r="AA1015" i="30"/>
  <c r="AB1015" i="30"/>
  <c r="Y1016" i="30"/>
  <c r="Z1016" i="30"/>
  <c r="AA1016" i="30"/>
  <c r="AB1016" i="30"/>
  <c r="Y1017" i="30"/>
  <c r="Z1017" i="30"/>
  <c r="AA1017" i="30"/>
  <c r="AB1017" i="30"/>
  <c r="Y1018" i="30"/>
  <c r="Z1018" i="30"/>
  <c r="AA1018" i="30"/>
  <c r="AB1018" i="30"/>
  <c r="Y1019" i="30"/>
  <c r="Z1019" i="30"/>
  <c r="AA1019" i="30"/>
  <c r="AB1019" i="30"/>
  <c r="Y1020" i="30"/>
  <c r="Z1020" i="30"/>
  <c r="AA1020" i="30"/>
  <c r="AB1020" i="30"/>
  <c r="Y1021" i="30"/>
  <c r="Z1021" i="30"/>
  <c r="AA1021" i="30"/>
  <c r="AB1021" i="30"/>
  <c r="Y1022" i="30"/>
  <c r="Z1022" i="30"/>
  <c r="AA1022" i="30"/>
  <c r="AB1022" i="30"/>
  <c r="Y1023" i="30"/>
  <c r="Z1023" i="30"/>
  <c r="AA1023" i="30"/>
  <c r="AB1023" i="30"/>
  <c r="Y1024" i="30"/>
  <c r="Z1024" i="30"/>
  <c r="AA1024" i="30"/>
  <c r="AB1024" i="30"/>
  <c r="Y1025" i="30"/>
  <c r="Z1025" i="30"/>
  <c r="AA1025" i="30"/>
  <c r="AB1025" i="30"/>
  <c r="Y1026" i="30"/>
  <c r="Z1026" i="30"/>
  <c r="AA1026" i="30"/>
  <c r="AB1026" i="30"/>
  <c r="Y1027" i="30"/>
  <c r="Z1027" i="30"/>
  <c r="AA1027" i="30"/>
  <c r="AB1027" i="30"/>
  <c r="Y1028" i="30"/>
  <c r="Z1028" i="30"/>
  <c r="AA1028" i="30"/>
  <c r="AB1028" i="30"/>
  <c r="Y1029" i="30"/>
  <c r="Z1029" i="30"/>
  <c r="AA1029" i="30"/>
  <c r="AB1029" i="30"/>
  <c r="Y1030" i="30"/>
  <c r="Z1030" i="30"/>
  <c r="AA1030" i="30"/>
  <c r="AB1030" i="30"/>
  <c r="Y1031" i="30"/>
  <c r="Z1031" i="30"/>
  <c r="AA1031" i="30"/>
  <c r="AB1031" i="30"/>
  <c r="Y1032" i="30"/>
  <c r="Z1032" i="30"/>
  <c r="AA1032" i="30"/>
  <c r="AB1032" i="30"/>
  <c r="Y1033" i="30"/>
  <c r="Z1033" i="30"/>
  <c r="AA1033" i="30"/>
  <c r="AB1033" i="30"/>
  <c r="Y1034" i="30"/>
  <c r="Z1034" i="30"/>
  <c r="AA1034" i="30"/>
  <c r="AB1034" i="30"/>
  <c r="Y1035" i="30"/>
  <c r="Z1035" i="30"/>
  <c r="AA1035" i="30"/>
  <c r="AB1035" i="30"/>
  <c r="Y1036" i="30"/>
  <c r="Z1036" i="30"/>
  <c r="AA1036" i="30"/>
  <c r="AB1036" i="30"/>
  <c r="Y1037" i="30"/>
  <c r="Z1037" i="30"/>
  <c r="AA1037" i="30"/>
  <c r="AB1037" i="30"/>
  <c r="Y1038" i="30"/>
  <c r="Z1038" i="30"/>
  <c r="AA1038" i="30"/>
  <c r="AB1038" i="30"/>
  <c r="Y1039" i="30"/>
  <c r="Z1039" i="30"/>
  <c r="AA1039" i="30"/>
  <c r="AB1039" i="30"/>
  <c r="Y1040" i="30"/>
  <c r="Z1040" i="30"/>
  <c r="AA1040" i="30"/>
  <c r="AB1040" i="30"/>
  <c r="Y1041" i="30"/>
  <c r="Z1041" i="30"/>
  <c r="AA1041" i="30"/>
  <c r="AB1041" i="30"/>
  <c r="Y1042" i="30"/>
  <c r="Z1042" i="30"/>
  <c r="AA1042" i="30"/>
  <c r="AB1042" i="30"/>
  <c r="Y1043" i="30"/>
  <c r="Z1043" i="30"/>
  <c r="AA1043" i="30"/>
  <c r="AB1043" i="30"/>
  <c r="Y1044" i="30"/>
  <c r="Z1044" i="30"/>
  <c r="AA1044" i="30"/>
  <c r="AB1044" i="30"/>
  <c r="Y1045" i="30"/>
  <c r="Z1045" i="30"/>
  <c r="AA1045" i="30"/>
  <c r="AB1045" i="30"/>
  <c r="Y1046" i="30"/>
  <c r="Z1046" i="30"/>
  <c r="AA1046" i="30"/>
  <c r="AB1046" i="30"/>
  <c r="Y1047" i="30"/>
  <c r="Z1047" i="30"/>
  <c r="AA1047" i="30"/>
  <c r="AB1047" i="30"/>
  <c r="Y1048" i="30"/>
  <c r="Z1048" i="30"/>
  <c r="AA1048" i="30"/>
  <c r="AB1048" i="30"/>
  <c r="Y1049" i="30"/>
  <c r="Z1049" i="30"/>
  <c r="AA1049" i="30"/>
  <c r="AB1049" i="30"/>
  <c r="Y1050" i="30"/>
  <c r="Z1050" i="30"/>
  <c r="AA1050" i="30"/>
  <c r="AB1050" i="30"/>
  <c r="Y1051" i="30"/>
  <c r="Z1051" i="30"/>
  <c r="AA1051" i="30"/>
  <c r="AB1051" i="30"/>
  <c r="Y1052" i="30"/>
  <c r="Z1052" i="30"/>
  <c r="AA1052" i="30"/>
  <c r="AB1052" i="30"/>
  <c r="Y1053" i="30"/>
  <c r="Z1053" i="30"/>
  <c r="AA1053" i="30"/>
  <c r="AB1053" i="30"/>
  <c r="Y1054" i="30"/>
  <c r="Z1054" i="30"/>
  <c r="AA1054" i="30"/>
  <c r="AB1054" i="30"/>
  <c r="Y1055" i="30"/>
  <c r="Z1055" i="30"/>
  <c r="AA1055" i="30"/>
  <c r="AB1055" i="30"/>
  <c r="Y1056" i="30"/>
  <c r="Z1056" i="30"/>
  <c r="AA1056" i="30"/>
  <c r="AB1056" i="30"/>
  <c r="Y1057" i="30"/>
  <c r="Z1057" i="30"/>
  <c r="AA1057" i="30"/>
  <c r="AB1057" i="30"/>
  <c r="Y1058" i="30"/>
  <c r="Z1058" i="30"/>
  <c r="AA1058" i="30"/>
  <c r="AB1058" i="30"/>
  <c r="Y1059" i="30"/>
  <c r="Z1059" i="30"/>
  <c r="AA1059" i="30"/>
  <c r="AB1059" i="30"/>
  <c r="Y1060" i="30"/>
  <c r="Z1060" i="30"/>
  <c r="AA1060" i="30"/>
  <c r="AB1060" i="30"/>
  <c r="Y1061" i="30"/>
  <c r="Z1061" i="30"/>
  <c r="AA1061" i="30"/>
  <c r="AB1061" i="30"/>
  <c r="Y1062" i="30"/>
  <c r="Z1062" i="30"/>
  <c r="AA1062" i="30"/>
  <c r="AB1062" i="30"/>
  <c r="Y1063" i="30"/>
  <c r="Z1063" i="30"/>
  <c r="AA1063" i="30"/>
  <c r="AB1063" i="30"/>
  <c r="Y1064" i="30"/>
  <c r="Z1064" i="30"/>
  <c r="AA1064" i="30"/>
  <c r="AB1064" i="30"/>
  <c r="Y1065" i="30"/>
  <c r="Z1065" i="30"/>
  <c r="AA1065" i="30"/>
  <c r="AB1065" i="30"/>
  <c r="Y1066" i="30"/>
  <c r="Z1066" i="30"/>
  <c r="AA1066" i="30"/>
  <c r="AB1066" i="30"/>
  <c r="Y1067" i="30"/>
  <c r="Z1067" i="30"/>
  <c r="AA1067" i="30"/>
  <c r="AB1067" i="30"/>
  <c r="Y1068" i="30"/>
  <c r="Z1068" i="30"/>
  <c r="AA1068" i="30"/>
  <c r="AB1068" i="30"/>
  <c r="Y1069" i="30"/>
  <c r="Z1069" i="30"/>
  <c r="AA1069" i="30"/>
  <c r="AB1069" i="30"/>
  <c r="Y1070" i="30"/>
  <c r="Z1070" i="30"/>
  <c r="AA1070" i="30"/>
  <c r="AB1070" i="30"/>
  <c r="Y1071" i="30"/>
  <c r="Z1071" i="30"/>
  <c r="AA1071" i="30"/>
  <c r="AB1071" i="30"/>
  <c r="Y1072" i="30"/>
  <c r="Z1072" i="30"/>
  <c r="AA1072" i="30"/>
  <c r="AB1072" i="30"/>
  <c r="Y1073" i="30"/>
  <c r="Z1073" i="30"/>
  <c r="AA1073" i="30"/>
  <c r="AB1073" i="30"/>
  <c r="Y1074" i="30"/>
  <c r="Z1074" i="30"/>
  <c r="AA1074" i="30"/>
  <c r="AB1074" i="30"/>
  <c r="Y1075" i="30"/>
  <c r="Z1075" i="30"/>
  <c r="AA1075" i="30"/>
  <c r="AB1075" i="30"/>
  <c r="Y1076" i="30"/>
  <c r="Z1076" i="30"/>
  <c r="AA1076" i="30"/>
  <c r="AB1076" i="30"/>
  <c r="Y1077" i="30"/>
  <c r="Z1077" i="30"/>
  <c r="AA1077" i="30"/>
  <c r="AB1077" i="30"/>
  <c r="Y1078" i="30"/>
  <c r="Z1078" i="30"/>
  <c r="AA1078" i="30"/>
  <c r="AB1078" i="30"/>
  <c r="Y1079" i="30"/>
  <c r="Z1079" i="30"/>
  <c r="AA1079" i="30"/>
  <c r="AB1079" i="30"/>
  <c r="Y1080" i="30"/>
  <c r="Z1080" i="30"/>
  <c r="AA1080" i="30"/>
  <c r="AB1080" i="30"/>
  <c r="Y1081" i="30"/>
  <c r="Z1081" i="30"/>
  <c r="AA1081" i="30"/>
  <c r="AB1081" i="30"/>
  <c r="Y1082" i="30"/>
  <c r="Z1082" i="30"/>
  <c r="AA1082" i="30"/>
  <c r="AB1082" i="30"/>
  <c r="Y1083" i="30"/>
  <c r="Z1083" i="30"/>
  <c r="AA1083" i="30"/>
  <c r="AB1083" i="30"/>
  <c r="Y1084" i="30"/>
  <c r="Z1084" i="30"/>
  <c r="AA1084" i="30"/>
  <c r="AB1084" i="30"/>
  <c r="Y1085" i="30"/>
  <c r="Z1085" i="30"/>
  <c r="AA1085" i="30"/>
  <c r="AB1085" i="30"/>
  <c r="Y1086" i="30"/>
  <c r="Z1086" i="30"/>
  <c r="AA1086" i="30"/>
  <c r="AB1086" i="30"/>
  <c r="Y1087" i="30"/>
  <c r="Z1087" i="30"/>
  <c r="AA1087" i="30"/>
  <c r="AB1087" i="30"/>
  <c r="Y1088" i="30"/>
  <c r="Z1088" i="30"/>
  <c r="AA1088" i="30"/>
  <c r="AB1088" i="30"/>
  <c r="Y1089" i="30"/>
  <c r="Z1089" i="30"/>
  <c r="AA1089" i="30"/>
  <c r="AB1089" i="30"/>
  <c r="Y1090" i="30"/>
  <c r="Z1090" i="30"/>
  <c r="AA1090" i="30"/>
  <c r="AB1090" i="30"/>
  <c r="Y1091" i="30"/>
  <c r="Z1091" i="30"/>
  <c r="AA1091" i="30"/>
  <c r="AB1091" i="30"/>
  <c r="Y1092" i="30"/>
  <c r="Z1092" i="30"/>
  <c r="AA1092" i="30"/>
  <c r="AB1092" i="30"/>
  <c r="Y1093" i="30"/>
  <c r="Z1093" i="30"/>
  <c r="AA1093" i="30"/>
  <c r="AB1093" i="30"/>
  <c r="Y1094" i="30"/>
  <c r="Z1094" i="30"/>
  <c r="AA1094" i="30"/>
  <c r="AB1094" i="30"/>
  <c r="Y1095" i="30"/>
  <c r="Z1095" i="30"/>
  <c r="AA1095" i="30"/>
  <c r="AB1095" i="30"/>
  <c r="Y1096" i="30"/>
  <c r="Z1096" i="30"/>
  <c r="AA1096" i="30"/>
  <c r="AB1096" i="30"/>
  <c r="Y1097" i="30"/>
  <c r="Z1097" i="30"/>
  <c r="AA1097" i="30"/>
  <c r="AB1097" i="30"/>
  <c r="Y1098" i="30"/>
  <c r="Z1098" i="30"/>
  <c r="AA1098" i="30"/>
  <c r="AB1098" i="30"/>
  <c r="Y1099" i="30"/>
  <c r="Z1099" i="30"/>
  <c r="AA1099" i="30"/>
  <c r="AB1099" i="30"/>
  <c r="Y1100" i="30"/>
  <c r="Z1100" i="30"/>
  <c r="AA1100" i="30"/>
  <c r="AB1100" i="30"/>
  <c r="Y1101" i="30"/>
  <c r="Z1101" i="30"/>
  <c r="AA1101" i="30"/>
  <c r="AB1101" i="30"/>
  <c r="Y1102" i="30"/>
  <c r="Z1102" i="30"/>
  <c r="AA1102" i="30"/>
  <c r="AB1102" i="30"/>
  <c r="Y1103" i="30"/>
  <c r="Z1103" i="30"/>
  <c r="AA1103" i="30"/>
  <c r="AB1103" i="30"/>
  <c r="Y1104" i="30"/>
  <c r="Z1104" i="30"/>
  <c r="AA1104" i="30"/>
  <c r="AB1104" i="30"/>
  <c r="Y1105" i="30"/>
  <c r="Z1105" i="30"/>
  <c r="AA1105" i="30"/>
  <c r="AB1105" i="30"/>
  <c r="Y1106" i="30"/>
  <c r="Z1106" i="30"/>
  <c r="AA1106" i="30"/>
  <c r="AB1106" i="30"/>
  <c r="Y1107" i="30"/>
  <c r="Z1107" i="30"/>
  <c r="AA1107" i="30"/>
  <c r="AB1107" i="30"/>
  <c r="Y1108" i="30"/>
  <c r="Z1108" i="30"/>
  <c r="AA1108" i="30"/>
  <c r="AB1108" i="30"/>
  <c r="Y1109" i="30"/>
  <c r="Z1109" i="30"/>
  <c r="AA1109" i="30"/>
  <c r="AB1109" i="30"/>
  <c r="Y1110" i="30"/>
  <c r="Z1110" i="30"/>
  <c r="AA1110" i="30"/>
  <c r="AB1110" i="30"/>
  <c r="Y1111" i="30"/>
  <c r="Z1111" i="30"/>
  <c r="AA1111" i="30"/>
  <c r="AB1111" i="30"/>
  <c r="Y1112" i="30"/>
  <c r="Z1112" i="30"/>
  <c r="AA1112" i="30"/>
  <c r="AB1112" i="30"/>
  <c r="Y1113" i="30"/>
  <c r="Z1113" i="30"/>
  <c r="AA1113" i="30"/>
  <c r="AB1113" i="30"/>
  <c r="Y1114" i="30"/>
  <c r="Z1114" i="30"/>
  <c r="AA1114" i="30"/>
  <c r="AB1114" i="30"/>
  <c r="Y1115" i="30"/>
  <c r="Z1115" i="30"/>
  <c r="AA1115" i="30"/>
  <c r="AB1115" i="30"/>
  <c r="Y1116" i="30"/>
  <c r="Z1116" i="30"/>
  <c r="AA1116" i="30"/>
  <c r="AB1116" i="30"/>
  <c r="Y1117" i="30"/>
  <c r="Z1117" i="30"/>
  <c r="AA1117" i="30"/>
  <c r="AB1117" i="30"/>
  <c r="Y1118" i="30"/>
  <c r="Z1118" i="30"/>
  <c r="AA1118" i="30"/>
  <c r="AB1118" i="30"/>
  <c r="Y1119" i="30"/>
  <c r="Z1119" i="30"/>
  <c r="AA1119" i="30"/>
  <c r="AB1119" i="30"/>
  <c r="Y1120" i="30"/>
  <c r="Z1120" i="30"/>
  <c r="AA1120" i="30"/>
  <c r="AB1120" i="30"/>
  <c r="Y1121" i="30"/>
  <c r="Z1121" i="30"/>
  <c r="AA1121" i="30"/>
  <c r="AB1121" i="30"/>
  <c r="Y1122" i="30"/>
  <c r="Z1122" i="30"/>
  <c r="AA1122" i="30"/>
  <c r="AB1122" i="30"/>
  <c r="Y1123" i="30"/>
  <c r="Z1123" i="30"/>
  <c r="AA1123" i="30"/>
  <c r="AB1123" i="30"/>
  <c r="Y1124" i="30"/>
  <c r="Z1124" i="30"/>
  <c r="AA1124" i="30"/>
  <c r="AB1124" i="30"/>
  <c r="Y1125" i="30"/>
  <c r="Z1125" i="30"/>
  <c r="AA1125" i="30"/>
  <c r="AB1125" i="30"/>
  <c r="Y1126" i="30"/>
  <c r="Z1126" i="30"/>
  <c r="AA1126" i="30"/>
  <c r="AB1126" i="30"/>
  <c r="Y1127" i="30"/>
  <c r="Z1127" i="30"/>
  <c r="AA1127" i="30"/>
  <c r="AB1127" i="30"/>
  <c r="Y1128" i="30"/>
  <c r="Z1128" i="30"/>
  <c r="AA1128" i="30"/>
  <c r="AB1128" i="30"/>
  <c r="Y1129" i="30"/>
  <c r="Z1129" i="30"/>
  <c r="AA1129" i="30"/>
  <c r="AB1129" i="30"/>
  <c r="Y1130" i="30"/>
  <c r="Z1130" i="30"/>
  <c r="AA1130" i="30"/>
  <c r="AB1130" i="30"/>
  <c r="Y1131" i="30"/>
  <c r="Z1131" i="30"/>
  <c r="AA1131" i="30"/>
  <c r="AB1131" i="30"/>
  <c r="Y1132" i="30"/>
  <c r="Z1132" i="30"/>
  <c r="AA1132" i="30"/>
  <c r="AB1132" i="30"/>
  <c r="Y1133" i="30"/>
  <c r="Z1133" i="30"/>
  <c r="AA1133" i="30"/>
  <c r="AB1133" i="30"/>
  <c r="Y1134" i="30"/>
  <c r="Z1134" i="30"/>
  <c r="AA1134" i="30"/>
  <c r="AB1134" i="30"/>
  <c r="Y1135" i="30"/>
  <c r="Z1135" i="30"/>
  <c r="AA1135" i="30"/>
  <c r="AB1135" i="30"/>
  <c r="Y1136" i="30"/>
  <c r="Z1136" i="30"/>
  <c r="AA1136" i="30"/>
  <c r="AB1136" i="30"/>
  <c r="Y1137" i="30"/>
  <c r="Z1137" i="30"/>
  <c r="AA1137" i="30"/>
  <c r="AB1137" i="30"/>
  <c r="Y1138" i="30"/>
  <c r="Z1138" i="30"/>
  <c r="AA1138" i="30"/>
  <c r="AB1138" i="30"/>
  <c r="Y1139" i="30"/>
  <c r="Z1139" i="30"/>
  <c r="AA1139" i="30"/>
  <c r="AB1139" i="30"/>
  <c r="Y1140" i="30"/>
  <c r="Z1140" i="30"/>
  <c r="AA1140" i="30"/>
  <c r="AB1140" i="30"/>
  <c r="Y1141" i="30"/>
  <c r="Z1141" i="30"/>
  <c r="AA1141" i="30"/>
  <c r="AB1141" i="30"/>
  <c r="Y1142" i="30"/>
  <c r="Z1142" i="30"/>
  <c r="AA1142" i="30"/>
  <c r="AB1142" i="30"/>
  <c r="Y1143" i="30"/>
  <c r="Z1143" i="30"/>
  <c r="AA1143" i="30"/>
  <c r="AB1143" i="30"/>
  <c r="Y1144" i="30"/>
  <c r="Z1144" i="30"/>
  <c r="AA1144" i="30"/>
  <c r="AB1144" i="30"/>
  <c r="Y1145" i="30"/>
  <c r="Z1145" i="30"/>
  <c r="AA1145" i="30"/>
  <c r="AB1145" i="30"/>
  <c r="Y1146" i="30"/>
  <c r="Z1146" i="30"/>
  <c r="AA1146" i="30"/>
  <c r="AB1146" i="30"/>
  <c r="Y1147" i="30"/>
  <c r="Z1147" i="30"/>
  <c r="AA1147" i="30"/>
  <c r="AB1147" i="30"/>
  <c r="Y1148" i="30"/>
  <c r="Z1148" i="30"/>
  <c r="AA1148" i="30"/>
  <c r="AB1148" i="30"/>
  <c r="Y1149" i="30"/>
  <c r="Z1149" i="30"/>
  <c r="AA1149" i="30"/>
  <c r="AB1149" i="30"/>
  <c r="Y1150" i="30"/>
  <c r="Z1150" i="30"/>
  <c r="AA1150" i="30"/>
  <c r="AB1150" i="30"/>
  <c r="Y1151" i="30"/>
  <c r="Z1151" i="30"/>
  <c r="AA1151" i="30"/>
  <c r="AB1151" i="30"/>
  <c r="Y1152" i="30"/>
  <c r="Z1152" i="30"/>
  <c r="AA1152" i="30"/>
  <c r="AB1152" i="30"/>
  <c r="Y1153" i="30"/>
  <c r="Z1153" i="30"/>
  <c r="AA1153" i="30"/>
  <c r="AB1153" i="30"/>
  <c r="Y1154" i="30"/>
  <c r="Z1154" i="30"/>
  <c r="AA1154" i="30"/>
  <c r="AB1154" i="30"/>
  <c r="Y1155" i="30"/>
  <c r="Z1155" i="30"/>
  <c r="AA1155" i="30"/>
  <c r="AB1155" i="30"/>
  <c r="Y1156" i="30"/>
  <c r="Z1156" i="30"/>
  <c r="AA1156" i="30"/>
  <c r="AB1156" i="30"/>
  <c r="Y1157" i="30"/>
  <c r="Z1157" i="30"/>
  <c r="AA1157" i="30"/>
  <c r="AB1157" i="30"/>
  <c r="Y1158" i="30"/>
  <c r="Z1158" i="30"/>
  <c r="AA1158" i="30"/>
  <c r="AB1158" i="30"/>
  <c r="Y1159" i="30"/>
  <c r="Z1159" i="30"/>
  <c r="AA1159" i="30"/>
  <c r="AB1159" i="30"/>
  <c r="Y1160" i="30"/>
  <c r="Z1160" i="30"/>
  <c r="AA1160" i="30"/>
  <c r="AB1160" i="30"/>
  <c r="Y1161" i="30"/>
  <c r="Z1161" i="30"/>
  <c r="AA1161" i="30"/>
  <c r="AB1161" i="30"/>
  <c r="Y1162" i="30"/>
  <c r="Z1162" i="30"/>
  <c r="AA1162" i="30"/>
  <c r="AB1162" i="30"/>
  <c r="Y1163" i="30"/>
  <c r="Z1163" i="30"/>
  <c r="AA1163" i="30"/>
  <c r="AB1163" i="30"/>
  <c r="Y1164" i="30"/>
  <c r="Z1164" i="30"/>
  <c r="AA1164" i="30"/>
  <c r="AB1164" i="30"/>
  <c r="Y1165" i="30"/>
  <c r="Z1165" i="30"/>
  <c r="AA1165" i="30"/>
  <c r="AB1165" i="30"/>
  <c r="Y1166" i="30"/>
  <c r="Z1166" i="30"/>
  <c r="AA1166" i="30"/>
  <c r="AB1166" i="30"/>
  <c r="Y1167" i="30"/>
  <c r="Z1167" i="30"/>
  <c r="AA1167" i="30"/>
  <c r="AB1167" i="30"/>
  <c r="Y1168" i="30"/>
  <c r="Z1168" i="30"/>
  <c r="AA1168" i="30"/>
  <c r="AB1168" i="30"/>
  <c r="Y1169" i="30"/>
  <c r="Z1169" i="30"/>
  <c r="AA1169" i="30"/>
  <c r="AB1169" i="30"/>
  <c r="Y1170" i="30"/>
  <c r="Z1170" i="30"/>
  <c r="AA1170" i="30"/>
  <c r="AB1170" i="30"/>
  <c r="Y1171" i="30"/>
  <c r="Z1171" i="30"/>
  <c r="AA1171" i="30"/>
  <c r="AB1171" i="30"/>
  <c r="Y1172" i="30"/>
  <c r="Z1172" i="30"/>
  <c r="AA1172" i="30"/>
  <c r="AB1172" i="30"/>
  <c r="Y1173" i="30"/>
  <c r="Z1173" i="30"/>
  <c r="AA1173" i="30"/>
  <c r="AB1173" i="30"/>
  <c r="Y1174" i="30"/>
  <c r="Z1174" i="30"/>
  <c r="AA1174" i="30"/>
  <c r="AB1174" i="30"/>
  <c r="Y1175" i="30"/>
  <c r="Z1175" i="30"/>
  <c r="AA1175" i="30"/>
  <c r="AB1175" i="30"/>
  <c r="Y1176" i="30"/>
  <c r="Z1176" i="30"/>
  <c r="AA1176" i="30"/>
  <c r="AB1176" i="30"/>
  <c r="Y1177" i="30"/>
  <c r="Z1177" i="30"/>
  <c r="AA1177" i="30"/>
  <c r="AB1177" i="30"/>
  <c r="Y1178" i="30"/>
  <c r="Z1178" i="30"/>
  <c r="AA1178" i="30"/>
  <c r="AB1178" i="30"/>
  <c r="Y1179" i="30"/>
  <c r="Z1179" i="30"/>
  <c r="AA1179" i="30"/>
  <c r="AB1179" i="30"/>
  <c r="Y1180" i="30"/>
  <c r="Z1180" i="30"/>
  <c r="AA1180" i="30"/>
  <c r="AB1180" i="30"/>
  <c r="Y1181" i="30"/>
  <c r="Z1181" i="30"/>
  <c r="AA1181" i="30"/>
  <c r="AB1181" i="30"/>
  <c r="Y1182" i="30"/>
  <c r="Z1182" i="30"/>
  <c r="AA1182" i="30"/>
  <c r="AB1182" i="30"/>
  <c r="Y1183" i="30"/>
  <c r="Z1183" i="30"/>
  <c r="AA1183" i="30"/>
  <c r="AB1183" i="30"/>
  <c r="Y1184" i="30"/>
  <c r="Z1184" i="30"/>
  <c r="AA1184" i="30"/>
  <c r="AB1184" i="30"/>
  <c r="Y1185" i="30"/>
  <c r="Z1185" i="30"/>
  <c r="AA1185" i="30"/>
  <c r="AB1185" i="30"/>
  <c r="Y1186" i="30"/>
  <c r="Z1186" i="30"/>
  <c r="AA1186" i="30"/>
  <c r="AB1186" i="30"/>
  <c r="Y1187" i="30"/>
  <c r="Z1187" i="30"/>
  <c r="AA1187" i="30"/>
  <c r="AB1187" i="30"/>
  <c r="Y1188" i="30"/>
  <c r="Z1188" i="30"/>
  <c r="AA1188" i="30"/>
  <c r="AB1188" i="30"/>
  <c r="Y1189" i="30"/>
  <c r="Z1189" i="30"/>
  <c r="AA1189" i="30"/>
  <c r="AB1189" i="30"/>
  <c r="Y1190" i="30"/>
  <c r="Z1190" i="30"/>
  <c r="AA1190" i="30"/>
  <c r="AB1190" i="30"/>
  <c r="Y1191" i="30"/>
  <c r="Z1191" i="30"/>
  <c r="AA1191" i="30"/>
  <c r="AB1191" i="30"/>
  <c r="Y1192" i="30"/>
  <c r="Z1192" i="30"/>
  <c r="AA1192" i="30"/>
  <c r="AB1192" i="30"/>
  <c r="Y1193" i="30"/>
  <c r="Z1193" i="30"/>
  <c r="AA1193" i="30"/>
  <c r="AB1193" i="30"/>
  <c r="Y1194" i="30"/>
  <c r="Z1194" i="30"/>
  <c r="AA1194" i="30"/>
  <c r="AB1194" i="30"/>
  <c r="Y1195" i="30"/>
  <c r="Z1195" i="30"/>
  <c r="AA1195" i="30"/>
  <c r="AB1195" i="30"/>
  <c r="Y1196" i="30"/>
  <c r="Z1196" i="30"/>
  <c r="AA1196" i="30"/>
  <c r="AB1196" i="30"/>
  <c r="Y1197" i="30"/>
  <c r="Z1197" i="30"/>
  <c r="AA1197" i="30"/>
  <c r="AB1197" i="30"/>
  <c r="Y1198" i="30"/>
  <c r="Z1198" i="30"/>
  <c r="AA1198" i="30"/>
  <c r="AB1198" i="30"/>
  <c r="Y1199" i="30"/>
  <c r="Z1199" i="30"/>
  <c r="AA1199" i="30"/>
  <c r="AB1199" i="30"/>
  <c r="Y1200" i="30"/>
  <c r="Z1200" i="30"/>
  <c r="AA1200" i="30"/>
  <c r="AB1200" i="30"/>
  <c r="Y1201" i="30"/>
  <c r="Z1201" i="30"/>
  <c r="AA1201" i="30"/>
  <c r="AB1201" i="30"/>
  <c r="Y1202" i="30"/>
  <c r="Z1202" i="30"/>
  <c r="AA1202" i="30"/>
  <c r="AB1202" i="30"/>
  <c r="Y1203" i="30"/>
  <c r="Z1203" i="30"/>
  <c r="AA1203" i="30"/>
  <c r="AB1203" i="30"/>
  <c r="Y1204" i="30"/>
  <c r="Z1204" i="30"/>
  <c r="AA1204" i="30"/>
  <c r="AB1204" i="30"/>
  <c r="Y1205" i="30"/>
  <c r="Z1205" i="30"/>
  <c r="AA1205" i="30"/>
  <c r="AB1205" i="30"/>
  <c r="Y1206" i="30"/>
  <c r="Z1206" i="30"/>
  <c r="AA1206" i="30"/>
  <c r="AB1206" i="30"/>
  <c r="Y1207" i="30"/>
  <c r="Z1207" i="30"/>
  <c r="AA1207" i="30"/>
  <c r="AB1207" i="30"/>
  <c r="Y1208" i="30"/>
  <c r="Z1208" i="30"/>
  <c r="AA1208" i="30"/>
  <c r="AB1208" i="30"/>
  <c r="Y1209" i="30"/>
  <c r="Z1209" i="30"/>
  <c r="AA1209" i="30"/>
  <c r="AB1209" i="30"/>
  <c r="Y1210" i="30"/>
  <c r="Z1210" i="30"/>
  <c r="AA1210" i="30"/>
  <c r="AB1210" i="30"/>
  <c r="Y1211" i="30"/>
  <c r="Z1211" i="30"/>
  <c r="AA1211" i="30"/>
  <c r="AB1211" i="30"/>
  <c r="Y1212" i="30"/>
  <c r="Z1212" i="30"/>
  <c r="AA1212" i="30"/>
  <c r="AB1212" i="30"/>
  <c r="Y1213" i="30"/>
  <c r="Z1213" i="30"/>
  <c r="AA1213" i="30"/>
  <c r="AB1213" i="30"/>
  <c r="Y1214" i="30"/>
  <c r="Z1214" i="30"/>
  <c r="AA1214" i="30"/>
  <c r="AB1214" i="30"/>
  <c r="Y1215" i="30"/>
  <c r="Z1215" i="30"/>
  <c r="AA1215" i="30"/>
  <c r="AB1215" i="30"/>
  <c r="Y1216" i="30"/>
  <c r="Z1216" i="30"/>
  <c r="AA1216" i="30"/>
  <c r="AB1216" i="30"/>
  <c r="Y1217" i="30"/>
  <c r="Z1217" i="30"/>
  <c r="AA1217" i="30"/>
  <c r="AB1217" i="30"/>
  <c r="Y1218" i="30"/>
  <c r="Z1218" i="30"/>
  <c r="AA1218" i="30"/>
  <c r="AB1218" i="30"/>
  <c r="Y1219" i="30"/>
  <c r="Z1219" i="30"/>
  <c r="AA1219" i="30"/>
  <c r="AB1219" i="30"/>
  <c r="Y1220" i="30"/>
  <c r="Z1220" i="30"/>
  <c r="AA1220" i="30"/>
  <c r="AB1220" i="30"/>
  <c r="Y1221" i="30"/>
  <c r="Z1221" i="30"/>
  <c r="AA1221" i="30"/>
  <c r="AB1221" i="30"/>
  <c r="Y1222" i="30"/>
  <c r="Z1222" i="30"/>
  <c r="AA1222" i="30"/>
  <c r="AB1222" i="30"/>
  <c r="Y1223" i="30"/>
  <c r="Z1223" i="30"/>
  <c r="AA1223" i="30"/>
  <c r="AB1223" i="30"/>
  <c r="Y1224" i="30"/>
  <c r="Z1224" i="30"/>
  <c r="AA1224" i="30"/>
  <c r="AB1224" i="30"/>
  <c r="Y1225" i="30"/>
  <c r="Z1225" i="30"/>
  <c r="AA1225" i="30"/>
  <c r="AB1225" i="30"/>
  <c r="Y1226" i="30"/>
  <c r="Z1226" i="30"/>
  <c r="AA1226" i="30"/>
  <c r="AB1226" i="30"/>
  <c r="Y1227" i="30"/>
  <c r="Z1227" i="30"/>
  <c r="AA1227" i="30"/>
  <c r="AB1227" i="30"/>
  <c r="Y1228" i="30"/>
  <c r="Z1228" i="30"/>
  <c r="AA1228" i="30"/>
  <c r="AB1228" i="30"/>
  <c r="Y1229" i="30"/>
  <c r="Z1229" i="30"/>
  <c r="AA1229" i="30"/>
  <c r="AB1229" i="30"/>
  <c r="Y1230" i="30"/>
  <c r="Z1230" i="30"/>
  <c r="AA1230" i="30"/>
  <c r="AB1230" i="30"/>
  <c r="Y1231" i="30"/>
  <c r="Z1231" i="30"/>
  <c r="AA1231" i="30"/>
  <c r="AB1231" i="30"/>
  <c r="Y1232" i="30"/>
  <c r="Z1232" i="30"/>
  <c r="AA1232" i="30"/>
  <c r="AB1232" i="30"/>
  <c r="Y1233" i="30"/>
  <c r="Z1233" i="30"/>
  <c r="AA1233" i="30"/>
  <c r="AB1233" i="30"/>
  <c r="Y1234" i="30"/>
  <c r="Z1234" i="30"/>
  <c r="AA1234" i="30"/>
  <c r="AB1234" i="30"/>
  <c r="Y1235" i="30"/>
  <c r="Z1235" i="30"/>
  <c r="AA1235" i="30"/>
  <c r="AB1235" i="30"/>
  <c r="Y1236" i="30"/>
  <c r="Z1236" i="30"/>
  <c r="AA1236" i="30"/>
  <c r="AB1236" i="30"/>
  <c r="Y1237" i="30"/>
  <c r="Z1237" i="30"/>
  <c r="AA1237" i="30"/>
  <c r="AB1237" i="30"/>
  <c r="Y1238" i="30"/>
  <c r="Z1238" i="30"/>
  <c r="AA1238" i="30"/>
  <c r="AB1238" i="30"/>
  <c r="Y1239" i="30"/>
  <c r="Z1239" i="30"/>
  <c r="AA1239" i="30"/>
  <c r="AB1239" i="30"/>
  <c r="Y1240" i="30"/>
  <c r="Z1240" i="30"/>
  <c r="AA1240" i="30"/>
  <c r="AB1240" i="30"/>
  <c r="Y1241" i="30"/>
  <c r="Z1241" i="30"/>
  <c r="AA1241" i="30"/>
  <c r="AB1241" i="30"/>
  <c r="Y1242" i="30"/>
  <c r="Z1242" i="30"/>
  <c r="AA1242" i="30"/>
  <c r="AB1242" i="30"/>
  <c r="Y1243" i="30"/>
  <c r="Z1243" i="30"/>
  <c r="AA1243" i="30"/>
  <c r="AB1243" i="30"/>
  <c r="Y1244" i="30"/>
  <c r="Z1244" i="30"/>
  <c r="AA1244" i="30"/>
  <c r="AB1244" i="30"/>
  <c r="Y1245" i="30"/>
  <c r="Z1245" i="30"/>
  <c r="AA1245" i="30"/>
  <c r="AB1245" i="30"/>
  <c r="Y1246" i="30"/>
  <c r="Z1246" i="30"/>
  <c r="AA1246" i="30"/>
  <c r="AB1246" i="30"/>
  <c r="Y1247" i="30"/>
  <c r="Z1247" i="30"/>
  <c r="AA1247" i="30"/>
  <c r="AB1247" i="30"/>
  <c r="Y1248" i="30"/>
  <c r="Z1248" i="30"/>
  <c r="AA1248" i="30"/>
  <c r="AB1248" i="30"/>
  <c r="Y1249" i="30"/>
  <c r="Z1249" i="30"/>
  <c r="AA1249" i="30"/>
  <c r="AB1249" i="30"/>
  <c r="Y1250" i="30"/>
  <c r="Z1250" i="30"/>
  <c r="AA1250" i="30"/>
  <c r="AB1250" i="30"/>
  <c r="Y1251" i="30"/>
  <c r="Z1251" i="30"/>
  <c r="AA1251" i="30"/>
  <c r="AB1251" i="30"/>
  <c r="Y1252" i="30"/>
  <c r="Z1252" i="30"/>
  <c r="AA1252" i="30"/>
  <c r="AB1252" i="30"/>
  <c r="Y1253" i="30"/>
  <c r="Z1253" i="30"/>
  <c r="AA1253" i="30"/>
  <c r="AB1253" i="30"/>
  <c r="Y1254" i="30"/>
  <c r="Z1254" i="30"/>
  <c r="AA1254" i="30"/>
  <c r="AB1254" i="30"/>
  <c r="Y1255" i="30"/>
  <c r="Z1255" i="30"/>
  <c r="AA1255" i="30"/>
  <c r="AB1255" i="30"/>
  <c r="Y1256" i="30"/>
  <c r="Z1256" i="30"/>
  <c r="AA1256" i="30"/>
  <c r="AB1256" i="30"/>
  <c r="Y1257" i="30"/>
  <c r="Z1257" i="30"/>
  <c r="AA1257" i="30"/>
  <c r="AB1257" i="30"/>
  <c r="Y1258" i="30"/>
  <c r="Z1258" i="30"/>
  <c r="AA1258" i="30"/>
  <c r="AB1258" i="30"/>
  <c r="Y1259" i="30"/>
  <c r="Z1259" i="30"/>
  <c r="AA1259" i="30"/>
  <c r="AB1259" i="30"/>
  <c r="Y1260" i="30"/>
  <c r="Z1260" i="30"/>
  <c r="AA1260" i="30"/>
  <c r="AB1260" i="30"/>
  <c r="Y1261" i="30"/>
  <c r="Z1261" i="30"/>
  <c r="AA1261" i="30"/>
  <c r="AB1261" i="30"/>
  <c r="Y1262" i="30"/>
  <c r="Z1262" i="30"/>
  <c r="AA1262" i="30"/>
  <c r="AB1262" i="30"/>
  <c r="Y1263" i="30"/>
  <c r="Z1263" i="30"/>
  <c r="AA1263" i="30"/>
  <c r="AB1263" i="30"/>
  <c r="Y1264" i="30"/>
  <c r="Z1264" i="30"/>
  <c r="AA1264" i="30"/>
  <c r="AB1264" i="30"/>
  <c r="Y1265" i="30"/>
  <c r="Z1265" i="30"/>
  <c r="AA1265" i="30"/>
  <c r="AB1265" i="30"/>
  <c r="Y1266" i="30"/>
  <c r="Z1266" i="30"/>
  <c r="AA1266" i="30"/>
  <c r="AB1266" i="30"/>
  <c r="Y1267" i="30"/>
  <c r="Z1267" i="30"/>
  <c r="AA1267" i="30"/>
  <c r="AB1267" i="30"/>
  <c r="Y1268" i="30"/>
  <c r="Z1268" i="30"/>
  <c r="AA1268" i="30"/>
  <c r="AB1268" i="30"/>
  <c r="Y1269" i="30"/>
  <c r="Z1269" i="30"/>
  <c r="AA1269" i="30"/>
  <c r="AB1269" i="30"/>
  <c r="Y1270" i="30"/>
  <c r="Z1270" i="30"/>
  <c r="AA1270" i="30"/>
  <c r="AB1270" i="30"/>
  <c r="AB12" i="30"/>
  <c r="AA12" i="30"/>
  <c r="Y12" i="30"/>
  <c r="Z12" i="30"/>
  <c r="AY27" i="37" l="1"/>
  <c r="AY25" i="37"/>
  <c r="AY28" i="37"/>
  <c r="AY26" i="37"/>
  <c r="AY24" i="37"/>
  <c r="BD16" i="37"/>
  <c r="BD26" i="37" s="1"/>
  <c r="AZ19" i="37"/>
  <c r="AZ23" i="37" s="1"/>
  <c r="BD18" i="37"/>
  <c r="BD28" i="37" s="1"/>
  <c r="BB19" i="37"/>
  <c r="BB23" i="37" s="1"/>
  <c r="BC19" i="37"/>
  <c r="BC23" i="37" s="1"/>
  <c r="BD15" i="37"/>
  <c r="BD25" i="37" s="1"/>
  <c r="BA19" i="37"/>
  <c r="BA23" i="37" s="1"/>
  <c r="BD17" i="37"/>
  <c r="BD27" i="37" s="1"/>
  <c r="BD14" i="37"/>
  <c r="BD24" i="37" s="1"/>
  <c r="AY19" i="37"/>
  <c r="AY23" i="37" s="1"/>
  <c r="BA10" i="37"/>
  <c r="E88" i="18" s="1"/>
  <c r="BB7" i="37"/>
  <c r="E89" i="18" s="1"/>
  <c r="AZ10" i="37"/>
  <c r="D88" i="18" s="1"/>
  <c r="BB9" i="37"/>
  <c r="E91" i="18" s="1"/>
  <c r="BB8" i="37"/>
  <c r="E90" i="18" s="1"/>
  <c r="AY10" i="37"/>
  <c r="C88" i="18" s="1"/>
  <c r="AR34" i="37"/>
  <c r="AZ4" i="37"/>
  <c r="AR124" i="37"/>
  <c r="AR120" i="37"/>
  <c r="AR116" i="37"/>
  <c r="AR108" i="37"/>
  <c r="AR104" i="37"/>
  <c r="AR100" i="37"/>
  <c r="AR96" i="37"/>
  <c r="AR92" i="37"/>
  <c r="AR88" i="37"/>
  <c r="AR84" i="37"/>
  <c r="AR80" i="37"/>
  <c r="AR76" i="37"/>
  <c r="AR72" i="37"/>
  <c r="AR60" i="37"/>
  <c r="AR56" i="37"/>
  <c r="AR52" i="37"/>
  <c r="AR44" i="37"/>
  <c r="AR40" i="37"/>
  <c r="AR36" i="37"/>
  <c r="AR28" i="37"/>
  <c r="AR123" i="37"/>
  <c r="AR119" i="37"/>
  <c r="AR115" i="37"/>
  <c r="AR111" i="37"/>
  <c r="AR107" i="37"/>
  <c r="AR103" i="37"/>
  <c r="AR99" i="37"/>
  <c r="AR95" i="37"/>
  <c r="AR91" i="37"/>
  <c r="AR87" i="37"/>
  <c r="AR83" i="37"/>
  <c r="AR79" i="37"/>
  <c r="AR75" i="37"/>
  <c r="AR71" i="37"/>
  <c r="AR67" i="37"/>
  <c r="AR63" i="37"/>
  <c r="AR59" i="37"/>
  <c r="AR55" i="37"/>
  <c r="AR51" i="37"/>
  <c r="AR47" i="37"/>
  <c r="AR43" i="37"/>
  <c r="AR39" i="37"/>
  <c r="AR35" i="37"/>
  <c r="AR31" i="37"/>
  <c r="AR27" i="37"/>
  <c r="AR23" i="37"/>
  <c r="AR19" i="37"/>
  <c r="AR15" i="37"/>
  <c r="AR58" i="37"/>
  <c r="AR122" i="37"/>
  <c r="AR106" i="37"/>
  <c r="AR90" i="37"/>
  <c r="AR62" i="37"/>
  <c r="AR50" i="37"/>
  <c r="AR26" i="37"/>
  <c r="AR18" i="37"/>
  <c r="AR14" i="37"/>
  <c r="AR24" i="37"/>
  <c r="AR20" i="37"/>
  <c r="AR74" i="37"/>
  <c r="AR42" i="37"/>
  <c r="AR21" i="37"/>
  <c r="AR17" i="37"/>
  <c r="AR121" i="37"/>
  <c r="AR117" i="37"/>
  <c r="AR113" i="37"/>
  <c r="AR101" i="37"/>
  <c r="AR97" i="37"/>
  <c r="AR93" i="37"/>
  <c r="AR89" i="37"/>
  <c r="AR85" i="37"/>
  <c r="AR81" i="37"/>
  <c r="AR77" i="37"/>
  <c r="AR73" i="37"/>
  <c r="AR69" i="37"/>
  <c r="AR65" i="37"/>
  <c r="AR61" i="37"/>
  <c r="AR57" i="37"/>
  <c r="AR53" i="37"/>
  <c r="AR49" i="37"/>
  <c r="AR45" i="37"/>
  <c r="AR41" i="37"/>
  <c r="AR37" i="37"/>
  <c r="AR33" i="37"/>
  <c r="AR13" i="37"/>
  <c r="AR109" i="37"/>
  <c r="AR105" i="37"/>
  <c r="AR29" i="37"/>
  <c r="AR25" i="37"/>
  <c r="AR110" i="37"/>
  <c r="AR94" i="37"/>
  <c r="AR78" i="37"/>
  <c r="AR46" i="37"/>
  <c r="AR30" i="37"/>
  <c r="AR112" i="37"/>
  <c r="AR64" i="37"/>
  <c r="AR48" i="37"/>
  <c r="AR32" i="37"/>
  <c r="AR16" i="37"/>
  <c r="AR114" i="37"/>
  <c r="AR98" i="37"/>
  <c r="AR82" i="37"/>
  <c r="AR66" i="37"/>
  <c r="AR68" i="37"/>
  <c r="AR118" i="37"/>
  <c r="AR102" i="37"/>
  <c r="AR86" i="37"/>
  <c r="AR70" i="37"/>
  <c r="AR54" i="37"/>
  <c r="AR38" i="37"/>
  <c r="AR22" i="37"/>
  <c r="W72" i="27"/>
  <c r="BD19" i="37" l="1"/>
  <c r="BD23" i="37" s="1"/>
  <c r="BB10" i="37"/>
  <c r="Y77" i="27"/>
  <c r="Y80" i="27"/>
  <c r="X80" i="27"/>
  <c r="Y79" i="27"/>
  <c r="Y76" i="27"/>
  <c r="X77" i="27"/>
  <c r="X76" i="27"/>
  <c r="Y75" i="27"/>
  <c r="Y74" i="27"/>
  <c r="X79" i="27"/>
  <c r="Y78" i="27"/>
  <c r="X78" i="27"/>
  <c r="X75" i="27"/>
  <c r="X74" i="27"/>
  <c r="Q14" i="29"/>
  <c r="Q15" i="29"/>
  <c r="E49" i="18"/>
  <c r="G84" i="18"/>
  <c r="H84" i="18"/>
  <c r="I84" i="18"/>
  <c r="J84" i="18"/>
  <c r="K84" i="18"/>
  <c r="G85" i="18"/>
  <c r="H85" i="18"/>
  <c r="I85" i="18"/>
  <c r="J85" i="18"/>
  <c r="K85" i="18"/>
  <c r="G86" i="18"/>
  <c r="H86" i="18"/>
  <c r="I86" i="18"/>
  <c r="J86" i="18"/>
  <c r="K86" i="18"/>
  <c r="G87" i="18"/>
  <c r="H87" i="18"/>
  <c r="I87" i="18"/>
  <c r="J87" i="18"/>
  <c r="K87" i="18"/>
  <c r="G88" i="18"/>
  <c r="H88" i="18"/>
  <c r="I88" i="18"/>
  <c r="J88" i="18"/>
  <c r="K88" i="18"/>
  <c r="G89" i="18"/>
  <c r="H89" i="18"/>
  <c r="I89" i="18"/>
  <c r="J89" i="18"/>
  <c r="K89" i="18"/>
  <c r="G90" i="18"/>
  <c r="H90" i="18"/>
  <c r="I90" i="18"/>
  <c r="J90" i="18"/>
  <c r="K90" i="18"/>
  <c r="G91" i="18"/>
  <c r="H91" i="18"/>
  <c r="I91" i="18"/>
  <c r="J91" i="18"/>
  <c r="K91" i="18"/>
  <c r="G92" i="18"/>
  <c r="H92" i="18"/>
  <c r="I92" i="18"/>
  <c r="J92" i="18"/>
  <c r="K92" i="18"/>
  <c r="G93" i="18"/>
  <c r="H93" i="18"/>
  <c r="I93" i="18"/>
  <c r="J93" i="18"/>
  <c r="K93" i="18"/>
  <c r="G94" i="18"/>
  <c r="H94" i="18"/>
  <c r="I94" i="18"/>
  <c r="J94" i="18"/>
  <c r="K94" i="18"/>
  <c r="G95" i="18"/>
  <c r="H95" i="18"/>
  <c r="I95" i="18"/>
  <c r="J95" i="18"/>
  <c r="K95" i="18"/>
  <c r="AC42" i="27" l="1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Z42" i="27"/>
  <c r="Z41" i="27"/>
  <c r="Z40" i="27"/>
  <c r="Z39" i="27"/>
  <c r="Z38" i="27"/>
  <c r="Z37" i="27"/>
  <c r="Z36" i="27"/>
  <c r="Z35" i="27"/>
  <c r="Z34" i="27"/>
  <c r="Z33" i="27"/>
  <c r="Z32" i="27"/>
  <c r="Z31" i="27"/>
  <c r="Z30" i="27"/>
  <c r="Z29" i="27"/>
  <c r="Z28" i="27"/>
  <c r="Z27" i="27"/>
  <c r="Z26" i="27"/>
  <c r="Z25" i="27"/>
  <c r="Z24" i="27"/>
  <c r="Z23" i="27"/>
  <c r="Z22" i="27"/>
  <c r="AE42" i="27"/>
  <c r="AE41" i="27"/>
  <c r="AE40" i="27"/>
  <c r="AE39" i="27"/>
  <c r="AE38" i="27"/>
  <c r="AE37" i="27"/>
  <c r="AE36" i="27"/>
  <c r="AE35" i="27"/>
  <c r="AE34" i="27"/>
  <c r="AE33" i="27"/>
  <c r="AE32" i="27"/>
  <c r="AE31" i="27"/>
  <c r="AE30" i="27"/>
  <c r="AE29" i="27"/>
  <c r="AE28" i="27"/>
  <c r="AE27" i="27"/>
  <c r="AE26" i="27"/>
  <c r="AE25" i="27"/>
  <c r="AE24" i="27"/>
  <c r="AE23" i="27"/>
  <c r="AE22" i="27"/>
  <c r="AD41" i="27"/>
  <c r="Y40" i="27"/>
  <c r="AB38" i="27"/>
  <c r="AF36" i="27"/>
  <c r="AA35" i="27"/>
  <c r="AD33" i="27"/>
  <c r="Y32" i="27"/>
  <c r="AB30" i="27"/>
  <c r="AF28" i="27"/>
  <c r="AA27" i="27"/>
  <c r="AD25" i="27"/>
  <c r="Y24" i="27"/>
  <c r="AC22" i="27"/>
  <c r="AB21" i="27"/>
  <c r="AB20" i="27"/>
  <c r="AB19" i="27"/>
  <c r="AB18" i="27"/>
  <c r="AB17" i="27"/>
  <c r="AB16" i="27"/>
  <c r="AB15" i="27"/>
  <c r="AA57" i="27"/>
  <c r="AA56" i="27"/>
  <c r="AA55" i="27"/>
  <c r="AA54" i="27"/>
  <c r="AA53" i="27"/>
  <c r="AA52" i="27"/>
  <c r="AA51" i="27"/>
  <c r="AB64" i="27"/>
  <c r="AB65" i="27"/>
  <c r="AB66" i="27"/>
  <c r="AB67" i="27"/>
  <c r="AB68" i="27"/>
  <c r="AB69" i="27"/>
  <c r="AC63" i="27"/>
  <c r="AA38" i="27"/>
  <c r="Y35" i="27"/>
  <c r="AF31" i="27"/>
  <c r="AD28" i="27"/>
  <c r="AB25" i="27"/>
  <c r="AB22" i="27"/>
  <c r="AA20" i="27"/>
  <c r="AA19" i="27"/>
  <c r="AA17" i="27"/>
  <c r="AA16" i="27"/>
  <c r="Z57" i="27"/>
  <c r="Z55" i="27"/>
  <c r="Z52" i="27"/>
  <c r="Z51" i="27"/>
  <c r="AC65" i="27"/>
  <c r="AC66" i="27"/>
  <c r="AC68" i="27"/>
  <c r="AC69" i="27"/>
  <c r="Y56" i="27"/>
  <c r="Y52" i="27"/>
  <c r="AD65" i="27"/>
  <c r="AD69" i="27"/>
  <c r="Y36" i="27"/>
  <c r="AB26" i="27"/>
  <c r="AF18" i="27"/>
  <c r="AF15" i="27"/>
  <c r="AE54" i="27"/>
  <c r="X66" i="27"/>
  <c r="AD40" i="27"/>
  <c r="AF35" i="27"/>
  <c r="AF27" i="27"/>
  <c r="AB41" i="27"/>
  <c r="AF39" i="27"/>
  <c r="AD36" i="27"/>
  <c r="AB33" i="27"/>
  <c r="AA30" i="27"/>
  <c r="Y27" i="27"/>
  <c r="AF23" i="27"/>
  <c r="AA21" i="27"/>
  <c r="AA18" i="27"/>
  <c r="AA15" i="27"/>
  <c r="Z56" i="27"/>
  <c r="Z54" i="27"/>
  <c r="Z53" i="27"/>
  <c r="AC64" i="27"/>
  <c r="AC67" i="27"/>
  <c r="AD63" i="27"/>
  <c r="Y55" i="27"/>
  <c r="Y51" i="27"/>
  <c r="AD66" i="27"/>
  <c r="AD68" i="27"/>
  <c r="AF40" i="27"/>
  <c r="AF32" i="27"/>
  <c r="Y28" i="27"/>
  <c r="AF21" i="27"/>
  <c r="AE57" i="27"/>
  <c r="AE51" i="27"/>
  <c r="X67" i="27"/>
  <c r="AD32" i="27"/>
  <c r="AF42" i="27"/>
  <c r="AA41" i="27"/>
  <c r="AD39" i="27"/>
  <c r="Y38" i="27"/>
  <c r="AB36" i="27"/>
  <c r="AF34" i="27"/>
  <c r="AA33" i="27"/>
  <c r="AD31" i="27"/>
  <c r="Y30" i="27"/>
  <c r="AB28" i="27"/>
  <c r="AF26" i="27"/>
  <c r="AA25" i="27"/>
  <c r="AD23" i="27"/>
  <c r="AA22" i="27"/>
  <c r="Z21" i="27"/>
  <c r="Z20" i="27"/>
  <c r="Z19" i="27"/>
  <c r="Z18" i="27"/>
  <c r="Z17" i="27"/>
  <c r="Z16" i="27"/>
  <c r="Z15" i="27"/>
  <c r="Y57" i="27"/>
  <c r="Y54" i="27"/>
  <c r="Y53" i="27"/>
  <c r="AD64" i="27"/>
  <c r="AD67" i="27"/>
  <c r="AE63" i="27"/>
  <c r="AB42" i="27"/>
  <c r="AA39" i="27"/>
  <c r="AB34" i="27"/>
  <c r="AD29" i="27"/>
  <c r="AF24" i="27"/>
  <c r="AF20" i="27"/>
  <c r="AF17" i="27"/>
  <c r="AE56" i="27"/>
  <c r="AE53" i="27"/>
  <c r="X65" i="27"/>
  <c r="Y63" i="27"/>
  <c r="AA42" i="27"/>
  <c r="AA34" i="27"/>
  <c r="AA26" i="27"/>
  <c r="AD42" i="27"/>
  <c r="Y41" i="27"/>
  <c r="AB39" i="27"/>
  <c r="AF37" i="27"/>
  <c r="AA36" i="27"/>
  <c r="AD34" i="27"/>
  <c r="Y33" i="27"/>
  <c r="AB31" i="27"/>
  <c r="AF29" i="27"/>
  <c r="AA28" i="27"/>
  <c r="AD26" i="27"/>
  <c r="Y25" i="27"/>
  <c r="AB23" i="27"/>
  <c r="Y22" i="27"/>
  <c r="Y21" i="27"/>
  <c r="Y20" i="27"/>
  <c r="Y19" i="27"/>
  <c r="Y18" i="27"/>
  <c r="Y17" i="27"/>
  <c r="Y16" i="27"/>
  <c r="Y15" i="27"/>
  <c r="X57" i="27"/>
  <c r="X56" i="27"/>
  <c r="X55" i="27"/>
  <c r="X54" i="27"/>
  <c r="X53" i="27"/>
  <c r="X52" i="27"/>
  <c r="X51" i="27"/>
  <c r="AE64" i="27"/>
  <c r="AE65" i="27"/>
  <c r="AE66" i="27"/>
  <c r="AE67" i="27"/>
  <c r="AE68" i="27"/>
  <c r="AE69" i="27"/>
  <c r="X63" i="27"/>
  <c r="AD37" i="27"/>
  <c r="AA31" i="27"/>
  <c r="AA23" i="27"/>
  <c r="AF19" i="27"/>
  <c r="AF16" i="27"/>
  <c r="AE55" i="27"/>
  <c r="AE52" i="27"/>
  <c r="X64" i="27"/>
  <c r="X68" i="27"/>
  <c r="Y39" i="27"/>
  <c r="Y31" i="27"/>
  <c r="Y23" i="27"/>
  <c r="Y42" i="27"/>
  <c r="AB40" i="27"/>
  <c r="AF38" i="27"/>
  <c r="AA37" i="27"/>
  <c r="AD35" i="27"/>
  <c r="Y34" i="27"/>
  <c r="AB32" i="27"/>
  <c r="AF30" i="27"/>
  <c r="AA29" i="27"/>
  <c r="AD27" i="27"/>
  <c r="Y26" i="27"/>
  <c r="AB24" i="27"/>
  <c r="AF22" i="27"/>
  <c r="AD21" i="27"/>
  <c r="AD20" i="27"/>
  <c r="AD19" i="27"/>
  <c r="AD18" i="27"/>
  <c r="AD17" i="27"/>
  <c r="AD16" i="27"/>
  <c r="AD15" i="27"/>
  <c r="AC57" i="27"/>
  <c r="AC56" i="27"/>
  <c r="AC55" i="27"/>
  <c r="AC54" i="27"/>
  <c r="AC53" i="27"/>
  <c r="AC52" i="27"/>
  <c r="AC51" i="27"/>
  <c r="Z64" i="27"/>
  <c r="Z65" i="27"/>
  <c r="Z66" i="27"/>
  <c r="Z67" i="27"/>
  <c r="Z68" i="27"/>
  <c r="Z69" i="27"/>
  <c r="AA63" i="27"/>
  <c r="AF41" i="27"/>
  <c r="AA40" i="27"/>
  <c r="AD38" i="27"/>
  <c r="Y37" i="27"/>
  <c r="AB35" i="27"/>
  <c r="AF33" i="27"/>
  <c r="AA32" i="27"/>
  <c r="AD30" i="27"/>
  <c r="Y29" i="27"/>
  <c r="AB27" i="27"/>
  <c r="AF25" i="27"/>
  <c r="AA24" i="27"/>
  <c r="AD22" i="27"/>
  <c r="AC21" i="27"/>
  <c r="AC20" i="27"/>
  <c r="AC19" i="27"/>
  <c r="AC18" i="27"/>
  <c r="AC17" i="27"/>
  <c r="AC16" i="27"/>
  <c r="AC15" i="27"/>
  <c r="AB57" i="27"/>
  <c r="AB56" i="27"/>
  <c r="AB55" i="27"/>
  <c r="AB54" i="27"/>
  <c r="AB53" i="27"/>
  <c r="AB52" i="27"/>
  <c r="AB51" i="27"/>
  <c r="AA64" i="27"/>
  <c r="AA65" i="27"/>
  <c r="AA66" i="27"/>
  <c r="AA67" i="27"/>
  <c r="AA68" i="27"/>
  <c r="AA69" i="27"/>
  <c r="AB63" i="27"/>
  <c r="X69" i="27"/>
  <c r="AB37" i="27"/>
  <c r="AB29" i="27"/>
  <c r="AD24" i="27"/>
  <c r="AE19" i="27"/>
  <c r="AD54" i="27"/>
  <c r="Y68" i="27"/>
  <c r="AE15" i="27"/>
  <c r="AD57" i="27"/>
  <c r="AD56" i="27"/>
  <c r="AE18" i="27"/>
  <c r="AD53" i="27"/>
  <c r="Y69" i="27"/>
  <c r="Z63" i="27"/>
  <c r="AE16" i="27"/>
  <c r="Y64" i="27"/>
  <c r="Y65" i="27"/>
  <c r="AE21" i="27"/>
  <c r="Y66" i="27"/>
  <c r="AE17" i="27"/>
  <c r="AD52" i="27"/>
  <c r="AD51" i="27"/>
  <c r="AE20" i="27"/>
  <c r="Y67" i="27"/>
  <c r="AD55" i="27"/>
  <c r="BC44" i="37" l="1"/>
  <c r="BD44" i="37"/>
  <c r="BC45" i="37"/>
  <c r="BD45" i="37"/>
  <c r="BC46" i="37"/>
  <c r="BD46" i="37"/>
  <c r="BC47" i="37"/>
  <c r="BD47" i="37"/>
  <c r="BC48" i="37"/>
  <c r="BD48" i="37"/>
  <c r="BC49" i="37"/>
  <c r="BD49" i="37"/>
  <c r="BC50" i="37"/>
  <c r="BD50" i="37"/>
  <c r="BC51" i="37"/>
  <c r="BD51" i="37"/>
  <c r="BC52" i="37"/>
  <c r="BD52" i="37"/>
  <c r="BC53" i="37"/>
  <c r="BD53" i="37"/>
  <c r="BC54" i="37"/>
  <c r="BD54" i="37"/>
  <c r="BC55" i="37"/>
  <c r="BD55" i="37"/>
  <c r="BC56" i="37"/>
  <c r="BD56" i="37"/>
  <c r="BC57" i="37"/>
  <c r="BD57" i="37"/>
  <c r="BC58" i="37"/>
  <c r="BD58" i="37"/>
  <c r="BC59" i="37"/>
  <c r="BD59" i="37"/>
  <c r="BC60" i="37"/>
  <c r="BD60" i="37"/>
  <c r="BC61" i="37"/>
  <c r="BD61" i="37"/>
  <c r="BC62" i="37"/>
  <c r="BD62" i="37"/>
  <c r="BC63" i="37"/>
  <c r="BD63" i="37"/>
  <c r="BC64" i="37"/>
  <c r="BD64" i="37"/>
  <c r="BC65" i="37"/>
  <c r="BD65" i="37"/>
  <c r="BC66" i="37"/>
  <c r="BD66" i="37"/>
  <c r="BC67" i="37"/>
  <c r="BD67" i="37"/>
  <c r="BC68" i="37"/>
  <c r="BD68" i="37"/>
  <c r="BC69" i="37"/>
  <c r="BD69" i="37"/>
  <c r="BC70" i="37"/>
  <c r="BD70" i="37"/>
  <c r="BC71" i="37"/>
  <c r="BD71" i="37"/>
  <c r="BC72" i="37"/>
  <c r="BD72" i="37"/>
  <c r="BC73" i="37"/>
  <c r="BD73" i="37"/>
  <c r="BC74" i="37"/>
  <c r="BD74" i="37"/>
  <c r="BC75" i="37"/>
  <c r="BD75" i="37"/>
  <c r="BC40" i="37"/>
  <c r="BD40" i="37"/>
  <c r="BC41" i="37"/>
  <c r="BD41" i="37"/>
  <c r="BC42" i="37"/>
  <c r="BD42" i="37"/>
  <c r="BC43" i="37"/>
  <c r="BD43" i="37"/>
  <c r="D28" i="18"/>
  <c r="D25" i="18" l="1"/>
  <c r="C29" i="18"/>
  <c r="D26" i="18"/>
  <c r="C26" i="18"/>
  <c r="D29" i="18"/>
  <c r="C27" i="18"/>
  <c r="D30" i="18"/>
  <c r="C28" i="18"/>
  <c r="D24" i="18"/>
  <c r="C30" i="18"/>
  <c r="C24" i="18"/>
  <c r="D27" i="18"/>
  <c r="C25" i="18"/>
  <c r="AT14" i="37"/>
  <c r="AU14" i="37"/>
  <c r="AT15" i="37"/>
  <c r="AU15" i="37"/>
  <c r="AT16" i="37"/>
  <c r="AU16" i="37"/>
  <c r="AT17" i="37"/>
  <c r="AU17" i="37"/>
  <c r="AT18" i="37"/>
  <c r="AU18" i="37"/>
  <c r="AT19" i="37"/>
  <c r="AU19" i="37"/>
  <c r="AT20" i="37"/>
  <c r="AU20" i="37"/>
  <c r="AT21" i="37"/>
  <c r="AU21" i="37"/>
  <c r="AT22" i="37"/>
  <c r="AU22" i="37"/>
  <c r="AT23" i="37"/>
  <c r="AU23" i="37"/>
  <c r="AT24" i="37"/>
  <c r="AU24" i="37"/>
  <c r="AT25" i="37"/>
  <c r="AU25" i="37"/>
  <c r="AT26" i="37"/>
  <c r="AU26" i="37"/>
  <c r="AT27" i="37"/>
  <c r="AU27" i="37"/>
  <c r="AT28" i="37"/>
  <c r="AU28" i="37"/>
  <c r="AT29" i="37"/>
  <c r="AU29" i="37"/>
  <c r="AT30" i="37"/>
  <c r="AU30" i="37"/>
  <c r="AT31" i="37"/>
  <c r="AU31" i="37"/>
  <c r="AT32" i="37"/>
  <c r="AU32" i="37"/>
  <c r="AT33" i="37"/>
  <c r="AU33" i="37"/>
  <c r="AT34" i="37"/>
  <c r="AU34" i="37"/>
  <c r="AT35" i="37"/>
  <c r="AU35" i="37"/>
  <c r="AT36" i="37"/>
  <c r="AU36" i="37"/>
  <c r="AT37" i="37"/>
  <c r="AU37" i="37"/>
  <c r="AT38" i="37"/>
  <c r="AU38" i="37"/>
  <c r="AT39" i="37"/>
  <c r="AU39" i="37"/>
  <c r="AT40" i="37"/>
  <c r="AU40" i="37"/>
  <c r="AT41" i="37"/>
  <c r="AU41" i="37"/>
  <c r="AT42" i="37"/>
  <c r="AU42" i="37"/>
  <c r="AT43" i="37"/>
  <c r="AU43" i="37"/>
  <c r="AT44" i="37"/>
  <c r="AU44" i="37"/>
  <c r="AT45" i="37"/>
  <c r="AU45" i="37"/>
  <c r="AT46" i="37"/>
  <c r="AU46" i="37"/>
  <c r="AT47" i="37"/>
  <c r="AU47" i="37"/>
  <c r="AT48" i="37"/>
  <c r="AU48" i="37"/>
  <c r="AT49" i="37"/>
  <c r="AU49" i="37"/>
  <c r="AT50" i="37"/>
  <c r="AU50" i="37"/>
  <c r="AT51" i="37"/>
  <c r="AU51" i="37"/>
  <c r="AT52" i="37"/>
  <c r="AU52" i="37"/>
  <c r="AT53" i="37"/>
  <c r="AU53" i="37"/>
  <c r="AT54" i="37"/>
  <c r="AU54" i="37"/>
  <c r="AT55" i="37"/>
  <c r="AU55" i="37"/>
  <c r="AT56" i="37"/>
  <c r="AU56" i="37"/>
  <c r="AT57" i="37"/>
  <c r="AU57" i="37"/>
  <c r="AT58" i="37"/>
  <c r="AU58" i="37"/>
  <c r="AT59" i="37"/>
  <c r="AU59" i="37"/>
  <c r="AT60" i="37"/>
  <c r="AU60" i="37"/>
  <c r="AT61" i="37"/>
  <c r="AU61" i="37"/>
  <c r="AT62" i="37"/>
  <c r="AU62" i="37"/>
  <c r="AT63" i="37"/>
  <c r="AU63" i="37"/>
  <c r="AT64" i="37"/>
  <c r="AU64" i="37"/>
  <c r="AT65" i="37"/>
  <c r="AU65" i="37"/>
  <c r="AT66" i="37"/>
  <c r="AU66" i="37"/>
  <c r="AT67" i="37"/>
  <c r="AU67" i="37"/>
  <c r="AT68" i="37"/>
  <c r="AU68" i="37"/>
  <c r="AT69" i="37"/>
  <c r="AU69" i="37"/>
  <c r="AT70" i="37"/>
  <c r="AU70" i="37"/>
  <c r="AT71" i="37"/>
  <c r="AU71" i="37"/>
  <c r="AT72" i="37"/>
  <c r="AU72" i="37"/>
  <c r="AT73" i="37"/>
  <c r="AU73" i="37"/>
  <c r="AT74" i="37"/>
  <c r="AU74" i="37"/>
  <c r="AT75" i="37"/>
  <c r="AU75" i="37"/>
  <c r="AT76" i="37"/>
  <c r="AU76" i="37"/>
  <c r="AT77" i="37"/>
  <c r="AU77" i="37"/>
  <c r="AT78" i="37"/>
  <c r="AU78" i="37"/>
  <c r="AT79" i="37"/>
  <c r="AU79" i="37"/>
  <c r="AT80" i="37"/>
  <c r="AU80" i="37"/>
  <c r="AT81" i="37"/>
  <c r="AU81" i="37"/>
  <c r="AT82" i="37"/>
  <c r="AU82" i="37"/>
  <c r="AT83" i="37"/>
  <c r="AU83" i="37"/>
  <c r="AT84" i="37"/>
  <c r="AU84" i="37"/>
  <c r="AT85" i="37"/>
  <c r="AU85" i="37"/>
  <c r="AT86" i="37"/>
  <c r="AU86" i="37"/>
  <c r="AT87" i="37"/>
  <c r="AU87" i="37"/>
  <c r="AT88" i="37"/>
  <c r="AU88" i="37"/>
  <c r="AT89" i="37"/>
  <c r="AU89" i="37"/>
  <c r="AT90" i="37"/>
  <c r="AU90" i="37"/>
  <c r="AT91" i="37"/>
  <c r="AU91" i="37"/>
  <c r="AT92" i="37"/>
  <c r="AU92" i="37"/>
  <c r="AT93" i="37"/>
  <c r="AU93" i="37"/>
  <c r="AT94" i="37"/>
  <c r="AU94" i="37"/>
  <c r="AT95" i="37"/>
  <c r="AU95" i="37"/>
  <c r="AT96" i="37"/>
  <c r="AU96" i="37"/>
  <c r="AT97" i="37"/>
  <c r="AU97" i="37"/>
  <c r="AT98" i="37"/>
  <c r="AU98" i="37"/>
  <c r="AT99" i="37"/>
  <c r="AU99" i="37"/>
  <c r="AT100" i="37"/>
  <c r="AU100" i="37"/>
  <c r="AT101" i="37"/>
  <c r="AU101" i="37"/>
  <c r="AT102" i="37"/>
  <c r="AU102" i="37"/>
  <c r="AT103" i="37"/>
  <c r="AU103" i="37"/>
  <c r="AT104" i="37"/>
  <c r="AU104" i="37"/>
  <c r="AT105" i="37"/>
  <c r="AU105" i="37"/>
  <c r="AT106" i="37"/>
  <c r="AU106" i="37"/>
  <c r="AT107" i="37"/>
  <c r="AU107" i="37"/>
  <c r="AT108" i="37"/>
  <c r="AU108" i="37"/>
  <c r="AT109" i="37"/>
  <c r="AU109" i="37"/>
  <c r="AT110" i="37"/>
  <c r="AU110" i="37"/>
  <c r="AT111" i="37"/>
  <c r="AU111" i="37"/>
  <c r="AT112" i="37"/>
  <c r="AU112" i="37"/>
  <c r="AT113" i="37"/>
  <c r="AU113" i="37"/>
  <c r="AT114" i="37"/>
  <c r="AU114" i="37"/>
  <c r="AT115" i="37"/>
  <c r="AU115" i="37"/>
  <c r="AT116" i="37"/>
  <c r="AU116" i="37"/>
  <c r="AT117" i="37"/>
  <c r="AU117" i="37"/>
  <c r="AT118" i="37"/>
  <c r="AU118" i="37"/>
  <c r="AT119" i="37"/>
  <c r="AU119" i="37"/>
  <c r="AT120" i="37"/>
  <c r="AU120" i="37"/>
  <c r="AT121" i="37"/>
  <c r="AU121" i="37"/>
  <c r="AT122" i="37"/>
  <c r="AU122" i="37"/>
  <c r="AT123" i="37"/>
  <c r="AU123" i="37"/>
  <c r="AT124" i="37"/>
  <c r="AU124" i="37"/>
  <c r="AU13" i="37"/>
  <c r="AT13" i="37"/>
  <c r="G39" i="18" l="1"/>
  <c r="G38" i="18"/>
  <c r="G37" i="18"/>
  <c r="G36" i="18"/>
  <c r="F39" i="18"/>
  <c r="F38" i="18"/>
  <c r="F37" i="18"/>
  <c r="F36" i="18"/>
  <c r="C77" i="18"/>
  <c r="AU4000" i="37"/>
  <c r="AT4000" i="37"/>
  <c r="AU3999" i="37"/>
  <c r="AT3999" i="37"/>
  <c r="AU3998" i="37"/>
  <c r="AT3998" i="37"/>
  <c r="AU3997" i="37"/>
  <c r="AT3997" i="37"/>
  <c r="AU3996" i="37"/>
  <c r="AT3996" i="37"/>
  <c r="AU3995" i="37"/>
  <c r="AT3995" i="37"/>
  <c r="AU3994" i="37"/>
  <c r="AT3994" i="37"/>
  <c r="AU3993" i="37"/>
  <c r="AT3993" i="37"/>
  <c r="AU3992" i="37"/>
  <c r="AT3992" i="37"/>
  <c r="AU3991" i="37"/>
  <c r="AT3991" i="37"/>
  <c r="AU3990" i="37"/>
  <c r="AT3990" i="37"/>
  <c r="AU3989" i="37"/>
  <c r="AT3989" i="37"/>
  <c r="AU3988" i="37"/>
  <c r="AT3988" i="37"/>
  <c r="AU3987" i="37"/>
  <c r="AT3987" i="37"/>
  <c r="AU3986" i="37"/>
  <c r="AT3986" i="37"/>
  <c r="AU3985" i="37"/>
  <c r="AT3985" i="37"/>
  <c r="AU3984" i="37"/>
  <c r="AT3984" i="37"/>
  <c r="AU3983" i="37"/>
  <c r="AT3983" i="37"/>
  <c r="AU3982" i="37"/>
  <c r="AT3982" i="37"/>
  <c r="AU3981" i="37"/>
  <c r="AT3981" i="37"/>
  <c r="AU3980" i="37"/>
  <c r="AT3980" i="37"/>
  <c r="AU3979" i="37"/>
  <c r="AT3979" i="37"/>
  <c r="AU3978" i="37"/>
  <c r="AT3978" i="37"/>
  <c r="AU3977" i="37"/>
  <c r="AT3977" i="37"/>
  <c r="AU3976" i="37"/>
  <c r="AT3976" i="37"/>
  <c r="AU3975" i="37"/>
  <c r="AT3975" i="37"/>
  <c r="AU3974" i="37"/>
  <c r="AT3974" i="37"/>
  <c r="AU3973" i="37"/>
  <c r="AT3973" i="37"/>
  <c r="AU3972" i="37"/>
  <c r="AT3972" i="37"/>
  <c r="AU3971" i="37"/>
  <c r="AT3971" i="37"/>
  <c r="AU3970" i="37"/>
  <c r="AT3970" i="37"/>
  <c r="AU3969" i="37"/>
  <c r="AT3969" i="37"/>
  <c r="AU3968" i="37"/>
  <c r="AT3968" i="37"/>
  <c r="AU3967" i="37"/>
  <c r="AT3967" i="37"/>
  <c r="AU3966" i="37"/>
  <c r="AT3966" i="37"/>
  <c r="AU3965" i="37"/>
  <c r="AT3965" i="37"/>
  <c r="AU3964" i="37"/>
  <c r="AT3964" i="37"/>
  <c r="AU3963" i="37"/>
  <c r="AT3963" i="37"/>
  <c r="AU3962" i="37"/>
  <c r="AT3962" i="37"/>
  <c r="AU3961" i="37"/>
  <c r="AT3961" i="37"/>
  <c r="AU3960" i="37"/>
  <c r="AT3960" i="37"/>
  <c r="AU3959" i="37"/>
  <c r="AT3959" i="37"/>
  <c r="AU3958" i="37"/>
  <c r="AT3958" i="37"/>
  <c r="AU3957" i="37"/>
  <c r="AT3957" i="37"/>
  <c r="AU3956" i="37"/>
  <c r="AT3956" i="37"/>
  <c r="AU3955" i="37"/>
  <c r="AT3955" i="37"/>
  <c r="AU3954" i="37"/>
  <c r="AT3954" i="37"/>
  <c r="AU3953" i="37"/>
  <c r="AT3953" i="37"/>
  <c r="AU3952" i="37"/>
  <c r="AT3952" i="37"/>
  <c r="AU3951" i="37"/>
  <c r="AT3951" i="37"/>
  <c r="AU3950" i="37"/>
  <c r="AT3950" i="37"/>
  <c r="AU3949" i="37"/>
  <c r="AT3949" i="37"/>
  <c r="AU3948" i="37"/>
  <c r="AT3948" i="37"/>
  <c r="AU3947" i="37"/>
  <c r="AT3947" i="37"/>
  <c r="AU3946" i="37"/>
  <c r="AT3946" i="37"/>
  <c r="AU3945" i="37"/>
  <c r="AT3945" i="37"/>
  <c r="AU3944" i="37"/>
  <c r="AT3944" i="37"/>
  <c r="AU3943" i="37"/>
  <c r="AT3943" i="37"/>
  <c r="AU3942" i="37"/>
  <c r="AT3942" i="37"/>
  <c r="AU3941" i="37"/>
  <c r="AT3941" i="37"/>
  <c r="AU3940" i="37"/>
  <c r="AT3940" i="37"/>
  <c r="AU3939" i="37"/>
  <c r="AT3939" i="37"/>
  <c r="AU3938" i="37"/>
  <c r="AT3938" i="37"/>
  <c r="AU3937" i="37"/>
  <c r="AT3937" i="37"/>
  <c r="AU3936" i="37"/>
  <c r="AT3936" i="37"/>
  <c r="AU3935" i="37"/>
  <c r="AT3935" i="37"/>
  <c r="AU3934" i="37"/>
  <c r="AT3934" i="37"/>
  <c r="AU3933" i="37"/>
  <c r="AT3933" i="37"/>
  <c r="AU3932" i="37"/>
  <c r="AT3932" i="37"/>
  <c r="AU3931" i="37"/>
  <c r="AT3931" i="37"/>
  <c r="AU3930" i="37"/>
  <c r="AT3930" i="37"/>
  <c r="AU3929" i="37"/>
  <c r="AT3929" i="37"/>
  <c r="AU3928" i="37"/>
  <c r="AT3928" i="37"/>
  <c r="AU3927" i="37"/>
  <c r="AT3927" i="37"/>
  <c r="AU3926" i="37"/>
  <c r="AT3926" i="37"/>
  <c r="AU3925" i="37"/>
  <c r="AT3925" i="37"/>
  <c r="AU3924" i="37"/>
  <c r="AT3924" i="37"/>
  <c r="AU3923" i="37"/>
  <c r="AT3923" i="37"/>
  <c r="AU3922" i="37"/>
  <c r="AT3922" i="37"/>
  <c r="AU3921" i="37"/>
  <c r="AT3921" i="37"/>
  <c r="AU3920" i="37"/>
  <c r="AT3920" i="37"/>
  <c r="AU3919" i="37"/>
  <c r="AT3919" i="37"/>
  <c r="AU3918" i="37"/>
  <c r="AT3918" i="37"/>
  <c r="AU3917" i="37"/>
  <c r="AT3917" i="37"/>
  <c r="AU3916" i="37"/>
  <c r="AT3916" i="37"/>
  <c r="AU3915" i="37"/>
  <c r="AT3915" i="37"/>
  <c r="AU3914" i="37"/>
  <c r="AT3914" i="37"/>
  <c r="AU3913" i="37"/>
  <c r="AT3913" i="37"/>
  <c r="AU3912" i="37"/>
  <c r="AT3912" i="37"/>
  <c r="AU3911" i="37"/>
  <c r="AT3911" i="37"/>
  <c r="AU3910" i="37"/>
  <c r="AT3910" i="37"/>
  <c r="AU3909" i="37"/>
  <c r="AT3909" i="37"/>
  <c r="AU3908" i="37"/>
  <c r="AT3908" i="37"/>
  <c r="AU3907" i="37"/>
  <c r="AT3907" i="37"/>
  <c r="AU3906" i="37"/>
  <c r="AT3906" i="37"/>
  <c r="AU3905" i="37"/>
  <c r="AT3905" i="37"/>
  <c r="AU3904" i="37"/>
  <c r="AT3904" i="37"/>
  <c r="AU3903" i="37"/>
  <c r="AT3903" i="37"/>
  <c r="AU3902" i="37"/>
  <c r="AT3902" i="37"/>
  <c r="AU3901" i="37"/>
  <c r="AT3901" i="37"/>
  <c r="AU3900" i="37"/>
  <c r="AT3900" i="37"/>
  <c r="AU3899" i="37"/>
  <c r="AT3899" i="37"/>
  <c r="AU3898" i="37"/>
  <c r="AT3898" i="37"/>
  <c r="AU3897" i="37"/>
  <c r="AT3897" i="37"/>
  <c r="AU3896" i="37"/>
  <c r="AT3896" i="37"/>
  <c r="AU3895" i="37"/>
  <c r="AT3895" i="37"/>
  <c r="AU3894" i="37"/>
  <c r="AT3894" i="37"/>
  <c r="AU3893" i="37"/>
  <c r="AT3893" i="37"/>
  <c r="AU3892" i="37"/>
  <c r="AT3892" i="37"/>
  <c r="AU3891" i="37"/>
  <c r="AT3891" i="37"/>
  <c r="AU3890" i="37"/>
  <c r="AT3890" i="37"/>
  <c r="AU3889" i="37"/>
  <c r="AT3889" i="37"/>
  <c r="AU3888" i="37"/>
  <c r="AT3888" i="37"/>
  <c r="AU3887" i="37"/>
  <c r="AT3887" i="37"/>
  <c r="AU3886" i="37"/>
  <c r="AT3886" i="37"/>
  <c r="AU3885" i="37"/>
  <c r="AT3885" i="37"/>
  <c r="AU3884" i="37"/>
  <c r="AT3884" i="37"/>
  <c r="AU3883" i="37"/>
  <c r="AT3883" i="37"/>
  <c r="AU3882" i="37"/>
  <c r="AT3882" i="37"/>
  <c r="AU3881" i="37"/>
  <c r="AT3881" i="37"/>
  <c r="AU3880" i="37"/>
  <c r="AT3880" i="37"/>
  <c r="AU3879" i="37"/>
  <c r="AT3879" i="37"/>
  <c r="AU3878" i="37"/>
  <c r="AT3878" i="37"/>
  <c r="AU3877" i="37"/>
  <c r="AT3877" i="37"/>
  <c r="AU3876" i="37"/>
  <c r="AT3876" i="37"/>
  <c r="AU3875" i="37"/>
  <c r="AT3875" i="37"/>
  <c r="AU3874" i="37"/>
  <c r="AT3874" i="37"/>
  <c r="AU3873" i="37"/>
  <c r="AT3873" i="37"/>
  <c r="AU3872" i="37"/>
  <c r="AT3872" i="37"/>
  <c r="AU3871" i="37"/>
  <c r="AT3871" i="37"/>
  <c r="AU3870" i="37"/>
  <c r="AT3870" i="37"/>
  <c r="AU3869" i="37"/>
  <c r="AT3869" i="37"/>
  <c r="AU3868" i="37"/>
  <c r="AT3868" i="37"/>
  <c r="AU3867" i="37"/>
  <c r="AT3867" i="37"/>
  <c r="AU3866" i="37"/>
  <c r="AT3866" i="37"/>
  <c r="AU3865" i="37"/>
  <c r="AT3865" i="37"/>
  <c r="AU3864" i="37"/>
  <c r="AT3864" i="37"/>
  <c r="AU3863" i="37"/>
  <c r="AT3863" i="37"/>
  <c r="AU3862" i="37"/>
  <c r="AT3862" i="37"/>
  <c r="AU3861" i="37"/>
  <c r="AT3861" i="37"/>
  <c r="AU3860" i="37"/>
  <c r="AT3860" i="37"/>
  <c r="AU3859" i="37"/>
  <c r="AT3859" i="37"/>
  <c r="AU3858" i="37"/>
  <c r="AT3858" i="37"/>
  <c r="AU3857" i="37"/>
  <c r="AT3857" i="37"/>
  <c r="AU3856" i="37"/>
  <c r="AT3856" i="37"/>
  <c r="AU3855" i="37"/>
  <c r="AT3855" i="37"/>
  <c r="AU3854" i="37"/>
  <c r="AT3854" i="37"/>
  <c r="AU3853" i="37"/>
  <c r="AT3853" i="37"/>
  <c r="AU3852" i="37"/>
  <c r="AT3852" i="37"/>
  <c r="AU3851" i="37"/>
  <c r="AT3851" i="37"/>
  <c r="AU3850" i="37"/>
  <c r="AT3850" i="37"/>
  <c r="AU3849" i="37"/>
  <c r="AT3849" i="37"/>
  <c r="AU3848" i="37"/>
  <c r="AT3848" i="37"/>
  <c r="AU3847" i="37"/>
  <c r="AT3847" i="37"/>
  <c r="AU3846" i="37"/>
  <c r="AT3846" i="37"/>
  <c r="AU3845" i="37"/>
  <c r="AT3845" i="37"/>
  <c r="AU3844" i="37"/>
  <c r="AT3844" i="37"/>
  <c r="AU3843" i="37"/>
  <c r="AT3843" i="37"/>
  <c r="AU3842" i="37"/>
  <c r="AT3842" i="37"/>
  <c r="AU3841" i="37"/>
  <c r="AT3841" i="37"/>
  <c r="AU3840" i="37"/>
  <c r="AT3840" i="37"/>
  <c r="AU3839" i="37"/>
  <c r="AT3839" i="37"/>
  <c r="AU3838" i="37"/>
  <c r="AT3838" i="37"/>
  <c r="AU3837" i="37"/>
  <c r="AT3837" i="37"/>
  <c r="AU3836" i="37"/>
  <c r="AT3836" i="37"/>
  <c r="AU3835" i="37"/>
  <c r="AT3835" i="37"/>
  <c r="AU3834" i="37"/>
  <c r="AT3834" i="37"/>
  <c r="AU3833" i="37"/>
  <c r="AT3833" i="37"/>
  <c r="AU3832" i="37"/>
  <c r="AT3832" i="37"/>
  <c r="AU3831" i="37"/>
  <c r="AT3831" i="37"/>
  <c r="AU3830" i="37"/>
  <c r="AT3830" i="37"/>
  <c r="AU3829" i="37"/>
  <c r="AT3829" i="37"/>
  <c r="AU3828" i="37"/>
  <c r="AT3828" i="37"/>
  <c r="AU3827" i="37"/>
  <c r="AT3827" i="37"/>
  <c r="AU3826" i="37"/>
  <c r="AT3826" i="37"/>
  <c r="AU3825" i="37"/>
  <c r="AT3825" i="37"/>
  <c r="AU3824" i="37"/>
  <c r="AT3824" i="37"/>
  <c r="AU3823" i="37"/>
  <c r="AT3823" i="37"/>
  <c r="AU3822" i="37"/>
  <c r="AT3822" i="37"/>
  <c r="AU3821" i="37"/>
  <c r="AT3821" i="37"/>
  <c r="AU3820" i="37"/>
  <c r="AT3820" i="37"/>
  <c r="AU3819" i="37"/>
  <c r="AT3819" i="37"/>
  <c r="AU3818" i="37"/>
  <c r="AT3818" i="37"/>
  <c r="AU3817" i="37"/>
  <c r="AT3817" i="37"/>
  <c r="AU3816" i="37"/>
  <c r="AT3816" i="37"/>
  <c r="AU3815" i="37"/>
  <c r="AT3815" i="37"/>
  <c r="AU3814" i="37"/>
  <c r="AT3814" i="37"/>
  <c r="AU3813" i="37"/>
  <c r="AT3813" i="37"/>
  <c r="AU3812" i="37"/>
  <c r="AT3812" i="37"/>
  <c r="AU3811" i="37"/>
  <c r="AT3811" i="37"/>
  <c r="AU3810" i="37"/>
  <c r="AT3810" i="37"/>
  <c r="AU3809" i="37"/>
  <c r="AT3809" i="37"/>
  <c r="AU3808" i="37"/>
  <c r="AT3808" i="37"/>
  <c r="AU3807" i="37"/>
  <c r="AT3807" i="37"/>
  <c r="AU3806" i="37"/>
  <c r="AT3806" i="37"/>
  <c r="AU3805" i="37"/>
  <c r="AT3805" i="37"/>
  <c r="AU3804" i="37"/>
  <c r="AT3804" i="37"/>
  <c r="AU3803" i="37"/>
  <c r="AT3803" i="37"/>
  <c r="AU3802" i="37"/>
  <c r="AT3802" i="37"/>
  <c r="AU3801" i="37"/>
  <c r="AT3801" i="37"/>
  <c r="AU3800" i="37"/>
  <c r="AT3800" i="37"/>
  <c r="AU3799" i="37"/>
  <c r="AT3799" i="37"/>
  <c r="AU3798" i="37"/>
  <c r="AT3798" i="37"/>
  <c r="AU3797" i="37"/>
  <c r="AT3797" i="37"/>
  <c r="AU3796" i="37"/>
  <c r="AT3796" i="37"/>
  <c r="AU3795" i="37"/>
  <c r="AT3795" i="37"/>
  <c r="AU3794" i="37"/>
  <c r="AT3794" i="37"/>
  <c r="AU3793" i="37"/>
  <c r="AT3793" i="37"/>
  <c r="AU3792" i="37"/>
  <c r="AT3792" i="37"/>
  <c r="AU3791" i="37"/>
  <c r="AT3791" i="37"/>
  <c r="AU3790" i="37"/>
  <c r="AT3790" i="37"/>
  <c r="AU3789" i="37"/>
  <c r="AT3789" i="37"/>
  <c r="AU3788" i="37"/>
  <c r="AT3788" i="37"/>
  <c r="AU3787" i="37"/>
  <c r="AT3787" i="37"/>
  <c r="AU3786" i="37"/>
  <c r="AT3786" i="37"/>
  <c r="AU3785" i="37"/>
  <c r="AT3785" i="37"/>
  <c r="AU3784" i="37"/>
  <c r="AT3784" i="37"/>
  <c r="AU3783" i="37"/>
  <c r="AT3783" i="37"/>
  <c r="AU3782" i="37"/>
  <c r="AT3782" i="37"/>
  <c r="AU3781" i="37"/>
  <c r="AT3781" i="37"/>
  <c r="AU3780" i="37"/>
  <c r="AT3780" i="37"/>
  <c r="AU3779" i="37"/>
  <c r="AT3779" i="37"/>
  <c r="AU3778" i="37"/>
  <c r="AT3778" i="37"/>
  <c r="AU3777" i="37"/>
  <c r="AT3777" i="37"/>
  <c r="AU3776" i="37"/>
  <c r="AT3776" i="37"/>
  <c r="AU3775" i="37"/>
  <c r="AT3775" i="37"/>
  <c r="AU3774" i="37"/>
  <c r="AT3774" i="37"/>
  <c r="AU3773" i="37"/>
  <c r="AT3773" i="37"/>
  <c r="AU3772" i="37"/>
  <c r="AT3772" i="37"/>
  <c r="AU3771" i="37"/>
  <c r="AT3771" i="37"/>
  <c r="AU3770" i="37"/>
  <c r="AT3770" i="37"/>
  <c r="AU3769" i="37"/>
  <c r="AT3769" i="37"/>
  <c r="AU3768" i="37"/>
  <c r="AT3768" i="37"/>
  <c r="AU3767" i="37"/>
  <c r="AT3767" i="37"/>
  <c r="AU3766" i="37"/>
  <c r="AT3766" i="37"/>
  <c r="AU3765" i="37"/>
  <c r="AT3765" i="37"/>
  <c r="AU3764" i="37"/>
  <c r="AT3764" i="37"/>
  <c r="AU3763" i="37"/>
  <c r="AT3763" i="37"/>
  <c r="AU3762" i="37"/>
  <c r="AT3762" i="37"/>
  <c r="AU3761" i="37"/>
  <c r="AT3761" i="37"/>
  <c r="AU3760" i="37"/>
  <c r="AT3760" i="37"/>
  <c r="AU3759" i="37"/>
  <c r="AT3759" i="37"/>
  <c r="AU3758" i="37"/>
  <c r="AT3758" i="37"/>
  <c r="AU3757" i="37"/>
  <c r="AT3757" i="37"/>
  <c r="AU3756" i="37"/>
  <c r="AT3756" i="37"/>
  <c r="AU3755" i="37"/>
  <c r="AT3755" i="37"/>
  <c r="AU3754" i="37"/>
  <c r="AT3754" i="37"/>
  <c r="AU3753" i="37"/>
  <c r="AT3753" i="37"/>
  <c r="AU3752" i="37"/>
  <c r="AT3752" i="37"/>
  <c r="AU3751" i="37"/>
  <c r="AT3751" i="37"/>
  <c r="AU3750" i="37"/>
  <c r="AT3750" i="37"/>
  <c r="AU3749" i="37"/>
  <c r="AT3749" i="37"/>
  <c r="AU3748" i="37"/>
  <c r="AT3748" i="37"/>
  <c r="AU3747" i="37"/>
  <c r="AT3747" i="37"/>
  <c r="AU3746" i="37"/>
  <c r="AT3746" i="37"/>
  <c r="AU3745" i="37"/>
  <c r="AT3745" i="37"/>
  <c r="AU3744" i="37"/>
  <c r="AT3744" i="37"/>
  <c r="AU3743" i="37"/>
  <c r="AT3743" i="37"/>
  <c r="AU3742" i="37"/>
  <c r="AT3742" i="37"/>
  <c r="AU3741" i="37"/>
  <c r="AT3741" i="37"/>
  <c r="AU3740" i="37"/>
  <c r="AT3740" i="37"/>
  <c r="AU3739" i="37"/>
  <c r="AT3739" i="37"/>
  <c r="AU3738" i="37"/>
  <c r="AT3738" i="37"/>
  <c r="AU3737" i="37"/>
  <c r="AT3737" i="37"/>
  <c r="AU3736" i="37"/>
  <c r="AT3736" i="37"/>
  <c r="AU3735" i="37"/>
  <c r="AT3735" i="37"/>
  <c r="AU3734" i="37"/>
  <c r="AT3734" i="37"/>
  <c r="AU3733" i="37"/>
  <c r="AT3733" i="37"/>
  <c r="AU3732" i="37"/>
  <c r="AT3732" i="37"/>
  <c r="AU3731" i="37"/>
  <c r="AT3731" i="37"/>
  <c r="AU3730" i="37"/>
  <c r="AT3730" i="37"/>
  <c r="AU3729" i="37"/>
  <c r="AT3729" i="37"/>
  <c r="AU3728" i="37"/>
  <c r="AT3728" i="37"/>
  <c r="AU3727" i="37"/>
  <c r="AT3727" i="37"/>
  <c r="AU3726" i="37"/>
  <c r="AT3726" i="37"/>
  <c r="AU3725" i="37"/>
  <c r="AT3725" i="37"/>
  <c r="AU3724" i="37"/>
  <c r="AT3724" i="37"/>
  <c r="AU3723" i="37"/>
  <c r="AT3723" i="37"/>
  <c r="AU3722" i="37"/>
  <c r="AT3722" i="37"/>
  <c r="AU3721" i="37"/>
  <c r="AT3721" i="37"/>
  <c r="AU3720" i="37"/>
  <c r="AT3720" i="37"/>
  <c r="AU3719" i="37"/>
  <c r="AT3719" i="37"/>
  <c r="AU3718" i="37"/>
  <c r="AT3718" i="37"/>
  <c r="AU3717" i="37"/>
  <c r="AT3717" i="37"/>
  <c r="AU3716" i="37"/>
  <c r="AT3716" i="37"/>
  <c r="AU3715" i="37"/>
  <c r="AT3715" i="37"/>
  <c r="AU3714" i="37"/>
  <c r="AT3714" i="37"/>
  <c r="AU3713" i="37"/>
  <c r="AT3713" i="37"/>
  <c r="AU3712" i="37"/>
  <c r="AT3712" i="37"/>
  <c r="AU3711" i="37"/>
  <c r="AT3711" i="37"/>
  <c r="AU3710" i="37"/>
  <c r="AT3710" i="37"/>
  <c r="AU3709" i="37"/>
  <c r="AT3709" i="37"/>
  <c r="AU3708" i="37"/>
  <c r="AT3708" i="37"/>
  <c r="AU3707" i="37"/>
  <c r="AT3707" i="37"/>
  <c r="AU3706" i="37"/>
  <c r="AT3706" i="37"/>
  <c r="AU3705" i="37"/>
  <c r="AT3705" i="37"/>
  <c r="AU3704" i="37"/>
  <c r="AT3704" i="37"/>
  <c r="AU3703" i="37"/>
  <c r="AT3703" i="37"/>
  <c r="AU3702" i="37"/>
  <c r="AT3702" i="37"/>
  <c r="AU3701" i="37"/>
  <c r="AT3701" i="37"/>
  <c r="AU3700" i="37"/>
  <c r="AT3700" i="37"/>
  <c r="AU3699" i="37"/>
  <c r="AT3699" i="37"/>
  <c r="AU3698" i="37"/>
  <c r="AT3698" i="37"/>
  <c r="AU3697" i="37"/>
  <c r="AT3697" i="37"/>
  <c r="AU3696" i="37"/>
  <c r="AT3696" i="37"/>
  <c r="AU3695" i="37"/>
  <c r="AT3695" i="37"/>
  <c r="AU3694" i="37"/>
  <c r="AT3694" i="37"/>
  <c r="AU3693" i="37"/>
  <c r="AT3693" i="37"/>
  <c r="AU3692" i="37"/>
  <c r="AT3692" i="37"/>
  <c r="AU3691" i="37"/>
  <c r="AT3691" i="37"/>
  <c r="AU3690" i="37"/>
  <c r="AT3690" i="37"/>
  <c r="AU3689" i="37"/>
  <c r="AT3689" i="37"/>
  <c r="AU3688" i="37"/>
  <c r="AT3688" i="37"/>
  <c r="AU3687" i="37"/>
  <c r="AT3687" i="37"/>
  <c r="AU3686" i="37"/>
  <c r="AT3686" i="37"/>
  <c r="AU3685" i="37"/>
  <c r="AT3685" i="37"/>
  <c r="AU3684" i="37"/>
  <c r="AT3684" i="37"/>
  <c r="AU3683" i="37"/>
  <c r="AT3683" i="37"/>
  <c r="AU3682" i="37"/>
  <c r="AT3682" i="37"/>
  <c r="AU3681" i="37"/>
  <c r="AT3681" i="37"/>
  <c r="AU3680" i="37"/>
  <c r="AT3680" i="37"/>
  <c r="AU3679" i="37"/>
  <c r="AT3679" i="37"/>
  <c r="AU3678" i="37"/>
  <c r="AT3678" i="37"/>
  <c r="AU3677" i="37"/>
  <c r="AT3677" i="37"/>
  <c r="AU3676" i="37"/>
  <c r="AT3676" i="37"/>
  <c r="AU3675" i="37"/>
  <c r="AT3675" i="37"/>
  <c r="AU3674" i="37"/>
  <c r="AT3674" i="37"/>
  <c r="AU3673" i="37"/>
  <c r="AT3673" i="37"/>
  <c r="AU3672" i="37"/>
  <c r="AT3672" i="37"/>
  <c r="AU3671" i="37"/>
  <c r="AT3671" i="37"/>
  <c r="AU3670" i="37"/>
  <c r="AT3670" i="37"/>
  <c r="AU3669" i="37"/>
  <c r="AT3669" i="37"/>
  <c r="AU3668" i="37"/>
  <c r="AT3668" i="37"/>
  <c r="AU3667" i="37"/>
  <c r="AT3667" i="37"/>
  <c r="AU3666" i="37"/>
  <c r="AT3666" i="37"/>
  <c r="AU3665" i="37"/>
  <c r="AT3665" i="37"/>
  <c r="AU3664" i="37"/>
  <c r="AT3664" i="37"/>
  <c r="AU3663" i="37"/>
  <c r="AT3663" i="37"/>
  <c r="AU3662" i="37"/>
  <c r="AT3662" i="37"/>
  <c r="AU3661" i="37"/>
  <c r="AT3661" i="37"/>
  <c r="AU3660" i="37"/>
  <c r="AT3660" i="37"/>
  <c r="AU3659" i="37"/>
  <c r="AT3659" i="37"/>
  <c r="AU3658" i="37"/>
  <c r="AT3658" i="37"/>
  <c r="AU3657" i="37"/>
  <c r="AT3657" i="37"/>
  <c r="AU3656" i="37"/>
  <c r="AT3656" i="37"/>
  <c r="AU3655" i="37"/>
  <c r="AT3655" i="37"/>
  <c r="AU3654" i="37"/>
  <c r="AT3654" i="37"/>
  <c r="AU3653" i="37"/>
  <c r="AT3653" i="37"/>
  <c r="AU3652" i="37"/>
  <c r="AT3652" i="37"/>
  <c r="AU3651" i="37"/>
  <c r="AT3651" i="37"/>
  <c r="AU3650" i="37"/>
  <c r="AT3650" i="37"/>
  <c r="AU3649" i="37"/>
  <c r="AT3649" i="37"/>
  <c r="AU3648" i="37"/>
  <c r="AT3648" i="37"/>
  <c r="AU3647" i="37"/>
  <c r="AT3647" i="37"/>
  <c r="AU3646" i="37"/>
  <c r="AT3646" i="37"/>
  <c r="AU3645" i="37"/>
  <c r="AT3645" i="37"/>
  <c r="AU3644" i="37"/>
  <c r="AT3644" i="37"/>
  <c r="AU3643" i="37"/>
  <c r="AT3643" i="37"/>
  <c r="AU3642" i="37"/>
  <c r="AT3642" i="37"/>
  <c r="AU3641" i="37"/>
  <c r="AT3641" i="37"/>
  <c r="AU3640" i="37"/>
  <c r="AT3640" i="37"/>
  <c r="AU3639" i="37"/>
  <c r="AT3639" i="37"/>
  <c r="AU3638" i="37"/>
  <c r="AT3638" i="37"/>
  <c r="AU3637" i="37"/>
  <c r="AT3637" i="37"/>
  <c r="AU3636" i="37"/>
  <c r="AT3636" i="37"/>
  <c r="AU3635" i="37"/>
  <c r="AT3635" i="37"/>
  <c r="AU3634" i="37"/>
  <c r="AT3634" i="37"/>
  <c r="AU3633" i="37"/>
  <c r="AT3633" i="37"/>
  <c r="AU3632" i="37"/>
  <c r="AT3632" i="37"/>
  <c r="AU3631" i="37"/>
  <c r="AT3631" i="37"/>
  <c r="AU3630" i="37"/>
  <c r="AT3630" i="37"/>
  <c r="AU3629" i="37"/>
  <c r="AT3629" i="37"/>
  <c r="AU3628" i="37"/>
  <c r="AT3628" i="37"/>
  <c r="AU3627" i="37"/>
  <c r="AT3627" i="37"/>
  <c r="AU3626" i="37"/>
  <c r="AT3626" i="37"/>
  <c r="AU3625" i="37"/>
  <c r="AT3625" i="37"/>
  <c r="AU3624" i="37"/>
  <c r="AT3624" i="37"/>
  <c r="AU3623" i="37"/>
  <c r="AT3623" i="37"/>
  <c r="AU3622" i="37"/>
  <c r="AT3622" i="37"/>
  <c r="AU3621" i="37"/>
  <c r="AT3621" i="37"/>
  <c r="AU3620" i="37"/>
  <c r="AT3620" i="37"/>
  <c r="AU3619" i="37"/>
  <c r="AT3619" i="37"/>
  <c r="AU3618" i="37"/>
  <c r="AT3618" i="37"/>
  <c r="AU3617" i="37"/>
  <c r="AT3617" i="37"/>
  <c r="AU3616" i="37"/>
  <c r="AT3616" i="37"/>
  <c r="AU3615" i="37"/>
  <c r="AT3615" i="37"/>
  <c r="AU3614" i="37"/>
  <c r="AT3614" i="37"/>
  <c r="AU3613" i="37"/>
  <c r="AT3613" i="37"/>
  <c r="AU3612" i="37"/>
  <c r="AT3612" i="37"/>
  <c r="AU3611" i="37"/>
  <c r="AT3611" i="37"/>
  <c r="AU3610" i="37"/>
  <c r="AT3610" i="37"/>
  <c r="AU3609" i="37"/>
  <c r="AT3609" i="37"/>
  <c r="AU3608" i="37"/>
  <c r="AT3608" i="37"/>
  <c r="AU3607" i="37"/>
  <c r="AT3607" i="37"/>
  <c r="AU3606" i="37"/>
  <c r="AT3606" i="37"/>
  <c r="AU3605" i="37"/>
  <c r="AT3605" i="37"/>
  <c r="AU3604" i="37"/>
  <c r="AT3604" i="37"/>
  <c r="AU3603" i="37"/>
  <c r="AT3603" i="37"/>
  <c r="AU3602" i="37"/>
  <c r="AT3602" i="37"/>
  <c r="AU3601" i="37"/>
  <c r="AT3601" i="37"/>
  <c r="AU3600" i="37"/>
  <c r="AT3600" i="37"/>
  <c r="AU3599" i="37"/>
  <c r="AT3599" i="37"/>
  <c r="AU3598" i="37"/>
  <c r="AT3598" i="37"/>
  <c r="AU3597" i="37"/>
  <c r="AT3597" i="37"/>
  <c r="AU3596" i="37"/>
  <c r="AT3596" i="37"/>
  <c r="AU3595" i="37"/>
  <c r="AT3595" i="37"/>
  <c r="AU3594" i="37"/>
  <c r="AT3594" i="37"/>
  <c r="AU3593" i="37"/>
  <c r="AT3593" i="37"/>
  <c r="AU3592" i="37"/>
  <c r="AT3592" i="37"/>
  <c r="AU3591" i="37"/>
  <c r="AT3591" i="37"/>
  <c r="AU3590" i="37"/>
  <c r="AT3590" i="37"/>
  <c r="AU3589" i="37"/>
  <c r="AT3589" i="37"/>
  <c r="AU3588" i="37"/>
  <c r="AT3588" i="37"/>
  <c r="AU3587" i="37"/>
  <c r="AT3587" i="37"/>
  <c r="AU3586" i="37"/>
  <c r="AT3586" i="37"/>
  <c r="AU3585" i="37"/>
  <c r="AT3585" i="37"/>
  <c r="AU3584" i="37"/>
  <c r="AT3584" i="37"/>
  <c r="AU3583" i="37"/>
  <c r="AT3583" i="37"/>
  <c r="AU3582" i="37"/>
  <c r="AT3582" i="37"/>
  <c r="AU3581" i="37"/>
  <c r="AT3581" i="37"/>
  <c r="AU3580" i="37"/>
  <c r="AT3580" i="37"/>
  <c r="AU3579" i="37"/>
  <c r="AT3579" i="37"/>
  <c r="AU3578" i="37"/>
  <c r="AT3578" i="37"/>
  <c r="AU3577" i="37"/>
  <c r="AT3577" i="37"/>
  <c r="AU3576" i="37"/>
  <c r="AT3576" i="37"/>
  <c r="AU3575" i="37"/>
  <c r="AT3575" i="37"/>
  <c r="AU3574" i="37"/>
  <c r="AT3574" i="37"/>
  <c r="AU3573" i="37"/>
  <c r="AT3573" i="37"/>
  <c r="AU3572" i="37"/>
  <c r="AT3572" i="37"/>
  <c r="AU3571" i="37"/>
  <c r="AT3571" i="37"/>
  <c r="AU3570" i="37"/>
  <c r="AT3570" i="37"/>
  <c r="AU3569" i="37"/>
  <c r="AT3569" i="37"/>
  <c r="AU3568" i="37"/>
  <c r="AT3568" i="37"/>
  <c r="AU3567" i="37"/>
  <c r="AT3567" i="37"/>
  <c r="AU3566" i="37"/>
  <c r="AT3566" i="37"/>
  <c r="AU3565" i="37"/>
  <c r="AT3565" i="37"/>
  <c r="AU3564" i="37"/>
  <c r="AT3564" i="37"/>
  <c r="AU3563" i="37"/>
  <c r="AT3563" i="37"/>
  <c r="AU3562" i="37"/>
  <c r="AT3562" i="37"/>
  <c r="AU3561" i="37"/>
  <c r="AT3561" i="37"/>
  <c r="AU3560" i="37"/>
  <c r="AT3560" i="37"/>
  <c r="AU3559" i="37"/>
  <c r="AT3559" i="37"/>
  <c r="AU3558" i="37"/>
  <c r="AT3558" i="37"/>
  <c r="AU3557" i="37"/>
  <c r="AT3557" i="37"/>
  <c r="AU3556" i="37"/>
  <c r="AT3556" i="37"/>
  <c r="AU3555" i="37"/>
  <c r="AT3555" i="37"/>
  <c r="AU3554" i="37"/>
  <c r="AT3554" i="37"/>
  <c r="AU3553" i="37"/>
  <c r="AT3553" i="37"/>
  <c r="AU3552" i="37"/>
  <c r="AT3552" i="37"/>
  <c r="AU3551" i="37"/>
  <c r="AT3551" i="37"/>
  <c r="AU3550" i="37"/>
  <c r="AT3550" i="37"/>
  <c r="AU3549" i="37"/>
  <c r="AT3549" i="37"/>
  <c r="AU3548" i="37"/>
  <c r="AT3548" i="37"/>
  <c r="AU3547" i="37"/>
  <c r="AT3547" i="37"/>
  <c r="AU3546" i="37"/>
  <c r="AT3546" i="37"/>
  <c r="AU3545" i="37"/>
  <c r="AT3545" i="37"/>
  <c r="AU3544" i="37"/>
  <c r="AT3544" i="37"/>
  <c r="AU3543" i="37"/>
  <c r="AT3543" i="37"/>
  <c r="AU3542" i="37"/>
  <c r="AT3542" i="37"/>
  <c r="AU3541" i="37"/>
  <c r="AT3541" i="37"/>
  <c r="AU3540" i="37"/>
  <c r="AT3540" i="37"/>
  <c r="AU3539" i="37"/>
  <c r="AT3539" i="37"/>
  <c r="AU3538" i="37"/>
  <c r="AT3538" i="37"/>
  <c r="AU3537" i="37"/>
  <c r="AT3537" i="37"/>
  <c r="AU3536" i="37"/>
  <c r="AT3536" i="37"/>
  <c r="AU3535" i="37"/>
  <c r="AT3535" i="37"/>
  <c r="AU3534" i="37"/>
  <c r="AT3534" i="37"/>
  <c r="AU3533" i="37"/>
  <c r="AT3533" i="37"/>
  <c r="AU3532" i="37"/>
  <c r="AT3532" i="37"/>
  <c r="AU3531" i="37"/>
  <c r="AT3531" i="37"/>
  <c r="AU3530" i="37"/>
  <c r="AT3530" i="37"/>
  <c r="AU3529" i="37"/>
  <c r="AT3529" i="37"/>
  <c r="AU3528" i="37"/>
  <c r="AT3528" i="37"/>
  <c r="AU3527" i="37"/>
  <c r="AT3527" i="37"/>
  <c r="AU3526" i="37"/>
  <c r="AT3526" i="37"/>
  <c r="AU3525" i="37"/>
  <c r="AT3525" i="37"/>
  <c r="AU3524" i="37"/>
  <c r="AT3524" i="37"/>
  <c r="AU3523" i="37"/>
  <c r="AT3523" i="37"/>
  <c r="AU3522" i="37"/>
  <c r="AT3522" i="37"/>
  <c r="AU3521" i="37"/>
  <c r="AT3521" i="37"/>
  <c r="AU3520" i="37"/>
  <c r="AT3520" i="37"/>
  <c r="AU3519" i="37"/>
  <c r="AT3519" i="37"/>
  <c r="AU3518" i="37"/>
  <c r="AT3518" i="37"/>
  <c r="AU3517" i="37"/>
  <c r="AT3517" i="37"/>
  <c r="AU3516" i="37"/>
  <c r="AT3516" i="37"/>
  <c r="AU3515" i="37"/>
  <c r="AT3515" i="37"/>
  <c r="AU3514" i="37"/>
  <c r="AT3514" i="37"/>
  <c r="AU3513" i="37"/>
  <c r="AT3513" i="37"/>
  <c r="AU3512" i="37"/>
  <c r="AT3512" i="37"/>
  <c r="AU3511" i="37"/>
  <c r="AT3511" i="37"/>
  <c r="AU3510" i="37"/>
  <c r="AT3510" i="37"/>
  <c r="AU3509" i="37"/>
  <c r="AT3509" i="37"/>
  <c r="AU3508" i="37"/>
  <c r="AT3508" i="37"/>
  <c r="AU3507" i="37"/>
  <c r="AT3507" i="37"/>
  <c r="AU3506" i="37"/>
  <c r="AT3506" i="37"/>
  <c r="AU3505" i="37"/>
  <c r="AT3505" i="37"/>
  <c r="AU3504" i="37"/>
  <c r="AT3504" i="37"/>
  <c r="AU3503" i="37"/>
  <c r="AT3503" i="37"/>
  <c r="AU3502" i="37"/>
  <c r="AT3502" i="37"/>
  <c r="AU3501" i="37"/>
  <c r="AT3501" i="37"/>
  <c r="AU3500" i="37"/>
  <c r="AT3500" i="37"/>
  <c r="AU3499" i="37"/>
  <c r="AT3499" i="37"/>
  <c r="AU3498" i="37"/>
  <c r="AT3498" i="37"/>
  <c r="AU3497" i="37"/>
  <c r="AT3497" i="37"/>
  <c r="AU3496" i="37"/>
  <c r="AT3496" i="37"/>
  <c r="AU3495" i="37"/>
  <c r="AT3495" i="37"/>
  <c r="AU3494" i="37"/>
  <c r="AT3494" i="37"/>
  <c r="AU3493" i="37"/>
  <c r="AT3493" i="37"/>
  <c r="AU3492" i="37"/>
  <c r="AT3492" i="37"/>
  <c r="AU3491" i="37"/>
  <c r="AT3491" i="37"/>
  <c r="AU3490" i="37"/>
  <c r="AT3490" i="37"/>
  <c r="AU3489" i="37"/>
  <c r="AT3489" i="37"/>
  <c r="AU3488" i="37"/>
  <c r="AT3488" i="37"/>
  <c r="AU3487" i="37"/>
  <c r="AT3487" i="37"/>
  <c r="AU3486" i="37"/>
  <c r="AT3486" i="37"/>
  <c r="AU3485" i="37"/>
  <c r="AT3485" i="37"/>
  <c r="AU3484" i="37"/>
  <c r="AT3484" i="37"/>
  <c r="AU3483" i="37"/>
  <c r="AT3483" i="37"/>
  <c r="AU3482" i="37"/>
  <c r="AT3482" i="37"/>
  <c r="AU3481" i="37"/>
  <c r="AT3481" i="37"/>
  <c r="AU3480" i="37"/>
  <c r="AT3480" i="37"/>
  <c r="AU3479" i="37"/>
  <c r="AT3479" i="37"/>
  <c r="AU3478" i="37"/>
  <c r="AT3478" i="37"/>
  <c r="AU3477" i="37"/>
  <c r="AT3477" i="37"/>
  <c r="AU3476" i="37"/>
  <c r="AT3476" i="37"/>
  <c r="AU3475" i="37"/>
  <c r="AT3475" i="37"/>
  <c r="AU3474" i="37"/>
  <c r="AT3474" i="37"/>
  <c r="AU3473" i="37"/>
  <c r="AT3473" i="37"/>
  <c r="AU3472" i="37"/>
  <c r="AT3472" i="37"/>
  <c r="AU3471" i="37"/>
  <c r="AT3471" i="37"/>
  <c r="AU3470" i="37"/>
  <c r="AT3470" i="37"/>
  <c r="AU3469" i="37"/>
  <c r="AT3469" i="37"/>
  <c r="AU3468" i="37"/>
  <c r="AT3468" i="37"/>
  <c r="AU3467" i="37"/>
  <c r="AT3467" i="37"/>
  <c r="AU3466" i="37"/>
  <c r="AT3466" i="37"/>
  <c r="AU3465" i="37"/>
  <c r="AT3465" i="37"/>
  <c r="AU3464" i="37"/>
  <c r="AT3464" i="37"/>
  <c r="AU3463" i="37"/>
  <c r="AT3463" i="37"/>
  <c r="AU3462" i="37"/>
  <c r="AT3462" i="37"/>
  <c r="AU3461" i="37"/>
  <c r="AT3461" i="37"/>
  <c r="AU3460" i="37"/>
  <c r="AT3460" i="37"/>
  <c r="AU3459" i="37"/>
  <c r="AT3459" i="37"/>
  <c r="AU3458" i="37"/>
  <c r="AT3458" i="37"/>
  <c r="AU3457" i="37"/>
  <c r="AT3457" i="37"/>
  <c r="AU3456" i="37"/>
  <c r="AT3456" i="37"/>
  <c r="AU3455" i="37"/>
  <c r="AT3455" i="37"/>
  <c r="AU3454" i="37"/>
  <c r="AT3454" i="37"/>
  <c r="AU3453" i="37"/>
  <c r="AT3453" i="37"/>
  <c r="AU3452" i="37"/>
  <c r="AT3452" i="37"/>
  <c r="AU3451" i="37"/>
  <c r="AT3451" i="37"/>
  <c r="AU3450" i="37"/>
  <c r="AT3450" i="37"/>
  <c r="AU3449" i="37"/>
  <c r="AT3449" i="37"/>
  <c r="AU3448" i="37"/>
  <c r="AT3448" i="37"/>
  <c r="AU3447" i="37"/>
  <c r="AT3447" i="37"/>
  <c r="AU3446" i="37"/>
  <c r="AT3446" i="37"/>
  <c r="AU3445" i="37"/>
  <c r="AT3445" i="37"/>
  <c r="AU3444" i="37"/>
  <c r="AT3444" i="37"/>
  <c r="AU3443" i="37"/>
  <c r="AT3443" i="37"/>
  <c r="AU3442" i="37"/>
  <c r="AT3442" i="37"/>
  <c r="AU3441" i="37"/>
  <c r="AT3441" i="37"/>
  <c r="AU3440" i="37"/>
  <c r="AT3440" i="37"/>
  <c r="AU3439" i="37"/>
  <c r="AT3439" i="37"/>
  <c r="AU3438" i="37"/>
  <c r="AT3438" i="37"/>
  <c r="AU3437" i="37"/>
  <c r="AT3437" i="37"/>
  <c r="AU3436" i="37"/>
  <c r="AT3436" i="37"/>
  <c r="AU3435" i="37"/>
  <c r="AT3435" i="37"/>
  <c r="AU3434" i="37"/>
  <c r="AT3434" i="37"/>
  <c r="AU3433" i="37"/>
  <c r="AT3433" i="37"/>
  <c r="AU3432" i="37"/>
  <c r="AT3432" i="37"/>
  <c r="AU3431" i="37"/>
  <c r="AT3431" i="37"/>
  <c r="AU3430" i="37"/>
  <c r="AT3430" i="37"/>
  <c r="AU3429" i="37"/>
  <c r="AT3429" i="37"/>
  <c r="AU3428" i="37"/>
  <c r="AT3428" i="37"/>
  <c r="AU3427" i="37"/>
  <c r="AT3427" i="37"/>
  <c r="AU3426" i="37"/>
  <c r="AT3426" i="37"/>
  <c r="AU3425" i="37"/>
  <c r="AT3425" i="37"/>
  <c r="AU3424" i="37"/>
  <c r="AT3424" i="37"/>
  <c r="AU3423" i="37"/>
  <c r="AT3423" i="37"/>
  <c r="AU3422" i="37"/>
  <c r="AT3422" i="37"/>
  <c r="AU3421" i="37"/>
  <c r="AT3421" i="37"/>
  <c r="AU3420" i="37"/>
  <c r="AT3420" i="37"/>
  <c r="AU3419" i="37"/>
  <c r="AT3419" i="37"/>
  <c r="AU3418" i="37"/>
  <c r="AT3418" i="37"/>
  <c r="AU3417" i="37"/>
  <c r="AT3417" i="37"/>
  <c r="AU3416" i="37"/>
  <c r="AT3416" i="37"/>
  <c r="AU3415" i="37"/>
  <c r="AT3415" i="37"/>
  <c r="AU3414" i="37"/>
  <c r="AT3414" i="37"/>
  <c r="AU3413" i="37"/>
  <c r="AT3413" i="37"/>
  <c r="AU3412" i="37"/>
  <c r="AT3412" i="37"/>
  <c r="AU3411" i="37"/>
  <c r="AT3411" i="37"/>
  <c r="AU3410" i="37"/>
  <c r="AT3410" i="37"/>
  <c r="AU3409" i="37"/>
  <c r="AT3409" i="37"/>
  <c r="AU3408" i="37"/>
  <c r="AT3408" i="37"/>
  <c r="AU3407" i="37"/>
  <c r="AT3407" i="37"/>
  <c r="AU3406" i="37"/>
  <c r="AT3406" i="37"/>
  <c r="AU3405" i="37"/>
  <c r="AT3405" i="37"/>
  <c r="AU3404" i="37"/>
  <c r="AT3404" i="37"/>
  <c r="AU3403" i="37"/>
  <c r="AT3403" i="37"/>
  <c r="AU3402" i="37"/>
  <c r="AT3402" i="37"/>
  <c r="AU3401" i="37"/>
  <c r="AT3401" i="37"/>
  <c r="AU3400" i="37"/>
  <c r="AT3400" i="37"/>
  <c r="AU3399" i="37"/>
  <c r="AT3399" i="37"/>
  <c r="AU3398" i="37"/>
  <c r="AT3398" i="37"/>
  <c r="AU3397" i="37"/>
  <c r="AT3397" i="37"/>
  <c r="AU3396" i="37"/>
  <c r="AT3396" i="37"/>
  <c r="AU3395" i="37"/>
  <c r="AT3395" i="37"/>
  <c r="AU3394" i="37"/>
  <c r="AT3394" i="37"/>
  <c r="AU3393" i="37"/>
  <c r="AT3393" i="37"/>
  <c r="AU3392" i="37"/>
  <c r="AT3392" i="37"/>
  <c r="AU3391" i="37"/>
  <c r="AT3391" i="37"/>
  <c r="AU3390" i="37"/>
  <c r="AT3390" i="37"/>
  <c r="AU3389" i="37"/>
  <c r="AT3389" i="37"/>
  <c r="AU3388" i="37"/>
  <c r="AT3388" i="37"/>
  <c r="AU3387" i="37"/>
  <c r="AT3387" i="37"/>
  <c r="AU3386" i="37"/>
  <c r="AT3386" i="37"/>
  <c r="AU3385" i="37"/>
  <c r="AT3385" i="37"/>
  <c r="AU3384" i="37"/>
  <c r="AT3384" i="37"/>
  <c r="AU3383" i="37"/>
  <c r="AT3383" i="37"/>
  <c r="AU3382" i="37"/>
  <c r="AT3382" i="37"/>
  <c r="AU3381" i="37"/>
  <c r="AT3381" i="37"/>
  <c r="AU3380" i="37"/>
  <c r="AT3380" i="37"/>
  <c r="AU3379" i="37"/>
  <c r="AT3379" i="37"/>
  <c r="AU3378" i="37"/>
  <c r="AT3378" i="37"/>
  <c r="AU3377" i="37"/>
  <c r="AT3377" i="37"/>
  <c r="AU3376" i="37"/>
  <c r="AT3376" i="37"/>
  <c r="AU3375" i="37"/>
  <c r="AT3375" i="37"/>
  <c r="AU3374" i="37"/>
  <c r="AT3374" i="37"/>
  <c r="AU3373" i="37"/>
  <c r="AT3373" i="37"/>
  <c r="AU3372" i="37"/>
  <c r="AT3372" i="37"/>
  <c r="AU3371" i="37"/>
  <c r="AT3371" i="37"/>
  <c r="AU3370" i="37"/>
  <c r="AT3370" i="37"/>
  <c r="AU3369" i="37"/>
  <c r="AT3369" i="37"/>
  <c r="AU3368" i="37"/>
  <c r="AT3368" i="37"/>
  <c r="AU3367" i="37"/>
  <c r="AT3367" i="37"/>
  <c r="AU3366" i="37"/>
  <c r="AT3366" i="37"/>
  <c r="AU3365" i="37"/>
  <c r="AT3365" i="37"/>
  <c r="AU3364" i="37"/>
  <c r="AT3364" i="37"/>
  <c r="AU3363" i="37"/>
  <c r="AT3363" i="37"/>
  <c r="AU3362" i="37"/>
  <c r="AT3362" i="37"/>
  <c r="AU3361" i="37"/>
  <c r="AT3361" i="37"/>
  <c r="AU3360" i="37"/>
  <c r="AT3360" i="37"/>
  <c r="AU3359" i="37"/>
  <c r="AT3359" i="37"/>
  <c r="AU3358" i="37"/>
  <c r="AT3358" i="37"/>
  <c r="AU3357" i="37"/>
  <c r="AT3357" i="37"/>
  <c r="AU3356" i="37"/>
  <c r="AT3356" i="37"/>
  <c r="AU3355" i="37"/>
  <c r="AT3355" i="37"/>
  <c r="AU3354" i="37"/>
  <c r="AT3354" i="37"/>
  <c r="AU3353" i="37"/>
  <c r="AT3353" i="37"/>
  <c r="AU3352" i="37"/>
  <c r="AT3352" i="37"/>
  <c r="AU3351" i="37"/>
  <c r="AT3351" i="37"/>
  <c r="AU3350" i="37"/>
  <c r="AT3350" i="37"/>
  <c r="AU3349" i="37"/>
  <c r="AT3349" i="37"/>
  <c r="AU3348" i="37"/>
  <c r="AT3348" i="37"/>
  <c r="AU3347" i="37"/>
  <c r="AT3347" i="37"/>
  <c r="AU3346" i="37"/>
  <c r="AT3346" i="37"/>
  <c r="AU3345" i="37"/>
  <c r="AT3345" i="37"/>
  <c r="AU3344" i="37"/>
  <c r="AT3344" i="37"/>
  <c r="AU3343" i="37"/>
  <c r="AT3343" i="37"/>
  <c r="AU3342" i="37"/>
  <c r="AT3342" i="37"/>
  <c r="AU3341" i="37"/>
  <c r="AT3341" i="37"/>
  <c r="AU3340" i="37"/>
  <c r="AT3340" i="37"/>
  <c r="AU3339" i="37"/>
  <c r="AT3339" i="37"/>
  <c r="AU3338" i="37"/>
  <c r="AT3338" i="37"/>
  <c r="AU3337" i="37"/>
  <c r="AT3337" i="37"/>
  <c r="AU3336" i="37"/>
  <c r="AT3336" i="37"/>
  <c r="AU3335" i="37"/>
  <c r="AT3335" i="37"/>
  <c r="AU3334" i="37"/>
  <c r="AT3334" i="37"/>
  <c r="AU3333" i="37"/>
  <c r="AT3333" i="37"/>
  <c r="AU3332" i="37"/>
  <c r="AT3332" i="37"/>
  <c r="AU3331" i="37"/>
  <c r="AT3331" i="37"/>
  <c r="AU3330" i="37"/>
  <c r="AT3330" i="37"/>
  <c r="AU3329" i="37"/>
  <c r="AT3329" i="37"/>
  <c r="AU3328" i="37"/>
  <c r="AT3328" i="37"/>
  <c r="AU3327" i="37"/>
  <c r="AT3327" i="37"/>
  <c r="AU3326" i="37"/>
  <c r="AT3326" i="37"/>
  <c r="AU3325" i="37"/>
  <c r="AT3325" i="37"/>
  <c r="AU3324" i="37"/>
  <c r="AT3324" i="37"/>
  <c r="AU3323" i="37"/>
  <c r="AT3323" i="37"/>
  <c r="AU3322" i="37"/>
  <c r="AT3322" i="37"/>
  <c r="AU3321" i="37"/>
  <c r="AT3321" i="37"/>
  <c r="AU3320" i="37"/>
  <c r="AT3320" i="37"/>
  <c r="AU3319" i="37"/>
  <c r="AT3319" i="37"/>
  <c r="AU3318" i="37"/>
  <c r="AT3318" i="37"/>
  <c r="AU3317" i="37"/>
  <c r="AT3317" i="37"/>
  <c r="AU3316" i="37"/>
  <c r="AT3316" i="37"/>
  <c r="AU3315" i="37"/>
  <c r="AT3315" i="37"/>
  <c r="AU3314" i="37"/>
  <c r="AT3314" i="37"/>
  <c r="AU3313" i="37"/>
  <c r="AT3313" i="37"/>
  <c r="AU3312" i="37"/>
  <c r="AT3312" i="37"/>
  <c r="AU3311" i="37"/>
  <c r="AT3311" i="37"/>
  <c r="AU3310" i="37"/>
  <c r="AT3310" i="37"/>
  <c r="AU3309" i="37"/>
  <c r="AT3309" i="37"/>
  <c r="AU3308" i="37"/>
  <c r="AT3308" i="37"/>
  <c r="AU3307" i="37"/>
  <c r="AT3307" i="37"/>
  <c r="AU3306" i="37"/>
  <c r="AT3306" i="37"/>
  <c r="AU3305" i="37"/>
  <c r="AT3305" i="37"/>
  <c r="AU3304" i="37"/>
  <c r="AT3304" i="37"/>
  <c r="AU3303" i="37"/>
  <c r="AT3303" i="37"/>
  <c r="AU3302" i="37"/>
  <c r="AT3302" i="37"/>
  <c r="AU3301" i="37"/>
  <c r="AT3301" i="37"/>
  <c r="AU3300" i="37"/>
  <c r="AT3300" i="37"/>
  <c r="AU3299" i="37"/>
  <c r="AT3299" i="37"/>
  <c r="AU3298" i="37"/>
  <c r="AT3298" i="37"/>
  <c r="AU3297" i="37"/>
  <c r="AT3297" i="37"/>
  <c r="AU3296" i="37"/>
  <c r="AT3296" i="37"/>
  <c r="AU3295" i="37"/>
  <c r="AT3295" i="37"/>
  <c r="AU3294" i="37"/>
  <c r="AT3294" i="37"/>
  <c r="AU3293" i="37"/>
  <c r="AT3293" i="37"/>
  <c r="AU3292" i="37"/>
  <c r="AT3292" i="37"/>
  <c r="AU3291" i="37"/>
  <c r="AT3291" i="37"/>
  <c r="AU3290" i="37"/>
  <c r="AT3290" i="37"/>
  <c r="AU3289" i="37"/>
  <c r="AT3289" i="37"/>
  <c r="AU3288" i="37"/>
  <c r="AT3288" i="37"/>
  <c r="AU3287" i="37"/>
  <c r="AT3287" i="37"/>
  <c r="AU3286" i="37"/>
  <c r="AT3286" i="37"/>
  <c r="AU3285" i="37"/>
  <c r="AT3285" i="37"/>
  <c r="AU3284" i="37"/>
  <c r="AT3284" i="37"/>
  <c r="AU3283" i="37"/>
  <c r="AT3283" i="37"/>
  <c r="AU3282" i="37"/>
  <c r="AT3282" i="37"/>
  <c r="AU3281" i="37"/>
  <c r="AT3281" i="37"/>
  <c r="AU3280" i="37"/>
  <c r="AT3280" i="37"/>
  <c r="AU3279" i="37"/>
  <c r="AT3279" i="37"/>
  <c r="AU3278" i="37"/>
  <c r="AT3278" i="37"/>
  <c r="AU3277" i="37"/>
  <c r="AT3277" i="37"/>
  <c r="AU3276" i="37"/>
  <c r="AT3276" i="37"/>
  <c r="AU3275" i="37"/>
  <c r="AT3275" i="37"/>
  <c r="AU3274" i="37"/>
  <c r="AT3274" i="37"/>
  <c r="AU3273" i="37"/>
  <c r="AT3273" i="37"/>
  <c r="AU3272" i="37"/>
  <c r="AT3272" i="37"/>
  <c r="AU3271" i="37"/>
  <c r="AT3271" i="37"/>
  <c r="AU3270" i="37"/>
  <c r="AT3270" i="37"/>
  <c r="AU3269" i="37"/>
  <c r="AT3269" i="37"/>
  <c r="AU3268" i="37"/>
  <c r="AT3268" i="37"/>
  <c r="AU3267" i="37"/>
  <c r="AT3267" i="37"/>
  <c r="AU3266" i="37"/>
  <c r="AT3266" i="37"/>
  <c r="AU3265" i="37"/>
  <c r="AT3265" i="37"/>
  <c r="AU3264" i="37"/>
  <c r="AT3264" i="37"/>
  <c r="AU3263" i="37"/>
  <c r="AT3263" i="37"/>
  <c r="AU3262" i="37"/>
  <c r="AT3262" i="37"/>
  <c r="AU3261" i="37"/>
  <c r="AT3261" i="37"/>
  <c r="AU3260" i="37"/>
  <c r="AT3260" i="37"/>
  <c r="AU3259" i="37"/>
  <c r="AT3259" i="37"/>
  <c r="AU3258" i="37"/>
  <c r="AT3258" i="37"/>
  <c r="AU3257" i="37"/>
  <c r="AT3257" i="37"/>
  <c r="AU3256" i="37"/>
  <c r="AT3256" i="37"/>
  <c r="AU3255" i="37"/>
  <c r="AT3255" i="37"/>
  <c r="AU3254" i="37"/>
  <c r="AT3254" i="37"/>
  <c r="AU3253" i="37"/>
  <c r="AT3253" i="37"/>
  <c r="AU3252" i="37"/>
  <c r="AT3252" i="37"/>
  <c r="AU3251" i="37"/>
  <c r="AT3251" i="37"/>
  <c r="AU3250" i="37"/>
  <c r="AT3250" i="37"/>
  <c r="AU3249" i="37"/>
  <c r="AT3249" i="37"/>
  <c r="AU3248" i="37"/>
  <c r="AT3248" i="37"/>
  <c r="AU3247" i="37"/>
  <c r="AT3247" i="37"/>
  <c r="AU3246" i="37"/>
  <c r="AT3246" i="37"/>
  <c r="AU3245" i="37"/>
  <c r="AT3245" i="37"/>
  <c r="AU3244" i="37"/>
  <c r="AT3244" i="37"/>
  <c r="AU3243" i="37"/>
  <c r="AT3243" i="37"/>
  <c r="AU3242" i="37"/>
  <c r="AT3242" i="37"/>
  <c r="AU3241" i="37"/>
  <c r="AT3241" i="37"/>
  <c r="AU3240" i="37"/>
  <c r="AT3240" i="37"/>
  <c r="AU3239" i="37"/>
  <c r="AT3239" i="37"/>
  <c r="AU3238" i="37"/>
  <c r="AT3238" i="37"/>
  <c r="AU3237" i="37"/>
  <c r="AT3237" i="37"/>
  <c r="AU3236" i="37"/>
  <c r="AT3236" i="37"/>
  <c r="AU3235" i="37"/>
  <c r="AT3235" i="37"/>
  <c r="AU3234" i="37"/>
  <c r="AT3234" i="37"/>
  <c r="AU3233" i="37"/>
  <c r="AT3233" i="37"/>
  <c r="AU3232" i="37"/>
  <c r="AT3232" i="37"/>
  <c r="AU3231" i="37"/>
  <c r="AT3231" i="37"/>
  <c r="AU3230" i="37"/>
  <c r="AT3230" i="37"/>
  <c r="AU3229" i="37"/>
  <c r="AT3229" i="37"/>
  <c r="AU3228" i="37"/>
  <c r="AT3228" i="37"/>
  <c r="AU3227" i="37"/>
  <c r="AT3227" i="37"/>
  <c r="AU3226" i="37"/>
  <c r="AT3226" i="37"/>
  <c r="AU3225" i="37"/>
  <c r="AT3225" i="37"/>
  <c r="AU3224" i="37"/>
  <c r="AT3224" i="37"/>
  <c r="AU3223" i="37"/>
  <c r="AT3223" i="37"/>
  <c r="AU3222" i="37"/>
  <c r="AT3222" i="37"/>
  <c r="AU3221" i="37"/>
  <c r="AT3221" i="37"/>
  <c r="AU3220" i="37"/>
  <c r="AT3220" i="37"/>
  <c r="AU3219" i="37"/>
  <c r="AT3219" i="37"/>
  <c r="AU3218" i="37"/>
  <c r="AT3218" i="37"/>
  <c r="AU3217" i="37"/>
  <c r="AT3217" i="37"/>
  <c r="AU3216" i="37"/>
  <c r="AT3216" i="37"/>
  <c r="AU3215" i="37"/>
  <c r="AT3215" i="37"/>
  <c r="AU3214" i="37"/>
  <c r="AT3214" i="37"/>
  <c r="AU3213" i="37"/>
  <c r="AT3213" i="37"/>
  <c r="AU3212" i="37"/>
  <c r="AT3212" i="37"/>
  <c r="AU3211" i="37"/>
  <c r="AT3211" i="37"/>
  <c r="AU3210" i="37"/>
  <c r="AT3210" i="37"/>
  <c r="AU3209" i="37"/>
  <c r="AT3209" i="37"/>
  <c r="AU3208" i="37"/>
  <c r="AT3208" i="37"/>
  <c r="AU3207" i="37"/>
  <c r="AT3207" i="37"/>
  <c r="AU3206" i="37"/>
  <c r="AT3206" i="37"/>
  <c r="AU3205" i="37"/>
  <c r="AT3205" i="37"/>
  <c r="AU3204" i="37"/>
  <c r="AT3204" i="37"/>
  <c r="AU3203" i="37"/>
  <c r="AT3203" i="37"/>
  <c r="AU3202" i="37"/>
  <c r="AT3202" i="37"/>
  <c r="AU3201" i="37"/>
  <c r="AT3201" i="37"/>
  <c r="AU3200" i="37"/>
  <c r="AT3200" i="37"/>
  <c r="AU3199" i="37"/>
  <c r="AT3199" i="37"/>
  <c r="AU3198" i="37"/>
  <c r="AT3198" i="37"/>
  <c r="AU3197" i="37"/>
  <c r="AT3197" i="37"/>
  <c r="AU3196" i="37"/>
  <c r="AT3196" i="37"/>
  <c r="AU3195" i="37"/>
  <c r="AT3195" i="37"/>
  <c r="AU3194" i="37"/>
  <c r="AT3194" i="37"/>
  <c r="AU3193" i="37"/>
  <c r="AT3193" i="37"/>
  <c r="AU3192" i="37"/>
  <c r="AT3192" i="37"/>
  <c r="AU3191" i="37"/>
  <c r="AT3191" i="37"/>
  <c r="AU3190" i="37"/>
  <c r="AT3190" i="37"/>
  <c r="AU3189" i="37"/>
  <c r="AT3189" i="37"/>
  <c r="AU3188" i="37"/>
  <c r="AT3188" i="37"/>
  <c r="AU3187" i="37"/>
  <c r="AT3187" i="37"/>
  <c r="AU3186" i="37"/>
  <c r="AT3186" i="37"/>
  <c r="AU3185" i="37"/>
  <c r="AT3185" i="37"/>
  <c r="AU3184" i="37"/>
  <c r="AT3184" i="37"/>
  <c r="AU3183" i="37"/>
  <c r="AT3183" i="37"/>
  <c r="AU3182" i="37"/>
  <c r="AT3182" i="37"/>
  <c r="AU3181" i="37"/>
  <c r="AT3181" i="37"/>
  <c r="AU3180" i="37"/>
  <c r="AT3180" i="37"/>
  <c r="AU3179" i="37"/>
  <c r="AT3179" i="37"/>
  <c r="AU3178" i="37"/>
  <c r="AT3178" i="37"/>
  <c r="AU3177" i="37"/>
  <c r="AT3177" i="37"/>
  <c r="AU3176" i="37"/>
  <c r="AT3176" i="37"/>
  <c r="AU3175" i="37"/>
  <c r="AT3175" i="37"/>
  <c r="AU3174" i="37"/>
  <c r="AT3174" i="37"/>
  <c r="AU3173" i="37"/>
  <c r="AT3173" i="37"/>
  <c r="AU3172" i="37"/>
  <c r="AT3172" i="37"/>
  <c r="AU3171" i="37"/>
  <c r="AT3171" i="37"/>
  <c r="AU3170" i="37"/>
  <c r="AT3170" i="37"/>
  <c r="AU3169" i="37"/>
  <c r="AT3169" i="37"/>
  <c r="AU3168" i="37"/>
  <c r="AT3168" i="37"/>
  <c r="AU3167" i="37"/>
  <c r="AT3167" i="37"/>
  <c r="AU3166" i="37"/>
  <c r="AT3166" i="37"/>
  <c r="AU3165" i="37"/>
  <c r="AT3165" i="37"/>
  <c r="AU3164" i="37"/>
  <c r="AT3164" i="37"/>
  <c r="AU3163" i="37"/>
  <c r="AT3163" i="37"/>
  <c r="AU3162" i="37"/>
  <c r="AT3162" i="37"/>
  <c r="AU3161" i="37"/>
  <c r="AT3161" i="37"/>
  <c r="AU3160" i="37"/>
  <c r="AT3160" i="37"/>
  <c r="AU3159" i="37"/>
  <c r="AT3159" i="37"/>
  <c r="AU3158" i="37"/>
  <c r="AT3158" i="37"/>
  <c r="AU3157" i="37"/>
  <c r="AT3157" i="37"/>
  <c r="AU3156" i="37"/>
  <c r="AT3156" i="37"/>
  <c r="AU3155" i="37"/>
  <c r="AT3155" i="37"/>
  <c r="AU3154" i="37"/>
  <c r="AT3154" i="37"/>
  <c r="AU3153" i="37"/>
  <c r="AT3153" i="37"/>
  <c r="AU3152" i="37"/>
  <c r="AT3152" i="37"/>
  <c r="AU3151" i="37"/>
  <c r="AT3151" i="37"/>
  <c r="AU3150" i="37"/>
  <c r="AT3150" i="37"/>
  <c r="AU3149" i="37"/>
  <c r="AT3149" i="37"/>
  <c r="AU3148" i="37"/>
  <c r="AT3148" i="37"/>
  <c r="AU3147" i="37"/>
  <c r="AT3147" i="37"/>
  <c r="AU3146" i="37"/>
  <c r="AT3146" i="37"/>
  <c r="AU3145" i="37"/>
  <c r="AT3145" i="37"/>
  <c r="AU3144" i="37"/>
  <c r="AT3144" i="37"/>
  <c r="AU3143" i="37"/>
  <c r="AT3143" i="37"/>
  <c r="AU3142" i="37"/>
  <c r="AT3142" i="37"/>
  <c r="AU3141" i="37"/>
  <c r="AT3141" i="37"/>
  <c r="AU3140" i="37"/>
  <c r="AT3140" i="37"/>
  <c r="AU3139" i="37"/>
  <c r="AT3139" i="37"/>
  <c r="AU3138" i="37"/>
  <c r="AT3138" i="37"/>
  <c r="AU3137" i="37"/>
  <c r="AT3137" i="37"/>
  <c r="AU3136" i="37"/>
  <c r="AT3136" i="37"/>
  <c r="AU3135" i="37"/>
  <c r="AT3135" i="37"/>
  <c r="AU3134" i="37"/>
  <c r="AT3134" i="37"/>
  <c r="AU3133" i="37"/>
  <c r="AT3133" i="37"/>
  <c r="AU3132" i="37"/>
  <c r="AT3132" i="37"/>
  <c r="AU3131" i="37"/>
  <c r="AT3131" i="37"/>
  <c r="AU3130" i="37"/>
  <c r="AT3130" i="37"/>
  <c r="AU3129" i="37"/>
  <c r="AT3129" i="37"/>
  <c r="AU3128" i="37"/>
  <c r="AT3128" i="37"/>
  <c r="AU3127" i="37"/>
  <c r="AT3127" i="37"/>
  <c r="AU3126" i="37"/>
  <c r="AT3126" i="37"/>
  <c r="AU3125" i="37"/>
  <c r="AT3125" i="37"/>
  <c r="AU3124" i="37"/>
  <c r="AT3124" i="37"/>
  <c r="AU3123" i="37"/>
  <c r="AT3123" i="37"/>
  <c r="AU3122" i="37"/>
  <c r="AT3122" i="37"/>
  <c r="AU3121" i="37"/>
  <c r="AT3121" i="37"/>
  <c r="AU3120" i="37"/>
  <c r="AT3120" i="37"/>
  <c r="AU3119" i="37"/>
  <c r="AT3119" i="37"/>
  <c r="AU3118" i="37"/>
  <c r="AT3118" i="37"/>
  <c r="AU3117" i="37"/>
  <c r="AT3117" i="37"/>
  <c r="AU3116" i="37"/>
  <c r="AT3116" i="37"/>
  <c r="AU3115" i="37"/>
  <c r="AT3115" i="37"/>
  <c r="AU3114" i="37"/>
  <c r="AT3114" i="37"/>
  <c r="AU3113" i="37"/>
  <c r="AT3113" i="37"/>
  <c r="AU3112" i="37"/>
  <c r="AT3112" i="37"/>
  <c r="AU3111" i="37"/>
  <c r="AT3111" i="37"/>
  <c r="AU3110" i="37"/>
  <c r="AT3110" i="37"/>
  <c r="AU3109" i="37"/>
  <c r="AT3109" i="37"/>
  <c r="AU3108" i="37"/>
  <c r="AT3108" i="37"/>
  <c r="AU3107" i="37"/>
  <c r="AT3107" i="37"/>
  <c r="AU3106" i="37"/>
  <c r="AT3106" i="37"/>
  <c r="AU3105" i="37"/>
  <c r="AT3105" i="37"/>
  <c r="AU3104" i="37"/>
  <c r="AT3104" i="37"/>
  <c r="AU3103" i="37"/>
  <c r="AT3103" i="37"/>
  <c r="AU3102" i="37"/>
  <c r="AT3102" i="37"/>
  <c r="AU3101" i="37"/>
  <c r="AT3101" i="37"/>
  <c r="AU3100" i="37"/>
  <c r="AT3100" i="37"/>
  <c r="AU3099" i="37"/>
  <c r="AT3099" i="37"/>
  <c r="AU3098" i="37"/>
  <c r="AT3098" i="37"/>
  <c r="AU3097" i="37"/>
  <c r="AT3097" i="37"/>
  <c r="AU3096" i="37"/>
  <c r="AT3096" i="37"/>
  <c r="AU3095" i="37"/>
  <c r="AT3095" i="37"/>
  <c r="AU3094" i="37"/>
  <c r="AT3094" i="37"/>
  <c r="AU3093" i="37"/>
  <c r="AT3093" i="37"/>
  <c r="AU3092" i="37"/>
  <c r="AT3092" i="37"/>
  <c r="AU3091" i="37"/>
  <c r="AT3091" i="37"/>
  <c r="AU3090" i="37"/>
  <c r="AT3090" i="37"/>
  <c r="AU3089" i="37"/>
  <c r="AT3089" i="37"/>
  <c r="AU3088" i="37"/>
  <c r="AT3088" i="37"/>
  <c r="AU3087" i="37"/>
  <c r="AT3087" i="37"/>
  <c r="AU3086" i="37"/>
  <c r="AT3086" i="37"/>
  <c r="AU3085" i="37"/>
  <c r="AT3085" i="37"/>
  <c r="AU3084" i="37"/>
  <c r="AT3084" i="37"/>
  <c r="AU3083" i="37"/>
  <c r="AT3083" i="37"/>
  <c r="AU3082" i="37"/>
  <c r="AT3082" i="37"/>
  <c r="AU3081" i="37"/>
  <c r="AT3081" i="37"/>
  <c r="AU3080" i="37"/>
  <c r="AT3080" i="37"/>
  <c r="AU3079" i="37"/>
  <c r="AT3079" i="37"/>
  <c r="AU3078" i="37"/>
  <c r="AT3078" i="37"/>
  <c r="AU3077" i="37"/>
  <c r="AT3077" i="37"/>
  <c r="AU3076" i="37"/>
  <c r="AT3076" i="37"/>
  <c r="AU3075" i="37"/>
  <c r="AT3075" i="37"/>
  <c r="AU3074" i="37"/>
  <c r="AT3074" i="37"/>
  <c r="AU3073" i="37"/>
  <c r="AT3073" i="37"/>
  <c r="AU3072" i="37"/>
  <c r="AT3072" i="37"/>
  <c r="AU3071" i="37"/>
  <c r="AT3071" i="37"/>
  <c r="AU3070" i="37"/>
  <c r="AT3070" i="37"/>
  <c r="AU3069" i="37"/>
  <c r="AT3069" i="37"/>
  <c r="AU3068" i="37"/>
  <c r="AT3068" i="37"/>
  <c r="AU3067" i="37"/>
  <c r="AT3067" i="37"/>
  <c r="AU3066" i="37"/>
  <c r="AT3066" i="37"/>
  <c r="AU3065" i="37"/>
  <c r="AT3065" i="37"/>
  <c r="AU3064" i="37"/>
  <c r="AT3064" i="37"/>
  <c r="AU3063" i="37"/>
  <c r="AT3063" i="37"/>
  <c r="AU3062" i="37"/>
  <c r="AT3062" i="37"/>
  <c r="AU3061" i="37"/>
  <c r="AT3061" i="37"/>
  <c r="AU3060" i="37"/>
  <c r="AT3060" i="37"/>
  <c r="AU3059" i="37"/>
  <c r="AT3059" i="37"/>
  <c r="AU3058" i="37"/>
  <c r="AT3058" i="37"/>
  <c r="AU3057" i="37"/>
  <c r="AT3057" i="37"/>
  <c r="AU3056" i="37"/>
  <c r="AT3056" i="37"/>
  <c r="AU3055" i="37"/>
  <c r="AT3055" i="37"/>
  <c r="AU3054" i="37"/>
  <c r="AT3054" i="37"/>
  <c r="AU3053" i="37"/>
  <c r="AT3053" i="37"/>
  <c r="AU3052" i="37"/>
  <c r="AT3052" i="37"/>
  <c r="AU3051" i="37"/>
  <c r="AT3051" i="37"/>
  <c r="AU3050" i="37"/>
  <c r="AT3050" i="37"/>
  <c r="AU3049" i="37"/>
  <c r="AT3049" i="37"/>
  <c r="AU3048" i="37"/>
  <c r="AT3048" i="37"/>
  <c r="AU3047" i="37"/>
  <c r="AT3047" i="37"/>
  <c r="AU3046" i="37"/>
  <c r="AT3046" i="37"/>
  <c r="AU3045" i="37"/>
  <c r="AT3045" i="37"/>
  <c r="AU3044" i="37"/>
  <c r="AT3044" i="37"/>
  <c r="AU3043" i="37"/>
  <c r="AT3043" i="37"/>
  <c r="AU3042" i="37"/>
  <c r="AT3042" i="37"/>
  <c r="AU3041" i="37"/>
  <c r="AT3041" i="37"/>
  <c r="AU3040" i="37"/>
  <c r="AT3040" i="37"/>
  <c r="AU3039" i="37"/>
  <c r="AT3039" i="37"/>
  <c r="AU3038" i="37"/>
  <c r="AT3038" i="37"/>
  <c r="AU3037" i="37"/>
  <c r="AT3037" i="37"/>
  <c r="AU3036" i="37"/>
  <c r="AT3036" i="37"/>
  <c r="AU3035" i="37"/>
  <c r="AT3035" i="37"/>
  <c r="AU3034" i="37"/>
  <c r="AT3034" i="37"/>
  <c r="AU3033" i="37"/>
  <c r="AT3033" i="37"/>
  <c r="AU3032" i="37"/>
  <c r="AT3032" i="37"/>
  <c r="AU3031" i="37"/>
  <c r="AT3031" i="37"/>
  <c r="AU3030" i="37"/>
  <c r="AT3030" i="37"/>
  <c r="AU3029" i="37"/>
  <c r="AT3029" i="37"/>
  <c r="AU3028" i="37"/>
  <c r="AT3028" i="37"/>
  <c r="AU3027" i="37"/>
  <c r="AT3027" i="37"/>
  <c r="AU3026" i="37"/>
  <c r="AT3026" i="37"/>
  <c r="AU3025" i="37"/>
  <c r="AT3025" i="37"/>
  <c r="AU3024" i="37"/>
  <c r="AT3024" i="37"/>
  <c r="AU3023" i="37"/>
  <c r="AT3023" i="37"/>
  <c r="AU3022" i="37"/>
  <c r="AT3022" i="37"/>
  <c r="AU3021" i="37"/>
  <c r="AT3021" i="37"/>
  <c r="AU3020" i="37"/>
  <c r="AT3020" i="37"/>
  <c r="AU3019" i="37"/>
  <c r="AT3019" i="37"/>
  <c r="AU3018" i="37"/>
  <c r="AT3018" i="37"/>
  <c r="AU3017" i="37"/>
  <c r="AT3017" i="37"/>
  <c r="AU3016" i="37"/>
  <c r="AT3016" i="37"/>
  <c r="AU3015" i="37"/>
  <c r="AT3015" i="37"/>
  <c r="AU3014" i="37"/>
  <c r="AT3014" i="37"/>
  <c r="AU3013" i="37"/>
  <c r="AT3013" i="37"/>
  <c r="AU3012" i="37"/>
  <c r="AT3012" i="37"/>
  <c r="AU3011" i="37"/>
  <c r="AT3011" i="37"/>
  <c r="AU3010" i="37"/>
  <c r="AT3010" i="37"/>
  <c r="AU3009" i="37"/>
  <c r="AT3009" i="37"/>
  <c r="AU3008" i="37"/>
  <c r="AT3008" i="37"/>
  <c r="AU3007" i="37"/>
  <c r="AT3007" i="37"/>
  <c r="AU3006" i="37"/>
  <c r="AT3006" i="37"/>
  <c r="AU3005" i="37"/>
  <c r="AT3005" i="37"/>
  <c r="AU3004" i="37"/>
  <c r="AT3004" i="37"/>
  <c r="AU3003" i="37"/>
  <c r="AT3003" i="37"/>
  <c r="AU3002" i="37"/>
  <c r="AT3002" i="37"/>
  <c r="AU3001" i="37"/>
  <c r="AT3001" i="37"/>
  <c r="AU3000" i="37"/>
  <c r="AT3000" i="37"/>
  <c r="AU2999" i="37"/>
  <c r="AT2999" i="37"/>
  <c r="AU2998" i="37"/>
  <c r="AT2998" i="37"/>
  <c r="AU2997" i="37"/>
  <c r="AT2997" i="37"/>
  <c r="AU2996" i="37"/>
  <c r="AT2996" i="37"/>
  <c r="AU2995" i="37"/>
  <c r="AT2995" i="37"/>
  <c r="AU2994" i="37"/>
  <c r="AT2994" i="37"/>
  <c r="AU2993" i="37"/>
  <c r="AT2993" i="37"/>
  <c r="AU2992" i="37"/>
  <c r="AT2992" i="37"/>
  <c r="AU2991" i="37"/>
  <c r="AT2991" i="37"/>
  <c r="AU2990" i="37"/>
  <c r="AT2990" i="37"/>
  <c r="AU2989" i="37"/>
  <c r="AT2989" i="37"/>
  <c r="AU2988" i="37"/>
  <c r="AT2988" i="37"/>
  <c r="AU2987" i="37"/>
  <c r="AT2987" i="37"/>
  <c r="AU2986" i="37"/>
  <c r="AT2986" i="37"/>
  <c r="AU2985" i="37"/>
  <c r="AT2985" i="37"/>
  <c r="AU2984" i="37"/>
  <c r="AT2984" i="37"/>
  <c r="AU2983" i="37"/>
  <c r="AT2983" i="37"/>
  <c r="AU2982" i="37"/>
  <c r="AT2982" i="37"/>
  <c r="AU2981" i="37"/>
  <c r="AT2981" i="37"/>
  <c r="AU2980" i="37"/>
  <c r="AT2980" i="37"/>
  <c r="AU2979" i="37"/>
  <c r="AT2979" i="37"/>
  <c r="AU2978" i="37"/>
  <c r="AT2978" i="37"/>
  <c r="AU2977" i="37"/>
  <c r="AT2977" i="37"/>
  <c r="AU2976" i="37"/>
  <c r="AT2976" i="37"/>
  <c r="AU2975" i="37"/>
  <c r="AT2975" i="37"/>
  <c r="AU2974" i="37"/>
  <c r="AT2974" i="37"/>
  <c r="AU2973" i="37"/>
  <c r="AT2973" i="37"/>
  <c r="AU2972" i="37"/>
  <c r="AT2972" i="37"/>
  <c r="AU2971" i="37"/>
  <c r="AT2971" i="37"/>
  <c r="AU2970" i="37"/>
  <c r="AT2970" i="37"/>
  <c r="AU2969" i="37"/>
  <c r="AT2969" i="37"/>
  <c r="AU2968" i="37"/>
  <c r="AT2968" i="37"/>
  <c r="AU2967" i="37"/>
  <c r="AT2967" i="37"/>
  <c r="AU2966" i="37"/>
  <c r="AT2966" i="37"/>
  <c r="AU2965" i="37"/>
  <c r="AT2965" i="37"/>
  <c r="AU2964" i="37"/>
  <c r="AT2964" i="37"/>
  <c r="AU2963" i="37"/>
  <c r="AT2963" i="37"/>
  <c r="AU2962" i="37"/>
  <c r="AT2962" i="37"/>
  <c r="AU2961" i="37"/>
  <c r="AT2961" i="37"/>
  <c r="AU2960" i="37"/>
  <c r="AT2960" i="37"/>
  <c r="AU2959" i="37"/>
  <c r="AT2959" i="37"/>
  <c r="AU2958" i="37"/>
  <c r="AT2958" i="37"/>
  <c r="AU2957" i="37"/>
  <c r="AT2957" i="37"/>
  <c r="AU2956" i="37"/>
  <c r="AT2956" i="37"/>
  <c r="AU2955" i="37"/>
  <c r="AT2955" i="37"/>
  <c r="AU2954" i="37"/>
  <c r="AT2954" i="37"/>
  <c r="AU2953" i="37"/>
  <c r="AT2953" i="37"/>
  <c r="AU2952" i="37"/>
  <c r="AT2952" i="37"/>
  <c r="AU2951" i="37"/>
  <c r="AT2951" i="37"/>
  <c r="AU2950" i="37"/>
  <c r="AT2950" i="37"/>
  <c r="AU2949" i="37"/>
  <c r="AT2949" i="37"/>
  <c r="AU2948" i="37"/>
  <c r="AT2948" i="37"/>
  <c r="AU2947" i="37"/>
  <c r="AT2947" i="37"/>
  <c r="AU2946" i="37"/>
  <c r="AT2946" i="37"/>
  <c r="AU2945" i="37"/>
  <c r="AT2945" i="37"/>
  <c r="AU2944" i="37"/>
  <c r="AT2944" i="37"/>
  <c r="AU2943" i="37"/>
  <c r="AT2943" i="37"/>
  <c r="AU2942" i="37"/>
  <c r="AT2942" i="37"/>
  <c r="AU2941" i="37"/>
  <c r="AT2941" i="37"/>
  <c r="AU2940" i="37"/>
  <c r="AT2940" i="37"/>
  <c r="AU2939" i="37"/>
  <c r="AT2939" i="37"/>
  <c r="AU2938" i="37"/>
  <c r="AT2938" i="37"/>
  <c r="AU2937" i="37"/>
  <c r="AT2937" i="37"/>
  <c r="AU2936" i="37"/>
  <c r="AT2936" i="37"/>
  <c r="AU2935" i="37"/>
  <c r="AT2935" i="37"/>
  <c r="AU2934" i="37"/>
  <c r="AT2934" i="37"/>
  <c r="AU2933" i="37"/>
  <c r="AT2933" i="37"/>
  <c r="AU2932" i="37"/>
  <c r="AT2932" i="37"/>
  <c r="AU2931" i="37"/>
  <c r="AT2931" i="37"/>
  <c r="AU2930" i="37"/>
  <c r="AT2930" i="37"/>
  <c r="AU2929" i="37"/>
  <c r="AT2929" i="37"/>
  <c r="AU2928" i="37"/>
  <c r="AT2928" i="37"/>
  <c r="AU2927" i="37"/>
  <c r="AT2927" i="37"/>
  <c r="AU2926" i="37"/>
  <c r="AT2926" i="37"/>
  <c r="AU2925" i="37"/>
  <c r="AT2925" i="37"/>
  <c r="AU2924" i="37"/>
  <c r="AT2924" i="37"/>
  <c r="AU2923" i="37"/>
  <c r="AT2923" i="37"/>
  <c r="AU2922" i="37"/>
  <c r="AT2922" i="37"/>
  <c r="AU2921" i="37"/>
  <c r="AT2921" i="37"/>
  <c r="AU2920" i="37"/>
  <c r="AT2920" i="37"/>
  <c r="AU2919" i="37"/>
  <c r="AT2919" i="37"/>
  <c r="AU2918" i="37"/>
  <c r="AT2918" i="37"/>
  <c r="AU2917" i="37"/>
  <c r="AT2917" i="37"/>
  <c r="AU2916" i="37"/>
  <c r="AT2916" i="37"/>
  <c r="AU2915" i="37"/>
  <c r="AT2915" i="37"/>
  <c r="AU2914" i="37"/>
  <c r="AT2914" i="37"/>
  <c r="AU2913" i="37"/>
  <c r="AT2913" i="37"/>
  <c r="AU2912" i="37"/>
  <c r="AT2912" i="37"/>
  <c r="AU2911" i="37"/>
  <c r="AT2911" i="37"/>
  <c r="AU2910" i="37"/>
  <c r="AT2910" i="37"/>
  <c r="AU2909" i="37"/>
  <c r="AT2909" i="37"/>
  <c r="AU2908" i="37"/>
  <c r="AT2908" i="37"/>
  <c r="AU2907" i="37"/>
  <c r="AT2907" i="37"/>
  <c r="AU2906" i="37"/>
  <c r="AT2906" i="37"/>
  <c r="AU2905" i="37"/>
  <c r="AT2905" i="37"/>
  <c r="AU2904" i="37"/>
  <c r="AT2904" i="37"/>
  <c r="AU2903" i="37"/>
  <c r="AT2903" i="37"/>
  <c r="AU2902" i="37"/>
  <c r="AT2902" i="37"/>
  <c r="AU2901" i="37"/>
  <c r="AT2901" i="37"/>
  <c r="AU2900" i="37"/>
  <c r="AT2900" i="37"/>
  <c r="AU2899" i="37"/>
  <c r="AT2899" i="37"/>
  <c r="AU2898" i="37"/>
  <c r="AT2898" i="37"/>
  <c r="AU2897" i="37"/>
  <c r="AT2897" i="37"/>
  <c r="AU2896" i="37"/>
  <c r="AT2896" i="37"/>
  <c r="AU2895" i="37"/>
  <c r="AT2895" i="37"/>
  <c r="AU2894" i="37"/>
  <c r="AT2894" i="37"/>
  <c r="AU2893" i="37"/>
  <c r="AT2893" i="37"/>
  <c r="AU2892" i="37"/>
  <c r="AT2892" i="37"/>
  <c r="AU2891" i="37"/>
  <c r="AT2891" i="37"/>
  <c r="AU2890" i="37"/>
  <c r="AT2890" i="37"/>
  <c r="AU2889" i="37"/>
  <c r="AT2889" i="37"/>
  <c r="AU2888" i="37"/>
  <c r="AT2888" i="37"/>
  <c r="AU2887" i="37"/>
  <c r="AT2887" i="37"/>
  <c r="AU2886" i="37"/>
  <c r="AT2886" i="37"/>
  <c r="AU2885" i="37"/>
  <c r="AT2885" i="37"/>
  <c r="AU2884" i="37"/>
  <c r="AT2884" i="37"/>
  <c r="AU2883" i="37"/>
  <c r="AT2883" i="37"/>
  <c r="AU2882" i="37"/>
  <c r="AT2882" i="37"/>
  <c r="AU2881" i="37"/>
  <c r="AT2881" i="37"/>
  <c r="AU2880" i="37"/>
  <c r="AT2880" i="37"/>
  <c r="AU2879" i="37"/>
  <c r="AT2879" i="37"/>
  <c r="AU2878" i="37"/>
  <c r="AT2878" i="37"/>
  <c r="AU2877" i="37"/>
  <c r="AT2877" i="37"/>
  <c r="AU2876" i="37"/>
  <c r="AT2876" i="37"/>
  <c r="AU2875" i="37"/>
  <c r="AT2875" i="37"/>
  <c r="AU2874" i="37"/>
  <c r="AT2874" i="37"/>
  <c r="AU2873" i="37"/>
  <c r="AT2873" i="37"/>
  <c r="AU2872" i="37"/>
  <c r="AT2872" i="37"/>
  <c r="AU2871" i="37"/>
  <c r="AT2871" i="37"/>
  <c r="AU2870" i="37"/>
  <c r="AT2870" i="37"/>
  <c r="AU2869" i="37"/>
  <c r="AT2869" i="37"/>
  <c r="AU2868" i="37"/>
  <c r="AT2868" i="37"/>
  <c r="AU2867" i="37"/>
  <c r="AT2867" i="37"/>
  <c r="AU2866" i="37"/>
  <c r="AT2866" i="37"/>
  <c r="AU2865" i="37"/>
  <c r="AT2865" i="37"/>
  <c r="AU2864" i="37"/>
  <c r="AT2864" i="37"/>
  <c r="AU2863" i="37"/>
  <c r="AT2863" i="37"/>
  <c r="AU2862" i="37"/>
  <c r="AT2862" i="37"/>
  <c r="AU2861" i="37"/>
  <c r="AT2861" i="37"/>
  <c r="AU2860" i="37"/>
  <c r="AT2860" i="37"/>
  <c r="AU2859" i="37"/>
  <c r="AT2859" i="37"/>
  <c r="AU2858" i="37"/>
  <c r="AT2858" i="37"/>
  <c r="AU2857" i="37"/>
  <c r="AT2857" i="37"/>
  <c r="AU2856" i="37"/>
  <c r="AT2856" i="37"/>
  <c r="AU2855" i="37"/>
  <c r="AT2855" i="37"/>
  <c r="AU2854" i="37"/>
  <c r="AT2854" i="37"/>
  <c r="AU2853" i="37"/>
  <c r="AT2853" i="37"/>
  <c r="AU2852" i="37"/>
  <c r="AT2852" i="37"/>
  <c r="AU2851" i="37"/>
  <c r="AT2851" i="37"/>
  <c r="AU2850" i="37"/>
  <c r="AT2850" i="37"/>
  <c r="AU2849" i="37"/>
  <c r="AT2849" i="37"/>
  <c r="AU2848" i="37"/>
  <c r="AT2848" i="37"/>
  <c r="AU2847" i="37"/>
  <c r="AT2847" i="37"/>
  <c r="AU2846" i="37"/>
  <c r="AT2846" i="37"/>
  <c r="AU2845" i="37"/>
  <c r="AT2845" i="37"/>
  <c r="AU2844" i="37"/>
  <c r="AT2844" i="37"/>
  <c r="AU2843" i="37"/>
  <c r="AT2843" i="37"/>
  <c r="AU2842" i="37"/>
  <c r="AT2842" i="37"/>
  <c r="AU2841" i="37"/>
  <c r="AT2841" i="37"/>
  <c r="AU2840" i="37"/>
  <c r="AT2840" i="37"/>
  <c r="AU2839" i="37"/>
  <c r="AT2839" i="37"/>
  <c r="AU2838" i="37"/>
  <c r="AT2838" i="37"/>
  <c r="AU2837" i="37"/>
  <c r="AT2837" i="37"/>
  <c r="AU2836" i="37"/>
  <c r="AT2836" i="37"/>
  <c r="AU2835" i="37"/>
  <c r="AT2835" i="37"/>
  <c r="AU2834" i="37"/>
  <c r="AT2834" i="37"/>
  <c r="AU2833" i="37"/>
  <c r="AT2833" i="37"/>
  <c r="AU2832" i="37"/>
  <c r="AT2832" i="37"/>
  <c r="AU2831" i="37"/>
  <c r="AT2831" i="37"/>
  <c r="AU2830" i="37"/>
  <c r="AT2830" i="37"/>
  <c r="AU2829" i="37"/>
  <c r="AT2829" i="37"/>
  <c r="AU2828" i="37"/>
  <c r="AT2828" i="37"/>
  <c r="AU2827" i="37"/>
  <c r="AT2827" i="37"/>
  <c r="AU2826" i="37"/>
  <c r="AT2826" i="37"/>
  <c r="AU2825" i="37"/>
  <c r="AT2825" i="37"/>
  <c r="AU2824" i="37"/>
  <c r="AT2824" i="37"/>
  <c r="AU2823" i="37"/>
  <c r="AT2823" i="37"/>
  <c r="AU2822" i="37"/>
  <c r="AT2822" i="37"/>
  <c r="AU2821" i="37"/>
  <c r="AT2821" i="37"/>
  <c r="AU2820" i="37"/>
  <c r="AT2820" i="37"/>
  <c r="AU2819" i="37"/>
  <c r="AT2819" i="37"/>
  <c r="AU2818" i="37"/>
  <c r="AT2818" i="37"/>
  <c r="AU2817" i="37"/>
  <c r="AT2817" i="37"/>
  <c r="AU2816" i="37"/>
  <c r="AT2816" i="37"/>
  <c r="AU2815" i="37"/>
  <c r="AT2815" i="37"/>
  <c r="AU2814" i="37"/>
  <c r="AT2814" i="37"/>
  <c r="AU2813" i="37"/>
  <c r="AT2813" i="37"/>
  <c r="AU2812" i="37"/>
  <c r="AT2812" i="37"/>
  <c r="AU2811" i="37"/>
  <c r="AT2811" i="37"/>
  <c r="AU2810" i="37"/>
  <c r="AT2810" i="37"/>
  <c r="AU2809" i="37"/>
  <c r="AT2809" i="37"/>
  <c r="AU2808" i="37"/>
  <c r="AT2808" i="37"/>
  <c r="AU2807" i="37"/>
  <c r="AT2807" i="37"/>
  <c r="AU2806" i="37"/>
  <c r="AT2806" i="37"/>
  <c r="AU2805" i="37"/>
  <c r="AT2805" i="37"/>
  <c r="AU2804" i="37"/>
  <c r="AT2804" i="37"/>
  <c r="AU2803" i="37"/>
  <c r="AT2803" i="37"/>
  <c r="AU2802" i="37"/>
  <c r="AT2802" i="37"/>
  <c r="AU2801" i="37"/>
  <c r="AT2801" i="37"/>
  <c r="AU2800" i="37"/>
  <c r="AT2800" i="37"/>
  <c r="AU2799" i="37"/>
  <c r="AT2799" i="37"/>
  <c r="AU2798" i="37"/>
  <c r="AT2798" i="37"/>
  <c r="AU2797" i="37"/>
  <c r="AT2797" i="37"/>
  <c r="AU2796" i="37"/>
  <c r="AT2796" i="37"/>
  <c r="AU2795" i="37"/>
  <c r="AT2795" i="37"/>
  <c r="AU2794" i="37"/>
  <c r="AT2794" i="37"/>
  <c r="AU2793" i="37"/>
  <c r="AT2793" i="37"/>
  <c r="AU2792" i="37"/>
  <c r="AT2792" i="37"/>
  <c r="AU2791" i="37"/>
  <c r="AT2791" i="37"/>
  <c r="AU2790" i="37"/>
  <c r="AT2790" i="37"/>
  <c r="AU2789" i="37"/>
  <c r="AT2789" i="37"/>
  <c r="AU2788" i="37"/>
  <c r="AT2788" i="37"/>
  <c r="AU2787" i="37"/>
  <c r="AT2787" i="37"/>
  <c r="AU2786" i="37"/>
  <c r="AT2786" i="37"/>
  <c r="AU2785" i="37"/>
  <c r="AT2785" i="37"/>
  <c r="AU2784" i="37"/>
  <c r="AT2784" i="37"/>
  <c r="AU2783" i="37"/>
  <c r="AT2783" i="37"/>
  <c r="AU2782" i="37"/>
  <c r="AT2782" i="37"/>
  <c r="AU2781" i="37"/>
  <c r="AT2781" i="37"/>
  <c r="AU2780" i="37"/>
  <c r="AT2780" i="37"/>
  <c r="AU2779" i="37"/>
  <c r="AT2779" i="37"/>
  <c r="AU2778" i="37"/>
  <c r="AT2778" i="37"/>
  <c r="AU2777" i="37"/>
  <c r="AT2777" i="37"/>
  <c r="AU2776" i="37"/>
  <c r="AT2776" i="37"/>
  <c r="AU2775" i="37"/>
  <c r="AT2775" i="37"/>
  <c r="AU2774" i="37"/>
  <c r="AT2774" i="37"/>
  <c r="AU2773" i="37"/>
  <c r="AT2773" i="37"/>
  <c r="AU2772" i="37"/>
  <c r="AT2772" i="37"/>
  <c r="AU2771" i="37"/>
  <c r="AT2771" i="37"/>
  <c r="AU2770" i="37"/>
  <c r="AT2770" i="37"/>
  <c r="AU2769" i="37"/>
  <c r="AT2769" i="37"/>
  <c r="AU2768" i="37"/>
  <c r="AT2768" i="37"/>
  <c r="AU2767" i="37"/>
  <c r="AT2767" i="37"/>
  <c r="AU2766" i="37"/>
  <c r="AT2766" i="37"/>
  <c r="AU2765" i="37"/>
  <c r="AT2765" i="37"/>
  <c r="AU2764" i="37"/>
  <c r="AT2764" i="37"/>
  <c r="AU2763" i="37"/>
  <c r="AT2763" i="37"/>
  <c r="AU2762" i="37"/>
  <c r="AT2762" i="37"/>
  <c r="AU2761" i="37"/>
  <c r="AT2761" i="37"/>
  <c r="AU2760" i="37"/>
  <c r="AT2760" i="37"/>
  <c r="AU2759" i="37"/>
  <c r="AT2759" i="37"/>
  <c r="AU2758" i="37"/>
  <c r="AT2758" i="37"/>
  <c r="AU2757" i="37"/>
  <c r="AT2757" i="37"/>
  <c r="AU2756" i="37"/>
  <c r="AT2756" i="37"/>
  <c r="AU2755" i="37"/>
  <c r="AT2755" i="37"/>
  <c r="AU2754" i="37"/>
  <c r="AT2754" i="37"/>
  <c r="AU2753" i="37"/>
  <c r="AT2753" i="37"/>
  <c r="AU2752" i="37"/>
  <c r="AT2752" i="37"/>
  <c r="AU2751" i="37"/>
  <c r="AT2751" i="37"/>
  <c r="AU2750" i="37"/>
  <c r="AT2750" i="37"/>
  <c r="AU2749" i="37"/>
  <c r="AT2749" i="37"/>
  <c r="AU2748" i="37"/>
  <c r="AT2748" i="37"/>
  <c r="AU2747" i="37"/>
  <c r="AT2747" i="37"/>
  <c r="AU2746" i="37"/>
  <c r="AT2746" i="37"/>
  <c r="AU2745" i="37"/>
  <c r="AT2745" i="37"/>
  <c r="AU2744" i="37"/>
  <c r="AT2744" i="37"/>
  <c r="AU2743" i="37"/>
  <c r="AT2743" i="37"/>
  <c r="AU2742" i="37"/>
  <c r="AT2742" i="37"/>
  <c r="AU2741" i="37"/>
  <c r="AT2741" i="37"/>
  <c r="AU2740" i="37"/>
  <c r="AT2740" i="37"/>
  <c r="AU2739" i="37"/>
  <c r="AT2739" i="37"/>
  <c r="AU2738" i="37"/>
  <c r="AT2738" i="37"/>
  <c r="AU2737" i="37"/>
  <c r="AT2737" i="37"/>
  <c r="AU2736" i="37"/>
  <c r="AT2736" i="37"/>
  <c r="AU2735" i="37"/>
  <c r="AT2735" i="37"/>
  <c r="AU2734" i="37"/>
  <c r="AT2734" i="37"/>
  <c r="AU2733" i="37"/>
  <c r="AT2733" i="37"/>
  <c r="AU2732" i="37"/>
  <c r="AT2732" i="37"/>
  <c r="AU2731" i="37"/>
  <c r="AT2731" i="37"/>
  <c r="AU2730" i="37"/>
  <c r="AT2730" i="37"/>
  <c r="AU2729" i="37"/>
  <c r="AT2729" i="37"/>
  <c r="AU2728" i="37"/>
  <c r="AT2728" i="37"/>
  <c r="AU2727" i="37"/>
  <c r="AT2727" i="37"/>
  <c r="AU2726" i="37"/>
  <c r="AT2726" i="37"/>
  <c r="AU2725" i="37"/>
  <c r="AT2725" i="37"/>
  <c r="AU2724" i="37"/>
  <c r="AT2724" i="37"/>
  <c r="AU2723" i="37"/>
  <c r="AT2723" i="37"/>
  <c r="AU2722" i="37"/>
  <c r="AT2722" i="37"/>
  <c r="AU2721" i="37"/>
  <c r="AT2721" i="37"/>
  <c r="AU2720" i="37"/>
  <c r="AT2720" i="37"/>
  <c r="AU2719" i="37"/>
  <c r="AT2719" i="37"/>
  <c r="AU2718" i="37"/>
  <c r="AT2718" i="37"/>
  <c r="AU2717" i="37"/>
  <c r="AT2717" i="37"/>
  <c r="AU2716" i="37"/>
  <c r="AT2716" i="37"/>
  <c r="AU2715" i="37"/>
  <c r="AT2715" i="37"/>
  <c r="AU2714" i="37"/>
  <c r="AT2714" i="37"/>
  <c r="AU2713" i="37"/>
  <c r="AT2713" i="37"/>
  <c r="AU2712" i="37"/>
  <c r="AT2712" i="37"/>
  <c r="AU2711" i="37"/>
  <c r="AT2711" i="37"/>
  <c r="AU2710" i="37"/>
  <c r="AT2710" i="37"/>
  <c r="AU2709" i="37"/>
  <c r="AT2709" i="37"/>
  <c r="AU2708" i="37"/>
  <c r="AT2708" i="37"/>
  <c r="AU2707" i="37"/>
  <c r="AT2707" i="37"/>
  <c r="AU2706" i="37"/>
  <c r="AT2706" i="37"/>
  <c r="AU2705" i="37"/>
  <c r="AT2705" i="37"/>
  <c r="AU2704" i="37"/>
  <c r="AT2704" i="37"/>
  <c r="AU2703" i="37"/>
  <c r="AT2703" i="37"/>
  <c r="AU2702" i="37"/>
  <c r="AT2702" i="37"/>
  <c r="AU2701" i="37"/>
  <c r="AT2701" i="37"/>
  <c r="AU2700" i="37"/>
  <c r="AT2700" i="37"/>
  <c r="AU2699" i="37"/>
  <c r="AT2699" i="37"/>
  <c r="AU2698" i="37"/>
  <c r="AT2698" i="37"/>
  <c r="AU2697" i="37"/>
  <c r="AT2697" i="37"/>
  <c r="AU2696" i="37"/>
  <c r="AT2696" i="37"/>
  <c r="AU2695" i="37"/>
  <c r="AT2695" i="37"/>
  <c r="AU2694" i="37"/>
  <c r="AT2694" i="37"/>
  <c r="AU2693" i="37"/>
  <c r="AT2693" i="37"/>
  <c r="AU2692" i="37"/>
  <c r="AT2692" i="37"/>
  <c r="AU2691" i="37"/>
  <c r="AT2691" i="37"/>
  <c r="AU2690" i="37"/>
  <c r="AT2690" i="37"/>
  <c r="AU2689" i="37"/>
  <c r="AT2689" i="37"/>
  <c r="AU2688" i="37"/>
  <c r="AT2688" i="37"/>
  <c r="AU2687" i="37"/>
  <c r="AT2687" i="37"/>
  <c r="AU2686" i="37"/>
  <c r="AT2686" i="37"/>
  <c r="AU2685" i="37"/>
  <c r="AT2685" i="37"/>
  <c r="AU2684" i="37"/>
  <c r="AT2684" i="37"/>
  <c r="AU2683" i="37"/>
  <c r="AT2683" i="37"/>
  <c r="AU2682" i="37"/>
  <c r="AT2682" i="37"/>
  <c r="AU2681" i="37"/>
  <c r="AT2681" i="37"/>
  <c r="AU2680" i="37"/>
  <c r="AT2680" i="37"/>
  <c r="AU2679" i="37"/>
  <c r="AT2679" i="37"/>
  <c r="AU2678" i="37"/>
  <c r="AT2678" i="37"/>
  <c r="AU2677" i="37"/>
  <c r="AT2677" i="37"/>
  <c r="AU2676" i="37"/>
  <c r="AT2676" i="37"/>
  <c r="AU2675" i="37"/>
  <c r="AT2675" i="37"/>
  <c r="AU2674" i="37"/>
  <c r="AT2674" i="37"/>
  <c r="AU2673" i="37"/>
  <c r="AT2673" i="37"/>
  <c r="AU2672" i="37"/>
  <c r="AT2672" i="37"/>
  <c r="AU2671" i="37"/>
  <c r="AT2671" i="37"/>
  <c r="AU2670" i="37"/>
  <c r="AT2670" i="37"/>
  <c r="AU2669" i="37"/>
  <c r="AT2669" i="37"/>
  <c r="AU2668" i="37"/>
  <c r="AT2668" i="37"/>
  <c r="AU2667" i="37"/>
  <c r="AT2667" i="37"/>
  <c r="AU2666" i="37"/>
  <c r="AT2666" i="37"/>
  <c r="AU2665" i="37"/>
  <c r="AT2665" i="37"/>
  <c r="AU2664" i="37"/>
  <c r="AT2664" i="37"/>
  <c r="AU2663" i="37"/>
  <c r="AT2663" i="37"/>
  <c r="AU2662" i="37"/>
  <c r="AT2662" i="37"/>
  <c r="AU2661" i="37"/>
  <c r="AT2661" i="37"/>
  <c r="AU2660" i="37"/>
  <c r="AT2660" i="37"/>
  <c r="AU2659" i="37"/>
  <c r="AT2659" i="37"/>
  <c r="AU2658" i="37"/>
  <c r="AT2658" i="37"/>
  <c r="AU2657" i="37"/>
  <c r="AT2657" i="37"/>
  <c r="AU2656" i="37"/>
  <c r="AT2656" i="37"/>
  <c r="AU2655" i="37"/>
  <c r="AT2655" i="37"/>
  <c r="AU2654" i="37"/>
  <c r="AT2654" i="37"/>
  <c r="AU2653" i="37"/>
  <c r="AT2653" i="37"/>
  <c r="AU2652" i="37"/>
  <c r="AT2652" i="37"/>
  <c r="AU2651" i="37"/>
  <c r="AT2651" i="37"/>
  <c r="AU2650" i="37"/>
  <c r="AT2650" i="37"/>
  <c r="AU2649" i="37"/>
  <c r="AT2649" i="37"/>
  <c r="AU2648" i="37"/>
  <c r="AT2648" i="37"/>
  <c r="AU2647" i="37"/>
  <c r="AT2647" i="37"/>
  <c r="AU2646" i="37"/>
  <c r="AT2646" i="37"/>
  <c r="AU2645" i="37"/>
  <c r="AT2645" i="37"/>
  <c r="AU2644" i="37"/>
  <c r="AT2644" i="37"/>
  <c r="AU2643" i="37"/>
  <c r="AT2643" i="37"/>
  <c r="AU2642" i="37"/>
  <c r="AT2642" i="37"/>
  <c r="AU2641" i="37"/>
  <c r="AT2641" i="37"/>
  <c r="AU2640" i="37"/>
  <c r="AT2640" i="37"/>
  <c r="AU2639" i="37"/>
  <c r="AT2639" i="37"/>
  <c r="AU2638" i="37"/>
  <c r="AT2638" i="37"/>
  <c r="AU2637" i="37"/>
  <c r="AT2637" i="37"/>
  <c r="AU2636" i="37"/>
  <c r="AT2636" i="37"/>
  <c r="AU2635" i="37"/>
  <c r="AT2635" i="37"/>
  <c r="AU2634" i="37"/>
  <c r="AT2634" i="37"/>
  <c r="AU2633" i="37"/>
  <c r="AT2633" i="37"/>
  <c r="AU2632" i="37"/>
  <c r="AT2632" i="37"/>
  <c r="AU2631" i="37"/>
  <c r="AT2631" i="37"/>
  <c r="AU2630" i="37"/>
  <c r="AT2630" i="37"/>
  <c r="AU2629" i="37"/>
  <c r="AT2629" i="37"/>
  <c r="AU2628" i="37"/>
  <c r="AT2628" i="37"/>
  <c r="AU2627" i="37"/>
  <c r="AT2627" i="37"/>
  <c r="AU2626" i="37"/>
  <c r="AT2626" i="37"/>
  <c r="AU2625" i="37"/>
  <c r="AT2625" i="37"/>
  <c r="AU2624" i="37"/>
  <c r="AT2624" i="37"/>
  <c r="AU2623" i="37"/>
  <c r="AT2623" i="37"/>
  <c r="AU2622" i="37"/>
  <c r="AT2622" i="37"/>
  <c r="AU2621" i="37"/>
  <c r="AT2621" i="37"/>
  <c r="AU2620" i="37"/>
  <c r="AT2620" i="37"/>
  <c r="AU2619" i="37"/>
  <c r="AT2619" i="37"/>
  <c r="AU2618" i="37"/>
  <c r="AT2618" i="37"/>
  <c r="AU2617" i="37"/>
  <c r="AT2617" i="37"/>
  <c r="AU2616" i="37"/>
  <c r="AT2616" i="37"/>
  <c r="AU2615" i="37"/>
  <c r="AT2615" i="37"/>
  <c r="AU2614" i="37"/>
  <c r="AT2614" i="37"/>
  <c r="AU2613" i="37"/>
  <c r="AT2613" i="37"/>
  <c r="AU2612" i="37"/>
  <c r="AT2612" i="37"/>
  <c r="AU2611" i="37"/>
  <c r="AT2611" i="37"/>
  <c r="AU2610" i="37"/>
  <c r="AT2610" i="37"/>
  <c r="AU2609" i="37"/>
  <c r="AT2609" i="37"/>
  <c r="AU2608" i="37"/>
  <c r="AT2608" i="37"/>
  <c r="AU2607" i="37"/>
  <c r="AT2607" i="37"/>
  <c r="AU2606" i="37"/>
  <c r="AT2606" i="37"/>
  <c r="AU2605" i="37"/>
  <c r="AT2605" i="37"/>
  <c r="AU2604" i="37"/>
  <c r="AT2604" i="37"/>
  <c r="AU2603" i="37"/>
  <c r="AT2603" i="37"/>
  <c r="AU2602" i="37"/>
  <c r="AT2602" i="37"/>
  <c r="AU2601" i="37"/>
  <c r="AT2601" i="37"/>
  <c r="AU2600" i="37"/>
  <c r="AT2600" i="37"/>
  <c r="AU2599" i="37"/>
  <c r="AT2599" i="37"/>
  <c r="AU2598" i="37"/>
  <c r="AT2598" i="37"/>
  <c r="AU2597" i="37"/>
  <c r="AT2597" i="37"/>
  <c r="AU2596" i="37"/>
  <c r="AT2596" i="37"/>
  <c r="AU2595" i="37"/>
  <c r="AT2595" i="37"/>
  <c r="AU2594" i="37"/>
  <c r="AT2594" i="37"/>
  <c r="AU2593" i="37"/>
  <c r="AT2593" i="37"/>
  <c r="AU2592" i="37"/>
  <c r="AT2592" i="37"/>
  <c r="AU2591" i="37"/>
  <c r="AT2591" i="37"/>
  <c r="AU2590" i="37"/>
  <c r="AT2590" i="37"/>
  <c r="AU2589" i="37"/>
  <c r="AT2589" i="37"/>
  <c r="AU2588" i="37"/>
  <c r="AT2588" i="37"/>
  <c r="AU2587" i="37"/>
  <c r="AT2587" i="37"/>
  <c r="AU2586" i="37"/>
  <c r="AT2586" i="37"/>
  <c r="AU2585" i="37"/>
  <c r="AT2585" i="37"/>
  <c r="AU2584" i="37"/>
  <c r="AT2584" i="37"/>
  <c r="AU2583" i="37"/>
  <c r="AT2583" i="37"/>
  <c r="AU2582" i="37"/>
  <c r="AT2582" i="37"/>
  <c r="AU2581" i="37"/>
  <c r="AT2581" i="37"/>
  <c r="AU2580" i="37"/>
  <c r="AT2580" i="37"/>
  <c r="AU2579" i="37"/>
  <c r="AT2579" i="37"/>
  <c r="AU2578" i="37"/>
  <c r="AT2578" i="37"/>
  <c r="AU2577" i="37"/>
  <c r="AT2577" i="37"/>
  <c r="AU2576" i="37"/>
  <c r="AT2576" i="37"/>
  <c r="AU2575" i="37"/>
  <c r="AT2575" i="37"/>
  <c r="AU2574" i="37"/>
  <c r="AT2574" i="37"/>
  <c r="AU2573" i="37"/>
  <c r="AT2573" i="37"/>
  <c r="AU2572" i="37"/>
  <c r="AT2572" i="37"/>
  <c r="AU2571" i="37"/>
  <c r="AT2571" i="37"/>
  <c r="AU2570" i="37"/>
  <c r="AT2570" i="37"/>
  <c r="AU2569" i="37"/>
  <c r="AT2569" i="37"/>
  <c r="AU2568" i="37"/>
  <c r="AT2568" i="37"/>
  <c r="AU2567" i="37"/>
  <c r="AT2567" i="37"/>
  <c r="AU2566" i="37"/>
  <c r="AT2566" i="37"/>
  <c r="AU2565" i="37"/>
  <c r="AT2565" i="37"/>
  <c r="AU2564" i="37"/>
  <c r="AT2564" i="37"/>
  <c r="AU2563" i="37"/>
  <c r="AT2563" i="37"/>
  <c r="AU2562" i="37"/>
  <c r="AT2562" i="37"/>
  <c r="AU2561" i="37"/>
  <c r="AT2561" i="37"/>
  <c r="AU2560" i="37"/>
  <c r="AT2560" i="37"/>
  <c r="AU2559" i="37"/>
  <c r="AT2559" i="37"/>
  <c r="AU2558" i="37"/>
  <c r="AT2558" i="37"/>
  <c r="AU2557" i="37"/>
  <c r="AT2557" i="37"/>
  <c r="AU2556" i="37"/>
  <c r="AT2556" i="37"/>
  <c r="AU2555" i="37"/>
  <c r="AT2555" i="37"/>
  <c r="AU2554" i="37"/>
  <c r="AT2554" i="37"/>
  <c r="AU2553" i="37"/>
  <c r="AT2553" i="37"/>
  <c r="AU2552" i="37"/>
  <c r="AT2552" i="37"/>
  <c r="AU2551" i="37"/>
  <c r="AT2551" i="37"/>
  <c r="AU2550" i="37"/>
  <c r="AT2550" i="37"/>
  <c r="AU2549" i="37"/>
  <c r="AT2549" i="37"/>
  <c r="AU2548" i="37"/>
  <c r="AT2548" i="37"/>
  <c r="AU2547" i="37"/>
  <c r="AT2547" i="37"/>
  <c r="AU2546" i="37"/>
  <c r="AT2546" i="37"/>
  <c r="AU2545" i="37"/>
  <c r="AT2545" i="37"/>
  <c r="AU2544" i="37"/>
  <c r="AT2544" i="37"/>
  <c r="AU2543" i="37"/>
  <c r="AT2543" i="37"/>
  <c r="AU2542" i="37"/>
  <c r="AT2542" i="37"/>
  <c r="AU2541" i="37"/>
  <c r="AT2541" i="37"/>
  <c r="AU2540" i="37"/>
  <c r="AT2540" i="37"/>
  <c r="AU2539" i="37"/>
  <c r="AT2539" i="37"/>
  <c r="AU2538" i="37"/>
  <c r="AT2538" i="37"/>
  <c r="AU2537" i="37"/>
  <c r="AT2537" i="37"/>
  <c r="AU2536" i="37"/>
  <c r="AT2536" i="37"/>
  <c r="AU2535" i="37"/>
  <c r="AT2535" i="37"/>
  <c r="AU2534" i="37"/>
  <c r="AT2534" i="37"/>
  <c r="AU2533" i="37"/>
  <c r="AT2533" i="37"/>
  <c r="AU2532" i="37"/>
  <c r="AT2532" i="37"/>
  <c r="AU2531" i="37"/>
  <c r="AT2531" i="37"/>
  <c r="AU2530" i="37"/>
  <c r="AT2530" i="37"/>
  <c r="AU2529" i="37"/>
  <c r="AT2529" i="37"/>
  <c r="AU2528" i="37"/>
  <c r="AT2528" i="37"/>
  <c r="AU2527" i="37"/>
  <c r="AT2527" i="37"/>
  <c r="AU2526" i="37"/>
  <c r="AT2526" i="37"/>
  <c r="AU2525" i="37"/>
  <c r="AT2525" i="37"/>
  <c r="AU2524" i="37"/>
  <c r="AT2524" i="37"/>
  <c r="AU2523" i="37"/>
  <c r="AT2523" i="37"/>
  <c r="AU2522" i="37"/>
  <c r="AT2522" i="37"/>
  <c r="AU2521" i="37"/>
  <c r="AT2521" i="37"/>
  <c r="AU2520" i="37"/>
  <c r="AT2520" i="37"/>
  <c r="AU2519" i="37"/>
  <c r="AT2519" i="37"/>
  <c r="AU2518" i="37"/>
  <c r="AT2518" i="37"/>
  <c r="AU2517" i="37"/>
  <c r="AT2517" i="37"/>
  <c r="AU2516" i="37"/>
  <c r="AT2516" i="37"/>
  <c r="AU2515" i="37"/>
  <c r="AT2515" i="37"/>
  <c r="AU2514" i="37"/>
  <c r="AT2514" i="37"/>
  <c r="AU2513" i="37"/>
  <c r="AT2513" i="37"/>
  <c r="AU2512" i="37"/>
  <c r="AT2512" i="37"/>
  <c r="AU2511" i="37"/>
  <c r="AT2511" i="37"/>
  <c r="AU2510" i="37"/>
  <c r="AT2510" i="37"/>
  <c r="AU2509" i="37"/>
  <c r="AT2509" i="37"/>
  <c r="AU2508" i="37"/>
  <c r="AT2508" i="37"/>
  <c r="AU2507" i="37"/>
  <c r="AT2507" i="37"/>
  <c r="AU2506" i="37"/>
  <c r="AT2506" i="37"/>
  <c r="AU2505" i="37"/>
  <c r="AT2505" i="37"/>
  <c r="AU2504" i="37"/>
  <c r="AT2504" i="37"/>
  <c r="AU2503" i="37"/>
  <c r="AT2503" i="37"/>
  <c r="AU2502" i="37"/>
  <c r="AT2502" i="37"/>
  <c r="AU2501" i="37"/>
  <c r="AT2501" i="37"/>
  <c r="AU2500" i="37"/>
  <c r="AT2500" i="37"/>
  <c r="AU2499" i="37"/>
  <c r="AT2499" i="37"/>
  <c r="AU2498" i="37"/>
  <c r="AT2498" i="37"/>
  <c r="AU2497" i="37"/>
  <c r="AT2497" i="37"/>
  <c r="AU2496" i="37"/>
  <c r="AT2496" i="37"/>
  <c r="AU2495" i="37"/>
  <c r="AT2495" i="37"/>
  <c r="AU2494" i="37"/>
  <c r="AT2494" i="37"/>
  <c r="AU2493" i="37"/>
  <c r="AT2493" i="37"/>
  <c r="AU2492" i="37"/>
  <c r="AT2492" i="37"/>
  <c r="AU2491" i="37"/>
  <c r="AT2491" i="37"/>
  <c r="AU2490" i="37"/>
  <c r="AT2490" i="37"/>
  <c r="AU2489" i="37"/>
  <c r="AT2489" i="37"/>
  <c r="AU2488" i="37"/>
  <c r="AT2488" i="37"/>
  <c r="AU2487" i="37"/>
  <c r="AT2487" i="37"/>
  <c r="AU2486" i="37"/>
  <c r="AT2486" i="37"/>
  <c r="AU2485" i="37"/>
  <c r="AT2485" i="37"/>
  <c r="AU2484" i="37"/>
  <c r="AT2484" i="37"/>
  <c r="AU2483" i="37"/>
  <c r="AT2483" i="37"/>
  <c r="AU2482" i="37"/>
  <c r="AT2482" i="37"/>
  <c r="AU2481" i="37"/>
  <c r="AT2481" i="37"/>
  <c r="AU2480" i="37"/>
  <c r="AT2480" i="37"/>
  <c r="AU2479" i="37"/>
  <c r="AT2479" i="37"/>
  <c r="AU2478" i="37"/>
  <c r="AT2478" i="37"/>
  <c r="AU2477" i="37"/>
  <c r="AT2477" i="37"/>
  <c r="AU2476" i="37"/>
  <c r="AT2476" i="37"/>
  <c r="AU2475" i="37"/>
  <c r="AT2475" i="37"/>
  <c r="AU2474" i="37"/>
  <c r="AT2474" i="37"/>
  <c r="AU2473" i="37"/>
  <c r="AT2473" i="37"/>
  <c r="AU2472" i="37"/>
  <c r="AT2472" i="37"/>
  <c r="AU2471" i="37"/>
  <c r="AT2471" i="37"/>
  <c r="AU2470" i="37"/>
  <c r="AT2470" i="37"/>
  <c r="AU2469" i="37"/>
  <c r="AT2469" i="37"/>
  <c r="AU2468" i="37"/>
  <c r="AT2468" i="37"/>
  <c r="AU2467" i="37"/>
  <c r="AT2467" i="37"/>
  <c r="AU2466" i="37"/>
  <c r="AT2466" i="37"/>
  <c r="AU2465" i="37"/>
  <c r="AT2465" i="37"/>
  <c r="AU2464" i="37"/>
  <c r="AT2464" i="37"/>
  <c r="AU2463" i="37"/>
  <c r="AT2463" i="37"/>
  <c r="AU2462" i="37"/>
  <c r="AT2462" i="37"/>
  <c r="AU2461" i="37"/>
  <c r="AT2461" i="37"/>
  <c r="AU2460" i="37"/>
  <c r="AT2460" i="37"/>
  <c r="AU2459" i="37"/>
  <c r="AT2459" i="37"/>
  <c r="AU2458" i="37"/>
  <c r="AT2458" i="37"/>
  <c r="AU2457" i="37"/>
  <c r="AT2457" i="37"/>
  <c r="AU2456" i="37"/>
  <c r="AT2456" i="37"/>
  <c r="AU2455" i="37"/>
  <c r="AT2455" i="37"/>
  <c r="AU2454" i="37"/>
  <c r="AT2454" i="37"/>
  <c r="AU2453" i="37"/>
  <c r="AT2453" i="37"/>
  <c r="AU2452" i="37"/>
  <c r="AT2452" i="37"/>
  <c r="AU2451" i="37"/>
  <c r="AT2451" i="37"/>
  <c r="AU2450" i="37"/>
  <c r="AT2450" i="37"/>
  <c r="AU2449" i="37"/>
  <c r="AT2449" i="37"/>
  <c r="AU2448" i="37"/>
  <c r="AT2448" i="37"/>
  <c r="AU2447" i="37"/>
  <c r="AT2447" i="37"/>
  <c r="AU2446" i="37"/>
  <c r="AT2446" i="37"/>
  <c r="AU2445" i="37"/>
  <c r="AT2445" i="37"/>
  <c r="AU2444" i="37"/>
  <c r="AT2444" i="37"/>
  <c r="AU2443" i="37"/>
  <c r="AT2443" i="37"/>
  <c r="AU2442" i="37"/>
  <c r="AT2442" i="37"/>
  <c r="AU2441" i="37"/>
  <c r="AT2441" i="37"/>
  <c r="AU2440" i="37"/>
  <c r="AT2440" i="37"/>
  <c r="AU2439" i="37"/>
  <c r="AT2439" i="37"/>
  <c r="AU2438" i="37"/>
  <c r="AT2438" i="37"/>
  <c r="AU2437" i="37"/>
  <c r="AT2437" i="37"/>
  <c r="AU2436" i="37"/>
  <c r="AT2436" i="37"/>
  <c r="AU2435" i="37"/>
  <c r="AT2435" i="37"/>
  <c r="AU2434" i="37"/>
  <c r="AT2434" i="37"/>
  <c r="AU2433" i="37"/>
  <c r="AT2433" i="37"/>
  <c r="AU2432" i="37"/>
  <c r="AT2432" i="37"/>
  <c r="AU2431" i="37"/>
  <c r="AT2431" i="37"/>
  <c r="AU2430" i="37"/>
  <c r="AT2430" i="37"/>
  <c r="AU2429" i="37"/>
  <c r="AT2429" i="37"/>
  <c r="AU2428" i="37"/>
  <c r="AT2428" i="37"/>
  <c r="AU2427" i="37"/>
  <c r="AT2427" i="37"/>
  <c r="AU2426" i="37"/>
  <c r="AT2426" i="37"/>
  <c r="AU2425" i="37"/>
  <c r="AT2425" i="37"/>
  <c r="AU2424" i="37"/>
  <c r="AT2424" i="37"/>
  <c r="AU2423" i="37"/>
  <c r="AT2423" i="37"/>
  <c r="AU2422" i="37"/>
  <c r="AT2422" i="37"/>
  <c r="AU2421" i="37"/>
  <c r="AT2421" i="37"/>
  <c r="AU2420" i="37"/>
  <c r="AT2420" i="37"/>
  <c r="AU2419" i="37"/>
  <c r="AT2419" i="37"/>
  <c r="AU2418" i="37"/>
  <c r="AT2418" i="37"/>
  <c r="AU2417" i="37"/>
  <c r="AT2417" i="37"/>
  <c r="AU2416" i="37"/>
  <c r="AT2416" i="37"/>
  <c r="AU2415" i="37"/>
  <c r="AT2415" i="37"/>
  <c r="AU2414" i="37"/>
  <c r="AT2414" i="37"/>
  <c r="AU2413" i="37"/>
  <c r="AT2413" i="37"/>
  <c r="AU2412" i="37"/>
  <c r="AT2412" i="37"/>
  <c r="AU2411" i="37"/>
  <c r="AT2411" i="37"/>
  <c r="AU2410" i="37"/>
  <c r="AT2410" i="37"/>
  <c r="AU2409" i="37"/>
  <c r="AT2409" i="37"/>
  <c r="AU2408" i="37"/>
  <c r="AT2408" i="37"/>
  <c r="AU2407" i="37"/>
  <c r="AT2407" i="37"/>
  <c r="AU2406" i="37"/>
  <c r="AT2406" i="37"/>
  <c r="AU2405" i="37"/>
  <c r="AT2405" i="37"/>
  <c r="AU2404" i="37"/>
  <c r="AT2404" i="37"/>
  <c r="AU2403" i="37"/>
  <c r="AT2403" i="37"/>
  <c r="AU2402" i="37"/>
  <c r="AT2402" i="37"/>
  <c r="AU2401" i="37"/>
  <c r="AT2401" i="37"/>
  <c r="AU2400" i="37"/>
  <c r="AT2400" i="37"/>
  <c r="AU2399" i="37"/>
  <c r="AT2399" i="37"/>
  <c r="AU2398" i="37"/>
  <c r="AT2398" i="37"/>
  <c r="AU2397" i="37"/>
  <c r="AT2397" i="37"/>
  <c r="AU2396" i="37"/>
  <c r="AT2396" i="37"/>
  <c r="AU2395" i="37"/>
  <c r="AT2395" i="37"/>
  <c r="AU2394" i="37"/>
  <c r="AT2394" i="37"/>
  <c r="AU2393" i="37"/>
  <c r="AT2393" i="37"/>
  <c r="AU2392" i="37"/>
  <c r="AT2392" i="37"/>
  <c r="AU2391" i="37"/>
  <c r="AT2391" i="37"/>
  <c r="AU2390" i="37"/>
  <c r="AT2390" i="37"/>
  <c r="AU2389" i="37"/>
  <c r="AT2389" i="37"/>
  <c r="AU2388" i="37"/>
  <c r="AT2388" i="37"/>
  <c r="AU2387" i="37"/>
  <c r="AT2387" i="37"/>
  <c r="AU2386" i="37"/>
  <c r="AT2386" i="37"/>
  <c r="AU2385" i="37"/>
  <c r="AT2385" i="37"/>
  <c r="AU2384" i="37"/>
  <c r="AT2384" i="37"/>
  <c r="AU2383" i="37"/>
  <c r="AT2383" i="37"/>
  <c r="AU2382" i="37"/>
  <c r="AT2382" i="37"/>
  <c r="AU2381" i="37"/>
  <c r="AT2381" i="37"/>
  <c r="AU2380" i="37"/>
  <c r="AT2380" i="37"/>
  <c r="AU2379" i="37"/>
  <c r="AT2379" i="37"/>
  <c r="AU2378" i="37"/>
  <c r="AT2378" i="37"/>
  <c r="AU2377" i="37"/>
  <c r="AT2377" i="37"/>
  <c r="AU2376" i="37"/>
  <c r="AT2376" i="37"/>
  <c r="AU2375" i="37"/>
  <c r="AT2375" i="37"/>
  <c r="AU2374" i="37"/>
  <c r="AT2374" i="37"/>
  <c r="AU2373" i="37"/>
  <c r="AT2373" i="37"/>
  <c r="AU2372" i="37"/>
  <c r="AT2372" i="37"/>
  <c r="AU2371" i="37"/>
  <c r="AT2371" i="37"/>
  <c r="AU2370" i="37"/>
  <c r="AT2370" i="37"/>
  <c r="AU2369" i="37"/>
  <c r="AT2369" i="37"/>
  <c r="AU2368" i="37"/>
  <c r="AT2368" i="37"/>
  <c r="AU2367" i="37"/>
  <c r="AT2367" i="37"/>
  <c r="AU2366" i="37"/>
  <c r="AT2366" i="37"/>
  <c r="AU2365" i="37"/>
  <c r="AT2365" i="37"/>
  <c r="AU2364" i="37"/>
  <c r="AT2364" i="37"/>
  <c r="AU2363" i="37"/>
  <c r="AT2363" i="37"/>
  <c r="AU2362" i="37"/>
  <c r="AT2362" i="37"/>
  <c r="AU2361" i="37"/>
  <c r="AT2361" i="37"/>
  <c r="AU2360" i="37"/>
  <c r="AT2360" i="37"/>
  <c r="AU2359" i="37"/>
  <c r="AT2359" i="37"/>
  <c r="AU2358" i="37"/>
  <c r="AT2358" i="37"/>
  <c r="AU2357" i="37"/>
  <c r="AT2357" i="37"/>
  <c r="AU2356" i="37"/>
  <c r="AT2356" i="37"/>
  <c r="AU2355" i="37"/>
  <c r="AT2355" i="37"/>
  <c r="AU2354" i="37"/>
  <c r="AT2354" i="37"/>
  <c r="AU2353" i="37"/>
  <c r="AT2353" i="37"/>
  <c r="AU2352" i="37"/>
  <c r="AT2352" i="37"/>
  <c r="AU2351" i="37"/>
  <c r="AT2351" i="37"/>
  <c r="AU2350" i="37"/>
  <c r="AT2350" i="37"/>
  <c r="AU2349" i="37"/>
  <c r="AT2349" i="37"/>
  <c r="AU2348" i="37"/>
  <c r="AT2348" i="37"/>
  <c r="AU2347" i="37"/>
  <c r="AT2347" i="37"/>
  <c r="AU2346" i="37"/>
  <c r="AT2346" i="37"/>
  <c r="AU2345" i="37"/>
  <c r="AT2345" i="37"/>
  <c r="AU2344" i="37"/>
  <c r="AT2344" i="37"/>
  <c r="AU2343" i="37"/>
  <c r="AT2343" i="37"/>
  <c r="AU2342" i="37"/>
  <c r="AT2342" i="37"/>
  <c r="AU2341" i="37"/>
  <c r="AT2341" i="37"/>
  <c r="AU2340" i="37"/>
  <c r="AT2340" i="37"/>
  <c r="AU2339" i="37"/>
  <c r="AT2339" i="37"/>
  <c r="AU2338" i="37"/>
  <c r="AT2338" i="37"/>
  <c r="AU2337" i="37"/>
  <c r="AT2337" i="37"/>
  <c r="AU2336" i="37"/>
  <c r="AT2336" i="37"/>
  <c r="AU2335" i="37"/>
  <c r="AT2335" i="37"/>
  <c r="AU2334" i="37"/>
  <c r="AT2334" i="37"/>
  <c r="AU2333" i="37"/>
  <c r="AT2333" i="37"/>
  <c r="AU2332" i="37"/>
  <c r="AT2332" i="37"/>
  <c r="AU2331" i="37"/>
  <c r="AT2331" i="37"/>
  <c r="AU2330" i="37"/>
  <c r="AT2330" i="37"/>
  <c r="AU2329" i="37"/>
  <c r="AT2329" i="37"/>
  <c r="AU2328" i="37"/>
  <c r="AT2328" i="37"/>
  <c r="AU2327" i="37"/>
  <c r="AT2327" i="37"/>
  <c r="AU2326" i="37"/>
  <c r="AT2326" i="37"/>
  <c r="AU2325" i="37"/>
  <c r="AT2325" i="37"/>
  <c r="AU2324" i="37"/>
  <c r="AT2324" i="37"/>
  <c r="AU2323" i="37"/>
  <c r="AT2323" i="37"/>
  <c r="AU2322" i="37"/>
  <c r="AT2322" i="37"/>
  <c r="AU2321" i="37"/>
  <c r="AT2321" i="37"/>
  <c r="AU2320" i="37"/>
  <c r="AT2320" i="37"/>
  <c r="AU2319" i="37"/>
  <c r="AT2319" i="37"/>
  <c r="AU2318" i="37"/>
  <c r="AT2318" i="37"/>
  <c r="AU2317" i="37"/>
  <c r="AT2317" i="37"/>
  <c r="AU2316" i="37"/>
  <c r="AT2316" i="37"/>
  <c r="AU2315" i="37"/>
  <c r="AT2315" i="37"/>
  <c r="AU2314" i="37"/>
  <c r="AT2314" i="37"/>
  <c r="AU2313" i="37"/>
  <c r="AT2313" i="37"/>
  <c r="AU2312" i="37"/>
  <c r="AT2312" i="37"/>
  <c r="AU2311" i="37"/>
  <c r="AT2311" i="37"/>
  <c r="AU2310" i="37"/>
  <c r="AT2310" i="37"/>
  <c r="AU2309" i="37"/>
  <c r="AT2309" i="37"/>
  <c r="AU2308" i="37"/>
  <c r="AT2308" i="37"/>
  <c r="AU2307" i="37"/>
  <c r="AT2307" i="37"/>
  <c r="AU2306" i="37"/>
  <c r="AT2306" i="37"/>
  <c r="AU2305" i="37"/>
  <c r="AT2305" i="37"/>
  <c r="AU2304" i="37"/>
  <c r="AT2304" i="37"/>
  <c r="AU2303" i="37"/>
  <c r="AT2303" i="37"/>
  <c r="AU2302" i="37"/>
  <c r="AT2302" i="37"/>
  <c r="AU2301" i="37"/>
  <c r="AT2301" i="37"/>
  <c r="AU2300" i="37"/>
  <c r="AT2300" i="37"/>
  <c r="AU2299" i="37"/>
  <c r="AT2299" i="37"/>
  <c r="AU2298" i="37"/>
  <c r="AT2298" i="37"/>
  <c r="AU2297" i="37"/>
  <c r="AT2297" i="37"/>
  <c r="AU2296" i="37"/>
  <c r="AT2296" i="37"/>
  <c r="AU2295" i="37"/>
  <c r="AT2295" i="37"/>
  <c r="AU2294" i="37"/>
  <c r="AT2294" i="37"/>
  <c r="AU2293" i="37"/>
  <c r="AT2293" i="37"/>
  <c r="AU2292" i="37"/>
  <c r="AT2292" i="37"/>
  <c r="AU2291" i="37"/>
  <c r="AT2291" i="37"/>
  <c r="AU2290" i="37"/>
  <c r="AT2290" i="37"/>
  <c r="AU2289" i="37"/>
  <c r="AT2289" i="37"/>
  <c r="AU2288" i="37"/>
  <c r="AT2288" i="37"/>
  <c r="AU2287" i="37"/>
  <c r="AT2287" i="37"/>
  <c r="AU2286" i="37"/>
  <c r="AT2286" i="37"/>
  <c r="AU2285" i="37"/>
  <c r="AT2285" i="37"/>
  <c r="AU2284" i="37"/>
  <c r="AT2284" i="37"/>
  <c r="AU2283" i="37"/>
  <c r="AT2283" i="37"/>
  <c r="AU2282" i="37"/>
  <c r="AT2282" i="37"/>
  <c r="AU2281" i="37"/>
  <c r="AT2281" i="37"/>
  <c r="AU2280" i="37"/>
  <c r="AT2280" i="37"/>
  <c r="AU2279" i="37"/>
  <c r="AT2279" i="37"/>
  <c r="AU2278" i="37"/>
  <c r="AT2278" i="37"/>
  <c r="AU2277" i="37"/>
  <c r="AT2277" i="37"/>
  <c r="AU2276" i="37"/>
  <c r="AT2276" i="37"/>
  <c r="AU2275" i="37"/>
  <c r="AT2275" i="37"/>
  <c r="AU2274" i="37"/>
  <c r="AT2274" i="37"/>
  <c r="AU2273" i="37"/>
  <c r="AT2273" i="37"/>
  <c r="AU2272" i="37"/>
  <c r="AT2272" i="37"/>
  <c r="AU2271" i="37"/>
  <c r="AT2271" i="37"/>
  <c r="AU2270" i="37"/>
  <c r="AT2270" i="37"/>
  <c r="AU2269" i="37"/>
  <c r="AT2269" i="37"/>
  <c r="AU2268" i="37"/>
  <c r="AT2268" i="37"/>
  <c r="AU2267" i="37"/>
  <c r="AT2267" i="37"/>
  <c r="AU2266" i="37"/>
  <c r="AT2266" i="37"/>
  <c r="AU2265" i="37"/>
  <c r="AT2265" i="37"/>
  <c r="AU2264" i="37"/>
  <c r="AT2264" i="37"/>
  <c r="AU2263" i="37"/>
  <c r="AT2263" i="37"/>
  <c r="AU2262" i="37"/>
  <c r="AT2262" i="37"/>
  <c r="AU2261" i="37"/>
  <c r="AT2261" i="37"/>
  <c r="AU2260" i="37"/>
  <c r="AT2260" i="37"/>
  <c r="AU2259" i="37"/>
  <c r="AT2259" i="37"/>
  <c r="AU2258" i="37"/>
  <c r="AT2258" i="37"/>
  <c r="AU2257" i="37"/>
  <c r="AT2257" i="37"/>
  <c r="AU2256" i="37"/>
  <c r="AT2256" i="37"/>
  <c r="AU2255" i="37"/>
  <c r="AT2255" i="37"/>
  <c r="AU2254" i="37"/>
  <c r="AT2254" i="37"/>
  <c r="AU2253" i="37"/>
  <c r="AT2253" i="37"/>
  <c r="AU2252" i="37"/>
  <c r="AT2252" i="37"/>
  <c r="AU2251" i="37"/>
  <c r="AT2251" i="37"/>
  <c r="AU2250" i="37"/>
  <c r="AT2250" i="37"/>
  <c r="AU2249" i="37"/>
  <c r="AT2249" i="37"/>
  <c r="AU2248" i="37"/>
  <c r="AT2248" i="37"/>
  <c r="AU2247" i="37"/>
  <c r="AT2247" i="37"/>
  <c r="AU2246" i="37"/>
  <c r="AT2246" i="37"/>
  <c r="AU2245" i="37"/>
  <c r="AT2245" i="37"/>
  <c r="AU2244" i="37"/>
  <c r="AT2244" i="37"/>
  <c r="AU2243" i="37"/>
  <c r="AT2243" i="37"/>
  <c r="AU2242" i="37"/>
  <c r="AT2242" i="37"/>
  <c r="AU2241" i="37"/>
  <c r="AT2241" i="37"/>
  <c r="AU2240" i="37"/>
  <c r="AT2240" i="37"/>
  <c r="AU2239" i="37"/>
  <c r="AT2239" i="37"/>
  <c r="AU2238" i="37"/>
  <c r="AT2238" i="37"/>
  <c r="AU2237" i="37"/>
  <c r="AT2237" i="37"/>
  <c r="AU2236" i="37"/>
  <c r="AT2236" i="37"/>
  <c r="AU2235" i="37"/>
  <c r="AT2235" i="37"/>
  <c r="AU2234" i="37"/>
  <c r="AT2234" i="37"/>
  <c r="AU2233" i="37"/>
  <c r="AT2233" i="37"/>
  <c r="AU2232" i="37"/>
  <c r="AT2232" i="37"/>
  <c r="AU2231" i="37"/>
  <c r="AT2231" i="37"/>
  <c r="AU2230" i="37"/>
  <c r="AT2230" i="37"/>
  <c r="AU2229" i="37"/>
  <c r="AT2229" i="37"/>
  <c r="AU2228" i="37"/>
  <c r="AT2228" i="37"/>
  <c r="AU2227" i="37"/>
  <c r="AT2227" i="37"/>
  <c r="AU2226" i="37"/>
  <c r="AT2226" i="37"/>
  <c r="AU2225" i="37"/>
  <c r="AT2225" i="37"/>
  <c r="AU2224" i="37"/>
  <c r="AT2224" i="37"/>
  <c r="AU2223" i="37"/>
  <c r="AT2223" i="37"/>
  <c r="AU2222" i="37"/>
  <c r="AT2222" i="37"/>
  <c r="AU2221" i="37"/>
  <c r="AT2221" i="37"/>
  <c r="AU2220" i="37"/>
  <c r="AT2220" i="37"/>
  <c r="AU2219" i="37"/>
  <c r="AT2219" i="37"/>
  <c r="AU2218" i="37"/>
  <c r="AT2218" i="37"/>
  <c r="AU2217" i="37"/>
  <c r="AT2217" i="37"/>
  <c r="AU2216" i="37"/>
  <c r="AT2216" i="37"/>
  <c r="AU2215" i="37"/>
  <c r="AT2215" i="37"/>
  <c r="AU2214" i="37"/>
  <c r="AT2214" i="37"/>
  <c r="AU2213" i="37"/>
  <c r="AT2213" i="37"/>
  <c r="AU2212" i="37"/>
  <c r="AT2212" i="37"/>
  <c r="AU2211" i="37"/>
  <c r="AT2211" i="37"/>
  <c r="AU2210" i="37"/>
  <c r="AT2210" i="37"/>
  <c r="AU2209" i="37"/>
  <c r="AT2209" i="37"/>
  <c r="AU2208" i="37"/>
  <c r="AT2208" i="37"/>
  <c r="AU2207" i="37"/>
  <c r="AT2207" i="37"/>
  <c r="AU2206" i="37"/>
  <c r="AT2206" i="37"/>
  <c r="AU2205" i="37"/>
  <c r="AT2205" i="37"/>
  <c r="AU2204" i="37"/>
  <c r="AT2204" i="37"/>
  <c r="AU2203" i="37"/>
  <c r="AT2203" i="37"/>
  <c r="AU2202" i="37"/>
  <c r="AT2202" i="37"/>
  <c r="AU2201" i="37"/>
  <c r="AT2201" i="37"/>
  <c r="AU2200" i="37"/>
  <c r="AT2200" i="37"/>
  <c r="AU2199" i="37"/>
  <c r="AT2199" i="37"/>
  <c r="AU2198" i="37"/>
  <c r="AT2198" i="37"/>
  <c r="AU2197" i="37"/>
  <c r="AT2197" i="37"/>
  <c r="AU2196" i="37"/>
  <c r="AT2196" i="37"/>
  <c r="AU2195" i="37"/>
  <c r="AT2195" i="37"/>
  <c r="AU2194" i="37"/>
  <c r="AT2194" i="37"/>
  <c r="AU2193" i="37"/>
  <c r="AT2193" i="37"/>
  <c r="AU2192" i="37"/>
  <c r="AT2192" i="37"/>
  <c r="AU2191" i="37"/>
  <c r="AT2191" i="37"/>
  <c r="AU2190" i="37"/>
  <c r="AT2190" i="37"/>
  <c r="AU2189" i="37"/>
  <c r="AT2189" i="37"/>
  <c r="AU2188" i="37"/>
  <c r="AT2188" i="37"/>
  <c r="AU2187" i="37"/>
  <c r="AT2187" i="37"/>
  <c r="AU2186" i="37"/>
  <c r="AT2186" i="37"/>
  <c r="AU2185" i="37"/>
  <c r="AT2185" i="37"/>
  <c r="AU2184" i="37"/>
  <c r="AT2184" i="37"/>
  <c r="AU2183" i="37"/>
  <c r="AT2183" i="37"/>
  <c r="AU2182" i="37"/>
  <c r="AT2182" i="37"/>
  <c r="AU2181" i="37"/>
  <c r="AT2181" i="37"/>
  <c r="AU2180" i="37"/>
  <c r="AT2180" i="37"/>
  <c r="AU2179" i="37"/>
  <c r="AT2179" i="37"/>
  <c r="AU2178" i="37"/>
  <c r="AT2178" i="37"/>
  <c r="AU2177" i="37"/>
  <c r="AT2177" i="37"/>
  <c r="AU2176" i="37"/>
  <c r="AT2176" i="37"/>
  <c r="AU2175" i="37"/>
  <c r="AT2175" i="37"/>
  <c r="AU2174" i="37"/>
  <c r="AT2174" i="37"/>
  <c r="AU2173" i="37"/>
  <c r="AT2173" i="37"/>
  <c r="AU2172" i="37"/>
  <c r="AT2172" i="37"/>
  <c r="AU2171" i="37"/>
  <c r="AT2171" i="37"/>
  <c r="AU2170" i="37"/>
  <c r="AT2170" i="37"/>
  <c r="AU2169" i="37"/>
  <c r="AT2169" i="37"/>
  <c r="AU2168" i="37"/>
  <c r="AT2168" i="37"/>
  <c r="AU2167" i="37"/>
  <c r="AT2167" i="37"/>
  <c r="AU2166" i="37"/>
  <c r="AT2166" i="37"/>
  <c r="AU2165" i="37"/>
  <c r="AT2165" i="37"/>
  <c r="AU2164" i="37"/>
  <c r="AT2164" i="37"/>
  <c r="AU2163" i="37"/>
  <c r="AT2163" i="37"/>
  <c r="AU2162" i="37"/>
  <c r="AT2162" i="37"/>
  <c r="AU2161" i="37"/>
  <c r="AT2161" i="37"/>
  <c r="AU2160" i="37"/>
  <c r="AT2160" i="37"/>
  <c r="AU2159" i="37"/>
  <c r="AT2159" i="37"/>
  <c r="AU2158" i="37"/>
  <c r="AT2158" i="37"/>
  <c r="AU2157" i="37"/>
  <c r="AT2157" i="37"/>
  <c r="AU2156" i="37"/>
  <c r="AT2156" i="37"/>
  <c r="AU2155" i="37"/>
  <c r="AT2155" i="37"/>
  <c r="AU2154" i="37"/>
  <c r="AT2154" i="37"/>
  <c r="AU2153" i="37"/>
  <c r="AT2153" i="37"/>
  <c r="AU2152" i="37"/>
  <c r="AT2152" i="37"/>
  <c r="AU2151" i="37"/>
  <c r="AT2151" i="37"/>
  <c r="AU2150" i="37"/>
  <c r="AT2150" i="37"/>
  <c r="AU2149" i="37"/>
  <c r="AT2149" i="37"/>
  <c r="AU2148" i="37"/>
  <c r="AT2148" i="37"/>
  <c r="AU2147" i="37"/>
  <c r="AT2147" i="37"/>
  <c r="AU2146" i="37"/>
  <c r="AT2146" i="37"/>
  <c r="AU2145" i="37"/>
  <c r="AT2145" i="37"/>
  <c r="AU2144" i="37"/>
  <c r="AT2144" i="37"/>
  <c r="AU2143" i="37"/>
  <c r="AT2143" i="37"/>
  <c r="AU2142" i="37"/>
  <c r="AT2142" i="37"/>
  <c r="AU2141" i="37"/>
  <c r="AT2141" i="37"/>
  <c r="AU2140" i="37"/>
  <c r="AT2140" i="37"/>
  <c r="AU2139" i="37"/>
  <c r="AT2139" i="37"/>
  <c r="AU2138" i="37"/>
  <c r="AT2138" i="37"/>
  <c r="AU2137" i="37"/>
  <c r="AT2137" i="37"/>
  <c r="AU2136" i="37"/>
  <c r="AT2136" i="37"/>
  <c r="AU2135" i="37"/>
  <c r="AT2135" i="37"/>
  <c r="AU2134" i="37"/>
  <c r="AT2134" i="37"/>
  <c r="AU2133" i="37"/>
  <c r="AT2133" i="37"/>
  <c r="AU2132" i="37"/>
  <c r="AT2132" i="37"/>
  <c r="AU2131" i="37"/>
  <c r="AT2131" i="37"/>
  <c r="AU2130" i="37"/>
  <c r="AT2130" i="37"/>
  <c r="AU2129" i="37"/>
  <c r="AT2129" i="37"/>
  <c r="AU2128" i="37"/>
  <c r="AT2128" i="37"/>
  <c r="AU2127" i="37"/>
  <c r="AT2127" i="37"/>
  <c r="AU2126" i="37"/>
  <c r="AT2126" i="37"/>
  <c r="AU2125" i="37"/>
  <c r="AT2125" i="37"/>
  <c r="AU2124" i="37"/>
  <c r="AT2124" i="37"/>
  <c r="AU2123" i="37"/>
  <c r="AT2123" i="37"/>
  <c r="AU2122" i="37"/>
  <c r="AT2122" i="37"/>
  <c r="AU2121" i="37"/>
  <c r="AT2121" i="37"/>
  <c r="AU2120" i="37"/>
  <c r="AT2120" i="37"/>
  <c r="AU2119" i="37"/>
  <c r="AT2119" i="37"/>
  <c r="AU2118" i="37"/>
  <c r="AT2118" i="37"/>
  <c r="AU2117" i="37"/>
  <c r="AT2117" i="37"/>
  <c r="AU2116" i="37"/>
  <c r="AT2116" i="37"/>
  <c r="AU2115" i="37"/>
  <c r="AT2115" i="37"/>
  <c r="AU2114" i="37"/>
  <c r="AT2114" i="37"/>
  <c r="AU2113" i="37"/>
  <c r="AT2113" i="37"/>
  <c r="AU2112" i="37"/>
  <c r="AT2112" i="37"/>
  <c r="AU2111" i="37"/>
  <c r="AT2111" i="37"/>
  <c r="AU2110" i="37"/>
  <c r="AT2110" i="37"/>
  <c r="AU2109" i="37"/>
  <c r="AT2109" i="37"/>
  <c r="AU2108" i="37"/>
  <c r="AT2108" i="37"/>
  <c r="AU2107" i="37"/>
  <c r="AT2107" i="37"/>
  <c r="AU2106" i="37"/>
  <c r="AT2106" i="37"/>
  <c r="AU2105" i="37"/>
  <c r="AT2105" i="37"/>
  <c r="AU2104" i="37"/>
  <c r="AT2104" i="37"/>
  <c r="AU2103" i="37"/>
  <c r="AT2103" i="37"/>
  <c r="AU2102" i="37"/>
  <c r="AT2102" i="37"/>
  <c r="AU2101" i="37"/>
  <c r="AT2101" i="37"/>
  <c r="AU2100" i="37"/>
  <c r="AT2100" i="37"/>
  <c r="AU2099" i="37"/>
  <c r="AT2099" i="37"/>
  <c r="AU2098" i="37"/>
  <c r="AT2098" i="37"/>
  <c r="AU2097" i="37"/>
  <c r="AT2097" i="37"/>
  <c r="AU2096" i="37"/>
  <c r="AT2096" i="37"/>
  <c r="AU2095" i="37"/>
  <c r="AT2095" i="37"/>
  <c r="AU2094" i="37"/>
  <c r="AT2094" i="37"/>
  <c r="AU2093" i="37"/>
  <c r="AT2093" i="37"/>
  <c r="AU2092" i="37"/>
  <c r="AT2092" i="37"/>
  <c r="AU2091" i="37"/>
  <c r="AT2091" i="37"/>
  <c r="AU2090" i="37"/>
  <c r="AT2090" i="37"/>
  <c r="AU2089" i="37"/>
  <c r="AT2089" i="37"/>
  <c r="AU2088" i="37"/>
  <c r="AT2088" i="37"/>
  <c r="AU2087" i="37"/>
  <c r="AT2087" i="37"/>
  <c r="AU2086" i="37"/>
  <c r="AT2086" i="37"/>
  <c r="AU2085" i="37"/>
  <c r="AT2085" i="37"/>
  <c r="AU2084" i="37"/>
  <c r="AT2084" i="37"/>
  <c r="AU2083" i="37"/>
  <c r="AT2083" i="37"/>
  <c r="AU2082" i="37"/>
  <c r="AT2082" i="37"/>
  <c r="AU2081" i="37"/>
  <c r="AT2081" i="37"/>
  <c r="AU2080" i="37"/>
  <c r="AT2080" i="37"/>
  <c r="AU2079" i="37"/>
  <c r="AT2079" i="37"/>
  <c r="AU2078" i="37"/>
  <c r="AT2078" i="37"/>
  <c r="AU2077" i="37"/>
  <c r="AT2077" i="37"/>
  <c r="AU2076" i="37"/>
  <c r="AT2076" i="37"/>
  <c r="AU2075" i="37"/>
  <c r="AT2075" i="37"/>
  <c r="AU2074" i="37"/>
  <c r="AT2074" i="37"/>
  <c r="AU2073" i="37"/>
  <c r="AT2073" i="37"/>
  <c r="AU2072" i="37"/>
  <c r="AT2072" i="37"/>
  <c r="AU2071" i="37"/>
  <c r="AT2071" i="37"/>
  <c r="AU2070" i="37"/>
  <c r="AT2070" i="37"/>
  <c r="AU2069" i="37"/>
  <c r="AT2069" i="37"/>
  <c r="AU2068" i="37"/>
  <c r="AT2068" i="37"/>
  <c r="AU2067" i="37"/>
  <c r="AT2067" i="37"/>
  <c r="AU2066" i="37"/>
  <c r="AT2066" i="37"/>
  <c r="AU2065" i="37"/>
  <c r="AT2065" i="37"/>
  <c r="AU2064" i="37"/>
  <c r="AT2064" i="37"/>
  <c r="AU2063" i="37"/>
  <c r="AT2063" i="37"/>
  <c r="AU2062" i="37"/>
  <c r="AT2062" i="37"/>
  <c r="AU2061" i="37"/>
  <c r="AT2061" i="37"/>
  <c r="AU2060" i="37"/>
  <c r="AT2060" i="37"/>
  <c r="AU2059" i="37"/>
  <c r="AT2059" i="37"/>
  <c r="AU2058" i="37"/>
  <c r="AT2058" i="37"/>
  <c r="AU2057" i="37"/>
  <c r="AT2057" i="37"/>
  <c r="AU2056" i="37"/>
  <c r="AT2056" i="37"/>
  <c r="AU2055" i="37"/>
  <c r="AT2055" i="37"/>
  <c r="AU2054" i="37"/>
  <c r="AT2054" i="37"/>
  <c r="AU2053" i="37"/>
  <c r="AT2053" i="37"/>
  <c r="AU2052" i="37"/>
  <c r="AT2052" i="37"/>
  <c r="AU2051" i="37"/>
  <c r="AT2051" i="37"/>
  <c r="AU2050" i="37"/>
  <c r="AT2050" i="37"/>
  <c r="AU2049" i="37"/>
  <c r="AT2049" i="37"/>
  <c r="AU2048" i="37"/>
  <c r="AT2048" i="37"/>
  <c r="AU2047" i="37"/>
  <c r="AT2047" i="37"/>
  <c r="AU2046" i="37"/>
  <c r="AT2046" i="37"/>
  <c r="AU2045" i="37"/>
  <c r="AT2045" i="37"/>
  <c r="AU2044" i="37"/>
  <c r="AT2044" i="37"/>
  <c r="AU2043" i="37"/>
  <c r="AT2043" i="37"/>
  <c r="AU2042" i="37"/>
  <c r="AT2042" i="37"/>
  <c r="AU2041" i="37"/>
  <c r="AT2041" i="37"/>
  <c r="AU2040" i="37"/>
  <c r="AT2040" i="37"/>
  <c r="AU2039" i="37"/>
  <c r="AT2039" i="37"/>
  <c r="AU2038" i="37"/>
  <c r="AT2038" i="37"/>
  <c r="AU2037" i="37"/>
  <c r="AT2037" i="37"/>
  <c r="AU2036" i="37"/>
  <c r="AT2036" i="37"/>
  <c r="AU2035" i="37"/>
  <c r="AT2035" i="37"/>
  <c r="AU2034" i="37"/>
  <c r="AT2034" i="37"/>
  <c r="AU2033" i="37"/>
  <c r="AT2033" i="37"/>
  <c r="AU2032" i="37"/>
  <c r="AT2032" i="37"/>
  <c r="AU2031" i="37"/>
  <c r="AT2031" i="37"/>
  <c r="AU2030" i="37"/>
  <c r="AT2030" i="37"/>
  <c r="AU2029" i="37"/>
  <c r="AT2029" i="37"/>
  <c r="AU2028" i="37"/>
  <c r="AT2028" i="37"/>
  <c r="AU2027" i="37"/>
  <c r="AT2027" i="37"/>
  <c r="AU2026" i="37"/>
  <c r="AT2026" i="37"/>
  <c r="AU2025" i="37"/>
  <c r="AT2025" i="37"/>
  <c r="AU2024" i="37"/>
  <c r="AT2024" i="37"/>
  <c r="AU2023" i="37"/>
  <c r="AT2023" i="37"/>
  <c r="AU2022" i="37"/>
  <c r="AT2022" i="37"/>
  <c r="AU2021" i="37"/>
  <c r="AT2021" i="37"/>
  <c r="AU2020" i="37"/>
  <c r="AT2020" i="37"/>
  <c r="AU2019" i="37"/>
  <c r="AT2019" i="37"/>
  <c r="AU2018" i="37"/>
  <c r="AT2018" i="37"/>
  <c r="AU2017" i="37"/>
  <c r="AT2017" i="37"/>
  <c r="AU2016" i="37"/>
  <c r="AT2016" i="37"/>
  <c r="AU2015" i="37"/>
  <c r="AT2015" i="37"/>
  <c r="AU2014" i="37"/>
  <c r="AT2014" i="37"/>
  <c r="AU2013" i="37"/>
  <c r="AT2013" i="37"/>
  <c r="AU2012" i="37"/>
  <c r="AT2012" i="37"/>
  <c r="AU2011" i="37"/>
  <c r="AT2011" i="37"/>
  <c r="AU2010" i="37"/>
  <c r="AT2010" i="37"/>
  <c r="AU2009" i="37"/>
  <c r="AT2009" i="37"/>
  <c r="AU2008" i="37"/>
  <c r="AT2008" i="37"/>
  <c r="AU2007" i="37"/>
  <c r="AT2007" i="37"/>
  <c r="AU2006" i="37"/>
  <c r="AT2006" i="37"/>
  <c r="AU2005" i="37"/>
  <c r="AT2005" i="37"/>
  <c r="AU2004" i="37"/>
  <c r="AT2004" i="37"/>
  <c r="AU2003" i="37"/>
  <c r="AT2003" i="37"/>
  <c r="AU2002" i="37"/>
  <c r="AT2002" i="37"/>
  <c r="AU2001" i="37"/>
  <c r="AT2001" i="37"/>
  <c r="AU2000" i="37"/>
  <c r="AT2000" i="37"/>
  <c r="AU1999" i="37"/>
  <c r="AT1999" i="37"/>
  <c r="AU1998" i="37"/>
  <c r="AT1998" i="37"/>
  <c r="AU1997" i="37"/>
  <c r="AT1997" i="37"/>
  <c r="AU1996" i="37"/>
  <c r="AT1996" i="37"/>
  <c r="AU1995" i="37"/>
  <c r="AT1995" i="37"/>
  <c r="AU1994" i="37"/>
  <c r="AT1994" i="37"/>
  <c r="AU1993" i="37"/>
  <c r="AT1993" i="37"/>
  <c r="AU1992" i="37"/>
  <c r="AT1992" i="37"/>
  <c r="AU1991" i="37"/>
  <c r="AT1991" i="37"/>
  <c r="AU1990" i="37"/>
  <c r="AT1990" i="37"/>
  <c r="AU1989" i="37"/>
  <c r="AT1989" i="37"/>
  <c r="AU1988" i="37"/>
  <c r="AT1988" i="37"/>
  <c r="AU1987" i="37"/>
  <c r="AT1987" i="37"/>
  <c r="AU1986" i="37"/>
  <c r="AT1986" i="37"/>
  <c r="AU1985" i="37"/>
  <c r="AT1985" i="37"/>
  <c r="AU1984" i="37"/>
  <c r="AT1984" i="37"/>
  <c r="AU1983" i="37"/>
  <c r="AT1983" i="37"/>
  <c r="AU1982" i="37"/>
  <c r="AT1982" i="37"/>
  <c r="AU1981" i="37"/>
  <c r="AT1981" i="37"/>
  <c r="AU1980" i="37"/>
  <c r="AT1980" i="37"/>
  <c r="AU1979" i="37"/>
  <c r="AT1979" i="37"/>
  <c r="AU1978" i="37"/>
  <c r="AT1978" i="37"/>
  <c r="AU1977" i="37"/>
  <c r="AT1977" i="37"/>
  <c r="AU1976" i="37"/>
  <c r="AT1976" i="37"/>
  <c r="AU1975" i="37"/>
  <c r="AT1975" i="37"/>
  <c r="AU1974" i="37"/>
  <c r="AT1974" i="37"/>
  <c r="AU1973" i="37"/>
  <c r="AT1973" i="37"/>
  <c r="AU1972" i="37"/>
  <c r="AT1972" i="37"/>
  <c r="AU1971" i="37"/>
  <c r="AT1971" i="37"/>
  <c r="AU1970" i="37"/>
  <c r="AT1970" i="37"/>
  <c r="AU1969" i="37"/>
  <c r="AT1969" i="37"/>
  <c r="AU1968" i="37"/>
  <c r="AT1968" i="37"/>
  <c r="AU1967" i="37"/>
  <c r="AT1967" i="37"/>
  <c r="AU1966" i="37"/>
  <c r="AT1966" i="37"/>
  <c r="AU1965" i="37"/>
  <c r="AT1965" i="37"/>
  <c r="AU1964" i="37"/>
  <c r="AT1964" i="37"/>
  <c r="AU1963" i="37"/>
  <c r="AT1963" i="37"/>
  <c r="AU1962" i="37"/>
  <c r="AT1962" i="37"/>
  <c r="AU1961" i="37"/>
  <c r="AT1961" i="37"/>
  <c r="AU1960" i="37"/>
  <c r="AT1960" i="37"/>
  <c r="AU1959" i="37"/>
  <c r="AT1959" i="37"/>
  <c r="AU1958" i="37"/>
  <c r="AT1958" i="37"/>
  <c r="AU1957" i="37"/>
  <c r="AT1957" i="37"/>
  <c r="AU1956" i="37"/>
  <c r="AT1956" i="37"/>
  <c r="AU1955" i="37"/>
  <c r="AT1955" i="37"/>
  <c r="AU1954" i="37"/>
  <c r="AT1954" i="37"/>
  <c r="AU1953" i="37"/>
  <c r="AT1953" i="37"/>
  <c r="AU1952" i="37"/>
  <c r="AT1952" i="37"/>
  <c r="AU1951" i="37"/>
  <c r="AT1951" i="37"/>
  <c r="AU1950" i="37"/>
  <c r="AT1950" i="37"/>
  <c r="AU1949" i="37"/>
  <c r="AT1949" i="37"/>
  <c r="AU1948" i="37"/>
  <c r="AT1948" i="37"/>
  <c r="AU1947" i="37"/>
  <c r="AT1947" i="37"/>
  <c r="AU1946" i="37"/>
  <c r="AT1946" i="37"/>
  <c r="AU1945" i="37"/>
  <c r="AT1945" i="37"/>
  <c r="AU1944" i="37"/>
  <c r="AT1944" i="37"/>
  <c r="AU1943" i="37"/>
  <c r="AT1943" i="37"/>
  <c r="AU1942" i="37"/>
  <c r="AT1942" i="37"/>
  <c r="AU1941" i="37"/>
  <c r="AT1941" i="37"/>
  <c r="AU1940" i="37"/>
  <c r="AT1940" i="37"/>
  <c r="AU1939" i="37"/>
  <c r="AT1939" i="37"/>
  <c r="AU1938" i="37"/>
  <c r="AT1938" i="37"/>
  <c r="AU1937" i="37"/>
  <c r="AT1937" i="37"/>
  <c r="AU1936" i="37"/>
  <c r="AT1936" i="37"/>
  <c r="AU1935" i="37"/>
  <c r="AT1935" i="37"/>
  <c r="AU1934" i="37"/>
  <c r="AT1934" i="37"/>
  <c r="AU1933" i="37"/>
  <c r="AT1933" i="37"/>
  <c r="AU1932" i="37"/>
  <c r="AT1932" i="37"/>
  <c r="AU1931" i="37"/>
  <c r="AT1931" i="37"/>
  <c r="AU1930" i="37"/>
  <c r="AT1930" i="37"/>
  <c r="AU1929" i="37"/>
  <c r="AT1929" i="37"/>
  <c r="AU1928" i="37"/>
  <c r="AT1928" i="37"/>
  <c r="AU1927" i="37"/>
  <c r="AT1927" i="37"/>
  <c r="AU1926" i="37"/>
  <c r="AT1926" i="37"/>
  <c r="AU1925" i="37"/>
  <c r="AT1925" i="37"/>
  <c r="AU1924" i="37"/>
  <c r="AT1924" i="37"/>
  <c r="AU1923" i="37"/>
  <c r="AT1923" i="37"/>
  <c r="AU1922" i="37"/>
  <c r="AT1922" i="37"/>
  <c r="AU1921" i="37"/>
  <c r="AT1921" i="37"/>
  <c r="AU1920" i="37"/>
  <c r="AT1920" i="37"/>
  <c r="AU1919" i="37"/>
  <c r="AT1919" i="37"/>
  <c r="AU1918" i="37"/>
  <c r="AT1918" i="37"/>
  <c r="AU1917" i="37"/>
  <c r="AT1917" i="37"/>
  <c r="AU1916" i="37"/>
  <c r="AT1916" i="37"/>
  <c r="AU1915" i="37"/>
  <c r="AT1915" i="37"/>
  <c r="AU1914" i="37"/>
  <c r="AT1914" i="37"/>
  <c r="AU1913" i="37"/>
  <c r="AT1913" i="37"/>
  <c r="AU1912" i="37"/>
  <c r="AT1912" i="37"/>
  <c r="AU1911" i="37"/>
  <c r="AT1911" i="37"/>
  <c r="AU1910" i="37"/>
  <c r="AT1910" i="37"/>
  <c r="AU1909" i="37"/>
  <c r="AT1909" i="37"/>
  <c r="AU1908" i="37"/>
  <c r="AT1908" i="37"/>
  <c r="AU1907" i="37"/>
  <c r="AT1907" i="37"/>
  <c r="AU1906" i="37"/>
  <c r="AT1906" i="37"/>
  <c r="AU1905" i="37"/>
  <c r="AT1905" i="37"/>
  <c r="AU1904" i="37"/>
  <c r="AT1904" i="37"/>
  <c r="AU1903" i="37"/>
  <c r="AT1903" i="37"/>
  <c r="AU1902" i="37"/>
  <c r="AT1902" i="37"/>
  <c r="AU1901" i="37"/>
  <c r="AT1901" i="37"/>
  <c r="AU1900" i="37"/>
  <c r="AT1900" i="37"/>
  <c r="AU1899" i="37"/>
  <c r="AT1899" i="37"/>
  <c r="AU1898" i="37"/>
  <c r="AT1898" i="37"/>
  <c r="AU1897" i="37"/>
  <c r="AT1897" i="37"/>
  <c r="AU1896" i="37"/>
  <c r="AT1896" i="37"/>
  <c r="AU1895" i="37"/>
  <c r="AT1895" i="37"/>
  <c r="AU1894" i="37"/>
  <c r="AT1894" i="37"/>
  <c r="AU1893" i="37"/>
  <c r="AT1893" i="37"/>
  <c r="AU1892" i="37"/>
  <c r="AT1892" i="37"/>
  <c r="AU1891" i="37"/>
  <c r="AT1891" i="37"/>
  <c r="AU1890" i="37"/>
  <c r="AT1890" i="37"/>
  <c r="AU1889" i="37"/>
  <c r="AT1889" i="37"/>
  <c r="AU1888" i="37"/>
  <c r="AT1888" i="37"/>
  <c r="AU1887" i="37"/>
  <c r="AT1887" i="37"/>
  <c r="AU1886" i="37"/>
  <c r="AT1886" i="37"/>
  <c r="AU1885" i="37"/>
  <c r="AT1885" i="37"/>
  <c r="AU1884" i="37"/>
  <c r="AT1884" i="37"/>
  <c r="AU1883" i="37"/>
  <c r="AT1883" i="37"/>
  <c r="AU1882" i="37"/>
  <c r="AT1882" i="37"/>
  <c r="AU1881" i="37"/>
  <c r="AT1881" i="37"/>
  <c r="AU1880" i="37"/>
  <c r="AT1880" i="37"/>
  <c r="AU1879" i="37"/>
  <c r="AT1879" i="37"/>
  <c r="AU1878" i="37"/>
  <c r="AT1878" i="37"/>
  <c r="AU1877" i="37"/>
  <c r="AT1877" i="37"/>
  <c r="AU1876" i="37"/>
  <c r="AT1876" i="37"/>
  <c r="AU1875" i="37"/>
  <c r="AT1875" i="37"/>
  <c r="AU1874" i="37"/>
  <c r="AT1874" i="37"/>
  <c r="AU1873" i="37"/>
  <c r="AT1873" i="37"/>
  <c r="AU1872" i="37"/>
  <c r="AT1872" i="37"/>
  <c r="AU1871" i="37"/>
  <c r="AT1871" i="37"/>
  <c r="AU1870" i="37"/>
  <c r="AT1870" i="37"/>
  <c r="AU1869" i="37"/>
  <c r="AT1869" i="37"/>
  <c r="AU1868" i="37"/>
  <c r="AT1868" i="37"/>
  <c r="AU1867" i="37"/>
  <c r="AT1867" i="37"/>
  <c r="AU1866" i="37"/>
  <c r="AT1866" i="37"/>
  <c r="AU1865" i="37"/>
  <c r="AT1865" i="37"/>
  <c r="AU1864" i="37"/>
  <c r="AT1864" i="37"/>
  <c r="AU1863" i="37"/>
  <c r="AT1863" i="37"/>
  <c r="AU1862" i="37"/>
  <c r="AT1862" i="37"/>
  <c r="AU1861" i="37"/>
  <c r="AT1861" i="37"/>
  <c r="AU1860" i="37"/>
  <c r="AT1860" i="37"/>
  <c r="AU1859" i="37"/>
  <c r="AT1859" i="37"/>
  <c r="AU1858" i="37"/>
  <c r="AT1858" i="37"/>
  <c r="AU1857" i="37"/>
  <c r="AT1857" i="37"/>
  <c r="AU1856" i="37"/>
  <c r="AT1856" i="37"/>
  <c r="AU1855" i="37"/>
  <c r="AT1855" i="37"/>
  <c r="AU1854" i="37"/>
  <c r="AT1854" i="37"/>
  <c r="AU1853" i="37"/>
  <c r="AT1853" i="37"/>
  <c r="AU1852" i="37"/>
  <c r="AT1852" i="37"/>
  <c r="AU1851" i="37"/>
  <c r="AT1851" i="37"/>
  <c r="AU1850" i="37"/>
  <c r="AT1850" i="37"/>
  <c r="AU1849" i="37"/>
  <c r="AT1849" i="37"/>
  <c r="AU1848" i="37"/>
  <c r="AT1848" i="37"/>
  <c r="AU1847" i="37"/>
  <c r="AT1847" i="37"/>
  <c r="AU1846" i="37"/>
  <c r="AT1846" i="37"/>
  <c r="AU1845" i="37"/>
  <c r="AT1845" i="37"/>
  <c r="AU1844" i="37"/>
  <c r="AT1844" i="37"/>
  <c r="AU1843" i="37"/>
  <c r="AT1843" i="37"/>
  <c r="AU1842" i="37"/>
  <c r="AT1842" i="37"/>
  <c r="AU1841" i="37"/>
  <c r="AT1841" i="37"/>
  <c r="AU1840" i="37"/>
  <c r="AT1840" i="37"/>
  <c r="AU1839" i="37"/>
  <c r="AT1839" i="37"/>
  <c r="AU1838" i="37"/>
  <c r="AT1838" i="37"/>
  <c r="AU1837" i="37"/>
  <c r="AT1837" i="37"/>
  <c r="AU1836" i="37"/>
  <c r="AT1836" i="37"/>
  <c r="AU1835" i="37"/>
  <c r="AT1835" i="37"/>
  <c r="AU1834" i="37"/>
  <c r="AT1834" i="37"/>
  <c r="AU1833" i="37"/>
  <c r="AT1833" i="37"/>
  <c r="AU1832" i="37"/>
  <c r="AT1832" i="37"/>
  <c r="AU1831" i="37"/>
  <c r="AT1831" i="37"/>
  <c r="AU1830" i="37"/>
  <c r="AT1830" i="37"/>
  <c r="AU1829" i="37"/>
  <c r="AT1829" i="37"/>
  <c r="AU1828" i="37"/>
  <c r="AT1828" i="37"/>
  <c r="AU1827" i="37"/>
  <c r="AT1827" i="37"/>
  <c r="AU1826" i="37"/>
  <c r="AT1826" i="37"/>
  <c r="AU1825" i="37"/>
  <c r="AT1825" i="37"/>
  <c r="AU1824" i="37"/>
  <c r="AT1824" i="37"/>
  <c r="AU1823" i="37"/>
  <c r="AT1823" i="37"/>
  <c r="AU1822" i="37"/>
  <c r="AT1822" i="37"/>
  <c r="AU1821" i="37"/>
  <c r="AT1821" i="37"/>
  <c r="AU1820" i="37"/>
  <c r="AT1820" i="37"/>
  <c r="AU1819" i="37"/>
  <c r="AT1819" i="37"/>
  <c r="AU1818" i="37"/>
  <c r="AT1818" i="37"/>
  <c r="AU1817" i="37"/>
  <c r="AT1817" i="37"/>
  <c r="AU1816" i="37"/>
  <c r="AT1816" i="37"/>
  <c r="AU1815" i="37"/>
  <c r="AT1815" i="37"/>
  <c r="AU1814" i="37"/>
  <c r="AT1814" i="37"/>
  <c r="AU1813" i="37"/>
  <c r="AT1813" i="37"/>
  <c r="AU1812" i="37"/>
  <c r="AT1812" i="37"/>
  <c r="AU1811" i="37"/>
  <c r="AT1811" i="37"/>
  <c r="AU1810" i="37"/>
  <c r="AT1810" i="37"/>
  <c r="AU1809" i="37"/>
  <c r="AT1809" i="37"/>
  <c r="AU1808" i="37"/>
  <c r="AT1808" i="37"/>
  <c r="AU1807" i="37"/>
  <c r="AT1807" i="37"/>
  <c r="AU1806" i="37"/>
  <c r="AT1806" i="37"/>
  <c r="AU1805" i="37"/>
  <c r="AT1805" i="37"/>
  <c r="AU1804" i="37"/>
  <c r="AT1804" i="37"/>
  <c r="AU1803" i="37"/>
  <c r="AT1803" i="37"/>
  <c r="AU1802" i="37"/>
  <c r="AT1802" i="37"/>
  <c r="AU1801" i="37"/>
  <c r="AT1801" i="37"/>
  <c r="AU1800" i="37"/>
  <c r="AT1800" i="37"/>
  <c r="AU1799" i="37"/>
  <c r="AT1799" i="37"/>
  <c r="AU1798" i="37"/>
  <c r="AT1798" i="37"/>
  <c r="AU1797" i="37"/>
  <c r="AT1797" i="37"/>
  <c r="AU1796" i="37"/>
  <c r="AT1796" i="37"/>
  <c r="AU1795" i="37"/>
  <c r="AT1795" i="37"/>
  <c r="AU1794" i="37"/>
  <c r="AT1794" i="37"/>
  <c r="AU1793" i="37"/>
  <c r="AT1793" i="37"/>
  <c r="AU1792" i="37"/>
  <c r="AT1792" i="37"/>
  <c r="AU1791" i="37"/>
  <c r="AT1791" i="37"/>
  <c r="AU1790" i="37"/>
  <c r="AT1790" i="37"/>
  <c r="AU1789" i="37"/>
  <c r="AT1789" i="37"/>
  <c r="AU1788" i="37"/>
  <c r="AT1788" i="37"/>
  <c r="AU1787" i="37"/>
  <c r="AT1787" i="37"/>
  <c r="AU1786" i="37"/>
  <c r="AT1786" i="37"/>
  <c r="AU1785" i="37"/>
  <c r="AT1785" i="37"/>
  <c r="AU1784" i="37"/>
  <c r="AT1784" i="37"/>
  <c r="AU1783" i="37"/>
  <c r="AT1783" i="37"/>
  <c r="AU1782" i="37"/>
  <c r="AT1782" i="37"/>
  <c r="AU1781" i="37"/>
  <c r="AT1781" i="37"/>
  <c r="AU1780" i="37"/>
  <c r="AT1780" i="37"/>
  <c r="AU1779" i="37"/>
  <c r="AT1779" i="37"/>
  <c r="AU1778" i="37"/>
  <c r="AT1778" i="37"/>
  <c r="AU1777" i="37"/>
  <c r="AT1777" i="37"/>
  <c r="AU1776" i="37"/>
  <c r="AT1776" i="37"/>
  <c r="AU1775" i="37"/>
  <c r="AT1775" i="37"/>
  <c r="AU1774" i="37"/>
  <c r="AT1774" i="37"/>
  <c r="AU1773" i="37"/>
  <c r="AT1773" i="37"/>
  <c r="AU1772" i="37"/>
  <c r="AT1772" i="37"/>
  <c r="AU1771" i="37"/>
  <c r="AT1771" i="37"/>
  <c r="AU1770" i="37"/>
  <c r="AT1770" i="37"/>
  <c r="AU1769" i="37"/>
  <c r="AT1769" i="37"/>
  <c r="AU1768" i="37"/>
  <c r="AT1768" i="37"/>
  <c r="AU1767" i="37"/>
  <c r="AT1767" i="37"/>
  <c r="AU1766" i="37"/>
  <c r="AT1766" i="37"/>
  <c r="AU1765" i="37"/>
  <c r="AT1765" i="37"/>
  <c r="AU1764" i="37"/>
  <c r="AT1764" i="37"/>
  <c r="AU1763" i="37"/>
  <c r="AT1763" i="37"/>
  <c r="AU1762" i="37"/>
  <c r="AT1762" i="37"/>
  <c r="AU1761" i="37"/>
  <c r="AT1761" i="37"/>
  <c r="AU1760" i="37"/>
  <c r="AT1760" i="37"/>
  <c r="AU1759" i="37"/>
  <c r="AT1759" i="37"/>
  <c r="AU1758" i="37"/>
  <c r="AT1758" i="37"/>
  <c r="AU1757" i="37"/>
  <c r="AT1757" i="37"/>
  <c r="AU1756" i="37"/>
  <c r="AT1756" i="37"/>
  <c r="AU1755" i="37"/>
  <c r="AT1755" i="37"/>
  <c r="AU1754" i="37"/>
  <c r="AT1754" i="37"/>
  <c r="AU1753" i="37"/>
  <c r="AT1753" i="37"/>
  <c r="AU1752" i="37"/>
  <c r="AT1752" i="37"/>
  <c r="AU1751" i="37"/>
  <c r="AT1751" i="37"/>
  <c r="AU1750" i="37"/>
  <c r="AT1750" i="37"/>
  <c r="AU1749" i="37"/>
  <c r="AT1749" i="37"/>
  <c r="AU1748" i="37"/>
  <c r="AT1748" i="37"/>
  <c r="AU1747" i="37"/>
  <c r="AT1747" i="37"/>
  <c r="AU1746" i="37"/>
  <c r="AT1746" i="37"/>
  <c r="AU1745" i="37"/>
  <c r="AT1745" i="37"/>
  <c r="AU1744" i="37"/>
  <c r="AT1744" i="37"/>
  <c r="AU1743" i="37"/>
  <c r="AT1743" i="37"/>
  <c r="AU1742" i="37"/>
  <c r="AT1742" i="37"/>
  <c r="AU1741" i="37"/>
  <c r="AT1741" i="37"/>
  <c r="AU1740" i="37"/>
  <c r="AT1740" i="37"/>
  <c r="AU1739" i="37"/>
  <c r="AT1739" i="37"/>
  <c r="AU1738" i="37"/>
  <c r="AT1738" i="37"/>
  <c r="AU1737" i="37"/>
  <c r="AT1737" i="37"/>
  <c r="AU1736" i="37"/>
  <c r="AT1736" i="37"/>
  <c r="AU1735" i="37"/>
  <c r="AT1735" i="37"/>
  <c r="AU1734" i="37"/>
  <c r="AT1734" i="37"/>
  <c r="AU1733" i="37"/>
  <c r="AT1733" i="37"/>
  <c r="AU1732" i="37"/>
  <c r="AT1732" i="37"/>
  <c r="AU1731" i="37"/>
  <c r="AT1731" i="37"/>
  <c r="AU1730" i="37"/>
  <c r="AT1730" i="37"/>
  <c r="AU1729" i="37"/>
  <c r="AT1729" i="37"/>
  <c r="AU1728" i="37"/>
  <c r="AT1728" i="37"/>
  <c r="AU1727" i="37"/>
  <c r="AT1727" i="37"/>
  <c r="AU1726" i="37"/>
  <c r="AT1726" i="37"/>
  <c r="AU1725" i="37"/>
  <c r="AT1725" i="37"/>
  <c r="AU1724" i="37"/>
  <c r="AT1724" i="37"/>
  <c r="AU1723" i="37"/>
  <c r="AT1723" i="37"/>
  <c r="AU1722" i="37"/>
  <c r="AT1722" i="37"/>
  <c r="AU1721" i="37"/>
  <c r="AT1721" i="37"/>
  <c r="AU1720" i="37"/>
  <c r="AT1720" i="37"/>
  <c r="AU1719" i="37"/>
  <c r="AT1719" i="37"/>
  <c r="AU1718" i="37"/>
  <c r="AT1718" i="37"/>
  <c r="AU1717" i="37"/>
  <c r="AT1717" i="37"/>
  <c r="AU1716" i="37"/>
  <c r="AT1716" i="37"/>
  <c r="AU1715" i="37"/>
  <c r="AT1715" i="37"/>
  <c r="AU1714" i="37"/>
  <c r="AT1714" i="37"/>
  <c r="AU1713" i="37"/>
  <c r="AT1713" i="37"/>
  <c r="AU1712" i="37"/>
  <c r="AT1712" i="37"/>
  <c r="AU1711" i="37"/>
  <c r="AT1711" i="37"/>
  <c r="AU1710" i="37"/>
  <c r="AT1710" i="37"/>
  <c r="AU1709" i="37"/>
  <c r="AT1709" i="37"/>
  <c r="AU1708" i="37"/>
  <c r="AT1708" i="37"/>
  <c r="AU1707" i="37"/>
  <c r="AT1707" i="37"/>
  <c r="AU1706" i="37"/>
  <c r="AT1706" i="37"/>
  <c r="AU1705" i="37"/>
  <c r="AT1705" i="37"/>
  <c r="AU1704" i="37"/>
  <c r="AT1704" i="37"/>
  <c r="AU1703" i="37"/>
  <c r="AT1703" i="37"/>
  <c r="AU1702" i="37"/>
  <c r="AT1702" i="37"/>
  <c r="AU1701" i="37"/>
  <c r="AT1701" i="37"/>
  <c r="AU1700" i="37"/>
  <c r="AT1700" i="37"/>
  <c r="AU1699" i="37"/>
  <c r="AT1699" i="37"/>
  <c r="AU1698" i="37"/>
  <c r="AT1698" i="37"/>
  <c r="AU1697" i="37"/>
  <c r="AT1697" i="37"/>
  <c r="AU1696" i="37"/>
  <c r="AT1696" i="37"/>
  <c r="AU1695" i="37"/>
  <c r="AT1695" i="37"/>
  <c r="AU1694" i="37"/>
  <c r="AT1694" i="37"/>
  <c r="AU1693" i="37"/>
  <c r="AT1693" i="37"/>
  <c r="AU1692" i="37"/>
  <c r="AT1692" i="37"/>
  <c r="AU1691" i="37"/>
  <c r="AT1691" i="37"/>
  <c r="AU1690" i="37"/>
  <c r="AT1690" i="37"/>
  <c r="AU1689" i="37"/>
  <c r="AT1689" i="37"/>
  <c r="AU1688" i="37"/>
  <c r="AT1688" i="37"/>
  <c r="AU1687" i="37"/>
  <c r="AT1687" i="37"/>
  <c r="AU1686" i="37"/>
  <c r="AT1686" i="37"/>
  <c r="AU1685" i="37"/>
  <c r="AT1685" i="37"/>
  <c r="AU1684" i="37"/>
  <c r="AT1684" i="37"/>
  <c r="AU1683" i="37"/>
  <c r="AT1683" i="37"/>
  <c r="AU1682" i="37"/>
  <c r="AT1682" i="37"/>
  <c r="AU1681" i="37"/>
  <c r="AT1681" i="37"/>
  <c r="AU1680" i="37"/>
  <c r="AT1680" i="37"/>
  <c r="AU1679" i="37"/>
  <c r="AT1679" i="37"/>
  <c r="AU1678" i="37"/>
  <c r="AT1678" i="37"/>
  <c r="AU1677" i="37"/>
  <c r="AT1677" i="37"/>
  <c r="AU1676" i="37"/>
  <c r="AT1676" i="37"/>
  <c r="AU1675" i="37"/>
  <c r="AT1675" i="37"/>
  <c r="AU1674" i="37"/>
  <c r="AT1674" i="37"/>
  <c r="AU1673" i="37"/>
  <c r="AT1673" i="37"/>
  <c r="AU1672" i="37"/>
  <c r="AT1672" i="37"/>
  <c r="AU1671" i="37"/>
  <c r="AT1671" i="37"/>
  <c r="AU1670" i="37"/>
  <c r="AT1670" i="37"/>
  <c r="AU1669" i="37"/>
  <c r="AT1669" i="37"/>
  <c r="AU1668" i="37"/>
  <c r="AT1668" i="37"/>
  <c r="AU1667" i="37"/>
  <c r="AT1667" i="37"/>
  <c r="AU1666" i="37"/>
  <c r="AT1666" i="37"/>
  <c r="AU1665" i="37"/>
  <c r="AT1665" i="37"/>
  <c r="AU1664" i="37"/>
  <c r="AT1664" i="37"/>
  <c r="AU1663" i="37"/>
  <c r="AT1663" i="37"/>
  <c r="AU1662" i="37"/>
  <c r="AT1662" i="37"/>
  <c r="AU1661" i="37"/>
  <c r="AT1661" i="37"/>
  <c r="AU1660" i="37"/>
  <c r="AT1660" i="37"/>
  <c r="AU1659" i="37"/>
  <c r="AT1659" i="37"/>
  <c r="AU1658" i="37"/>
  <c r="AT1658" i="37"/>
  <c r="AU1657" i="37"/>
  <c r="AT1657" i="37"/>
  <c r="AU1656" i="37"/>
  <c r="AT1656" i="37"/>
  <c r="AU1655" i="37"/>
  <c r="AT1655" i="37"/>
  <c r="AU1654" i="37"/>
  <c r="AT1654" i="37"/>
  <c r="AU1653" i="37"/>
  <c r="AT1653" i="37"/>
  <c r="AU1652" i="37"/>
  <c r="AT1652" i="37"/>
  <c r="AU1651" i="37"/>
  <c r="AT1651" i="37"/>
  <c r="AU1650" i="37"/>
  <c r="AT1650" i="37"/>
  <c r="AU1649" i="37"/>
  <c r="AT1649" i="37"/>
  <c r="AU1648" i="37"/>
  <c r="AT1648" i="37"/>
  <c r="AU1647" i="37"/>
  <c r="AT1647" i="37"/>
  <c r="AU1646" i="37"/>
  <c r="AT1646" i="37"/>
  <c r="AU1645" i="37"/>
  <c r="AT1645" i="37"/>
  <c r="AU1644" i="37"/>
  <c r="AT1644" i="37"/>
  <c r="AU1643" i="37"/>
  <c r="AT1643" i="37"/>
  <c r="AU1642" i="37"/>
  <c r="AT1642" i="37"/>
  <c r="AU1641" i="37"/>
  <c r="AT1641" i="37"/>
  <c r="AU1640" i="37"/>
  <c r="AT1640" i="37"/>
  <c r="AU1639" i="37"/>
  <c r="AT1639" i="37"/>
  <c r="AU1638" i="37"/>
  <c r="AT1638" i="37"/>
  <c r="AU1637" i="37"/>
  <c r="AT1637" i="37"/>
  <c r="AU1636" i="37"/>
  <c r="AT1636" i="37"/>
  <c r="AU1635" i="37"/>
  <c r="AT1635" i="37"/>
  <c r="AU1634" i="37"/>
  <c r="AT1634" i="37"/>
  <c r="AU1633" i="37"/>
  <c r="AT1633" i="37"/>
  <c r="AU1632" i="37"/>
  <c r="AT1632" i="37"/>
  <c r="AU1631" i="37"/>
  <c r="AT1631" i="37"/>
  <c r="AU1630" i="37"/>
  <c r="AT1630" i="37"/>
  <c r="AU1629" i="37"/>
  <c r="AT1629" i="37"/>
  <c r="AU1628" i="37"/>
  <c r="AT1628" i="37"/>
  <c r="AU1627" i="37"/>
  <c r="AT1627" i="37"/>
  <c r="AU1626" i="37"/>
  <c r="AT1626" i="37"/>
  <c r="AU1625" i="37"/>
  <c r="AT1625" i="37"/>
  <c r="AU1624" i="37"/>
  <c r="AT1624" i="37"/>
  <c r="AU1623" i="37"/>
  <c r="AT1623" i="37"/>
  <c r="AU1622" i="37"/>
  <c r="AT1622" i="37"/>
  <c r="AU1621" i="37"/>
  <c r="AT1621" i="37"/>
  <c r="AU1620" i="37"/>
  <c r="AT1620" i="37"/>
  <c r="AU1619" i="37"/>
  <c r="AT1619" i="37"/>
  <c r="AU1618" i="37"/>
  <c r="AT1618" i="37"/>
  <c r="AU1617" i="37"/>
  <c r="AT1617" i="37"/>
  <c r="AU1616" i="37"/>
  <c r="AT1616" i="37"/>
  <c r="AU1615" i="37"/>
  <c r="AT1615" i="37"/>
  <c r="AU1614" i="37"/>
  <c r="AT1614" i="37"/>
  <c r="AU1613" i="37"/>
  <c r="AT1613" i="37"/>
  <c r="AU1612" i="37"/>
  <c r="AT1612" i="37"/>
  <c r="AU1611" i="37"/>
  <c r="AT1611" i="37"/>
  <c r="AU1610" i="37"/>
  <c r="AT1610" i="37"/>
  <c r="AU1609" i="37"/>
  <c r="AT1609" i="37"/>
  <c r="AU1608" i="37"/>
  <c r="AT1608" i="37"/>
  <c r="AU1607" i="37"/>
  <c r="AT1607" i="37"/>
  <c r="AU1606" i="37"/>
  <c r="AT1606" i="37"/>
  <c r="AU1605" i="37"/>
  <c r="AT1605" i="37"/>
  <c r="AU1604" i="37"/>
  <c r="AT1604" i="37"/>
  <c r="AU1603" i="37"/>
  <c r="AT1603" i="37"/>
  <c r="AU1602" i="37"/>
  <c r="AT1602" i="37"/>
  <c r="AU1601" i="37"/>
  <c r="AT1601" i="37"/>
  <c r="AU1600" i="37"/>
  <c r="AT1600" i="37"/>
  <c r="AU1599" i="37"/>
  <c r="AT1599" i="37"/>
  <c r="AU1598" i="37"/>
  <c r="AT1598" i="37"/>
  <c r="AU1597" i="37"/>
  <c r="AT1597" i="37"/>
  <c r="AU1596" i="37"/>
  <c r="AT1596" i="37"/>
  <c r="AU1595" i="37"/>
  <c r="AT1595" i="37"/>
  <c r="AU1594" i="37"/>
  <c r="AT1594" i="37"/>
  <c r="AU1593" i="37"/>
  <c r="AT1593" i="37"/>
  <c r="AU1592" i="37"/>
  <c r="AT1592" i="37"/>
  <c r="AU1591" i="37"/>
  <c r="AT1591" i="37"/>
  <c r="AU1590" i="37"/>
  <c r="AT1590" i="37"/>
  <c r="AU1589" i="37"/>
  <c r="AT1589" i="37"/>
  <c r="AU1588" i="37"/>
  <c r="AT1588" i="37"/>
  <c r="AU1587" i="37"/>
  <c r="AT1587" i="37"/>
  <c r="AU1586" i="37"/>
  <c r="AT1586" i="37"/>
  <c r="AU1585" i="37"/>
  <c r="AT1585" i="37"/>
  <c r="AU1584" i="37"/>
  <c r="AT1584" i="37"/>
  <c r="AU1583" i="37"/>
  <c r="AT1583" i="37"/>
  <c r="AU1582" i="37"/>
  <c r="AT1582" i="37"/>
  <c r="AU1581" i="37"/>
  <c r="AT1581" i="37"/>
  <c r="AU1580" i="37"/>
  <c r="AT1580" i="37"/>
  <c r="AU1579" i="37"/>
  <c r="AT1579" i="37"/>
  <c r="AU1578" i="37"/>
  <c r="AT1578" i="37"/>
  <c r="AU1577" i="37"/>
  <c r="AT1577" i="37"/>
  <c r="AU1576" i="37"/>
  <c r="AT1576" i="37"/>
  <c r="AU1575" i="37"/>
  <c r="AT1575" i="37"/>
  <c r="AU1574" i="37"/>
  <c r="AT1574" i="37"/>
  <c r="AU1573" i="37"/>
  <c r="AT1573" i="37"/>
  <c r="AU1572" i="37"/>
  <c r="AT1572" i="37"/>
  <c r="AU1571" i="37"/>
  <c r="AT1571" i="37"/>
  <c r="AU1570" i="37"/>
  <c r="AT1570" i="37"/>
  <c r="AU1569" i="37"/>
  <c r="AT1569" i="37"/>
  <c r="AU1568" i="37"/>
  <c r="AT1568" i="37"/>
  <c r="AU1567" i="37"/>
  <c r="AT1567" i="37"/>
  <c r="AU1566" i="37"/>
  <c r="AT1566" i="37"/>
  <c r="AU1565" i="37"/>
  <c r="AT1565" i="37"/>
  <c r="AU1564" i="37"/>
  <c r="AT1564" i="37"/>
  <c r="AU1563" i="37"/>
  <c r="AT1563" i="37"/>
  <c r="AU1562" i="37"/>
  <c r="AT1562" i="37"/>
  <c r="AU1561" i="37"/>
  <c r="AT1561" i="37"/>
  <c r="AU1560" i="37"/>
  <c r="AT1560" i="37"/>
  <c r="AU1559" i="37"/>
  <c r="AT1559" i="37"/>
  <c r="AU1558" i="37"/>
  <c r="AT1558" i="37"/>
  <c r="AU1557" i="37"/>
  <c r="AT1557" i="37"/>
  <c r="AU1556" i="37"/>
  <c r="AT1556" i="37"/>
  <c r="AU1555" i="37"/>
  <c r="AT1555" i="37"/>
  <c r="AU1554" i="37"/>
  <c r="AT1554" i="37"/>
  <c r="AU1553" i="37"/>
  <c r="AT1553" i="37"/>
  <c r="AU1552" i="37"/>
  <c r="AT1552" i="37"/>
  <c r="AU1551" i="37"/>
  <c r="AT1551" i="37"/>
  <c r="AU1550" i="37"/>
  <c r="AT1550" i="37"/>
  <c r="AU1549" i="37"/>
  <c r="AT1549" i="37"/>
  <c r="AU1548" i="37"/>
  <c r="AT1548" i="37"/>
  <c r="AU1547" i="37"/>
  <c r="AT1547" i="37"/>
  <c r="AU1546" i="37"/>
  <c r="AT1546" i="37"/>
  <c r="AU1545" i="37"/>
  <c r="AT1545" i="37"/>
  <c r="AU1544" i="37"/>
  <c r="AT1544" i="37"/>
  <c r="AU1543" i="37"/>
  <c r="AT1543" i="37"/>
  <c r="AU1542" i="37"/>
  <c r="AT1542" i="37"/>
  <c r="AU1541" i="37"/>
  <c r="AT1541" i="37"/>
  <c r="AU1540" i="37"/>
  <c r="AT1540" i="37"/>
  <c r="AU1539" i="37"/>
  <c r="AT1539" i="37"/>
  <c r="AU1538" i="37"/>
  <c r="AT1538" i="37"/>
  <c r="AU1537" i="37"/>
  <c r="AT1537" i="37"/>
  <c r="AU1536" i="37"/>
  <c r="AT1536" i="37"/>
  <c r="AU1535" i="37"/>
  <c r="AT1535" i="37"/>
  <c r="AU1534" i="37"/>
  <c r="AT1534" i="37"/>
  <c r="AU1533" i="37"/>
  <c r="AT1533" i="37"/>
  <c r="AU1532" i="37"/>
  <c r="AT1532" i="37"/>
  <c r="AU1531" i="37"/>
  <c r="AT1531" i="37"/>
  <c r="AU1530" i="37"/>
  <c r="AT1530" i="37"/>
  <c r="AU1529" i="37"/>
  <c r="AT1529" i="37"/>
  <c r="AU1528" i="37"/>
  <c r="AT1528" i="37"/>
  <c r="AU1527" i="37"/>
  <c r="AT1527" i="37"/>
  <c r="AU1526" i="37"/>
  <c r="AT1526" i="37"/>
  <c r="AU1525" i="37"/>
  <c r="AT1525" i="37"/>
  <c r="AU1524" i="37"/>
  <c r="AT1524" i="37"/>
  <c r="AU1523" i="37"/>
  <c r="AT1523" i="37"/>
  <c r="AU1522" i="37"/>
  <c r="AT1522" i="37"/>
  <c r="AU1521" i="37"/>
  <c r="AT1521" i="37"/>
  <c r="AU1520" i="37"/>
  <c r="AT1520" i="37"/>
  <c r="AU1519" i="37"/>
  <c r="AT1519" i="37"/>
  <c r="AU1518" i="37"/>
  <c r="AT1518" i="37"/>
  <c r="AU1517" i="37"/>
  <c r="AT1517" i="37"/>
  <c r="AU1516" i="37"/>
  <c r="AT1516" i="37"/>
  <c r="AU1515" i="37"/>
  <c r="AT1515" i="37"/>
  <c r="AU1514" i="37"/>
  <c r="AT1514" i="37"/>
  <c r="AU1513" i="37"/>
  <c r="AT1513" i="37"/>
  <c r="AU1512" i="37"/>
  <c r="AT1512" i="37"/>
  <c r="AU1511" i="37"/>
  <c r="AT1511" i="37"/>
  <c r="AU1510" i="37"/>
  <c r="AT1510" i="37"/>
  <c r="AU1509" i="37"/>
  <c r="AT1509" i="37"/>
  <c r="AU1508" i="37"/>
  <c r="AT1508" i="37"/>
  <c r="AU1507" i="37"/>
  <c r="AT1507" i="37"/>
  <c r="AU1506" i="37"/>
  <c r="AT1506" i="37"/>
  <c r="AU1505" i="37"/>
  <c r="AT1505" i="37"/>
  <c r="AU1504" i="37"/>
  <c r="AT1504" i="37"/>
  <c r="AU1503" i="37"/>
  <c r="AT1503" i="37"/>
  <c r="AU1502" i="37"/>
  <c r="AT1502" i="37"/>
  <c r="AU1501" i="37"/>
  <c r="AT1501" i="37"/>
  <c r="AU1500" i="37"/>
  <c r="AT1500" i="37"/>
  <c r="AU1499" i="37"/>
  <c r="AT1499" i="37"/>
  <c r="AU1498" i="37"/>
  <c r="AT1498" i="37"/>
  <c r="AU1497" i="37"/>
  <c r="AT1497" i="37"/>
  <c r="AU1496" i="37"/>
  <c r="AT1496" i="37"/>
  <c r="AU1495" i="37"/>
  <c r="AT1495" i="37"/>
  <c r="AU1494" i="37"/>
  <c r="AT1494" i="37"/>
  <c r="AU1493" i="37"/>
  <c r="AT1493" i="37"/>
  <c r="AU1492" i="37"/>
  <c r="AT1492" i="37"/>
  <c r="AU1491" i="37"/>
  <c r="AT1491" i="37"/>
  <c r="AU1490" i="37"/>
  <c r="AT1490" i="37"/>
  <c r="AU1489" i="37"/>
  <c r="AT1489" i="37"/>
  <c r="AU1488" i="37"/>
  <c r="AT1488" i="37"/>
  <c r="AU1487" i="37"/>
  <c r="AT1487" i="37"/>
  <c r="AU1486" i="37"/>
  <c r="AT1486" i="37"/>
  <c r="AU1485" i="37"/>
  <c r="AT1485" i="37"/>
  <c r="AU1484" i="37"/>
  <c r="AT1484" i="37"/>
  <c r="AU1483" i="37"/>
  <c r="AT1483" i="37"/>
  <c r="AU1482" i="37"/>
  <c r="AT1482" i="37"/>
  <c r="AU1481" i="37"/>
  <c r="AT1481" i="37"/>
  <c r="AU1480" i="37"/>
  <c r="AT1480" i="37"/>
  <c r="AU1479" i="37"/>
  <c r="AT1479" i="37"/>
  <c r="AU1478" i="37"/>
  <c r="AT1478" i="37"/>
  <c r="AU1477" i="37"/>
  <c r="AT1477" i="37"/>
  <c r="AU1476" i="37"/>
  <c r="AT1476" i="37"/>
  <c r="AU1475" i="37"/>
  <c r="AT1475" i="37"/>
  <c r="AU1474" i="37"/>
  <c r="AT1474" i="37"/>
  <c r="AU1473" i="37"/>
  <c r="AT1473" i="37"/>
  <c r="AU1472" i="37"/>
  <c r="AT1472" i="37"/>
  <c r="AU1471" i="37"/>
  <c r="AT1471" i="37"/>
  <c r="AU1470" i="37"/>
  <c r="AT1470" i="37"/>
  <c r="AU1469" i="37"/>
  <c r="AT1469" i="37"/>
  <c r="AU1468" i="37"/>
  <c r="AT1468" i="37"/>
  <c r="AU1467" i="37"/>
  <c r="AT1467" i="37"/>
  <c r="AU1466" i="37"/>
  <c r="AT1466" i="37"/>
  <c r="AU1465" i="37"/>
  <c r="AT1465" i="37"/>
  <c r="AU1464" i="37"/>
  <c r="AT1464" i="37"/>
  <c r="AU1463" i="37"/>
  <c r="AT1463" i="37"/>
  <c r="AU1462" i="37"/>
  <c r="AT1462" i="37"/>
  <c r="AU1461" i="37"/>
  <c r="AT1461" i="37"/>
  <c r="AU1460" i="37"/>
  <c r="AT1460" i="37"/>
  <c r="AU1459" i="37"/>
  <c r="AT1459" i="37"/>
  <c r="AU1458" i="37"/>
  <c r="AT1458" i="37"/>
  <c r="AU1457" i="37"/>
  <c r="AT1457" i="37"/>
  <c r="AU1456" i="37"/>
  <c r="AT1456" i="37"/>
  <c r="AU1455" i="37"/>
  <c r="AT1455" i="37"/>
  <c r="AU1454" i="37"/>
  <c r="AT1454" i="37"/>
  <c r="AU1453" i="37"/>
  <c r="AT1453" i="37"/>
  <c r="AU1452" i="37"/>
  <c r="AT1452" i="37"/>
  <c r="AU1451" i="37"/>
  <c r="AT1451" i="37"/>
  <c r="AU1450" i="37"/>
  <c r="AT1450" i="37"/>
  <c r="AU1449" i="37"/>
  <c r="AT1449" i="37"/>
  <c r="AU1448" i="37"/>
  <c r="AT1448" i="37"/>
  <c r="AU1447" i="37"/>
  <c r="AT1447" i="37"/>
  <c r="AU1446" i="37"/>
  <c r="AT1446" i="37"/>
  <c r="AU1445" i="37"/>
  <c r="AT1445" i="37"/>
  <c r="AU1444" i="37"/>
  <c r="AT1444" i="37"/>
  <c r="AU1443" i="37"/>
  <c r="AT1443" i="37"/>
  <c r="AU1442" i="37"/>
  <c r="AT1442" i="37"/>
  <c r="AU1441" i="37"/>
  <c r="AT1441" i="37"/>
  <c r="AU1440" i="37"/>
  <c r="AT1440" i="37"/>
  <c r="AU1439" i="37"/>
  <c r="AT1439" i="37"/>
  <c r="AU1438" i="37"/>
  <c r="AT1438" i="37"/>
  <c r="AU1437" i="37"/>
  <c r="AT1437" i="37"/>
  <c r="AU1436" i="37"/>
  <c r="AT1436" i="37"/>
  <c r="AU1435" i="37"/>
  <c r="AT1435" i="37"/>
  <c r="AU1434" i="37"/>
  <c r="AT1434" i="37"/>
  <c r="AU1433" i="37"/>
  <c r="AT1433" i="37"/>
  <c r="AU1432" i="37"/>
  <c r="AT1432" i="37"/>
  <c r="AU1431" i="37"/>
  <c r="AT1431" i="37"/>
  <c r="AU1430" i="37"/>
  <c r="AT1430" i="37"/>
  <c r="AU1429" i="37"/>
  <c r="AT1429" i="37"/>
  <c r="AU1428" i="37"/>
  <c r="AT1428" i="37"/>
  <c r="AU1427" i="37"/>
  <c r="AT1427" i="37"/>
  <c r="AU1426" i="37"/>
  <c r="AT1426" i="37"/>
  <c r="AU1425" i="37"/>
  <c r="AT1425" i="37"/>
  <c r="AU1424" i="37"/>
  <c r="AT1424" i="37"/>
  <c r="AU1423" i="37"/>
  <c r="AT1423" i="37"/>
  <c r="AU1422" i="37"/>
  <c r="AT1422" i="37"/>
  <c r="AU1421" i="37"/>
  <c r="AT1421" i="37"/>
  <c r="AU1420" i="37"/>
  <c r="AT1420" i="37"/>
  <c r="AU1419" i="37"/>
  <c r="AT1419" i="37"/>
  <c r="AU1418" i="37"/>
  <c r="AT1418" i="37"/>
  <c r="AU1417" i="37"/>
  <c r="AT1417" i="37"/>
  <c r="AU1416" i="37"/>
  <c r="AT1416" i="37"/>
  <c r="AU1415" i="37"/>
  <c r="AT1415" i="37"/>
  <c r="AU1414" i="37"/>
  <c r="AT1414" i="37"/>
  <c r="AU1413" i="37"/>
  <c r="AT1413" i="37"/>
  <c r="AU1412" i="37"/>
  <c r="AT1412" i="37"/>
  <c r="AU1411" i="37"/>
  <c r="AT1411" i="37"/>
  <c r="AU1410" i="37"/>
  <c r="AT1410" i="37"/>
  <c r="AU1409" i="37"/>
  <c r="AT1409" i="37"/>
  <c r="AU1408" i="37"/>
  <c r="AT1408" i="37"/>
  <c r="AU1407" i="37"/>
  <c r="AT1407" i="37"/>
  <c r="AU1406" i="37"/>
  <c r="AT1406" i="37"/>
  <c r="AU1405" i="37"/>
  <c r="AT1405" i="37"/>
  <c r="AU1404" i="37"/>
  <c r="AT1404" i="37"/>
  <c r="AU1403" i="37"/>
  <c r="AT1403" i="37"/>
  <c r="AU1402" i="37"/>
  <c r="AT1402" i="37"/>
  <c r="AU1401" i="37"/>
  <c r="AT1401" i="37"/>
  <c r="AU1400" i="37"/>
  <c r="AT1400" i="37"/>
  <c r="AU1399" i="37"/>
  <c r="AT1399" i="37"/>
  <c r="AU1398" i="37"/>
  <c r="AT1398" i="37"/>
  <c r="AU1397" i="37"/>
  <c r="AT1397" i="37"/>
  <c r="AU1396" i="37"/>
  <c r="AT1396" i="37"/>
  <c r="AU1395" i="37"/>
  <c r="AT1395" i="37"/>
  <c r="AU1394" i="37"/>
  <c r="AT1394" i="37"/>
  <c r="AU1393" i="37"/>
  <c r="AT1393" i="37"/>
  <c r="AU1392" i="37"/>
  <c r="AT1392" i="37"/>
  <c r="AU1391" i="37"/>
  <c r="AT1391" i="37"/>
  <c r="AU1390" i="37"/>
  <c r="AT1390" i="37"/>
  <c r="AU1389" i="37"/>
  <c r="AT1389" i="37"/>
  <c r="AU1388" i="37"/>
  <c r="AT1388" i="37"/>
  <c r="AU1387" i="37"/>
  <c r="AT1387" i="37"/>
  <c r="AU1386" i="37"/>
  <c r="AT1386" i="37"/>
  <c r="AU1385" i="37"/>
  <c r="AT1385" i="37"/>
  <c r="AU1384" i="37"/>
  <c r="AT1384" i="37"/>
  <c r="AU1383" i="37"/>
  <c r="AT1383" i="37"/>
  <c r="AU1382" i="37"/>
  <c r="AT1382" i="37"/>
  <c r="AU1381" i="37"/>
  <c r="AT1381" i="37"/>
  <c r="AU1380" i="37"/>
  <c r="AT1380" i="37"/>
  <c r="AU1379" i="37"/>
  <c r="AT1379" i="37"/>
  <c r="AU1378" i="37"/>
  <c r="AT1378" i="37"/>
  <c r="AU1377" i="37"/>
  <c r="AT1377" i="37"/>
  <c r="AU1376" i="37"/>
  <c r="AT1376" i="37"/>
  <c r="AU1375" i="37"/>
  <c r="AT1375" i="37"/>
  <c r="AU1374" i="37"/>
  <c r="AT1374" i="37"/>
  <c r="AU1373" i="37"/>
  <c r="AT1373" i="37"/>
  <c r="AU1372" i="37"/>
  <c r="AT1372" i="37"/>
  <c r="AU1371" i="37"/>
  <c r="AT1371" i="37"/>
  <c r="AU1370" i="37"/>
  <c r="AT1370" i="37"/>
  <c r="AU1369" i="37"/>
  <c r="AT1369" i="37"/>
  <c r="AU1368" i="37"/>
  <c r="AT1368" i="37"/>
  <c r="AU1367" i="37"/>
  <c r="AT1367" i="37"/>
  <c r="AU1366" i="37"/>
  <c r="AT1366" i="37"/>
  <c r="AU1365" i="37"/>
  <c r="AT1365" i="37"/>
  <c r="AU1364" i="37"/>
  <c r="AT1364" i="37"/>
  <c r="AU1363" i="37"/>
  <c r="AT1363" i="37"/>
  <c r="AU1362" i="37"/>
  <c r="AT1362" i="37"/>
  <c r="AU1361" i="37"/>
  <c r="AT1361" i="37"/>
  <c r="AU1360" i="37"/>
  <c r="AT1360" i="37"/>
  <c r="AU1359" i="37"/>
  <c r="AT1359" i="37"/>
  <c r="AU1358" i="37"/>
  <c r="AT1358" i="37"/>
  <c r="AU1357" i="37"/>
  <c r="AT1357" i="37"/>
  <c r="AU1356" i="37"/>
  <c r="AT1356" i="37"/>
  <c r="AU1355" i="37"/>
  <c r="AT1355" i="37"/>
  <c r="AU1354" i="37"/>
  <c r="AT1354" i="37"/>
  <c r="AU1353" i="37"/>
  <c r="AT1353" i="37"/>
  <c r="AU1352" i="37"/>
  <c r="AT1352" i="37"/>
  <c r="AU1351" i="37"/>
  <c r="AT1351" i="37"/>
  <c r="AU1350" i="37"/>
  <c r="AT1350" i="37"/>
  <c r="AU1349" i="37"/>
  <c r="AT1349" i="37"/>
  <c r="AU1348" i="37"/>
  <c r="AT1348" i="37"/>
  <c r="AU1347" i="37"/>
  <c r="AT1347" i="37"/>
  <c r="AU1346" i="37"/>
  <c r="AT1346" i="37"/>
  <c r="AU1345" i="37"/>
  <c r="AT1345" i="37"/>
  <c r="AU1344" i="37"/>
  <c r="AT1344" i="37"/>
  <c r="AU1343" i="37"/>
  <c r="AT1343" i="37"/>
  <c r="AU1342" i="37"/>
  <c r="AT1342" i="37"/>
  <c r="AU1341" i="37"/>
  <c r="AT1341" i="37"/>
  <c r="AU1340" i="37"/>
  <c r="AT1340" i="37"/>
  <c r="AU1339" i="37"/>
  <c r="AT1339" i="37"/>
  <c r="AU1338" i="37"/>
  <c r="AT1338" i="37"/>
  <c r="AU1337" i="37"/>
  <c r="AT1337" i="37"/>
  <c r="AU1336" i="37"/>
  <c r="AT1336" i="37"/>
  <c r="AU1335" i="37"/>
  <c r="AT1335" i="37"/>
  <c r="AU1334" i="37"/>
  <c r="AT1334" i="37"/>
  <c r="AU1333" i="37"/>
  <c r="AT1333" i="37"/>
  <c r="AU1332" i="37"/>
  <c r="AT1332" i="37"/>
  <c r="AU1331" i="37"/>
  <c r="AT1331" i="37"/>
  <c r="AU1330" i="37"/>
  <c r="AT1330" i="37"/>
  <c r="AU1329" i="37"/>
  <c r="AT1329" i="37"/>
  <c r="AU1328" i="37"/>
  <c r="AT1328" i="37"/>
  <c r="AU1327" i="37"/>
  <c r="AT1327" i="37"/>
  <c r="AU1326" i="37"/>
  <c r="AT1326" i="37"/>
  <c r="AU1325" i="37"/>
  <c r="AT1325" i="37"/>
  <c r="AU1324" i="37"/>
  <c r="AT1324" i="37"/>
  <c r="AU1323" i="37"/>
  <c r="AT1323" i="37"/>
  <c r="AU1322" i="37"/>
  <c r="AT1322" i="37"/>
  <c r="AU1321" i="37"/>
  <c r="AT1321" i="37"/>
  <c r="AU1320" i="37"/>
  <c r="AT1320" i="37"/>
  <c r="AU1319" i="37"/>
  <c r="AT1319" i="37"/>
  <c r="AU1318" i="37"/>
  <c r="AT1318" i="37"/>
  <c r="AU1317" i="37"/>
  <c r="AT1317" i="37"/>
  <c r="AU1316" i="37"/>
  <c r="AT1316" i="37"/>
  <c r="AU1315" i="37"/>
  <c r="AT1315" i="37"/>
  <c r="AU1314" i="37"/>
  <c r="AT1314" i="37"/>
  <c r="AU1313" i="37"/>
  <c r="AT1313" i="37"/>
  <c r="AU1312" i="37"/>
  <c r="AT1312" i="37"/>
  <c r="AU1311" i="37"/>
  <c r="AT1311" i="37"/>
  <c r="AU1310" i="37"/>
  <c r="AT1310" i="37"/>
  <c r="AU1309" i="37"/>
  <c r="AT1309" i="37"/>
  <c r="AU1308" i="37"/>
  <c r="AT1308" i="37"/>
  <c r="AU1307" i="37"/>
  <c r="AT1307" i="37"/>
  <c r="AU1306" i="37"/>
  <c r="AT1306" i="37"/>
  <c r="AU1305" i="37"/>
  <c r="AT1305" i="37"/>
  <c r="AU1304" i="37"/>
  <c r="AT1304" i="37"/>
  <c r="AU1303" i="37"/>
  <c r="AT1303" i="37"/>
  <c r="AU1302" i="37"/>
  <c r="AT1302" i="37"/>
  <c r="AU1301" i="37"/>
  <c r="AT1301" i="37"/>
  <c r="AU1300" i="37"/>
  <c r="AT1300" i="37"/>
  <c r="AU1299" i="37"/>
  <c r="AT1299" i="37"/>
  <c r="AU1298" i="37"/>
  <c r="AT1298" i="37"/>
  <c r="AU1297" i="37"/>
  <c r="AT1297" i="37"/>
  <c r="AU1296" i="37"/>
  <c r="AT1296" i="37"/>
  <c r="AU1295" i="37"/>
  <c r="AT1295" i="37"/>
  <c r="AU1294" i="37"/>
  <c r="AT1294" i="37"/>
  <c r="AU1293" i="37"/>
  <c r="AT1293" i="37"/>
  <c r="AU1292" i="37"/>
  <c r="AT1292" i="37"/>
  <c r="AU1291" i="37"/>
  <c r="AT1291" i="37"/>
  <c r="AU1290" i="37"/>
  <c r="AT1290" i="37"/>
  <c r="AU1289" i="37"/>
  <c r="AT1289" i="37"/>
  <c r="AU1288" i="37"/>
  <c r="AT1288" i="37"/>
  <c r="AU1287" i="37"/>
  <c r="AT1287" i="37"/>
  <c r="AU1286" i="37"/>
  <c r="AT1286" i="37"/>
  <c r="AU1285" i="37"/>
  <c r="AT1285" i="37"/>
  <c r="AU1284" i="37"/>
  <c r="AT1284" i="37"/>
  <c r="AU1283" i="37"/>
  <c r="AT1283" i="37"/>
  <c r="AU1282" i="37"/>
  <c r="AT1282" i="37"/>
  <c r="AU1281" i="37"/>
  <c r="AT1281" i="37"/>
  <c r="AU1280" i="37"/>
  <c r="AT1280" i="37"/>
  <c r="AU1279" i="37"/>
  <c r="AT1279" i="37"/>
  <c r="AU1278" i="37"/>
  <c r="AT1278" i="37"/>
  <c r="AU1277" i="37"/>
  <c r="AT1277" i="37"/>
  <c r="AU1276" i="37"/>
  <c r="AT1276" i="37"/>
  <c r="AU1275" i="37"/>
  <c r="AT1275" i="37"/>
  <c r="AU1274" i="37"/>
  <c r="AT1274" i="37"/>
  <c r="AU1273" i="37"/>
  <c r="AT1273" i="37"/>
  <c r="AU1272" i="37"/>
  <c r="AT1272" i="37"/>
  <c r="AU1271" i="37"/>
  <c r="AT1271" i="37"/>
  <c r="AU1270" i="37"/>
  <c r="AT1270" i="37"/>
  <c r="AU1269" i="37"/>
  <c r="AT1269" i="37"/>
  <c r="AU1268" i="37"/>
  <c r="AT1268" i="37"/>
  <c r="AU1267" i="37"/>
  <c r="AT1267" i="37"/>
  <c r="AU1266" i="37"/>
  <c r="AT1266" i="37"/>
  <c r="AU1265" i="37"/>
  <c r="AT1265" i="37"/>
  <c r="AU1264" i="37"/>
  <c r="AT1264" i="37"/>
  <c r="AU1263" i="37"/>
  <c r="AT1263" i="37"/>
  <c r="AU1262" i="37"/>
  <c r="AT1262" i="37"/>
  <c r="AU1261" i="37"/>
  <c r="AT1261" i="37"/>
  <c r="AU1260" i="37"/>
  <c r="AT1260" i="37"/>
  <c r="AU1259" i="37"/>
  <c r="AT1259" i="37"/>
  <c r="AU1258" i="37"/>
  <c r="AT1258" i="37"/>
  <c r="AU1257" i="37"/>
  <c r="AT1257" i="37"/>
  <c r="AU1256" i="37"/>
  <c r="AT1256" i="37"/>
  <c r="AU1255" i="37"/>
  <c r="AT1255" i="37"/>
  <c r="AU1254" i="37"/>
  <c r="AT1254" i="37"/>
  <c r="AU1253" i="37"/>
  <c r="AT1253" i="37"/>
  <c r="AU1252" i="37"/>
  <c r="AT1252" i="37"/>
  <c r="AU1251" i="37"/>
  <c r="AT1251" i="37"/>
  <c r="AU1250" i="37"/>
  <c r="AT1250" i="37"/>
  <c r="AU1249" i="37"/>
  <c r="AT1249" i="37"/>
  <c r="AU1248" i="37"/>
  <c r="AT1248" i="37"/>
  <c r="AU1247" i="37"/>
  <c r="AT1247" i="37"/>
  <c r="AU1246" i="37"/>
  <c r="AT1246" i="37"/>
  <c r="AU1245" i="37"/>
  <c r="AT1245" i="37"/>
  <c r="AU1244" i="37"/>
  <c r="AT1244" i="37"/>
  <c r="AU1243" i="37"/>
  <c r="AT1243" i="37"/>
  <c r="AU1242" i="37"/>
  <c r="AT1242" i="37"/>
  <c r="AU1241" i="37"/>
  <c r="AT1241" i="37"/>
  <c r="AU1240" i="37"/>
  <c r="AT1240" i="37"/>
  <c r="AU1239" i="37"/>
  <c r="AT1239" i="37"/>
  <c r="AU1238" i="37"/>
  <c r="AT1238" i="37"/>
  <c r="AU1237" i="37"/>
  <c r="AT1237" i="37"/>
  <c r="AU1236" i="37"/>
  <c r="AT1236" i="37"/>
  <c r="AU1235" i="37"/>
  <c r="AT1235" i="37"/>
  <c r="AU1234" i="37"/>
  <c r="AT1234" i="37"/>
  <c r="AU1233" i="37"/>
  <c r="AT1233" i="37"/>
  <c r="AU1232" i="37"/>
  <c r="AT1232" i="37"/>
  <c r="AU1231" i="37"/>
  <c r="AT1231" i="37"/>
  <c r="AU1230" i="37"/>
  <c r="AT1230" i="37"/>
  <c r="AU1229" i="37"/>
  <c r="AT1229" i="37"/>
  <c r="AU1228" i="37"/>
  <c r="AT1228" i="37"/>
  <c r="AU1227" i="37"/>
  <c r="AT1227" i="37"/>
  <c r="AU1226" i="37"/>
  <c r="AT1226" i="37"/>
  <c r="AU1225" i="37"/>
  <c r="AT1225" i="37"/>
  <c r="AU1224" i="37"/>
  <c r="AT1224" i="37"/>
  <c r="AU1223" i="37"/>
  <c r="AT1223" i="37"/>
  <c r="AU1222" i="37"/>
  <c r="AT1222" i="37"/>
  <c r="AU1221" i="37"/>
  <c r="AT1221" i="37"/>
  <c r="AU1220" i="37"/>
  <c r="AT1220" i="37"/>
  <c r="AU1219" i="37"/>
  <c r="AT1219" i="37"/>
  <c r="AU1218" i="37"/>
  <c r="AT1218" i="37"/>
  <c r="AU1217" i="37"/>
  <c r="AT1217" i="37"/>
  <c r="AU1216" i="37"/>
  <c r="AT1216" i="37"/>
  <c r="AU1215" i="37"/>
  <c r="AT1215" i="37"/>
  <c r="AU1214" i="37"/>
  <c r="AT1214" i="37"/>
  <c r="AU1213" i="37"/>
  <c r="AT1213" i="37"/>
  <c r="AU1212" i="37"/>
  <c r="AT1212" i="37"/>
  <c r="AU1211" i="37"/>
  <c r="AT1211" i="37"/>
  <c r="AU1210" i="37"/>
  <c r="AT1210" i="37"/>
  <c r="AU1209" i="37"/>
  <c r="AT1209" i="37"/>
  <c r="AU1208" i="37"/>
  <c r="AT1208" i="37"/>
  <c r="AU1207" i="37"/>
  <c r="AT1207" i="37"/>
  <c r="AU1206" i="37"/>
  <c r="AT1206" i="37"/>
  <c r="AU1205" i="37"/>
  <c r="AT1205" i="37"/>
  <c r="AU1204" i="37"/>
  <c r="AT1204" i="37"/>
  <c r="AU1203" i="37"/>
  <c r="AT1203" i="37"/>
  <c r="AU1202" i="37"/>
  <c r="AT1202" i="37"/>
  <c r="AU1201" i="37"/>
  <c r="AT1201" i="37"/>
  <c r="AU1200" i="37"/>
  <c r="AT1200" i="37"/>
  <c r="AU1199" i="37"/>
  <c r="AT1199" i="37"/>
  <c r="AU1198" i="37"/>
  <c r="AT1198" i="37"/>
  <c r="AU1197" i="37"/>
  <c r="AT1197" i="37"/>
  <c r="AU1196" i="37"/>
  <c r="AT1196" i="37"/>
  <c r="AU1195" i="37"/>
  <c r="AT1195" i="37"/>
  <c r="AU1194" i="37"/>
  <c r="AT1194" i="37"/>
  <c r="AU1193" i="37"/>
  <c r="AT1193" i="37"/>
  <c r="AU1192" i="37"/>
  <c r="AT1192" i="37"/>
  <c r="AU1191" i="37"/>
  <c r="AT1191" i="37"/>
  <c r="AU1190" i="37"/>
  <c r="AT1190" i="37"/>
  <c r="AU1189" i="37"/>
  <c r="AT1189" i="37"/>
  <c r="AU1188" i="37"/>
  <c r="AT1188" i="37"/>
  <c r="AU1187" i="37"/>
  <c r="AT1187" i="37"/>
  <c r="AU1186" i="37"/>
  <c r="AT1186" i="37"/>
  <c r="AU1185" i="37"/>
  <c r="AT1185" i="37"/>
  <c r="AU1184" i="37"/>
  <c r="AT1184" i="37"/>
  <c r="AU1183" i="37"/>
  <c r="AT1183" i="37"/>
  <c r="AU1182" i="37"/>
  <c r="AT1182" i="37"/>
  <c r="AU1181" i="37"/>
  <c r="AT1181" i="37"/>
  <c r="AU1180" i="37"/>
  <c r="AT1180" i="37"/>
  <c r="AU1179" i="37"/>
  <c r="AT1179" i="37"/>
  <c r="AU1178" i="37"/>
  <c r="AT1178" i="37"/>
  <c r="AU1177" i="37"/>
  <c r="AT1177" i="37"/>
  <c r="AU1176" i="37"/>
  <c r="AT1176" i="37"/>
  <c r="AU1175" i="37"/>
  <c r="AT1175" i="37"/>
  <c r="AU1174" i="37"/>
  <c r="AT1174" i="37"/>
  <c r="AU1173" i="37"/>
  <c r="AT1173" i="37"/>
  <c r="AU1172" i="37"/>
  <c r="AT1172" i="37"/>
  <c r="AU1171" i="37"/>
  <c r="AT1171" i="37"/>
  <c r="AU1170" i="37"/>
  <c r="AT1170" i="37"/>
  <c r="AU1169" i="37"/>
  <c r="AT1169" i="37"/>
  <c r="AU1168" i="37"/>
  <c r="AT1168" i="37"/>
  <c r="AU1167" i="37"/>
  <c r="AT1167" i="37"/>
  <c r="AU1166" i="37"/>
  <c r="AT1166" i="37"/>
  <c r="AU1165" i="37"/>
  <c r="AT1165" i="37"/>
  <c r="AU1164" i="37"/>
  <c r="AT1164" i="37"/>
  <c r="AU1163" i="37"/>
  <c r="AT1163" i="37"/>
  <c r="AU1162" i="37"/>
  <c r="AT1162" i="37"/>
  <c r="AU1161" i="37"/>
  <c r="AT1161" i="37"/>
  <c r="AU1160" i="37"/>
  <c r="AT1160" i="37"/>
  <c r="AU1159" i="37"/>
  <c r="AT1159" i="37"/>
  <c r="AU1158" i="37"/>
  <c r="AT1158" i="37"/>
  <c r="AU1157" i="37"/>
  <c r="AT1157" i="37"/>
  <c r="AU1156" i="37"/>
  <c r="AT1156" i="37"/>
  <c r="AU1155" i="37"/>
  <c r="AT1155" i="37"/>
  <c r="AU1154" i="37"/>
  <c r="AT1154" i="37"/>
  <c r="AU1153" i="37"/>
  <c r="AT1153" i="37"/>
  <c r="AU1152" i="37"/>
  <c r="AT1152" i="37"/>
  <c r="AU1151" i="37"/>
  <c r="AT1151" i="37"/>
  <c r="AU1150" i="37"/>
  <c r="AT1150" i="37"/>
  <c r="AU1149" i="37"/>
  <c r="AT1149" i="37"/>
  <c r="AU1148" i="37"/>
  <c r="AT1148" i="37"/>
  <c r="AU1147" i="37"/>
  <c r="AT1147" i="37"/>
  <c r="AU1146" i="37"/>
  <c r="AT1146" i="37"/>
  <c r="AU1145" i="37"/>
  <c r="AT1145" i="37"/>
  <c r="AU1144" i="37"/>
  <c r="AT1144" i="37"/>
  <c r="AU1143" i="37"/>
  <c r="AT1143" i="37"/>
  <c r="AU1142" i="37"/>
  <c r="AT1142" i="37"/>
  <c r="AU1141" i="37"/>
  <c r="AT1141" i="37"/>
  <c r="AU1140" i="37"/>
  <c r="AT1140" i="37"/>
  <c r="AU1139" i="37"/>
  <c r="AT1139" i="37"/>
  <c r="AU1138" i="37"/>
  <c r="AT1138" i="37"/>
  <c r="AU1137" i="37"/>
  <c r="AT1137" i="37"/>
  <c r="AU1136" i="37"/>
  <c r="AT1136" i="37"/>
  <c r="AU1135" i="37"/>
  <c r="AT1135" i="37"/>
  <c r="AU1134" i="37"/>
  <c r="AT1134" i="37"/>
  <c r="AU1133" i="37"/>
  <c r="AT1133" i="37"/>
  <c r="AU1132" i="37"/>
  <c r="AT1132" i="37"/>
  <c r="AU1131" i="37"/>
  <c r="AT1131" i="37"/>
  <c r="AU1130" i="37"/>
  <c r="AT1130" i="37"/>
  <c r="AU1129" i="37"/>
  <c r="AT1129" i="37"/>
  <c r="AU1128" i="37"/>
  <c r="AT1128" i="37"/>
  <c r="AU1127" i="37"/>
  <c r="AT1127" i="37"/>
  <c r="AU1126" i="37"/>
  <c r="AT1126" i="37"/>
  <c r="AU1125" i="37"/>
  <c r="AT1125" i="37"/>
  <c r="AU1124" i="37"/>
  <c r="AT1124" i="37"/>
  <c r="AU1123" i="37"/>
  <c r="AT1123" i="37"/>
  <c r="AU1122" i="37"/>
  <c r="AT1122" i="37"/>
  <c r="AU1121" i="37"/>
  <c r="AT1121" i="37"/>
  <c r="AU1120" i="37"/>
  <c r="AT1120" i="37"/>
  <c r="AU1119" i="37"/>
  <c r="AT1119" i="37"/>
  <c r="AU1118" i="37"/>
  <c r="AT1118" i="37"/>
  <c r="AU1117" i="37"/>
  <c r="AT1117" i="37"/>
  <c r="AU1116" i="37"/>
  <c r="AT1116" i="37"/>
  <c r="AU1115" i="37"/>
  <c r="AT1115" i="37"/>
  <c r="AU1114" i="37"/>
  <c r="AT1114" i="37"/>
  <c r="AU1113" i="37"/>
  <c r="AT1113" i="37"/>
  <c r="AU1112" i="37"/>
  <c r="AT1112" i="37"/>
  <c r="AU1111" i="37"/>
  <c r="AT1111" i="37"/>
  <c r="AU1110" i="37"/>
  <c r="AT1110" i="37"/>
  <c r="AU1109" i="37"/>
  <c r="AT1109" i="37"/>
  <c r="AU1108" i="37"/>
  <c r="AT1108" i="37"/>
  <c r="AU1107" i="37"/>
  <c r="AT1107" i="37"/>
  <c r="AU1106" i="37"/>
  <c r="AT1106" i="37"/>
  <c r="AU1105" i="37"/>
  <c r="AT1105" i="37"/>
  <c r="AU1104" i="37"/>
  <c r="AT1104" i="37"/>
  <c r="AU1103" i="37"/>
  <c r="AT1103" i="37"/>
  <c r="AU1102" i="37"/>
  <c r="AT1102" i="37"/>
  <c r="AU1101" i="37"/>
  <c r="AT1101" i="37"/>
  <c r="AU1100" i="37"/>
  <c r="AT1100" i="37"/>
  <c r="AU1099" i="37"/>
  <c r="AT1099" i="37"/>
  <c r="AU1098" i="37"/>
  <c r="AT1098" i="37"/>
  <c r="AU1097" i="37"/>
  <c r="AT1097" i="37"/>
  <c r="AU1096" i="37"/>
  <c r="AT1096" i="37"/>
  <c r="AU1095" i="37"/>
  <c r="AT1095" i="37"/>
  <c r="AU1094" i="37"/>
  <c r="AT1094" i="37"/>
  <c r="AU1093" i="37"/>
  <c r="AT1093" i="37"/>
  <c r="AU1092" i="37"/>
  <c r="AT1092" i="37"/>
  <c r="AU1091" i="37"/>
  <c r="AT1091" i="37"/>
  <c r="AU1090" i="37"/>
  <c r="AT1090" i="37"/>
  <c r="AU1089" i="37"/>
  <c r="AT1089" i="37"/>
  <c r="AU1088" i="37"/>
  <c r="AT1088" i="37"/>
  <c r="AU1087" i="37"/>
  <c r="AT1087" i="37"/>
  <c r="AU1086" i="37"/>
  <c r="AT1086" i="37"/>
  <c r="AU1085" i="37"/>
  <c r="AT1085" i="37"/>
  <c r="AU1084" i="37"/>
  <c r="AT1084" i="37"/>
  <c r="AU1083" i="37"/>
  <c r="AT1083" i="37"/>
  <c r="AU1082" i="37"/>
  <c r="AT1082" i="37"/>
  <c r="AU1081" i="37"/>
  <c r="AT1081" i="37"/>
  <c r="AU1080" i="37"/>
  <c r="AT1080" i="37"/>
  <c r="AU1079" i="37"/>
  <c r="AT1079" i="37"/>
  <c r="AU1078" i="37"/>
  <c r="AT1078" i="37"/>
  <c r="AU1077" i="37"/>
  <c r="AT1077" i="37"/>
  <c r="AU1076" i="37"/>
  <c r="AT1076" i="37"/>
  <c r="AU1075" i="37"/>
  <c r="AT1075" i="37"/>
  <c r="AU1074" i="37"/>
  <c r="AT1074" i="37"/>
  <c r="AU1073" i="37"/>
  <c r="AT1073" i="37"/>
  <c r="AU1072" i="37"/>
  <c r="AT1072" i="37"/>
  <c r="AU1071" i="37"/>
  <c r="AT1071" i="37"/>
  <c r="AU1070" i="37"/>
  <c r="AT1070" i="37"/>
  <c r="AU1069" i="37"/>
  <c r="AT1069" i="37"/>
  <c r="AU1068" i="37"/>
  <c r="AT1068" i="37"/>
  <c r="AU1067" i="37"/>
  <c r="AT1067" i="37"/>
  <c r="AU1066" i="37"/>
  <c r="AT1066" i="37"/>
  <c r="AU1065" i="37"/>
  <c r="AT1065" i="37"/>
  <c r="AU1064" i="37"/>
  <c r="AT1064" i="37"/>
  <c r="AU1063" i="37"/>
  <c r="AT1063" i="37"/>
  <c r="AU1062" i="37"/>
  <c r="AT1062" i="37"/>
  <c r="AU1061" i="37"/>
  <c r="AT1061" i="37"/>
  <c r="AU1060" i="37"/>
  <c r="AT1060" i="37"/>
  <c r="AU1059" i="37"/>
  <c r="AT1059" i="37"/>
  <c r="AU1058" i="37"/>
  <c r="AT1058" i="37"/>
  <c r="AU1057" i="37"/>
  <c r="AT1057" i="37"/>
  <c r="AU1056" i="37"/>
  <c r="AT1056" i="37"/>
  <c r="AU1055" i="37"/>
  <c r="AT1055" i="37"/>
  <c r="AU1054" i="37"/>
  <c r="AT1054" i="37"/>
  <c r="AU1053" i="37"/>
  <c r="AT1053" i="37"/>
  <c r="AU1052" i="37"/>
  <c r="AT1052" i="37"/>
  <c r="AU1051" i="37"/>
  <c r="AT1051" i="37"/>
  <c r="AU1050" i="37"/>
  <c r="AT1050" i="37"/>
  <c r="AU1049" i="37"/>
  <c r="AT1049" i="37"/>
  <c r="AU1048" i="37"/>
  <c r="AT1048" i="37"/>
  <c r="AU1047" i="37"/>
  <c r="AT1047" i="37"/>
  <c r="AU1046" i="37"/>
  <c r="AT1046" i="37"/>
  <c r="AU1045" i="37"/>
  <c r="AT1045" i="37"/>
  <c r="AU1044" i="37"/>
  <c r="AT1044" i="37"/>
  <c r="AU1043" i="37"/>
  <c r="AT1043" i="37"/>
  <c r="AU1042" i="37"/>
  <c r="AT1042" i="37"/>
  <c r="AU1041" i="37"/>
  <c r="AT1041" i="37"/>
  <c r="AU1040" i="37"/>
  <c r="AT1040" i="37"/>
  <c r="AU1039" i="37"/>
  <c r="AT1039" i="37"/>
  <c r="AU1038" i="37"/>
  <c r="AT1038" i="37"/>
  <c r="AU1037" i="37"/>
  <c r="AT1037" i="37"/>
  <c r="AU1036" i="37"/>
  <c r="AT1036" i="37"/>
  <c r="AU1035" i="37"/>
  <c r="AT1035" i="37"/>
  <c r="AU1034" i="37"/>
  <c r="AT1034" i="37"/>
  <c r="AU1033" i="37"/>
  <c r="AT1033" i="37"/>
  <c r="AU1032" i="37"/>
  <c r="AT1032" i="37"/>
  <c r="AU1031" i="37"/>
  <c r="AT1031" i="37"/>
  <c r="AU1030" i="37"/>
  <c r="AT1030" i="37"/>
  <c r="AU1029" i="37"/>
  <c r="AT1029" i="37"/>
  <c r="AU1028" i="37"/>
  <c r="AT1028" i="37"/>
  <c r="AU1027" i="37"/>
  <c r="AT1027" i="37"/>
  <c r="AU1026" i="37"/>
  <c r="AT1026" i="37"/>
  <c r="AU1025" i="37"/>
  <c r="AT1025" i="37"/>
  <c r="AU1024" i="37"/>
  <c r="AT1024" i="37"/>
  <c r="AU1023" i="37"/>
  <c r="AT1023" i="37"/>
  <c r="AU1022" i="37"/>
  <c r="AT1022" i="37"/>
  <c r="AU1021" i="37"/>
  <c r="AT1021" i="37"/>
  <c r="AU1020" i="37"/>
  <c r="AT1020" i="37"/>
  <c r="AU1019" i="37"/>
  <c r="AT1019" i="37"/>
  <c r="AU1018" i="37"/>
  <c r="AT1018" i="37"/>
  <c r="AU1017" i="37"/>
  <c r="AT1017" i="37"/>
  <c r="AU1016" i="37"/>
  <c r="AT1016" i="37"/>
  <c r="AU1015" i="37"/>
  <c r="AT1015" i="37"/>
  <c r="AU1014" i="37"/>
  <c r="AT1014" i="37"/>
  <c r="AU1013" i="37"/>
  <c r="AT1013" i="37"/>
  <c r="AU1012" i="37"/>
  <c r="AT1012" i="37"/>
  <c r="AU1011" i="37"/>
  <c r="AT1011" i="37"/>
  <c r="AU1010" i="37"/>
  <c r="AT1010" i="37"/>
  <c r="AU1009" i="37"/>
  <c r="AT1009" i="37"/>
  <c r="AU1008" i="37"/>
  <c r="AT1008" i="37"/>
  <c r="AU1007" i="37"/>
  <c r="AT1007" i="37"/>
  <c r="AU1006" i="37"/>
  <c r="AT1006" i="37"/>
  <c r="AU1005" i="37"/>
  <c r="AT1005" i="37"/>
  <c r="AU1004" i="37"/>
  <c r="AT1004" i="37"/>
  <c r="AU1003" i="37"/>
  <c r="AT1003" i="37"/>
  <c r="AU1002" i="37"/>
  <c r="AT1002" i="37"/>
  <c r="AU1001" i="37"/>
  <c r="AT1001" i="37"/>
  <c r="AU1000" i="37"/>
  <c r="AT1000" i="37"/>
  <c r="AU999" i="37"/>
  <c r="AT999" i="37"/>
  <c r="AU998" i="37"/>
  <c r="AT998" i="37"/>
  <c r="AU997" i="37"/>
  <c r="AT997" i="37"/>
  <c r="AU996" i="37"/>
  <c r="AT996" i="37"/>
  <c r="AU995" i="37"/>
  <c r="AT995" i="37"/>
  <c r="AU994" i="37"/>
  <c r="AT994" i="37"/>
  <c r="AU993" i="37"/>
  <c r="AT993" i="37"/>
  <c r="AU992" i="37"/>
  <c r="AT992" i="37"/>
  <c r="AU991" i="37"/>
  <c r="AT991" i="37"/>
  <c r="AU990" i="37"/>
  <c r="AT990" i="37"/>
  <c r="AU989" i="37"/>
  <c r="AT989" i="37"/>
  <c r="AU988" i="37"/>
  <c r="AT988" i="37"/>
  <c r="AU987" i="37"/>
  <c r="AT987" i="37"/>
  <c r="AU986" i="37"/>
  <c r="AT986" i="37"/>
  <c r="AU985" i="37"/>
  <c r="AT985" i="37"/>
  <c r="AU984" i="37"/>
  <c r="AT984" i="37"/>
  <c r="AU983" i="37"/>
  <c r="AT983" i="37"/>
  <c r="AU982" i="37"/>
  <c r="AT982" i="37"/>
  <c r="AU981" i="37"/>
  <c r="AT981" i="37"/>
  <c r="AU980" i="37"/>
  <c r="AT980" i="37"/>
  <c r="AU979" i="37"/>
  <c r="AT979" i="37"/>
  <c r="AU978" i="37"/>
  <c r="AT978" i="37"/>
  <c r="AU977" i="37"/>
  <c r="AT977" i="37"/>
  <c r="AU976" i="37"/>
  <c r="AT976" i="37"/>
  <c r="AU975" i="37"/>
  <c r="AT975" i="37"/>
  <c r="AU974" i="37"/>
  <c r="AT974" i="37"/>
  <c r="AU973" i="37"/>
  <c r="AT973" i="37"/>
  <c r="AU972" i="37"/>
  <c r="AT972" i="37"/>
  <c r="AU971" i="37"/>
  <c r="AT971" i="37"/>
  <c r="AU970" i="37"/>
  <c r="AT970" i="37"/>
  <c r="AU969" i="37"/>
  <c r="AT969" i="37"/>
  <c r="AU968" i="37"/>
  <c r="AT968" i="37"/>
  <c r="AU967" i="37"/>
  <c r="AT967" i="37"/>
  <c r="AU966" i="37"/>
  <c r="AT966" i="37"/>
  <c r="AU965" i="37"/>
  <c r="AT965" i="37"/>
  <c r="AU964" i="37"/>
  <c r="AT964" i="37"/>
  <c r="AU963" i="37"/>
  <c r="AT963" i="37"/>
  <c r="AU962" i="37"/>
  <c r="AT962" i="37"/>
  <c r="AU961" i="37"/>
  <c r="AT961" i="37"/>
  <c r="AU960" i="37"/>
  <c r="AT960" i="37"/>
  <c r="AU959" i="37"/>
  <c r="AT959" i="37"/>
  <c r="AU958" i="37"/>
  <c r="AT958" i="37"/>
  <c r="AU957" i="37"/>
  <c r="AT957" i="37"/>
  <c r="AU956" i="37"/>
  <c r="AT956" i="37"/>
  <c r="AU955" i="37"/>
  <c r="AT955" i="37"/>
  <c r="AU954" i="37"/>
  <c r="AT954" i="37"/>
  <c r="AU953" i="37"/>
  <c r="AT953" i="37"/>
  <c r="AU952" i="37"/>
  <c r="AT952" i="37"/>
  <c r="AU951" i="37"/>
  <c r="AT951" i="37"/>
  <c r="AU950" i="37"/>
  <c r="AT950" i="37"/>
  <c r="AU949" i="37"/>
  <c r="AT949" i="37"/>
  <c r="AU948" i="37"/>
  <c r="AT948" i="37"/>
  <c r="AU947" i="37"/>
  <c r="AT947" i="37"/>
  <c r="AU946" i="37"/>
  <c r="AT946" i="37"/>
  <c r="AU945" i="37"/>
  <c r="AT945" i="37"/>
  <c r="AU944" i="37"/>
  <c r="AT944" i="37"/>
  <c r="AU943" i="37"/>
  <c r="AT943" i="37"/>
  <c r="AU942" i="37"/>
  <c r="AT942" i="37"/>
  <c r="AU941" i="37"/>
  <c r="AT941" i="37"/>
  <c r="AU940" i="37"/>
  <c r="AT940" i="37"/>
  <c r="AU939" i="37"/>
  <c r="AT939" i="37"/>
  <c r="AU938" i="37"/>
  <c r="AT938" i="37"/>
  <c r="AU937" i="37"/>
  <c r="AT937" i="37"/>
  <c r="AU936" i="37"/>
  <c r="AT936" i="37"/>
  <c r="AU935" i="37"/>
  <c r="AT935" i="37"/>
  <c r="AU934" i="37"/>
  <c r="AT934" i="37"/>
  <c r="AU933" i="37"/>
  <c r="AT933" i="37"/>
  <c r="AU932" i="37"/>
  <c r="AT932" i="37"/>
  <c r="AU931" i="37"/>
  <c r="AT931" i="37"/>
  <c r="AU930" i="37"/>
  <c r="AT930" i="37"/>
  <c r="AU929" i="37"/>
  <c r="AT929" i="37"/>
  <c r="AU928" i="37"/>
  <c r="AT928" i="37"/>
  <c r="AU927" i="37"/>
  <c r="AT927" i="37"/>
  <c r="AU926" i="37"/>
  <c r="AT926" i="37"/>
  <c r="AU925" i="37"/>
  <c r="AT925" i="37"/>
  <c r="AU924" i="37"/>
  <c r="AT924" i="37"/>
  <c r="AU923" i="37"/>
  <c r="AT923" i="37"/>
  <c r="AU922" i="37"/>
  <c r="AT922" i="37"/>
  <c r="AU921" i="37"/>
  <c r="AT921" i="37"/>
  <c r="AU920" i="37"/>
  <c r="AT920" i="37"/>
  <c r="AU919" i="37"/>
  <c r="AT919" i="37"/>
  <c r="AU918" i="37"/>
  <c r="AT918" i="37"/>
  <c r="AU917" i="37"/>
  <c r="AT917" i="37"/>
  <c r="AU916" i="37"/>
  <c r="AT916" i="37"/>
  <c r="AU915" i="37"/>
  <c r="AT915" i="37"/>
  <c r="AU914" i="37"/>
  <c r="AT914" i="37"/>
  <c r="AU913" i="37"/>
  <c r="AT913" i="37"/>
  <c r="AU912" i="37"/>
  <c r="AT912" i="37"/>
  <c r="AU911" i="37"/>
  <c r="AT911" i="37"/>
  <c r="AU910" i="37"/>
  <c r="AT910" i="37"/>
  <c r="AU909" i="37"/>
  <c r="AT909" i="37"/>
  <c r="AU908" i="37"/>
  <c r="AT908" i="37"/>
  <c r="AU907" i="37"/>
  <c r="AT907" i="37"/>
  <c r="AU906" i="37"/>
  <c r="AT906" i="37"/>
  <c r="AU905" i="37"/>
  <c r="AT905" i="37"/>
  <c r="AU904" i="37"/>
  <c r="AT904" i="37"/>
  <c r="AU903" i="37"/>
  <c r="AT903" i="37"/>
  <c r="AU902" i="37"/>
  <c r="AT902" i="37"/>
  <c r="AU901" i="37"/>
  <c r="AT901" i="37"/>
  <c r="AU900" i="37"/>
  <c r="AT900" i="37"/>
  <c r="AU899" i="37"/>
  <c r="AT899" i="37"/>
  <c r="AU898" i="37"/>
  <c r="AT898" i="37"/>
  <c r="AU897" i="37"/>
  <c r="AT897" i="37"/>
  <c r="AU896" i="37"/>
  <c r="AT896" i="37"/>
  <c r="AU895" i="37"/>
  <c r="AT895" i="37"/>
  <c r="AU894" i="37"/>
  <c r="AT894" i="37"/>
  <c r="AU893" i="37"/>
  <c r="AT893" i="37"/>
  <c r="AU892" i="37"/>
  <c r="AT892" i="37"/>
  <c r="AU891" i="37"/>
  <c r="AT891" i="37"/>
  <c r="AU890" i="37"/>
  <c r="AT890" i="37"/>
  <c r="AU889" i="37"/>
  <c r="AT889" i="37"/>
  <c r="AU888" i="37"/>
  <c r="AT888" i="37"/>
  <c r="AU887" i="37"/>
  <c r="AT887" i="37"/>
  <c r="AU886" i="37"/>
  <c r="AT886" i="37"/>
  <c r="AU885" i="37"/>
  <c r="AT885" i="37"/>
  <c r="AU884" i="37"/>
  <c r="AT884" i="37"/>
  <c r="AU883" i="37"/>
  <c r="AT883" i="37"/>
  <c r="AU882" i="37"/>
  <c r="AT882" i="37"/>
  <c r="AU881" i="37"/>
  <c r="AT881" i="37"/>
  <c r="AU880" i="37"/>
  <c r="AT880" i="37"/>
  <c r="AU879" i="37"/>
  <c r="AT879" i="37"/>
  <c r="AU878" i="37"/>
  <c r="AT878" i="37"/>
  <c r="AU877" i="37"/>
  <c r="AT877" i="37"/>
  <c r="AU876" i="37"/>
  <c r="AT876" i="37"/>
  <c r="AT875" i="37"/>
  <c r="AT874" i="37"/>
  <c r="AT873" i="37"/>
  <c r="AT872" i="37"/>
  <c r="AT871" i="37"/>
  <c r="AT870" i="37"/>
  <c r="AT869" i="37"/>
  <c r="AT868" i="37"/>
  <c r="AT867" i="37"/>
  <c r="AT866" i="37"/>
  <c r="AT865" i="37"/>
  <c r="AT864" i="37"/>
  <c r="AT863" i="37"/>
  <c r="AT862" i="37"/>
  <c r="AT861" i="37"/>
  <c r="AT860" i="37"/>
  <c r="AT859" i="37"/>
  <c r="AT858" i="37"/>
  <c r="AT857" i="37"/>
  <c r="AT856" i="37"/>
  <c r="AT855" i="37"/>
  <c r="AT854" i="37"/>
  <c r="AT853" i="37"/>
  <c r="AT852" i="37"/>
  <c r="AT851" i="37"/>
  <c r="AT850" i="37"/>
  <c r="AT849" i="37"/>
  <c r="AT848" i="37"/>
  <c r="AT847" i="37"/>
  <c r="AT846" i="37"/>
  <c r="AT845" i="37"/>
  <c r="AT844" i="37"/>
  <c r="AT843" i="37"/>
  <c r="AT842" i="37"/>
  <c r="AT841" i="37"/>
  <c r="AT840" i="37"/>
  <c r="AT839" i="37"/>
  <c r="AT838" i="37"/>
  <c r="AT837" i="37"/>
  <c r="AT836" i="37"/>
  <c r="AT835" i="37"/>
  <c r="AT834" i="37"/>
  <c r="AT833" i="37"/>
  <c r="AT832" i="37"/>
  <c r="AT831" i="37"/>
  <c r="AT830" i="37"/>
  <c r="AT829" i="37"/>
  <c r="AT828" i="37"/>
  <c r="AT827" i="37"/>
  <c r="AT826" i="37"/>
  <c r="AT825" i="37"/>
  <c r="AT824" i="37"/>
  <c r="AT823" i="37"/>
  <c r="AT822" i="37"/>
  <c r="AT821" i="37"/>
  <c r="AT820" i="37"/>
  <c r="AT819" i="37"/>
  <c r="AT818" i="37"/>
  <c r="AT817" i="37"/>
  <c r="AT816" i="37"/>
  <c r="AT815" i="37"/>
  <c r="AT814" i="37"/>
  <c r="AT813" i="37"/>
  <c r="AT812" i="37"/>
  <c r="AT811" i="37"/>
  <c r="AT810" i="37"/>
  <c r="AT809" i="37"/>
  <c r="AT808" i="37"/>
  <c r="AT807" i="37"/>
  <c r="AT806" i="37"/>
  <c r="AT805" i="37"/>
  <c r="AT804" i="37"/>
  <c r="AT803" i="37"/>
  <c r="AT802" i="37"/>
  <c r="AT801" i="37"/>
  <c r="AT800" i="37"/>
  <c r="AT799" i="37"/>
  <c r="AT798" i="37"/>
  <c r="AT797" i="37"/>
  <c r="AT796" i="37"/>
  <c r="AT795" i="37"/>
  <c r="AT794" i="37"/>
  <c r="AT793" i="37"/>
  <c r="AT792" i="37"/>
  <c r="AT791" i="37"/>
  <c r="AT790" i="37"/>
  <c r="AT789" i="37"/>
  <c r="AT788" i="37"/>
  <c r="AT787" i="37"/>
  <c r="AT786" i="37"/>
  <c r="AT785" i="37"/>
  <c r="AT784" i="37"/>
  <c r="AT783" i="37"/>
  <c r="AT782" i="37"/>
  <c r="AT781" i="37"/>
  <c r="AT780" i="37"/>
  <c r="AT779" i="37"/>
  <c r="AT778" i="37"/>
  <c r="AT777" i="37"/>
  <c r="AT776" i="37"/>
  <c r="AT775" i="37"/>
  <c r="AT774" i="37"/>
  <c r="AT773" i="37"/>
  <c r="AT772" i="37"/>
  <c r="AT771" i="37"/>
  <c r="AT770" i="37"/>
  <c r="AT769" i="37"/>
  <c r="AT768" i="37"/>
  <c r="AT767" i="37"/>
  <c r="AT766" i="37"/>
  <c r="AT765" i="37"/>
  <c r="AT764" i="37"/>
  <c r="AT763" i="37"/>
  <c r="AT762" i="37"/>
  <c r="AT761" i="37"/>
  <c r="AT760" i="37"/>
  <c r="AT759" i="37"/>
  <c r="AT758" i="37"/>
  <c r="AT757" i="37"/>
  <c r="AT756" i="37"/>
  <c r="AT755" i="37"/>
  <c r="AT754" i="37"/>
  <c r="AT753" i="37"/>
  <c r="AT752" i="37"/>
  <c r="AT751" i="37"/>
  <c r="AT750" i="37"/>
  <c r="AT749" i="37"/>
  <c r="AT748" i="37"/>
  <c r="AT747" i="37"/>
  <c r="AT746" i="37"/>
  <c r="AT745" i="37"/>
  <c r="AT744" i="37"/>
  <c r="AT743" i="37"/>
  <c r="AT742" i="37"/>
  <c r="AT741" i="37"/>
  <c r="AT740" i="37"/>
  <c r="AT739" i="37"/>
  <c r="AT738" i="37"/>
  <c r="AT737" i="37"/>
  <c r="AT736" i="37"/>
  <c r="AT735" i="37"/>
  <c r="AT734" i="37"/>
  <c r="AT733" i="37"/>
  <c r="AT732" i="37"/>
  <c r="AT731" i="37"/>
  <c r="AT730" i="37"/>
  <c r="AT729" i="37"/>
  <c r="AT728" i="37"/>
  <c r="AT727" i="37"/>
  <c r="AT726" i="37"/>
  <c r="AT725" i="37"/>
  <c r="AT724" i="37"/>
  <c r="AT723" i="37"/>
  <c r="AT722" i="37"/>
  <c r="AT721" i="37"/>
  <c r="AT720" i="37"/>
  <c r="AT719" i="37"/>
  <c r="AT718" i="37"/>
  <c r="AT717" i="37"/>
  <c r="AT716" i="37"/>
  <c r="AT715" i="37"/>
  <c r="AT714" i="37"/>
  <c r="AT713" i="37"/>
  <c r="AT712" i="37"/>
  <c r="AT711" i="37"/>
  <c r="AT710" i="37"/>
  <c r="AT709" i="37"/>
  <c r="AT708" i="37"/>
  <c r="AT707" i="37"/>
  <c r="AT706" i="37"/>
  <c r="AT705" i="37"/>
  <c r="AT704" i="37"/>
  <c r="AT703" i="37"/>
  <c r="AT702" i="37"/>
  <c r="AT701" i="37"/>
  <c r="AT700" i="37"/>
  <c r="AT699" i="37"/>
  <c r="AT698" i="37"/>
  <c r="AT697" i="37"/>
  <c r="AT696" i="37"/>
  <c r="AT695" i="37"/>
  <c r="AT694" i="37"/>
  <c r="AT693" i="37"/>
  <c r="AT692" i="37"/>
  <c r="AT691" i="37"/>
  <c r="AT690" i="37"/>
  <c r="AT689" i="37"/>
  <c r="AT688" i="37"/>
  <c r="AT687" i="37"/>
  <c r="AT686" i="37"/>
  <c r="AT685" i="37"/>
  <c r="AT684" i="37"/>
  <c r="AT683" i="37"/>
  <c r="AT682" i="37"/>
  <c r="AT681" i="37"/>
  <c r="AT680" i="37"/>
  <c r="AT679" i="37"/>
  <c r="AT678" i="37"/>
  <c r="AT677" i="37"/>
  <c r="AT676" i="37"/>
  <c r="AT675" i="37"/>
  <c r="AT674" i="37"/>
  <c r="AT673" i="37"/>
  <c r="AT672" i="37"/>
  <c r="AT671" i="37"/>
  <c r="AT670" i="37"/>
  <c r="AT669" i="37"/>
  <c r="AT668" i="37"/>
  <c r="AT667" i="37"/>
  <c r="AT666" i="37"/>
  <c r="AT665" i="37"/>
  <c r="AT664" i="37"/>
  <c r="AT663" i="37"/>
  <c r="AT662" i="37"/>
  <c r="AT661" i="37"/>
  <c r="AT660" i="37"/>
  <c r="AT659" i="37"/>
  <c r="AT658" i="37"/>
  <c r="AT657" i="37"/>
  <c r="AT656" i="37"/>
  <c r="AT655" i="37"/>
  <c r="AT654" i="37"/>
  <c r="AT653" i="37"/>
  <c r="AT652" i="37"/>
  <c r="AT651" i="37"/>
  <c r="AT650" i="37"/>
  <c r="AT649" i="37"/>
  <c r="AT648" i="37"/>
  <c r="AT647" i="37"/>
  <c r="AT646" i="37"/>
  <c r="AT645" i="37"/>
  <c r="AT644" i="37"/>
  <c r="AT643" i="37"/>
  <c r="AT642" i="37"/>
  <c r="AT641" i="37"/>
  <c r="AT640" i="37"/>
  <c r="AT639" i="37"/>
  <c r="AT638" i="37"/>
  <c r="AT637" i="37"/>
  <c r="AT636" i="37"/>
  <c r="AT635" i="37"/>
  <c r="AT634" i="37"/>
  <c r="AT633" i="37"/>
  <c r="AT632" i="37"/>
  <c r="AT631" i="37"/>
  <c r="AT630" i="37"/>
  <c r="AT629" i="37"/>
  <c r="AT628" i="37"/>
  <c r="AT627" i="37"/>
  <c r="AT626" i="37"/>
  <c r="AT625" i="37"/>
  <c r="AT624" i="37"/>
  <c r="AT623" i="37"/>
  <c r="AT622" i="37"/>
  <c r="AT621" i="37"/>
  <c r="AT620" i="37"/>
  <c r="AT619" i="37"/>
  <c r="AT618" i="37"/>
  <c r="AT617" i="37"/>
  <c r="AT616" i="37"/>
  <c r="AT615" i="37"/>
  <c r="AT614" i="37"/>
  <c r="AT613" i="37"/>
  <c r="AT612" i="37"/>
  <c r="AT611" i="37"/>
  <c r="AT610" i="37"/>
  <c r="AT609" i="37"/>
  <c r="AT608" i="37"/>
  <c r="AT607" i="37"/>
  <c r="AT606" i="37"/>
  <c r="AT605" i="37"/>
  <c r="AT604" i="37"/>
  <c r="AT603" i="37"/>
  <c r="AT602" i="37"/>
  <c r="AT601" i="37"/>
  <c r="AT600" i="37"/>
  <c r="AT599" i="37"/>
  <c r="AT598" i="37"/>
  <c r="AT597" i="37"/>
  <c r="AT596" i="37"/>
  <c r="AT595" i="37"/>
  <c r="AT594" i="37"/>
  <c r="AT593" i="37"/>
  <c r="AT592" i="37"/>
  <c r="AT591" i="37"/>
  <c r="AT590" i="37"/>
  <c r="AT589" i="37"/>
  <c r="AT588" i="37"/>
  <c r="AT587" i="37"/>
  <c r="AT586" i="37"/>
  <c r="AT585" i="37"/>
  <c r="AT584" i="37"/>
  <c r="AT583" i="37"/>
  <c r="AT582" i="37"/>
  <c r="AT581" i="37"/>
  <c r="AT580" i="37"/>
  <c r="AT579" i="37"/>
  <c r="AT578" i="37"/>
  <c r="AT577" i="37"/>
  <c r="AT576" i="37"/>
  <c r="AT575" i="37"/>
  <c r="AT574" i="37"/>
  <c r="AT573" i="37"/>
  <c r="AT572" i="37"/>
  <c r="AT571" i="37"/>
  <c r="AT570" i="37"/>
  <c r="AT569" i="37"/>
  <c r="AT568" i="37"/>
  <c r="AT567" i="37"/>
  <c r="AT566" i="37"/>
  <c r="AT565" i="37"/>
  <c r="AT564" i="37"/>
  <c r="AT563" i="37"/>
  <c r="AT562" i="37"/>
  <c r="AT561" i="37"/>
  <c r="AT560" i="37"/>
  <c r="AT559" i="37"/>
  <c r="AT558" i="37"/>
  <c r="AT557" i="37"/>
  <c r="AT556" i="37"/>
  <c r="AT555" i="37"/>
  <c r="AT554" i="37"/>
  <c r="AT553" i="37"/>
  <c r="AT552" i="37"/>
  <c r="AT551" i="37"/>
  <c r="AT550" i="37"/>
  <c r="AT549" i="37"/>
  <c r="AT548" i="37"/>
  <c r="AT547" i="37"/>
  <c r="AT546" i="37"/>
  <c r="AT545" i="37"/>
  <c r="AT544" i="37"/>
  <c r="AT543" i="37"/>
  <c r="AT542" i="37"/>
  <c r="AT541" i="37"/>
  <c r="AT540" i="37"/>
  <c r="AT539" i="37"/>
  <c r="AT538" i="37"/>
  <c r="AT537" i="37"/>
  <c r="AT536" i="37"/>
  <c r="AT535" i="37"/>
  <c r="AT534" i="37"/>
  <c r="AT533" i="37"/>
  <c r="AT532" i="37"/>
  <c r="AT531" i="37"/>
  <c r="AT530" i="37"/>
  <c r="AT529" i="37"/>
  <c r="AT528" i="37"/>
  <c r="AT527" i="37"/>
  <c r="AT526" i="37"/>
  <c r="AT525" i="37"/>
  <c r="AT524" i="37"/>
  <c r="AT523" i="37"/>
  <c r="AT522" i="37"/>
  <c r="AT521" i="37"/>
  <c r="AT520" i="37"/>
  <c r="AT519" i="37"/>
  <c r="AT518" i="37"/>
  <c r="AT517" i="37"/>
  <c r="AT516" i="37"/>
  <c r="AT515" i="37"/>
  <c r="AT514" i="37"/>
  <c r="AT513" i="37"/>
  <c r="AT512" i="37"/>
  <c r="AT511" i="37"/>
  <c r="AT510" i="37"/>
  <c r="AT509" i="37"/>
  <c r="AT508" i="37"/>
  <c r="AT507" i="37"/>
  <c r="AT506" i="37"/>
  <c r="AT505" i="37"/>
  <c r="AT504" i="37"/>
  <c r="AT503" i="37"/>
  <c r="AT502" i="37"/>
  <c r="AT501" i="37"/>
  <c r="AT500" i="37"/>
  <c r="AT499" i="37"/>
  <c r="AT498" i="37"/>
  <c r="AT497" i="37"/>
  <c r="AT496" i="37"/>
  <c r="AT495" i="37"/>
  <c r="AT494" i="37"/>
  <c r="AT493" i="37"/>
  <c r="AT492" i="37"/>
  <c r="AT491" i="37"/>
  <c r="AT490" i="37"/>
  <c r="AT489" i="37"/>
  <c r="AT488" i="37"/>
  <c r="AT487" i="37"/>
  <c r="AT486" i="37"/>
  <c r="AT485" i="37"/>
  <c r="AT484" i="37"/>
  <c r="AT483" i="37"/>
  <c r="AT482" i="37"/>
  <c r="AT481" i="37"/>
  <c r="AT480" i="37"/>
  <c r="AT479" i="37"/>
  <c r="AT478" i="37"/>
  <c r="AT477" i="37"/>
  <c r="AT476" i="37"/>
  <c r="AT475" i="37"/>
  <c r="AT474" i="37"/>
  <c r="AT473" i="37"/>
  <c r="AT472" i="37"/>
  <c r="AT471" i="37"/>
  <c r="AT470" i="37"/>
  <c r="AT469" i="37"/>
  <c r="AT468" i="37"/>
  <c r="AT467" i="37"/>
  <c r="AT466" i="37"/>
  <c r="AT465" i="37"/>
  <c r="AT464" i="37"/>
  <c r="AT463" i="37"/>
  <c r="AT462" i="37"/>
  <c r="AT461" i="37"/>
  <c r="AT460" i="37"/>
  <c r="AT459" i="37"/>
  <c r="AT458" i="37"/>
  <c r="AT457" i="37"/>
  <c r="AT456" i="37"/>
  <c r="AT455" i="37"/>
  <c r="AT454" i="37"/>
  <c r="AT453" i="37"/>
  <c r="AT452" i="37"/>
  <c r="AT451" i="37"/>
  <c r="AT450" i="37"/>
  <c r="AT449" i="37"/>
  <c r="AT448" i="37"/>
  <c r="AT447" i="37"/>
  <c r="AT446" i="37"/>
  <c r="AT445" i="37"/>
  <c r="AT444" i="37"/>
  <c r="AT443" i="37"/>
  <c r="AT442" i="37"/>
  <c r="AT441" i="37"/>
  <c r="AT440" i="37"/>
  <c r="AT439" i="37"/>
  <c r="AT438" i="37"/>
  <c r="AT437" i="37"/>
  <c r="AT436" i="37"/>
  <c r="AT435" i="37"/>
  <c r="AT434" i="37"/>
  <c r="AT433" i="37"/>
  <c r="AT432" i="37"/>
  <c r="AT431" i="37"/>
  <c r="AT430" i="37"/>
  <c r="AT429" i="37"/>
  <c r="AT428" i="37"/>
  <c r="AT427" i="37"/>
  <c r="AT426" i="37"/>
  <c r="AT425" i="37"/>
  <c r="AT424" i="37"/>
  <c r="AT423" i="37"/>
  <c r="AT422" i="37"/>
  <c r="AT421" i="37"/>
  <c r="AT420" i="37"/>
  <c r="AT419" i="37"/>
  <c r="AT418" i="37"/>
  <c r="AT417" i="37"/>
  <c r="AT416" i="37"/>
  <c r="AT415" i="37"/>
  <c r="AT414" i="37"/>
  <c r="AT413" i="37"/>
  <c r="AT412" i="37"/>
  <c r="AT411" i="37"/>
  <c r="AT410" i="37"/>
  <c r="AT409" i="37"/>
  <c r="AT408" i="37"/>
  <c r="AT407" i="37"/>
  <c r="AT406" i="37"/>
  <c r="AT405" i="37"/>
  <c r="AT404" i="37"/>
  <c r="AT403" i="37"/>
  <c r="AT402" i="37"/>
  <c r="AT401" i="37"/>
  <c r="AT400" i="37"/>
  <c r="AT399" i="37"/>
  <c r="AT398" i="37"/>
  <c r="AT397" i="37"/>
  <c r="AT396" i="37"/>
  <c r="AT395" i="37"/>
  <c r="AT394" i="37"/>
  <c r="AT393" i="37"/>
  <c r="AT392" i="37"/>
  <c r="AT391" i="37"/>
  <c r="AT390" i="37"/>
  <c r="AT389" i="37"/>
  <c r="AT388" i="37"/>
  <c r="AT387" i="37"/>
  <c r="AT386" i="37"/>
  <c r="AT385" i="37"/>
  <c r="AT384" i="37"/>
  <c r="AT383" i="37"/>
  <c r="AT382" i="37"/>
  <c r="AT381" i="37"/>
  <c r="AT380" i="37"/>
  <c r="AT379" i="37"/>
  <c r="AT378" i="37"/>
  <c r="AT377" i="37"/>
  <c r="AT376" i="37"/>
  <c r="AT375" i="37"/>
  <c r="AT374" i="37"/>
  <c r="AT373" i="37"/>
  <c r="AT372" i="37"/>
  <c r="AT371" i="37"/>
  <c r="AT370" i="37"/>
  <c r="AT369" i="37"/>
  <c r="AT368" i="37"/>
  <c r="AT367" i="37"/>
  <c r="AT366" i="37"/>
  <c r="AT365" i="37"/>
  <c r="AT364" i="37"/>
  <c r="AT363" i="37"/>
  <c r="AT362" i="37"/>
  <c r="AT361" i="37"/>
  <c r="AT360" i="37"/>
  <c r="AT359" i="37"/>
  <c r="AT358" i="37"/>
  <c r="AT357" i="37"/>
  <c r="AT356" i="37"/>
  <c r="AT355" i="37"/>
  <c r="AT354" i="37"/>
  <c r="AT353" i="37"/>
  <c r="AT352" i="37"/>
  <c r="AT351" i="37"/>
  <c r="AT350" i="37"/>
  <c r="AT349" i="37"/>
  <c r="AT348" i="37"/>
  <c r="AT347" i="37"/>
  <c r="AT346" i="37"/>
  <c r="AT345" i="37"/>
  <c r="AT344" i="37"/>
  <c r="AT343" i="37"/>
  <c r="AT342" i="37"/>
  <c r="AT341" i="37"/>
  <c r="AT340" i="37"/>
  <c r="AT339" i="37"/>
  <c r="AT338" i="37"/>
  <c r="AT337" i="37"/>
  <c r="AT336" i="37"/>
  <c r="AT335" i="37"/>
  <c r="AT334" i="37"/>
  <c r="AT333" i="37"/>
  <c r="AT332" i="37"/>
  <c r="AT331" i="37"/>
  <c r="AT330" i="37"/>
  <c r="AT329" i="37"/>
  <c r="AT328" i="37"/>
  <c r="AT327" i="37"/>
  <c r="AT326" i="37"/>
  <c r="AT325" i="37"/>
  <c r="AT324" i="37"/>
  <c r="AT323" i="37"/>
  <c r="AT322" i="37"/>
  <c r="AT321" i="37"/>
  <c r="AT320" i="37"/>
  <c r="AT319" i="37"/>
  <c r="AT318" i="37"/>
  <c r="AT317" i="37"/>
  <c r="AT316" i="37"/>
  <c r="AT315" i="37"/>
  <c r="AT314" i="37"/>
  <c r="AT313" i="37"/>
  <c r="AT312" i="37"/>
  <c r="AT311" i="37"/>
  <c r="AT310" i="37"/>
  <c r="AT309" i="37"/>
  <c r="AT308" i="37"/>
  <c r="AT307" i="37"/>
  <c r="AT306" i="37"/>
  <c r="AT305" i="37"/>
  <c r="AT304" i="37"/>
  <c r="AT303" i="37"/>
  <c r="AT302" i="37"/>
  <c r="AT301" i="37"/>
  <c r="AT300" i="37"/>
  <c r="AT299" i="37"/>
  <c r="AT298" i="37"/>
  <c r="AT297" i="37"/>
  <c r="AT296" i="37"/>
  <c r="AT295" i="37"/>
  <c r="AT294" i="37"/>
  <c r="AT293" i="37"/>
  <c r="AT292" i="37"/>
  <c r="AT291" i="37"/>
  <c r="AT290" i="37"/>
  <c r="AT289" i="37"/>
  <c r="AT288" i="37"/>
  <c r="AT287" i="37"/>
  <c r="AT286" i="37"/>
  <c r="AT285" i="37"/>
  <c r="AT284" i="37"/>
  <c r="AT283" i="37"/>
  <c r="AT282" i="37"/>
  <c r="AT281" i="37"/>
  <c r="AT280" i="37"/>
  <c r="AT279" i="37"/>
  <c r="AT278" i="37"/>
  <c r="AT277" i="37"/>
  <c r="AT276" i="37"/>
  <c r="AT275" i="37"/>
  <c r="AT274" i="37"/>
  <c r="AT273" i="37"/>
  <c r="AT272" i="37"/>
  <c r="AT271" i="37"/>
  <c r="AT270" i="37"/>
  <c r="AT269" i="37"/>
  <c r="AT268" i="37"/>
  <c r="AT267" i="37"/>
  <c r="AT266" i="37"/>
  <c r="AT265" i="37"/>
  <c r="AT264" i="37"/>
  <c r="AT263" i="37"/>
  <c r="AT262" i="37"/>
  <c r="AT261" i="37"/>
  <c r="AT260" i="37"/>
  <c r="AT259" i="37"/>
  <c r="AT258" i="37"/>
  <c r="AT257" i="37"/>
  <c r="AT256" i="37"/>
  <c r="AT255" i="37"/>
  <c r="AT254" i="37"/>
  <c r="AT253" i="37"/>
  <c r="AT252" i="37"/>
  <c r="AT251" i="37"/>
  <c r="AT250" i="37"/>
  <c r="AT249" i="37"/>
  <c r="AT248" i="37"/>
  <c r="AT247" i="37"/>
  <c r="AT246" i="37"/>
  <c r="AT245" i="37"/>
  <c r="AT244" i="37"/>
  <c r="AT243" i="37"/>
  <c r="AT242" i="37"/>
  <c r="AT241" i="37"/>
  <c r="AT240" i="37"/>
  <c r="AT239" i="37"/>
  <c r="AT238" i="37"/>
  <c r="AT237" i="37"/>
  <c r="AT236" i="37"/>
  <c r="AT235" i="37"/>
  <c r="AT234" i="37"/>
  <c r="AT233" i="37"/>
  <c r="AT232" i="37"/>
  <c r="AT231" i="37"/>
  <c r="AT230" i="37"/>
  <c r="AT229" i="37"/>
  <c r="AT228" i="37"/>
  <c r="AT227" i="37"/>
  <c r="AT226" i="37"/>
  <c r="AT225" i="37"/>
  <c r="AT224" i="37"/>
  <c r="AT223" i="37"/>
  <c r="AT222" i="37"/>
  <c r="AT221" i="37"/>
  <c r="AT220" i="37"/>
  <c r="AT219" i="37"/>
  <c r="AT218" i="37"/>
  <c r="AT217" i="37"/>
  <c r="AT216" i="37"/>
  <c r="AT215" i="37"/>
  <c r="AT214" i="37"/>
  <c r="AT213" i="37"/>
  <c r="AT212" i="37"/>
  <c r="AT211" i="37"/>
  <c r="AT210" i="37"/>
  <c r="AT209" i="37"/>
  <c r="AT208" i="37"/>
  <c r="AT207" i="37"/>
  <c r="AT206" i="37"/>
  <c r="AT205" i="37"/>
  <c r="AT204" i="37"/>
  <c r="AT203" i="37"/>
  <c r="AT202" i="37"/>
  <c r="AT201" i="37"/>
  <c r="AT200" i="37"/>
  <c r="AT199" i="37"/>
  <c r="AT198" i="37"/>
  <c r="AT197" i="37"/>
  <c r="AT196" i="37"/>
  <c r="AT195" i="37"/>
  <c r="AT194" i="37"/>
  <c r="AT193" i="37"/>
  <c r="AT192" i="37"/>
  <c r="AT191" i="37"/>
  <c r="AT190" i="37"/>
  <c r="AT189" i="37"/>
  <c r="AT188" i="37"/>
  <c r="AT187" i="37"/>
  <c r="AT186" i="37"/>
  <c r="AT185" i="37"/>
  <c r="AT184" i="37"/>
  <c r="AT183" i="37"/>
  <c r="AT182" i="37"/>
  <c r="AT181" i="37"/>
  <c r="AT180" i="37"/>
  <c r="AT179" i="37"/>
  <c r="AT178" i="37"/>
  <c r="AT177" i="37"/>
  <c r="AT176" i="37"/>
  <c r="AT175" i="37"/>
  <c r="AT174" i="37"/>
  <c r="AT173" i="37"/>
  <c r="AT172" i="37"/>
  <c r="AT171" i="37"/>
  <c r="AT170" i="37"/>
  <c r="AT169" i="37"/>
  <c r="AT168" i="37"/>
  <c r="AT167" i="37"/>
  <c r="AT166" i="37"/>
  <c r="AT165" i="37"/>
  <c r="AT164" i="37"/>
  <c r="AT163" i="37"/>
  <c r="AT162" i="37"/>
  <c r="AT161" i="37"/>
  <c r="AT160" i="37"/>
  <c r="AT159" i="37"/>
  <c r="AT158" i="37"/>
  <c r="AT157" i="37"/>
  <c r="AT156" i="37"/>
  <c r="AT155" i="37"/>
  <c r="AT154" i="37"/>
  <c r="AT153" i="37"/>
  <c r="AT152" i="37"/>
  <c r="AT151" i="37"/>
  <c r="AT150" i="37"/>
  <c r="AT149" i="37"/>
  <c r="AT148" i="37"/>
  <c r="AT147" i="37"/>
  <c r="AT146" i="37"/>
  <c r="AT145" i="37"/>
  <c r="AT144" i="37"/>
  <c r="AT143" i="37"/>
  <c r="AT142" i="37"/>
  <c r="AT141" i="37"/>
  <c r="AT140" i="37"/>
  <c r="AT139" i="37"/>
  <c r="AT138" i="37"/>
  <c r="AT137" i="37"/>
  <c r="AT136" i="37"/>
  <c r="AT135" i="37"/>
  <c r="AT134" i="37"/>
  <c r="AT133" i="37"/>
  <c r="AT132" i="37"/>
  <c r="AT131" i="37"/>
  <c r="AT130" i="37"/>
  <c r="AT129" i="37"/>
  <c r="AT128" i="37"/>
  <c r="AT127" i="37"/>
  <c r="AT126" i="37"/>
  <c r="D80" i="18" l="1"/>
  <c r="D79" i="18"/>
  <c r="D85" i="18"/>
  <c r="H37" i="18"/>
  <c r="D82" i="18"/>
  <c r="D83" i="18"/>
  <c r="C82" i="18"/>
  <c r="C83" i="18"/>
  <c r="H39" i="18"/>
  <c r="H38" i="18"/>
  <c r="H36" i="18"/>
  <c r="D78" i="18"/>
  <c r="AF2" i="37"/>
  <c r="AG2" i="37"/>
  <c r="C81" i="18" l="1"/>
  <c r="D81" i="18"/>
  <c r="AE2" i="37"/>
  <c r="B3" i="18" l="1"/>
  <c r="B22" i="18"/>
  <c r="D8" i="18" l="1"/>
  <c r="D5" i="18"/>
  <c r="C7" i="18"/>
  <c r="C8" i="18"/>
  <c r="D7" i="18"/>
  <c r="D6" i="18"/>
  <c r="C6" i="18"/>
  <c r="C5" i="18"/>
  <c r="Q13" i="29"/>
  <c r="Q16" i="29"/>
  <c r="Q17" i="29"/>
  <c r="Q18" i="29"/>
  <c r="Q19" i="29"/>
  <c r="Q20" i="29"/>
  <c r="Q21" i="29"/>
  <c r="Q22" i="29"/>
  <c r="Q23" i="29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Q131" i="29"/>
  <c r="Q132" i="29"/>
  <c r="Q133" i="29"/>
  <c r="Q134" i="29"/>
  <c r="Q135" i="29"/>
  <c r="Q136" i="29"/>
  <c r="Q137" i="29"/>
  <c r="Q138" i="29"/>
  <c r="Q139" i="29"/>
  <c r="Q140" i="29"/>
  <c r="Q141" i="29"/>
  <c r="Q142" i="29"/>
  <c r="Q143" i="29"/>
  <c r="Q144" i="29"/>
  <c r="Q145" i="29"/>
  <c r="Q146" i="29"/>
  <c r="Q147" i="29"/>
  <c r="Q148" i="29"/>
  <c r="Q149" i="29"/>
  <c r="Q150" i="29"/>
  <c r="Q151" i="29"/>
  <c r="Q152" i="29"/>
  <c r="Q153" i="29"/>
  <c r="Q154" i="29"/>
  <c r="Q155" i="29"/>
  <c r="Q156" i="29"/>
  <c r="Q157" i="29"/>
  <c r="Q158" i="29"/>
  <c r="Q159" i="29"/>
  <c r="Q160" i="29"/>
  <c r="Q161" i="29"/>
  <c r="Q162" i="29"/>
  <c r="Q163" i="29"/>
  <c r="Q164" i="29"/>
  <c r="Q165" i="29"/>
  <c r="Q166" i="29"/>
  <c r="Q167" i="29"/>
  <c r="Q168" i="29"/>
  <c r="Q169" i="29"/>
  <c r="Q170" i="29"/>
  <c r="Q171" i="29"/>
  <c r="Q172" i="29"/>
  <c r="Q173" i="29"/>
  <c r="Q174" i="29"/>
  <c r="Q175" i="29"/>
  <c r="Q176" i="29"/>
  <c r="Q177" i="29"/>
  <c r="Q178" i="29"/>
  <c r="Q179" i="29"/>
  <c r="Q180" i="29"/>
  <c r="Q181" i="29"/>
  <c r="Q182" i="29"/>
  <c r="Q183" i="29"/>
  <c r="Q184" i="29"/>
  <c r="Q185" i="29"/>
  <c r="Q186" i="29"/>
  <c r="Q187" i="29"/>
  <c r="Q188" i="29"/>
  <c r="Q189" i="29"/>
  <c r="Q190" i="29"/>
  <c r="Q191" i="29"/>
  <c r="Q192" i="29"/>
  <c r="Q193" i="29"/>
  <c r="Q194" i="29"/>
  <c r="Q195" i="29"/>
  <c r="Q196" i="29"/>
  <c r="Q197" i="29"/>
  <c r="Q198" i="29"/>
  <c r="Q199" i="29"/>
  <c r="Q200" i="29"/>
  <c r="Q12" i="29"/>
  <c r="Q5" i="29"/>
  <c r="Q6" i="29"/>
  <c r="Q7" i="29"/>
  <c r="Q8" i="29"/>
  <c r="Q9" i="29"/>
  <c r="Q10" i="29"/>
  <c r="Q11" i="29"/>
  <c r="Q4" i="29"/>
  <c r="P5" i="35" l="1"/>
  <c r="P4" i="35"/>
  <c r="P3" i="35"/>
  <c r="B44" i="18"/>
  <c r="F47" i="18" l="1"/>
  <c r="E47" i="18"/>
  <c r="D47" i="18"/>
  <c r="B47" i="18"/>
  <c r="E62" i="18" s="1"/>
  <c r="W44" i="18"/>
  <c r="C47" i="18"/>
  <c r="H44" i="18"/>
  <c r="M44" i="18"/>
  <c r="R44" i="18"/>
  <c r="W73" i="18" l="1" a="1"/>
  <c r="W73" i="18" s="1"/>
  <c r="H70" i="18" a="1"/>
  <c r="H70" i="18" s="1"/>
  <c r="H66" i="18" a="1"/>
  <c r="H66" i="18" s="1"/>
  <c r="H62" i="18" a="1"/>
  <c r="H62" i="18" s="1"/>
  <c r="H58" i="18" a="1"/>
  <c r="H58" i="18" s="1"/>
  <c r="H54" i="18" a="1"/>
  <c r="H54" i="18" s="1"/>
  <c r="H50" i="18" a="1"/>
  <c r="H50" i="18" s="1"/>
  <c r="R73" i="18" a="1"/>
  <c r="R73" i="18" s="1"/>
  <c r="W69" i="18" a="1"/>
  <c r="W69" i="18" s="1"/>
  <c r="W65" i="18" a="1"/>
  <c r="W65" i="18" s="1"/>
  <c r="W61" i="18" a="1"/>
  <c r="W61" i="18" s="1"/>
  <c r="W57" i="18" a="1"/>
  <c r="W57" i="18" s="1"/>
  <c r="W53" i="18" a="1"/>
  <c r="W53" i="18" s="1"/>
  <c r="W49" i="18" a="1"/>
  <c r="W49" i="18" s="1"/>
  <c r="M73" i="18" a="1"/>
  <c r="M73" i="18" s="1"/>
  <c r="R69" i="18" a="1"/>
  <c r="R69" i="18" s="1"/>
  <c r="R65" i="18" a="1"/>
  <c r="R65" i="18" s="1"/>
  <c r="R61" i="18" a="1"/>
  <c r="R61" i="18" s="1"/>
  <c r="R57" i="18" a="1"/>
  <c r="R57" i="18" s="1"/>
  <c r="R53" i="18" a="1"/>
  <c r="R53" i="18" s="1"/>
  <c r="R49" i="18" a="1"/>
  <c r="R49" i="18" s="1"/>
  <c r="H73" i="18" a="1"/>
  <c r="H73" i="18" s="1"/>
  <c r="M69" i="18" a="1"/>
  <c r="M69" i="18" s="1"/>
  <c r="M65" i="18" a="1"/>
  <c r="M65" i="18" s="1"/>
  <c r="M61" i="18" a="1"/>
  <c r="M61" i="18" s="1"/>
  <c r="M57" i="18" a="1"/>
  <c r="M57" i="18" s="1"/>
  <c r="M53" i="18" a="1"/>
  <c r="M53" i="18" s="1"/>
  <c r="M49" i="18" a="1"/>
  <c r="M49" i="18" s="1"/>
  <c r="W72" i="18" a="1"/>
  <c r="W72" i="18" s="1"/>
  <c r="H69" i="18" a="1"/>
  <c r="H69" i="18" s="1"/>
  <c r="H65" i="18" a="1"/>
  <c r="H65" i="18" s="1"/>
  <c r="H61" i="18" a="1"/>
  <c r="H61" i="18" s="1"/>
  <c r="H57" i="18" a="1"/>
  <c r="H57" i="18" s="1"/>
  <c r="H53" i="18" a="1"/>
  <c r="H53" i="18" s="1"/>
  <c r="H49" i="18" a="1"/>
  <c r="H49" i="18" s="1"/>
  <c r="R72" i="18" a="1"/>
  <c r="R72" i="18" s="1"/>
  <c r="W68" i="18" a="1"/>
  <c r="W68" i="18" s="1"/>
  <c r="W64" i="18" a="1"/>
  <c r="W64" i="18" s="1"/>
  <c r="W60" i="18" a="1"/>
  <c r="W60" i="18" s="1"/>
  <c r="W56" i="18" a="1"/>
  <c r="W56" i="18" s="1"/>
  <c r="W52" i="18" a="1"/>
  <c r="W52" i="18" s="1"/>
  <c r="W48" i="18" a="1"/>
  <c r="W48" i="18" s="1"/>
  <c r="M58" i="18" a="1"/>
  <c r="M58" i="18" s="1"/>
  <c r="M72" i="18" a="1"/>
  <c r="M72" i="18" s="1"/>
  <c r="R68" i="18" a="1"/>
  <c r="R68" i="18" s="1"/>
  <c r="R64" i="18" a="1"/>
  <c r="R64" i="18" s="1"/>
  <c r="R60" i="18" a="1"/>
  <c r="R60" i="18" s="1"/>
  <c r="R56" i="18" a="1"/>
  <c r="R56" i="18" s="1"/>
  <c r="R52" i="18" a="1"/>
  <c r="R52" i="18" s="1"/>
  <c r="R48" i="18" a="1"/>
  <c r="R48" i="18" s="1"/>
  <c r="M68" i="18" a="1"/>
  <c r="M68" i="18" s="1"/>
  <c r="M64" i="18" a="1"/>
  <c r="M64" i="18" s="1"/>
  <c r="M60" i="18" a="1"/>
  <c r="M60" i="18" s="1"/>
  <c r="M56" i="18" a="1"/>
  <c r="M56" i="18" s="1"/>
  <c r="M52" i="18" a="1"/>
  <c r="M52" i="18" s="1"/>
  <c r="M48" i="18" a="1"/>
  <c r="M48" i="18" s="1"/>
  <c r="M62" i="18" a="1"/>
  <c r="M62" i="18" s="1"/>
  <c r="H72" i="18" a="1"/>
  <c r="H72" i="18" s="1"/>
  <c r="H68" i="18" a="1"/>
  <c r="H68" i="18" s="1"/>
  <c r="H64" i="18" a="1"/>
  <c r="H64" i="18" s="1"/>
  <c r="H60" i="18" a="1"/>
  <c r="H60" i="18" s="1"/>
  <c r="H56" i="18" a="1"/>
  <c r="H56" i="18" s="1"/>
  <c r="H52" i="18" a="1"/>
  <c r="H52" i="18" s="1"/>
  <c r="H48" i="18" a="1"/>
  <c r="H48" i="18" s="1"/>
  <c r="M54" i="18" a="1"/>
  <c r="M54" i="18" s="1"/>
  <c r="W71" i="18" a="1"/>
  <c r="W71" i="18" s="1"/>
  <c r="W67" i="18" a="1"/>
  <c r="W67" i="18" s="1"/>
  <c r="W63" i="18" a="1"/>
  <c r="W63" i="18" s="1"/>
  <c r="W59" i="18" a="1"/>
  <c r="W59" i="18" s="1"/>
  <c r="W55" i="18" a="1"/>
  <c r="W55" i="18" s="1"/>
  <c r="W51" i="18" a="1"/>
  <c r="W51" i="18" s="1"/>
  <c r="W47" i="18" a="1"/>
  <c r="W47" i="18" s="1"/>
  <c r="M50" i="18" a="1"/>
  <c r="M50" i="18" s="1"/>
  <c r="R71" i="18" a="1"/>
  <c r="R71" i="18" s="1"/>
  <c r="R67" i="18" a="1"/>
  <c r="R67" i="18" s="1"/>
  <c r="R63" i="18" a="1"/>
  <c r="R63" i="18" s="1"/>
  <c r="R59" i="18" a="1"/>
  <c r="R59" i="18" s="1"/>
  <c r="R55" i="18" a="1"/>
  <c r="R55" i="18" s="1"/>
  <c r="R51" i="18" a="1"/>
  <c r="R51" i="18" s="1"/>
  <c r="R47" i="18" a="1"/>
  <c r="R47" i="18" s="1"/>
  <c r="M71" i="18" a="1"/>
  <c r="M71" i="18" s="1"/>
  <c r="M67" i="18" a="1"/>
  <c r="M67" i="18" s="1"/>
  <c r="M63" i="18" a="1"/>
  <c r="M63" i="18" s="1"/>
  <c r="M59" i="18" a="1"/>
  <c r="M59" i="18" s="1"/>
  <c r="M55" i="18" a="1"/>
  <c r="M55" i="18" s="1"/>
  <c r="M51" i="18" a="1"/>
  <c r="M51" i="18" s="1"/>
  <c r="M47" i="18" a="1"/>
  <c r="M47" i="18" s="1"/>
  <c r="H71" i="18" a="1"/>
  <c r="H71" i="18" s="1"/>
  <c r="H67" i="18" a="1"/>
  <c r="H67" i="18" s="1"/>
  <c r="H63" i="18" a="1"/>
  <c r="H63" i="18" s="1"/>
  <c r="H59" i="18" a="1"/>
  <c r="H59" i="18" s="1"/>
  <c r="H55" i="18" a="1"/>
  <c r="H55" i="18" s="1"/>
  <c r="H51" i="18" a="1"/>
  <c r="H51" i="18" s="1"/>
  <c r="H47" i="18" a="1"/>
  <c r="H47" i="18" s="1"/>
  <c r="W70" i="18" a="1"/>
  <c r="W70" i="18" s="1"/>
  <c r="W66" i="18" a="1"/>
  <c r="W66" i="18" s="1"/>
  <c r="W62" i="18" a="1"/>
  <c r="W62" i="18" s="1"/>
  <c r="W58" i="18" a="1"/>
  <c r="W58" i="18" s="1"/>
  <c r="W54" i="18" a="1"/>
  <c r="W54" i="18" s="1"/>
  <c r="W50" i="18" a="1"/>
  <c r="W50" i="18" s="1"/>
  <c r="M70" i="18" a="1"/>
  <c r="M70" i="18" s="1"/>
  <c r="R70" i="18" a="1"/>
  <c r="R70" i="18" s="1"/>
  <c r="R66" i="18" a="1"/>
  <c r="R66" i="18" s="1"/>
  <c r="R62" i="18" a="1"/>
  <c r="R62" i="18" s="1"/>
  <c r="R58" i="18" a="1"/>
  <c r="R58" i="18" s="1"/>
  <c r="R54" i="18" a="1"/>
  <c r="R54" i="18" s="1"/>
  <c r="R50" i="18" a="1"/>
  <c r="R50" i="18" s="1"/>
  <c r="M66" i="18" a="1"/>
  <c r="M66" i="18" s="1"/>
  <c r="B64" i="18"/>
  <c r="C64" i="18" s="1"/>
  <c r="D64" i="18" l="1"/>
  <c r="E64" i="18"/>
  <c r="X61" i="18"/>
  <c r="Y61" i="18"/>
  <c r="Z61" i="18"/>
  <c r="O59" i="18"/>
  <c r="N59" i="18"/>
  <c r="P59" i="18"/>
  <c r="O68" i="18"/>
  <c r="N68" i="18"/>
  <c r="P68" i="18"/>
  <c r="S69" i="18"/>
  <c r="T69" i="18"/>
  <c r="U69" i="18"/>
  <c r="O53" i="18"/>
  <c r="N53" i="18"/>
  <c r="P53" i="18"/>
  <c r="S48" i="18"/>
  <c r="T48" i="18"/>
  <c r="U48" i="18"/>
  <c r="P67" i="18"/>
  <c r="N67" i="18"/>
  <c r="O67" i="18"/>
  <c r="P57" i="18"/>
  <c r="N57" i="18"/>
  <c r="O57" i="18"/>
  <c r="K57" i="18"/>
  <c r="I57" i="18"/>
  <c r="J57" i="18"/>
  <c r="S53" i="18"/>
  <c r="U53" i="18"/>
  <c r="T53" i="18"/>
  <c r="U67" i="18"/>
  <c r="S67" i="18"/>
  <c r="T67" i="18"/>
  <c r="X70" i="18"/>
  <c r="Z70" i="18"/>
  <c r="Y70" i="18"/>
  <c r="N50" i="18"/>
  <c r="P50" i="18"/>
  <c r="O50" i="18"/>
  <c r="I58" i="18"/>
  <c r="J58" i="18"/>
  <c r="K58" i="18"/>
  <c r="P47" i="18"/>
  <c r="O47" i="18"/>
  <c r="N47" i="18"/>
  <c r="S71" i="18"/>
  <c r="T71" i="18"/>
  <c r="U71" i="18"/>
  <c r="Y72" i="18"/>
  <c r="X72" i="18"/>
  <c r="Z72" i="18"/>
  <c r="T51" i="18"/>
  <c r="U51" i="18"/>
  <c r="S51" i="18"/>
  <c r="X51" i="18"/>
  <c r="Y51" i="18"/>
  <c r="Z51" i="18"/>
  <c r="N64" i="18"/>
  <c r="O64" i="18"/>
  <c r="P64" i="18"/>
  <c r="X66" i="18"/>
  <c r="Z66" i="18"/>
  <c r="Y66" i="18"/>
  <c r="N56" i="18"/>
  <c r="P56" i="18"/>
  <c r="O56" i="18"/>
  <c r="S55" i="18"/>
  <c r="U55" i="18"/>
  <c r="T55" i="18"/>
  <c r="Z59" i="18"/>
  <c r="X59" i="18"/>
  <c r="Y59" i="18"/>
  <c r="X53" i="18"/>
  <c r="Y53" i="18"/>
  <c r="Z53" i="18"/>
  <c r="X50" i="18"/>
  <c r="Y50" i="18"/>
  <c r="Z50" i="18"/>
  <c r="J49" i="18"/>
  <c r="K49" i="18"/>
  <c r="I49" i="18"/>
  <c r="U57" i="18"/>
  <c r="T57" i="18"/>
  <c r="S57" i="18"/>
  <c r="Y55" i="18"/>
  <c r="X55" i="18"/>
  <c r="Z55" i="18"/>
  <c r="X54" i="18"/>
  <c r="Z54" i="18"/>
  <c r="Y54" i="18"/>
  <c r="J67" i="18"/>
  <c r="I67" i="18"/>
  <c r="K67" i="18"/>
  <c r="K66" i="18"/>
  <c r="I66" i="18"/>
  <c r="J66" i="18"/>
  <c r="P63" i="18"/>
  <c r="O63" i="18"/>
  <c r="N63" i="18"/>
  <c r="K60" i="18"/>
  <c r="J60" i="18"/>
  <c r="I60" i="18"/>
  <c r="X65" i="18"/>
  <c r="Y65" i="18"/>
  <c r="Z65" i="18"/>
  <c r="J65" i="18"/>
  <c r="I65" i="18"/>
  <c r="K65" i="18"/>
  <c r="J70" i="18"/>
  <c r="K70" i="18"/>
  <c r="I70" i="18"/>
  <c r="J61" i="18"/>
  <c r="I61" i="18"/>
  <c r="K61" i="18"/>
  <c r="I52" i="18"/>
  <c r="K52" i="18"/>
  <c r="J52" i="18"/>
  <c r="O58" i="18"/>
  <c r="N58" i="18"/>
  <c r="P58" i="18"/>
  <c r="Z60" i="18"/>
  <c r="Y60" i="18"/>
  <c r="X60" i="18"/>
  <c r="I72" i="18"/>
  <c r="J72" i="18"/>
  <c r="K72" i="18"/>
  <c r="N71" i="18"/>
  <c r="O71" i="18"/>
  <c r="P71" i="18"/>
  <c r="N69" i="18"/>
  <c r="P69" i="18"/>
  <c r="O69" i="18"/>
  <c r="J51" i="18"/>
  <c r="I51" i="18"/>
  <c r="K51" i="18"/>
  <c r="S47" i="18"/>
  <c r="U47" i="18"/>
  <c r="T47" i="18"/>
  <c r="K47" i="18"/>
  <c r="J47" i="18"/>
  <c r="I47" i="18"/>
  <c r="U64" i="18"/>
  <c r="S64" i="18"/>
  <c r="T64" i="18"/>
  <c r="J71" i="18"/>
  <c r="I71" i="18"/>
  <c r="K71" i="18"/>
  <c r="N61" i="18"/>
  <c r="O61" i="18"/>
  <c r="P61" i="18"/>
  <c r="U66" i="18"/>
  <c r="S66" i="18"/>
  <c r="T66" i="18"/>
  <c r="S62" i="18"/>
  <c r="T62" i="18"/>
  <c r="U62" i="18"/>
  <c r="U60" i="18"/>
  <c r="T60" i="18"/>
  <c r="S60" i="18"/>
  <c r="S63" i="18"/>
  <c r="T63" i="18"/>
  <c r="U63" i="18"/>
  <c r="J62" i="18"/>
  <c r="I62" i="18"/>
  <c r="K62" i="18"/>
  <c r="N54" i="18"/>
  <c r="P54" i="18"/>
  <c r="O54" i="18"/>
  <c r="S50" i="18"/>
  <c r="T50" i="18"/>
  <c r="U50" i="18"/>
  <c r="X69" i="18"/>
  <c r="Y69" i="18"/>
  <c r="Z69" i="18"/>
  <c r="X68" i="18"/>
  <c r="Z68" i="18"/>
  <c r="Y68" i="18"/>
  <c r="O65" i="18"/>
  <c r="N65" i="18"/>
  <c r="P65" i="18"/>
  <c r="N49" i="18"/>
  <c r="O49" i="18"/>
  <c r="P49" i="18"/>
  <c r="I56" i="18"/>
  <c r="J56" i="18"/>
  <c r="K56" i="18"/>
  <c r="S68" i="18"/>
  <c r="T68" i="18"/>
  <c r="U68" i="18"/>
  <c r="Y71" i="18"/>
  <c r="X71" i="18"/>
  <c r="Z71" i="18"/>
  <c r="X49" i="18"/>
  <c r="Y49" i="18"/>
  <c r="Z49" i="18"/>
  <c r="N51" i="18"/>
  <c r="O51" i="18"/>
  <c r="P51" i="18"/>
  <c r="U58" i="18"/>
  <c r="S58" i="18"/>
  <c r="T58" i="18"/>
  <c r="K73" i="18"/>
  <c r="J73" i="18"/>
  <c r="I73" i="18"/>
  <c r="O73" i="18"/>
  <c r="N73" i="18"/>
  <c r="P73" i="18"/>
  <c r="S52" i="18"/>
  <c r="U52" i="18"/>
  <c r="T52" i="18"/>
  <c r="N52" i="18"/>
  <c r="P52" i="18"/>
  <c r="O52" i="18"/>
  <c r="K64" i="18"/>
  <c r="J64" i="18"/>
  <c r="I64" i="18"/>
  <c r="X62" i="18"/>
  <c r="Y62" i="18"/>
  <c r="Z62" i="18"/>
  <c r="N66" i="18"/>
  <c r="P66" i="18"/>
  <c r="O66" i="18"/>
  <c r="P62" i="18"/>
  <c r="O62" i="18"/>
  <c r="N62" i="18"/>
  <c r="O55" i="18"/>
  <c r="N55" i="18"/>
  <c r="P55" i="18"/>
  <c r="X63" i="18"/>
  <c r="Y63" i="18"/>
  <c r="Z63" i="18"/>
  <c r="S65" i="18"/>
  <c r="T65" i="18"/>
  <c r="U65" i="18"/>
  <c r="I59" i="18"/>
  <c r="J59" i="18"/>
  <c r="K59" i="18"/>
  <c r="I50" i="18"/>
  <c r="J50" i="18"/>
  <c r="K50" i="18"/>
  <c r="I63" i="18"/>
  <c r="J63" i="18"/>
  <c r="K63" i="18"/>
  <c r="T72" i="18"/>
  <c r="S72" i="18"/>
  <c r="U72" i="18"/>
  <c r="U70" i="18"/>
  <c r="S70" i="18"/>
  <c r="T70" i="18"/>
  <c r="K69" i="18"/>
  <c r="I69" i="18"/>
  <c r="J69" i="18"/>
  <c r="U49" i="18"/>
  <c r="S49" i="18"/>
  <c r="T49" i="18"/>
  <c r="O48" i="18"/>
  <c r="P48" i="18"/>
  <c r="N48" i="18"/>
  <c r="I48" i="18"/>
  <c r="J48" i="18"/>
  <c r="K48" i="18"/>
  <c r="Y56" i="18"/>
  <c r="X56" i="18"/>
  <c r="Z56" i="18"/>
  <c r="U56" i="18"/>
  <c r="T56" i="18"/>
  <c r="S56" i="18"/>
  <c r="S54" i="18"/>
  <c r="T54" i="18"/>
  <c r="U54" i="18"/>
  <c r="J68" i="18"/>
  <c r="I68" i="18"/>
  <c r="K68" i="18"/>
  <c r="Z58" i="18"/>
  <c r="X58" i="18"/>
  <c r="Y58" i="18"/>
  <c r="S61" i="18"/>
  <c r="U61" i="18"/>
  <c r="T61" i="18"/>
  <c r="U73" i="18"/>
  <c r="S73" i="18"/>
  <c r="T73" i="18"/>
  <c r="N60" i="18"/>
  <c r="O60" i="18"/>
  <c r="P60" i="18"/>
  <c r="Z73" i="18"/>
  <c r="Y73" i="18"/>
  <c r="X73" i="18"/>
  <c r="I55" i="18"/>
  <c r="J55" i="18"/>
  <c r="K55" i="18"/>
  <c r="I54" i="18"/>
  <c r="J54" i="18"/>
  <c r="K54" i="18"/>
  <c r="X52" i="18"/>
  <c r="Z52" i="18"/>
  <c r="Y52" i="18"/>
  <c r="Z57" i="18"/>
  <c r="Y57" i="18"/>
  <c r="X57" i="18"/>
  <c r="S59" i="18"/>
  <c r="T59" i="18"/>
  <c r="U59" i="18"/>
  <c r="Z47" i="18"/>
  <c r="Y47" i="18"/>
  <c r="X47" i="18"/>
  <c r="X64" i="18"/>
  <c r="Y64" i="18"/>
  <c r="Z64" i="18"/>
  <c r="N72" i="18"/>
  <c r="O72" i="18"/>
  <c r="P72" i="18"/>
  <c r="O70" i="18"/>
  <c r="P70" i="18"/>
  <c r="N70" i="18"/>
  <c r="I53" i="18"/>
  <c r="J53" i="18"/>
  <c r="K53" i="18"/>
  <c r="X48" i="18"/>
  <c r="Y48" i="18"/>
  <c r="Z48" i="18"/>
  <c r="Y67" i="18"/>
  <c r="Z67" i="18"/>
  <c r="X67" i="18"/>
  <c r="B34" i="18" l="1"/>
  <c r="C39" i="18" l="1"/>
  <c r="D38" i="18"/>
  <c r="C38" i="18"/>
  <c r="D37" i="18"/>
  <c r="C37" i="18"/>
  <c r="D36" i="18"/>
  <c r="C36" i="18"/>
  <c r="D39" i="18"/>
  <c r="E39" i="18" l="1"/>
  <c r="E36" i="18"/>
  <c r="E37" i="18"/>
  <c r="E38" i="18"/>
  <c r="D40" i="18"/>
  <c r="C40" i="18"/>
  <c r="E40" i="18" l="1"/>
  <c r="E52" i="18" l="1"/>
  <c r="E53" i="18"/>
  <c r="E54" i="18"/>
  <c r="E55" i="18"/>
  <c r="E56" i="18"/>
  <c r="E57" i="18"/>
  <c r="E58" i="18"/>
  <c r="E59" i="18"/>
  <c r="E60" i="18"/>
  <c r="E51" i="18"/>
  <c r="F49" i="18"/>
  <c r="D58" i="18" l="1"/>
  <c r="D55" i="18"/>
  <c r="B56" i="18"/>
  <c r="D56" i="18"/>
  <c r="F59" i="18"/>
  <c r="D59" i="18"/>
  <c r="F57" i="18"/>
  <c r="D57" i="18"/>
  <c r="F54" i="18"/>
  <c r="D54" i="18"/>
  <c r="F51" i="18"/>
  <c r="D51" i="18"/>
  <c r="F53" i="18"/>
  <c r="D53" i="18"/>
  <c r="F60" i="18"/>
  <c r="D60" i="18"/>
  <c r="F52" i="18"/>
  <c r="D52" i="18"/>
  <c r="F55" i="18"/>
  <c r="B58" i="18"/>
  <c r="B55" i="18"/>
  <c r="B54" i="18"/>
  <c r="B51" i="18"/>
  <c r="B53" i="18"/>
  <c r="F58" i="18"/>
  <c r="B60" i="18"/>
  <c r="B52" i="18"/>
  <c r="F56" i="18"/>
  <c r="B59" i="18"/>
  <c r="B57" i="18"/>
  <c r="G40" i="18" l="1"/>
  <c r="F62" i="18"/>
  <c r="F64" i="18" l="1"/>
  <c r="B65" i="18"/>
  <c r="C65" i="18" s="1"/>
  <c r="E65" i="18" s="1"/>
  <c r="D65" i="18" l="1"/>
  <c r="B66" i="18"/>
  <c r="F65" i="18"/>
  <c r="C66" i="18" l="1"/>
  <c r="E66" i="18" s="1"/>
  <c r="B67" i="18"/>
  <c r="D66" i="18" l="1"/>
  <c r="C67" i="18"/>
  <c r="E67" i="18" s="1"/>
  <c r="F66" i="18"/>
  <c r="B68" i="18"/>
  <c r="D67" i="18" l="1"/>
  <c r="F67" i="18"/>
  <c r="C68" i="18"/>
  <c r="E68" i="18" s="1"/>
  <c r="B69" i="18"/>
  <c r="D68" i="18" l="1"/>
  <c r="F68" i="18"/>
  <c r="C69" i="18"/>
  <c r="E69" i="18" s="1"/>
  <c r="B70" i="18"/>
  <c r="D69" i="18" l="1"/>
  <c r="F69" i="18"/>
  <c r="C70" i="18"/>
  <c r="E70" i="18" s="1"/>
  <c r="B71" i="18"/>
  <c r="D70" i="18" l="1"/>
  <c r="F70" i="18"/>
  <c r="C71" i="18"/>
  <c r="E71" i="18" s="1"/>
  <c r="B72" i="18"/>
  <c r="D71" i="18" l="1"/>
  <c r="F71" i="18"/>
  <c r="C72" i="18"/>
  <c r="E72" i="18" s="1"/>
  <c r="B73" i="18"/>
  <c r="D72" i="18" l="1"/>
  <c r="F72" i="18"/>
  <c r="C73" i="18"/>
  <c r="E73" i="18" s="1"/>
  <c r="F73" i="18" l="1"/>
  <c r="D73" i="18"/>
  <c r="J14" i="18"/>
  <c r="K14" i="18"/>
  <c r="F14" i="18"/>
  <c r="O14" i="18"/>
  <c r="J15" i="18"/>
  <c r="K15" i="18"/>
  <c r="F15" i="18"/>
  <c r="O15" i="18"/>
  <c r="J16" i="18"/>
  <c r="K16" i="18"/>
  <c r="F16" i="18"/>
  <c r="O16" i="18"/>
  <c r="J17" i="18"/>
  <c r="K17" i="18"/>
  <c r="F17" i="18"/>
  <c r="G17" i="18"/>
  <c r="O17" i="18"/>
  <c r="J18" i="18"/>
  <c r="K18" i="18"/>
  <c r="F18" i="18"/>
  <c r="O18" i="18"/>
  <c r="J19" i="18"/>
  <c r="K19" i="18"/>
  <c r="F19" i="18"/>
  <c r="G19" i="18"/>
  <c r="O19" i="18"/>
  <c r="G15" i="18"/>
  <c r="O20" i="18"/>
  <c r="N20" i="18"/>
  <c r="F20" i="18"/>
  <c r="J20" i="18"/>
  <c r="C14" i="18"/>
  <c r="G24" i="18"/>
  <c r="C15" i="18"/>
  <c r="G25" i="18"/>
  <c r="F26" i="18"/>
  <c r="D16" i="18"/>
  <c r="F27" i="18"/>
  <c r="G27" i="18"/>
  <c r="C18" i="18"/>
  <c r="D18" i="18"/>
  <c r="C19" i="18"/>
  <c r="G29" i="18"/>
  <c r="D20" i="18"/>
  <c r="C20" i="18"/>
  <c r="K20" i="18"/>
  <c r="G20" i="18"/>
  <c r="G16" i="18"/>
  <c r="G18" i="18"/>
  <c r="G14" i="18"/>
  <c r="N19" i="18"/>
  <c r="N18" i="18"/>
  <c r="N17" i="18"/>
  <c r="N16" i="18"/>
  <c r="N15" i="18"/>
  <c r="N14" i="18"/>
  <c r="D17" i="18" l="1"/>
  <c r="C17" i="18"/>
  <c r="C16" i="18"/>
  <c r="D19" i="18"/>
  <c r="D14" i="18"/>
  <c r="F24" i="18"/>
  <c r="G26" i="18"/>
  <c r="D15" i="18"/>
  <c r="F29" i="18"/>
  <c r="F25" i="18"/>
  <c r="G28" i="18"/>
  <c r="F30" i="18"/>
  <c r="F28" i="18"/>
  <c r="G30" i="18"/>
  <c r="AA20" i="18" l="1"/>
  <c r="AA29" i="18"/>
  <c r="AA28" i="18"/>
  <c r="AA18" i="18"/>
  <c r="AA17" i="18"/>
  <c r="AA26" i="18"/>
  <c r="AA16" i="18"/>
  <c r="AA25" i="18"/>
  <c r="AA15" i="18"/>
  <c r="X30" i="18"/>
  <c r="X20" i="18"/>
  <c r="X29" i="18"/>
  <c r="X19" i="18"/>
  <c r="X28" i="18"/>
  <c r="X18" i="18"/>
  <c r="X27" i="18"/>
  <c r="X17" i="18"/>
  <c r="X26" i="18"/>
  <c r="X16" i="18"/>
  <c r="X25" i="18"/>
  <c r="X15" i="18"/>
  <c r="U30" i="18"/>
  <c r="U20" i="18"/>
  <c r="U29" i="18"/>
  <c r="U28" i="18"/>
  <c r="U18" i="18"/>
  <c r="U27" i="18"/>
  <c r="U17" i="18"/>
  <c r="U26" i="18"/>
  <c r="U16" i="18"/>
  <c r="U25" i="18"/>
  <c r="U15" i="18"/>
  <c r="R16" i="18"/>
  <c r="R26" i="18"/>
  <c r="R17" i="18"/>
  <c r="R27" i="18"/>
  <c r="R28" i="18"/>
  <c r="R19" i="18"/>
  <c r="R29" i="18"/>
  <c r="R20" i="18"/>
  <c r="R30" i="18"/>
  <c r="R25" i="18"/>
  <c r="AA30" i="18"/>
  <c r="AA19" i="18"/>
  <c r="U19" i="18"/>
  <c r="R18" i="18"/>
  <c r="AA27" i="18"/>
  <c r="R15" i="18"/>
  <c r="AA24" i="18"/>
  <c r="AA14" i="18"/>
  <c r="X24" i="18"/>
  <c r="X14" i="18"/>
  <c r="U24" i="18"/>
  <c r="U14" i="18"/>
  <c r="R24" i="18"/>
  <c r="R14" i="18"/>
  <c r="F40" i="18" l="1"/>
  <c r="H40" i="1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<sst xmlns="http://schemas.openxmlformats.org/spreadsheetml/2006/main" count="17580" uniqueCount="404">
  <si>
    <t>(Multiple Items)</t>
  </si>
  <si>
    <t>All</t>
  </si>
  <si>
    <t>EBT</t>
  </si>
  <si>
    <t>Friday</t>
  </si>
  <si>
    <t>Tuesday</t>
  </si>
  <si>
    <t>Saturday</t>
  </si>
  <si>
    <t>Thursday</t>
  </si>
  <si>
    <t>Sunday</t>
  </si>
  <si>
    <t>Wednesday</t>
  </si>
  <si>
    <t>Monday</t>
  </si>
  <si>
    <t>Region</t>
  </si>
  <si>
    <t>EBT Trans</t>
  </si>
  <si>
    <t>Grand Total</t>
  </si>
  <si>
    <t>2021 vs 2020</t>
  </si>
  <si>
    <t>2021 vs 2019</t>
  </si>
  <si>
    <t>Q1</t>
  </si>
  <si>
    <t>Q2</t>
  </si>
  <si>
    <t>Quarter</t>
  </si>
  <si>
    <t>YTD</t>
  </si>
  <si>
    <t>Day</t>
  </si>
  <si>
    <t>Mon</t>
  </si>
  <si>
    <t>Tue</t>
  </si>
  <si>
    <t>Wed</t>
  </si>
  <si>
    <t>Thu</t>
  </si>
  <si>
    <t>Fri</t>
  </si>
  <si>
    <t>Sat</t>
  </si>
  <si>
    <t>Sun</t>
  </si>
  <si>
    <t>2020 vs 2021</t>
  </si>
  <si>
    <t>DMA</t>
  </si>
  <si>
    <t>YTD PMI</t>
  </si>
  <si>
    <t>Total Trans</t>
  </si>
  <si>
    <t>EBT % of Sales</t>
  </si>
  <si>
    <t>Q3</t>
  </si>
  <si>
    <t>Channel</t>
  </si>
  <si>
    <t>Q4</t>
  </si>
  <si>
    <t>Total</t>
  </si>
  <si>
    <t>4Q</t>
  </si>
  <si>
    <t>4Q PMI</t>
  </si>
  <si>
    <t>Current DMA:</t>
  </si>
  <si>
    <t>Year:</t>
  </si>
  <si>
    <t>Quarter:</t>
  </si>
  <si>
    <t>For detailed documentation, including error explanations and instructions for accessing the code that powers this tool, visit:</t>
  </si>
  <si>
    <t>Day of the Week</t>
  </si>
  <si>
    <t xml:space="preserve">Check By Channel </t>
  </si>
  <si>
    <t>Range</t>
  </si>
  <si>
    <t>B3:D8</t>
  </si>
  <si>
    <t>B34:H40</t>
  </si>
  <si>
    <t>System</t>
  </si>
  <si>
    <t>DMA Size</t>
  </si>
  <si>
    <t>Store</t>
  </si>
  <si>
    <t>PMI</t>
  </si>
  <si>
    <t>DC</t>
  </si>
  <si>
    <t>Number of Stores</t>
  </si>
  <si>
    <t>Store Group</t>
  </si>
  <si>
    <t>CSD</t>
  </si>
  <si>
    <t>Store No.</t>
  </si>
  <si>
    <t>Loyalty Sales</t>
  </si>
  <si>
    <t>Loyalty Transactions</t>
  </si>
  <si>
    <t>Franchise</t>
  </si>
  <si>
    <t>Company store</t>
  </si>
  <si>
    <t>Row Labels</t>
  </si>
  <si>
    <t>Average of Qbr Checks Penetration</t>
  </si>
  <si>
    <t>Loyalty Penetration Percentage</t>
  </si>
  <si>
    <t>Average of Loyalty Sales</t>
  </si>
  <si>
    <t>(All)</t>
  </si>
  <si>
    <t xml:space="preserve">CSD </t>
  </si>
  <si>
    <t>EBT Quarter over Quarter</t>
  </si>
  <si>
    <t>B22:G30</t>
  </si>
  <si>
    <t>Avg Check Q3</t>
  </si>
  <si>
    <t>Avg Check Q4</t>
  </si>
  <si>
    <t>Cell Width</t>
  </si>
  <si>
    <t>B44:F73</t>
  </si>
  <si>
    <t>H44:K73</t>
  </si>
  <si>
    <t>M44:P73</t>
  </si>
  <si>
    <t>R44:U73</t>
  </si>
  <si>
    <t>W44:Z73</t>
  </si>
  <si>
    <t>DMA (Top 10)</t>
  </si>
  <si>
    <t>PMI:</t>
  </si>
  <si>
    <t>Sum of Loyalty Transactions</t>
  </si>
  <si>
    <t>Sum of Loyalty Sales</t>
  </si>
  <si>
    <t>Penetration</t>
  </si>
  <si>
    <t>Cell Height</t>
  </si>
  <si>
    <t>Output:</t>
  </si>
  <si>
    <t>Run Options</t>
  </si>
  <si>
    <t>Slide Number</t>
  </si>
  <si>
    <t>Slide Name</t>
  </si>
  <si>
    <t>All Slides</t>
  </si>
  <si>
    <t>Loyalty Penetration Main</t>
  </si>
  <si>
    <t>Loyalty Penetration 1</t>
  </si>
  <si>
    <t>Loyalty Penetration 2</t>
  </si>
  <si>
    <t>Loyalty Penetration 3</t>
  </si>
  <si>
    <t>Loyalty Penetration 4</t>
  </si>
  <si>
    <t>Text Size</t>
  </si>
  <si>
    <t>Vertical Position</t>
  </si>
  <si>
    <t>Horizontal Position</t>
  </si>
  <si>
    <t>Centered (1: yes, 0: no)</t>
  </si>
  <si>
    <t>Loyalty Penetration</t>
  </si>
  <si>
    <t>Paste Cell</t>
  </si>
  <si>
    <t>B2</t>
  </si>
  <si>
    <t>H2</t>
  </si>
  <si>
    <t>M2</t>
  </si>
  <si>
    <t>R2</t>
  </si>
  <si>
    <t>W2</t>
  </si>
  <si>
    <t>Worksheet Name</t>
  </si>
  <si>
    <t>Chart List:</t>
  </si>
  <si>
    <t>Field Marketing Automation Tool</t>
  </si>
  <si>
    <t>LP Sizer</t>
  </si>
  <si>
    <t>Dynamic (1: yes, 0: no)</t>
  </si>
  <si>
    <t>Drop Dynamic Slides (DMA)    --10 COLUMNS WIDE MAXIMUM WITHOUT EDITING VBA CODE--</t>
  </si>
  <si>
    <t>GeneralSlides.pptx</t>
  </si>
  <si>
    <t>Main Folder:</t>
  </si>
  <si>
    <t>Local Temporary Folder:</t>
  </si>
  <si>
    <t>C:\TempAnalysisLocalFolder</t>
  </si>
  <si>
    <t>Main Slides</t>
  </si>
  <si>
    <t>Chart Type DV Source</t>
  </si>
  <si>
    <t>Slides File Names</t>
  </si>
  <si>
    <t>BlankFormatSlide.pptx</t>
  </si>
  <si>
    <t>Main</t>
  </si>
  <si>
    <t>DMA Quantity:</t>
  </si>
  <si>
    <t>Fast</t>
  </si>
  <si>
    <t>Save Type:</t>
  </si>
  <si>
    <t>Periods</t>
  </si>
  <si>
    <t>Store Count</t>
  </si>
  <si>
    <t>Promotion</t>
  </si>
  <si>
    <t>Total LTO Units</t>
  </si>
  <si>
    <t>Total Units</t>
  </si>
  <si>
    <t>Overall Mix %</t>
  </si>
  <si>
    <t>Mix</t>
  </si>
  <si>
    <t>Price</t>
  </si>
  <si>
    <t>Count of DMA</t>
  </si>
  <si>
    <t>Sum of Store Count</t>
  </si>
  <si>
    <t>Average LTO Units per Store</t>
  </si>
  <si>
    <t>LTO Mix %</t>
  </si>
  <si>
    <t>Mix %</t>
  </si>
  <si>
    <t>Units/Store</t>
  </si>
  <si>
    <t>Price Point</t>
  </si>
  <si>
    <t>Chart</t>
  </si>
  <si>
    <t>Slicers</t>
  </si>
  <si>
    <t>LTO</t>
  </si>
  <si>
    <t>Day of Week</t>
  </si>
  <si>
    <t>Q3 Penetration</t>
  </si>
  <si>
    <t>Q4 Penetration</t>
  </si>
  <si>
    <t>LTO Units</t>
  </si>
  <si>
    <t>Sum of LTO Units</t>
  </si>
  <si>
    <t>Sum of Total Units</t>
  </si>
  <si>
    <t>LTO 1</t>
  </si>
  <si>
    <t>LTO 2</t>
  </si>
  <si>
    <t>G2</t>
  </si>
  <si>
    <t>LTO Product Units</t>
  </si>
  <si>
    <t>LTO Units per Store</t>
  </si>
  <si>
    <t>Stores Count</t>
  </si>
  <si>
    <t>CBC</t>
  </si>
  <si>
    <t>Sum of Units per Store</t>
  </si>
  <si>
    <t>Sum of LTO Mix</t>
  </si>
  <si>
    <t>G77:K83</t>
  </si>
  <si>
    <t>Units per Store</t>
  </si>
  <si>
    <t>B77:E91</t>
  </si>
  <si>
    <t>PowerPoint</t>
  </si>
  <si>
    <t>https://www.github.com/Thehobbses/VBA-Analysis-Automation</t>
  </si>
  <si>
    <t>A</t>
  </si>
  <si>
    <t>C</t>
  </si>
  <si>
    <t>F</t>
  </si>
  <si>
    <t>G</t>
  </si>
  <si>
    <t>H</t>
  </si>
  <si>
    <t>I</t>
  </si>
  <si>
    <t>K</t>
  </si>
  <si>
    <t>L</t>
  </si>
  <si>
    <t>M</t>
  </si>
  <si>
    <t>N</t>
  </si>
  <si>
    <t>O</t>
  </si>
  <si>
    <t>S</t>
  </si>
  <si>
    <t>T</t>
  </si>
  <si>
    <t>U</t>
  </si>
  <si>
    <t>V</t>
  </si>
  <si>
    <t>W</t>
  </si>
  <si>
    <t>B</t>
  </si>
  <si>
    <t>D</t>
  </si>
  <si>
    <t>E</t>
  </si>
  <si>
    <t>J</t>
  </si>
  <si>
    <t>P</t>
  </si>
  <si>
    <t>Q</t>
  </si>
  <si>
    <t>R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</si>
  <si>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</si>
  <si>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</si>
  <si>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</si>
  <si>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</si>
  <si>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</si>
  <si>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</si>
  <si>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</si>
  <si>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</si>
  <si>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</si>
  <si>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</si>
  <si>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</si>
  <si>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</si>
  <si>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</si>
  <si>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</si>
  <si>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</si>
  <si>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</si>
  <si>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</si>
  <si>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</si>
  <si>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</si>
  <si>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</si>
  <si>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</si>
  <si>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</si>
  <si>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</si>
  <si>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</si>
  <si>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</si>
  <si>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</si>
  <si>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</si>
  <si>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</si>
  <si>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</si>
  <si>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</si>
  <si>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</si>
  <si>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</si>
  <si>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</si>
  <si>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</si>
  <si>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</si>
  <si>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</si>
  <si>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</si>
  <si>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RA</t>
  </si>
  <si>
    <t>RA:</t>
  </si>
  <si>
    <t>RA1</t>
  </si>
  <si>
    <t>RA2</t>
  </si>
  <si>
    <t>RA3</t>
  </si>
  <si>
    <t>RA4</t>
  </si>
  <si>
    <t>RA5</t>
  </si>
  <si>
    <t>RA6</t>
  </si>
  <si>
    <t>RA7</t>
  </si>
  <si>
    <t>RA8</t>
  </si>
  <si>
    <t>RA9</t>
  </si>
  <si>
    <t>RA10</t>
  </si>
  <si>
    <t>RC</t>
  </si>
  <si>
    <t>RC1</t>
  </si>
  <si>
    <t>RC2</t>
  </si>
  <si>
    <t>RC3</t>
  </si>
  <si>
    <t>RC4</t>
  </si>
  <si>
    <t>RC5</t>
  </si>
  <si>
    <t>RC6</t>
  </si>
  <si>
    <t>RC7</t>
  </si>
  <si>
    <t>RC8</t>
  </si>
  <si>
    <t>RC9</t>
  </si>
  <si>
    <t>RC10</t>
  </si>
  <si>
    <t>RB</t>
  </si>
  <si>
    <t>RB1</t>
  </si>
  <si>
    <t>RB2</t>
  </si>
  <si>
    <t>RB3</t>
  </si>
  <si>
    <t>RB4</t>
  </si>
  <si>
    <t>RB5</t>
  </si>
  <si>
    <t>RB6</t>
  </si>
  <si>
    <t>RB7</t>
  </si>
  <si>
    <t>RB8</t>
  </si>
  <si>
    <t>RB9</t>
  </si>
  <si>
    <t>RB10</t>
  </si>
  <si>
    <t>DA</t>
  </si>
  <si>
    <t>DB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</si>
  <si>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</si>
  <si>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</si>
  <si>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</si>
  <si>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</si>
  <si>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</si>
  <si>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</si>
  <si>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</si>
  <si>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</si>
  <si>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</si>
  <si>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</si>
  <si>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</si>
  <si>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</si>
  <si>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</si>
  <si>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</si>
  <si>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</si>
  <si>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</si>
  <si>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</si>
  <si>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</si>
  <si>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</si>
  <si>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</si>
  <si>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</si>
  <si>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</si>
  <si>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</si>
  <si>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</si>
  <si>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</si>
  <si>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</si>
  <si>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</si>
  <si>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</si>
  <si>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</si>
  <si>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</si>
  <si>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</si>
  <si>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</si>
  <si>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</si>
  <si>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</si>
  <si>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</si>
  <si>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</si>
  <si>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</si>
  <si>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</si>
  <si>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</si>
  <si>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</si>
  <si>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A6</t>
  </si>
  <si>
    <t>C2</t>
  </si>
  <si>
    <t>D7</t>
  </si>
  <si>
    <t>H6</t>
  </si>
  <si>
    <t>I1</t>
  </si>
  <si>
    <t>J3</t>
  </si>
  <si>
    <t>K2</t>
  </si>
  <si>
    <t>M7</t>
  </si>
  <si>
    <t>P6</t>
  </si>
  <si>
    <t>W3</t>
  </si>
  <si>
    <t>Z2</t>
  </si>
  <si>
    <t>CA5</t>
  </si>
  <si>
    <t>CL2</t>
  </si>
  <si>
    <t>CM8</t>
  </si>
  <si>
    <t>CO9</t>
  </si>
  <si>
    <t>CU3</t>
  </si>
  <si>
    <t>CV3</t>
  </si>
  <si>
    <t>E7</t>
  </si>
  <si>
    <t>F4</t>
  </si>
  <si>
    <t>I8</t>
  </si>
  <si>
    <t>J8</t>
  </si>
  <si>
    <t>O7</t>
  </si>
  <si>
    <t>U6</t>
  </si>
  <si>
    <t>Y7</t>
  </si>
  <si>
    <t>CD10</t>
  </si>
  <si>
    <t>CE8</t>
  </si>
  <si>
    <t>CK2</t>
  </si>
  <si>
    <t>CO5</t>
  </si>
  <si>
    <t>CQ5</t>
  </si>
  <si>
    <t>CS2</t>
  </si>
  <si>
    <t>CU9</t>
  </si>
  <si>
    <t>CX10</t>
  </si>
  <si>
    <t>N7</t>
  </si>
  <si>
    <t>U7</t>
  </si>
  <si>
    <t>Z4</t>
  </si>
  <si>
    <t>CG5</t>
  </si>
  <si>
    <t>CK1</t>
  </si>
  <si>
    <t>CU7</t>
  </si>
  <si>
    <t>B3</t>
  </si>
  <si>
    <t>E1</t>
  </si>
  <si>
    <t>J9</t>
  </si>
  <si>
    <t>M5</t>
  </si>
  <si>
    <t>R10</t>
  </si>
  <si>
    <t>Z1</t>
  </si>
  <si>
    <t>CA4</t>
  </si>
  <si>
    <t>CP7</t>
  </si>
  <si>
    <t>CT3</t>
  </si>
  <si>
    <t>CU2</t>
  </si>
  <si>
    <t>CW7</t>
  </si>
  <si>
    <t>E6</t>
  </si>
  <si>
    <t>J2</t>
  </si>
  <si>
    <t>N6</t>
  </si>
  <si>
    <t>S10</t>
  </si>
  <si>
    <t>X7</t>
  </si>
  <si>
    <t>Z5</t>
  </si>
  <si>
    <t>CJ7</t>
  </si>
  <si>
    <t>CQ4</t>
  </si>
  <si>
    <t>CS5</t>
  </si>
  <si>
    <t>CY9</t>
  </si>
  <si>
    <t>A8</t>
  </si>
  <si>
    <t>D4</t>
  </si>
  <si>
    <t>L9</t>
  </si>
  <si>
    <t>O6</t>
  </si>
  <si>
    <t>P9</t>
  </si>
  <si>
    <t>U2</t>
  </si>
  <si>
    <t>X5</t>
  </si>
  <si>
    <t>A7</t>
  </si>
  <si>
    <t>C1</t>
  </si>
  <si>
    <t>L6</t>
  </si>
  <si>
    <t>CD8</t>
  </si>
  <si>
    <t>CK5</t>
  </si>
  <si>
    <t>CN3</t>
  </si>
  <si>
    <t>H3</t>
  </si>
  <si>
    <t>V1</t>
  </si>
  <si>
    <t>CJ3</t>
  </si>
  <si>
    <t>CO6</t>
  </si>
  <si>
    <t>W8</t>
  </si>
  <si>
    <t>CH9</t>
  </si>
  <si>
    <t>CL1</t>
  </si>
  <si>
    <t>CV2</t>
  </si>
  <si>
    <t>C3</t>
  </si>
  <si>
    <t>F8</t>
  </si>
  <si>
    <t>CE1</t>
  </si>
  <si>
    <t>CG10</t>
  </si>
  <si>
    <t>CK3</t>
  </si>
  <si>
    <t>I2</t>
  </si>
  <si>
    <t>O4</t>
  </si>
  <si>
    <t>CQ9</t>
  </si>
  <si>
    <t>C4</t>
  </si>
  <si>
    <t>U3</t>
  </si>
  <si>
    <t>CU4</t>
  </si>
  <si>
    <t>R4</t>
  </si>
  <si>
    <t>CS10</t>
  </si>
  <si>
    <t>P10</t>
  </si>
  <si>
    <t>CR7</t>
  </si>
  <si>
    <t>CF5</t>
  </si>
  <si>
    <t>CJ8</t>
  </si>
  <si>
    <t>CN2</t>
  </si>
  <si>
    <t>J5</t>
  </si>
  <si>
    <t>E10</t>
  </si>
  <si>
    <t>CT6</t>
  </si>
  <si>
    <t>H4</t>
  </si>
  <si>
    <t>Y5</t>
  </si>
  <si>
    <t>RADIO</t>
  </si>
  <si>
    <t>Unpriced</t>
  </si>
  <si>
    <t/>
  </si>
  <si>
    <t>Limited Time Offer</t>
  </si>
  <si>
    <t>Data Redacted for Security</t>
  </si>
  <si>
    <t>C:\DistributableFolder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</si>
</sst>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&quot;$&quot;* #,##0_);_(&quot;$&quot;* \(#,##0\);_(&quot;$&quot;* &quot;-&quot;??_);_(@_)"/>
    <numFmt numFmtId="167" formatCode="&quot;$&quot;#,##0.00"/>
    <numFmt numFmtId="168" formatCode="&quot;$&quot;#,##0"/>
    <numFmt numFmtId="169" formatCode="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Arial"/>
      <family val="2"/>
    </font>
    <font>
      <sz val="10"/>
      <color theme="0"/>
      <name val="Arial"/>
      <family val="2"/>
    </font>
    <font>
      <b/>
      <sz val="7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 style="thick">
        <color auto="1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8" fillId="0" borderId="0"/>
  </cellStyleXfs>
  <cellXfs count="389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/>
    <xf numFmtId="9" fontId="0" fillId="0" borderId="0" xfId="3" applyFont="1"/>
    <xf numFmtId="165" fontId="0" fillId="0" borderId="0" xfId="3" applyNumberFormat="1" applyFont="1"/>
    <xf numFmtId="44" fontId="0" fillId="0" borderId="0" xfId="2" applyFont="1"/>
    <xf numFmtId="166" fontId="0" fillId="0" borderId="0" xfId="2" applyNumberFormat="1" applyFont="1"/>
    <xf numFmtId="0" fontId="0" fillId="0" borderId="0" xfId="0" applyAlignment="1">
      <alignment horizontal="center" vertical="center" wrapText="1"/>
    </xf>
    <xf numFmtId="0" fontId="0" fillId="0" borderId="10" xfId="0" applyBorder="1"/>
    <xf numFmtId="0" fontId="0" fillId="0" borderId="0" xfId="0" applyAlignment="1">
      <alignment vertical="center" wrapText="1"/>
    </xf>
    <xf numFmtId="0" fontId="0" fillId="0" borderId="0" xfId="0" pivotButton="1"/>
    <xf numFmtId="37" fontId="0" fillId="0" borderId="0" xfId="0" applyNumberFormat="1"/>
    <xf numFmtId="0" fontId="0" fillId="0" borderId="0" xfId="0" applyBorder="1"/>
    <xf numFmtId="165" fontId="0" fillId="0" borderId="0" xfId="3" applyNumberFormat="1" applyFont="1" applyAlignment="1">
      <alignment horizontal="center"/>
    </xf>
    <xf numFmtId="165" fontId="2" fillId="5" borderId="0" xfId="3" applyNumberFormat="1" applyFont="1" applyFill="1" applyBorder="1" applyAlignment="1">
      <alignment horizontal="center" vertical="center" wrapText="1"/>
    </xf>
    <xf numFmtId="0" fontId="2" fillId="2" borderId="15" xfId="0" applyFont="1" applyFill="1" applyBorder="1"/>
    <xf numFmtId="0" fontId="0" fillId="6" borderId="0" xfId="0" applyFill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164" fontId="0" fillId="0" borderId="0" xfId="0" applyNumberForma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2" fillId="4" borderId="14" xfId="0" pivotButton="1" applyFont="1" applyFill="1" applyBorder="1" applyAlignment="1">
      <alignment horizontal="center" vertical="center" wrapText="1"/>
    </xf>
    <xf numFmtId="0" fontId="2" fillId="4" borderId="7" xfId="0" pivotButton="1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3" applyNumberFormat="1" applyFont="1"/>
    <xf numFmtId="164" fontId="0" fillId="0" borderId="26" xfId="0" applyNumberFormat="1" applyBorder="1"/>
    <xf numFmtId="164" fontId="0" fillId="0" borderId="27" xfId="0" applyNumberFormat="1" applyBorder="1"/>
    <xf numFmtId="166" fontId="0" fillId="0" borderId="18" xfId="2" applyNumberFormat="1" applyFont="1" applyBorder="1"/>
    <xf numFmtId="0" fontId="0" fillId="3" borderId="0" xfId="0" applyFill="1"/>
    <xf numFmtId="0" fontId="0" fillId="0" borderId="2" xfId="0" applyBorder="1"/>
    <xf numFmtId="0" fontId="0" fillId="0" borderId="10" xfId="0" applyNumberFormat="1" applyBorder="1"/>
    <xf numFmtId="0" fontId="0" fillId="0" borderId="4" xfId="0" applyNumberFormat="1" applyBorder="1"/>
    <xf numFmtId="0" fontId="0" fillId="0" borderId="0" xfId="0" applyNumberFormat="1" applyBorder="1"/>
    <xf numFmtId="165" fontId="2" fillId="0" borderId="6" xfId="3" applyNumberFormat="1" applyFont="1" applyFill="1" applyBorder="1" applyAlignment="1">
      <alignment horizontal="center"/>
    </xf>
    <xf numFmtId="165" fontId="2" fillId="0" borderId="10" xfId="3" applyNumberFormat="1" applyFont="1" applyFill="1" applyBorder="1" applyAlignment="1">
      <alignment horizontal="center"/>
    </xf>
    <xf numFmtId="165" fontId="2" fillId="0" borderId="4" xfId="3" applyNumberFormat="1" applyFont="1" applyFill="1" applyBorder="1" applyAlignment="1">
      <alignment horizontal="center"/>
    </xf>
    <xf numFmtId="0" fontId="0" fillId="12" borderId="0" xfId="0" applyFill="1"/>
    <xf numFmtId="0" fontId="0" fillId="12" borderId="0" xfId="0" applyFill="1" applyAlignment="1">
      <alignment vertical="top"/>
    </xf>
    <xf numFmtId="0" fontId="0" fillId="12" borderId="0" xfId="0" applyFill="1" applyAlignment="1">
      <alignment vertical="top" wrapText="1"/>
    </xf>
    <xf numFmtId="0" fontId="5" fillId="12" borderId="0" xfId="4" applyFill="1" applyAlignment="1">
      <alignment vertical="top" wrapText="1"/>
    </xf>
    <xf numFmtId="0" fontId="0" fillId="12" borderId="0" xfId="0" applyFill="1" applyBorder="1"/>
    <xf numFmtId="164" fontId="0" fillId="0" borderId="28" xfId="0" applyNumberFormat="1" applyBorder="1"/>
    <xf numFmtId="164" fontId="0" fillId="0" borderId="29" xfId="0" applyNumberFormat="1" applyBorder="1"/>
    <xf numFmtId="0" fontId="0" fillId="0" borderId="13" xfId="0" applyNumberFormat="1" applyBorder="1"/>
    <xf numFmtId="0" fontId="2" fillId="4" borderId="14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6" xfId="0" pivotButton="1" applyFont="1" applyFill="1" applyBorder="1" applyAlignment="1">
      <alignment horizontal="center" vertical="center"/>
    </xf>
    <xf numFmtId="0" fontId="2" fillId="4" borderId="22" xfId="0" pivotButton="1" applyFont="1" applyFill="1" applyBorder="1" applyAlignment="1">
      <alignment horizontal="center" vertical="center"/>
    </xf>
    <xf numFmtId="0" fontId="2" fillId="0" borderId="15" xfId="0" applyFont="1" applyBorder="1"/>
    <xf numFmtId="0" fontId="2" fillId="0" borderId="0" xfId="0" applyFont="1"/>
    <xf numFmtId="0" fontId="0" fillId="0" borderId="0" xfId="0" applyAlignment="1">
      <alignment horizontal="left"/>
    </xf>
    <xf numFmtId="0" fontId="6" fillId="0" borderId="0" xfId="0" applyFont="1" applyAlignment="1">
      <alignment vertical="center"/>
    </xf>
    <xf numFmtId="165" fontId="0" fillId="0" borderId="0" xfId="0" applyNumberFormat="1" applyAlignment="1">
      <alignment horizontal="center"/>
    </xf>
    <xf numFmtId="44" fontId="0" fillId="0" borderId="0" xfId="2" applyFont="1" applyAlignment="1">
      <alignment horizontal="center"/>
    </xf>
    <xf numFmtId="0" fontId="2" fillId="0" borderId="0" xfId="0" applyFont="1" applyAlignment="1">
      <alignment horizontal="right"/>
    </xf>
    <xf numFmtId="165" fontId="2" fillId="0" borderId="0" xfId="0" applyNumberFormat="1" applyFont="1" applyAlignment="1">
      <alignment horizontal="left"/>
    </xf>
    <xf numFmtId="0" fontId="2" fillId="0" borderId="17" xfId="0" applyFont="1" applyBorder="1" applyAlignment="1">
      <alignment horizontal="right"/>
    </xf>
    <xf numFmtId="165" fontId="2" fillId="0" borderId="17" xfId="0" applyNumberFormat="1" applyFont="1" applyBorder="1" applyAlignment="1">
      <alignment horizontal="left"/>
    </xf>
    <xf numFmtId="0" fontId="2" fillId="2" borderId="30" xfId="0" applyFont="1" applyFill="1" applyBorder="1" applyAlignment="1">
      <alignment horizontal="center"/>
    </xf>
    <xf numFmtId="0" fontId="9" fillId="14" borderId="0" xfId="0" applyFont="1" applyFill="1"/>
    <xf numFmtId="0" fontId="0" fillId="0" borderId="0" xfId="0"/>
    <xf numFmtId="0" fontId="0" fillId="0" borderId="0" xfId="0" pivotButton="1"/>
    <xf numFmtId="0" fontId="0" fillId="12" borderId="0" xfId="0" applyFill="1"/>
    <xf numFmtId="0" fontId="0" fillId="12" borderId="0" xfId="0" applyFill="1" applyBorder="1"/>
    <xf numFmtId="165" fontId="0" fillId="0" borderId="0" xfId="0" applyNumberFormat="1"/>
    <xf numFmtId="0" fontId="0" fillId="3" borderId="7" xfId="0" applyFill="1" applyBorder="1"/>
    <xf numFmtId="0" fontId="0" fillId="3" borderId="12" xfId="0" applyFill="1" applyBorder="1"/>
    <xf numFmtId="0" fontId="7" fillId="12" borderId="0" xfId="0" applyFont="1" applyFill="1" applyAlignment="1">
      <alignment vertical="center"/>
    </xf>
    <xf numFmtId="0" fontId="10" fillId="12" borderId="0" xfId="0" applyFont="1" applyFill="1" applyBorder="1" applyAlignment="1">
      <alignment vertical="center"/>
    </xf>
    <xf numFmtId="0" fontId="0" fillId="3" borderId="6" xfId="0" applyFill="1" applyBorder="1"/>
    <xf numFmtId="0" fontId="0" fillId="3" borderId="10" xfId="0" applyFill="1" applyBorder="1"/>
    <xf numFmtId="0" fontId="3" fillId="10" borderId="1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37" fontId="4" fillId="12" borderId="9" xfId="1" applyNumberFormat="1" applyFont="1" applyFill="1" applyBorder="1" applyAlignment="1">
      <alignment horizontal="center" vertical="center"/>
    </xf>
    <xf numFmtId="165" fontId="4" fillId="12" borderId="9" xfId="3" applyNumberFormat="1" applyFont="1" applyFill="1" applyBorder="1" applyAlignment="1">
      <alignment horizontal="center" vertical="center"/>
    </xf>
    <xf numFmtId="37" fontId="4" fillId="12" borderId="10" xfId="1" applyNumberFormat="1" applyFont="1" applyFill="1" applyBorder="1" applyAlignment="1">
      <alignment horizontal="center" vertical="center"/>
    </xf>
    <xf numFmtId="165" fontId="4" fillId="12" borderId="8" xfId="3" applyNumberFormat="1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37" fontId="3" fillId="11" borderId="16" xfId="3" applyNumberFormat="1" applyFont="1" applyFill="1" applyBorder="1" applyAlignment="1">
      <alignment horizontal="center" vertical="center"/>
    </xf>
    <xf numFmtId="165" fontId="3" fillId="11" borderId="16" xfId="3" applyNumberFormat="1" applyFont="1" applyFill="1" applyBorder="1" applyAlignment="1">
      <alignment horizontal="center" vertical="center"/>
    </xf>
    <xf numFmtId="3" fontId="3" fillId="11" borderId="16" xfId="1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7" fontId="3" fillId="0" borderId="8" xfId="0" applyNumberFormat="1" applyFont="1" applyBorder="1" applyAlignment="1">
      <alignment horizontal="center" vertical="center"/>
    </xf>
    <xf numFmtId="167" fontId="3" fillId="0" borderId="9" xfId="0" applyNumberFormat="1" applyFont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167" fontId="3" fillId="0" borderId="11" xfId="0" applyNumberFormat="1" applyFont="1" applyBorder="1" applyAlignment="1">
      <alignment horizontal="center" vertical="center"/>
    </xf>
    <xf numFmtId="0" fontId="3" fillId="10" borderId="24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9" xfId="0" applyFont="1" applyFill="1" applyBorder="1" applyAlignment="1">
      <alignment horizontal="center" vertical="center"/>
    </xf>
    <xf numFmtId="165" fontId="3" fillId="0" borderId="8" xfId="3" applyNumberFormat="1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165" fontId="3" fillId="0" borderId="9" xfId="3" applyNumberFormat="1" applyFont="1" applyFill="1" applyBorder="1" applyAlignment="1">
      <alignment horizontal="center" vertical="center"/>
    </xf>
    <xf numFmtId="165" fontId="3" fillId="0" borderId="12" xfId="3" applyNumberFormat="1" applyFont="1" applyFill="1" applyBorder="1" applyAlignment="1">
      <alignment horizontal="center" vertical="center"/>
    </xf>
    <xf numFmtId="165" fontId="3" fillId="0" borderId="11" xfId="3" applyNumberFormat="1" applyFont="1" applyFill="1" applyBorder="1" applyAlignment="1">
      <alignment horizontal="center" vertical="center"/>
    </xf>
    <xf numFmtId="0" fontId="3" fillId="12" borderId="4" xfId="0" applyFont="1" applyFill="1" applyBorder="1" applyAlignment="1">
      <alignment horizontal="center" vertical="center"/>
    </xf>
    <xf numFmtId="165" fontId="3" fillId="0" borderId="5" xfId="3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165" fontId="3" fillId="7" borderId="16" xfId="3" applyNumberFormat="1" applyFont="1" applyFill="1" applyBorder="1" applyAlignment="1">
      <alignment horizontal="center" vertical="center"/>
    </xf>
    <xf numFmtId="0" fontId="3" fillId="12" borderId="16" xfId="1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165" fontId="3" fillId="0" borderId="16" xfId="3" applyNumberFormat="1" applyFont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165" fontId="4" fillId="12" borderId="14" xfId="0" applyNumberFormat="1" applyFont="1" applyFill="1" applyBorder="1" applyAlignment="1">
      <alignment horizontal="center" vertical="center"/>
    </xf>
    <xf numFmtId="0" fontId="4" fillId="12" borderId="14" xfId="1" applyNumberFormat="1" applyFont="1" applyFill="1" applyBorder="1" applyAlignment="1">
      <alignment horizontal="center" vertical="center"/>
    </xf>
    <xf numFmtId="168" fontId="4" fillId="12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12" borderId="10" xfId="0" applyFont="1" applyFill="1" applyBorder="1" applyAlignment="1">
      <alignment horizontal="center" vertical="center"/>
    </xf>
    <xf numFmtId="165" fontId="4" fillId="12" borderId="0" xfId="0" applyNumberFormat="1" applyFont="1" applyFill="1" applyBorder="1" applyAlignment="1">
      <alignment horizontal="center" vertical="center"/>
    </xf>
    <xf numFmtId="0" fontId="4" fillId="12" borderId="0" xfId="1" applyNumberFormat="1" applyFont="1" applyFill="1" applyBorder="1" applyAlignment="1">
      <alignment horizontal="center" vertical="center"/>
    </xf>
    <xf numFmtId="168" fontId="4" fillId="12" borderId="12" xfId="0" applyNumberFormat="1" applyFont="1" applyFill="1" applyBorder="1" applyAlignment="1">
      <alignment horizontal="center" vertical="center"/>
    </xf>
    <xf numFmtId="165" fontId="3" fillId="7" borderId="16" xfId="0" applyNumberFormat="1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 vertical="center" wrapText="1"/>
    </xf>
    <xf numFmtId="165" fontId="3" fillId="7" borderId="8" xfId="3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165" fontId="4" fillId="12" borderId="8" xfId="0" applyNumberFormat="1" applyFont="1" applyFill="1" applyBorder="1" applyAlignment="1">
      <alignment horizontal="center" vertical="center"/>
    </xf>
    <xf numFmtId="165" fontId="4" fillId="12" borderId="9" xfId="0" applyNumberFormat="1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0" fontId="4" fillId="12" borderId="13" xfId="0" applyFont="1" applyFill="1" applyBorder="1" applyAlignment="1">
      <alignment horizontal="center" vertical="center"/>
    </xf>
    <xf numFmtId="165" fontId="4" fillId="12" borderId="11" xfId="0" applyNumberFormat="1" applyFont="1" applyFill="1" applyBorder="1" applyAlignment="1">
      <alignment horizontal="center" vertical="center"/>
    </xf>
    <xf numFmtId="165" fontId="3" fillId="9" borderId="16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165" fontId="3" fillId="9" borderId="8" xfId="3" applyNumberFormat="1" applyFont="1" applyFill="1" applyBorder="1" applyAlignment="1">
      <alignment horizontal="center" vertical="center"/>
    </xf>
    <xf numFmtId="165" fontId="4" fillId="12" borderId="13" xfId="0" applyNumberFormat="1" applyFont="1" applyFill="1" applyBorder="1" applyAlignment="1">
      <alignment horizontal="center" vertical="center"/>
    </xf>
    <xf numFmtId="0" fontId="4" fillId="12" borderId="13" xfId="1" applyNumberFormat="1" applyFont="1" applyFill="1" applyBorder="1" applyAlignment="1">
      <alignment horizontal="center" vertical="center"/>
    </xf>
    <xf numFmtId="168" fontId="4" fillId="12" borderId="5" xfId="0" applyNumberFormat="1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9" borderId="25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165" fontId="3" fillId="12" borderId="8" xfId="3" applyNumberFormat="1" applyFont="1" applyFill="1" applyBorder="1" applyAlignment="1">
      <alignment horizontal="center" vertical="center"/>
    </xf>
    <xf numFmtId="165" fontId="4" fillId="12" borderId="6" xfId="3" applyNumberFormat="1" applyFont="1" applyFill="1" applyBorder="1" applyAlignment="1">
      <alignment horizontal="center" vertical="center"/>
    </xf>
    <xf numFmtId="165" fontId="3" fillId="12" borderId="9" xfId="3" applyNumberFormat="1" applyFont="1" applyFill="1" applyBorder="1" applyAlignment="1">
      <alignment horizontal="center" vertical="center"/>
    </xf>
    <xf numFmtId="0" fontId="4" fillId="12" borderId="23" xfId="0" applyFont="1" applyFill="1" applyBorder="1" applyAlignment="1">
      <alignment horizontal="center" vertical="center"/>
    </xf>
    <xf numFmtId="165" fontId="4" fillId="12" borderId="12" xfId="3" applyNumberFormat="1" applyFont="1" applyFill="1" applyBorder="1" applyAlignment="1">
      <alignment horizontal="center" vertical="center"/>
    </xf>
    <xf numFmtId="165" fontId="4" fillId="12" borderId="10" xfId="3" applyNumberFormat="1" applyFont="1" applyFill="1" applyBorder="1" applyAlignment="1">
      <alignment horizontal="center" vertical="center"/>
    </xf>
    <xf numFmtId="165" fontId="3" fillId="12" borderId="11" xfId="3" applyNumberFormat="1" applyFont="1" applyFill="1" applyBorder="1" applyAlignment="1">
      <alignment horizontal="center" vertical="center"/>
    </xf>
    <xf numFmtId="165" fontId="4" fillId="12" borderId="4" xfId="3" applyNumberFormat="1" applyFont="1" applyFill="1" applyBorder="1" applyAlignment="1">
      <alignment horizontal="center" vertical="center"/>
    </xf>
    <xf numFmtId="165" fontId="4" fillId="12" borderId="11" xfId="3" applyNumberFormat="1" applyFont="1" applyFill="1" applyBorder="1" applyAlignment="1">
      <alignment horizontal="center" vertical="center"/>
    </xf>
    <xf numFmtId="0" fontId="4" fillId="12" borderId="24" xfId="0" applyFont="1" applyFill="1" applyBorder="1" applyAlignment="1">
      <alignment horizontal="center" vertical="center"/>
    </xf>
    <xf numFmtId="165" fontId="4" fillId="12" borderId="5" xfId="3" applyNumberFormat="1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5" fontId="4" fillId="0" borderId="12" xfId="3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5" fontId="4" fillId="0" borderId="5" xfId="3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0" borderId="16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12" borderId="0" xfId="0" applyFill="1" applyBorder="1" applyAlignment="1">
      <alignment vertical="center" wrapText="1"/>
    </xf>
    <xf numFmtId="0" fontId="12" fillId="13" borderId="14" xfId="0" applyFont="1" applyFill="1" applyBorder="1" applyAlignment="1">
      <alignment horizontal="center" vertical="center" wrapText="1"/>
    </xf>
    <xf numFmtId="0" fontId="12" fillId="13" borderId="6" xfId="0" applyFont="1" applyFill="1" applyBorder="1" applyAlignment="1">
      <alignment horizontal="center" vertical="center" wrapText="1"/>
    </xf>
    <xf numFmtId="0" fontId="12" fillId="13" borderId="7" xfId="0" applyFont="1" applyFill="1" applyBorder="1" applyAlignment="1">
      <alignment horizontal="center" vertical="center" wrapText="1"/>
    </xf>
    <xf numFmtId="0" fontId="13" fillId="12" borderId="0" xfId="0" applyFont="1" applyFill="1" applyAlignment="1">
      <alignment horizontal="center" vertical="center"/>
    </xf>
    <xf numFmtId="0" fontId="2" fillId="12" borderId="16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Continuous" vertical="center"/>
    </xf>
    <xf numFmtId="0" fontId="3" fillId="10" borderId="2" xfId="0" applyFont="1" applyFill="1" applyBorder="1" applyAlignment="1">
      <alignment horizontal="centerContinuous" vertical="center"/>
    </xf>
    <xf numFmtId="0" fontId="3" fillId="10" borderId="3" xfId="0" applyFont="1" applyFill="1" applyBorder="1" applyAlignment="1">
      <alignment horizontal="centerContinuous" vertical="center"/>
    </xf>
    <xf numFmtId="0" fontId="3" fillId="8" borderId="1" xfId="0" applyFont="1" applyFill="1" applyBorder="1" applyAlignment="1">
      <alignment horizontal="centerContinuous" vertical="center"/>
    </xf>
    <xf numFmtId="0" fontId="3" fillId="8" borderId="2" xfId="0" applyFont="1" applyFill="1" applyBorder="1" applyAlignment="1">
      <alignment horizontal="centerContinuous" vertical="center"/>
    </xf>
    <xf numFmtId="0" fontId="3" fillId="8" borderId="3" xfId="0" applyFont="1" applyFill="1" applyBorder="1" applyAlignment="1">
      <alignment horizontal="centerContinuous" vertical="center"/>
    </xf>
    <xf numFmtId="0" fontId="3" fillId="13" borderId="1" xfId="0" applyFont="1" applyFill="1" applyBorder="1" applyAlignment="1">
      <alignment horizontal="centerContinuous" vertical="center"/>
    </xf>
    <xf numFmtId="0" fontId="3" fillId="13" borderId="2" xfId="0" applyFont="1" applyFill="1" applyBorder="1" applyAlignment="1">
      <alignment horizontal="centerContinuous" vertical="center"/>
    </xf>
    <xf numFmtId="0" fontId="3" fillId="13" borderId="3" xfId="0" applyFont="1" applyFill="1" applyBorder="1" applyAlignment="1">
      <alignment horizontal="centerContinuous" vertical="center"/>
    </xf>
    <xf numFmtId="0" fontId="3" fillId="9" borderId="1" xfId="0" applyFont="1" applyFill="1" applyBorder="1" applyAlignment="1">
      <alignment horizontal="centerContinuous" vertical="center" wrapText="1"/>
    </xf>
    <xf numFmtId="0" fontId="3" fillId="9" borderId="2" xfId="0" applyFont="1" applyFill="1" applyBorder="1" applyAlignment="1">
      <alignment horizontal="centerContinuous" vertical="center" wrapText="1"/>
    </xf>
    <xf numFmtId="0" fontId="3" fillId="9" borderId="3" xfId="0" applyFont="1" applyFill="1" applyBorder="1" applyAlignment="1">
      <alignment horizontal="centerContinuous" vertical="center" wrapText="1"/>
    </xf>
    <xf numFmtId="0" fontId="3" fillId="7" borderId="1" xfId="0" applyFont="1" applyFill="1" applyBorder="1" applyAlignment="1">
      <alignment horizontal="centerContinuous" vertical="center"/>
    </xf>
    <xf numFmtId="0" fontId="3" fillId="7" borderId="2" xfId="0" applyFont="1" applyFill="1" applyBorder="1" applyAlignment="1">
      <alignment horizontal="centerContinuous" vertical="center"/>
    </xf>
    <xf numFmtId="0" fontId="3" fillId="7" borderId="3" xfId="0" applyFont="1" applyFill="1" applyBorder="1" applyAlignment="1">
      <alignment horizontal="centerContinuous" vertic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17" fillId="15" borderId="16" xfId="0" applyFont="1" applyFill="1" applyBorder="1" applyAlignment="1">
      <alignment horizontal="center" vertical="center"/>
    </xf>
    <xf numFmtId="0" fontId="17" fillId="16" borderId="16" xfId="0" applyFont="1" applyFill="1" applyBorder="1" applyAlignment="1">
      <alignment horizontal="center" vertical="center"/>
    </xf>
    <xf numFmtId="0" fontId="18" fillId="0" borderId="0" xfId="5"/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8" fillId="0" borderId="0" xfId="5" applyAlignment="1">
      <alignment horizontal="left"/>
    </xf>
    <xf numFmtId="1" fontId="0" fillId="0" borderId="1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7" fillId="17" borderId="16" xfId="0" applyFont="1" applyFill="1" applyBorder="1" applyAlignment="1">
      <alignment horizontal="center"/>
    </xf>
    <xf numFmtId="37" fontId="0" fillId="0" borderId="14" xfId="0" applyNumberFormat="1" applyBorder="1" applyAlignment="1">
      <alignment horizontal="center"/>
    </xf>
    <xf numFmtId="37" fontId="0" fillId="0" borderId="2" xfId="0" applyNumberFormat="1" applyBorder="1" applyAlignment="1">
      <alignment horizontal="center"/>
    </xf>
    <xf numFmtId="0" fontId="0" fillId="0" borderId="3" xfId="0" applyBorder="1"/>
    <xf numFmtId="165" fontId="0" fillId="12" borderId="12" xfId="3" applyNumberFormat="1" applyFont="1" applyFill="1" applyBorder="1" applyAlignment="1">
      <alignment horizontal="center" vertical="center"/>
    </xf>
    <xf numFmtId="1" fontId="17" fillId="5" borderId="2" xfId="0" applyNumberFormat="1" applyFont="1" applyFill="1" applyBorder="1" applyAlignment="1">
      <alignment horizontal="center" vertical="center"/>
    </xf>
    <xf numFmtId="0" fontId="19" fillId="10" borderId="1" xfId="0" pivotButton="1" applyFont="1" applyFill="1" applyBorder="1" applyAlignment="1">
      <alignment horizontal="center"/>
    </xf>
    <xf numFmtId="0" fontId="0" fillId="12" borderId="6" xfId="0" applyFill="1" applyBorder="1"/>
    <xf numFmtId="0" fontId="0" fillId="12" borderId="14" xfId="0" applyFill="1" applyBorder="1"/>
    <xf numFmtId="0" fontId="0" fillId="12" borderId="7" xfId="0" applyFill="1" applyBorder="1"/>
    <xf numFmtId="0" fontId="0" fillId="12" borderId="10" xfId="0" applyFill="1" applyBorder="1"/>
    <xf numFmtId="0" fontId="0" fillId="12" borderId="12" xfId="0" applyFill="1" applyBorder="1"/>
    <xf numFmtId="0" fontId="0" fillId="12" borderId="4" xfId="0" applyFill="1" applyBorder="1"/>
    <xf numFmtId="0" fontId="0" fillId="12" borderId="13" xfId="0" applyFill="1" applyBorder="1"/>
    <xf numFmtId="0" fontId="0" fillId="12" borderId="5" xfId="0" applyFill="1" applyBorder="1"/>
    <xf numFmtId="1" fontId="0" fillId="0" borderId="0" xfId="0" applyNumberFormat="1"/>
    <xf numFmtId="165" fontId="3" fillId="11" borderId="11" xfId="3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1" fontId="0" fillId="12" borderId="0" xfId="0" applyNumberFormat="1" applyFill="1" applyBorder="1" applyAlignment="1">
      <alignment horizontal="center" vertical="center"/>
    </xf>
    <xf numFmtId="0" fontId="16" fillId="18" borderId="16" xfId="0" applyFont="1" applyFill="1" applyBorder="1" applyAlignment="1">
      <alignment horizontal="center"/>
    </xf>
    <xf numFmtId="0" fontId="17" fillId="15" borderId="3" xfId="0" pivotButton="1" applyFont="1" applyFill="1" applyBorder="1" applyAlignment="1">
      <alignment horizontal="center"/>
    </xf>
    <xf numFmtId="0" fontId="17" fillId="2" borderId="6" xfId="0" applyFont="1" applyFill="1" applyBorder="1" applyAlignment="1">
      <alignment horizontal="center"/>
    </xf>
    <xf numFmtId="0" fontId="17" fillId="2" borderId="14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0" fillId="0" borderId="0" xfId="0" pivotButton="1" applyBorder="1" applyAlignment="1">
      <alignment horizontal="center"/>
    </xf>
    <xf numFmtId="0" fontId="18" fillId="0" borderId="0" xfId="5" pivotButton="1"/>
    <xf numFmtId="0" fontId="3" fillId="10" borderId="2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vertical="center"/>
    </xf>
    <xf numFmtId="165" fontId="2" fillId="0" borderId="8" xfId="3" applyNumberFormat="1" applyFont="1" applyFill="1" applyBorder="1" applyAlignment="1">
      <alignment horizontal="center"/>
    </xf>
    <xf numFmtId="165" fontId="2" fillId="0" borderId="9" xfId="3" applyNumberFormat="1" applyFont="1" applyFill="1" applyBorder="1" applyAlignment="1">
      <alignment horizontal="center"/>
    </xf>
    <xf numFmtId="165" fontId="2" fillId="0" borderId="11" xfId="3" applyNumberFormat="1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165" fontId="3" fillId="0" borderId="7" xfId="3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37" fontId="0" fillId="0" borderId="1" xfId="0" applyNumberFormat="1" applyBorder="1" applyAlignment="1">
      <alignment horizontal="center"/>
    </xf>
    <xf numFmtId="165" fontId="0" fillId="12" borderId="0" xfId="3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37" fontId="0" fillId="0" borderId="6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37" fontId="0" fillId="12" borderId="4" xfId="0" applyNumberFormat="1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2" fillId="5" borderId="0" xfId="0" applyFont="1" applyFill="1"/>
    <xf numFmtId="0" fontId="2" fillId="5" borderId="0" xfId="0" applyFont="1" applyFill="1" applyAlignment="1">
      <alignment horizontal="center" vertical="center"/>
    </xf>
    <xf numFmtId="0" fontId="2" fillId="12" borderId="0" xfId="0" applyFont="1" applyFill="1"/>
    <xf numFmtId="0" fontId="4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0" fillId="12" borderId="42" xfId="1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1" xfId="0" applyFont="1" applyBorder="1"/>
    <xf numFmtId="165" fontId="0" fillId="0" borderId="7" xfId="0" applyNumberFormat="1" applyBorder="1" applyAlignment="1">
      <alignment horizontal="center"/>
    </xf>
    <xf numFmtId="0" fontId="0" fillId="12" borderId="0" xfId="0" applyFont="1" applyFill="1"/>
    <xf numFmtId="0" fontId="0" fillId="0" borderId="0" xfId="0" applyFont="1"/>
    <xf numFmtId="0" fontId="0" fillId="12" borderId="43" xfId="0" applyFont="1" applyFill="1" applyBorder="1" applyAlignment="1">
      <alignment horizontal="centerContinuous"/>
    </xf>
    <xf numFmtId="0" fontId="0" fillId="12" borderId="42" xfId="0" applyFont="1" applyFill="1" applyBorder="1" applyAlignment="1">
      <alignment horizontal="centerContinuous"/>
    </xf>
    <xf numFmtId="37" fontId="0" fillId="12" borderId="0" xfId="0" applyNumberFormat="1" applyFont="1" applyFill="1" applyBorder="1" applyAlignment="1">
      <alignment horizontal="center"/>
    </xf>
    <xf numFmtId="1" fontId="0" fillId="12" borderId="42" xfId="0" applyNumberFormat="1" applyFont="1" applyFill="1" applyBorder="1" applyAlignment="1">
      <alignment horizontal="centerContinuous"/>
    </xf>
    <xf numFmtId="0" fontId="22" fillId="10" borderId="1" xfId="0" applyFont="1" applyFill="1" applyBorder="1" applyAlignment="1">
      <alignment horizontal="center"/>
    </xf>
    <xf numFmtId="0" fontId="22" fillId="10" borderId="2" xfId="0" applyFont="1" applyFill="1" applyBorder="1" applyAlignment="1">
      <alignment horizontal="center"/>
    </xf>
    <xf numFmtId="0" fontId="22" fillId="10" borderId="3" xfId="0" applyFont="1" applyFill="1" applyBorder="1" applyAlignment="1">
      <alignment horizontal="center"/>
    </xf>
    <xf numFmtId="0" fontId="22" fillId="12" borderId="10" xfId="0" applyFont="1" applyFill="1" applyBorder="1" applyAlignment="1">
      <alignment horizontal="center"/>
    </xf>
    <xf numFmtId="0" fontId="0" fillId="0" borderId="0" xfId="0" applyFont="1" applyFill="1"/>
    <xf numFmtId="0" fontId="0" fillId="12" borderId="1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Continuous"/>
    </xf>
    <xf numFmtId="0" fontId="2" fillId="10" borderId="3" xfId="0" applyFont="1" applyFill="1" applyBorder="1" applyAlignment="1">
      <alignment horizontal="centerContinuous"/>
    </xf>
    <xf numFmtId="0" fontId="22" fillId="13" borderId="41" xfId="0" applyFont="1" applyFill="1" applyBorder="1" applyAlignment="1">
      <alignment horizontal="center"/>
    </xf>
    <xf numFmtId="0" fontId="22" fillId="13" borderId="10" xfId="0" applyFont="1" applyFill="1" applyBorder="1" applyAlignment="1">
      <alignment horizontal="center"/>
    </xf>
    <xf numFmtId="0" fontId="22" fillId="13" borderId="42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6" fillId="0" borderId="0" xfId="2" applyFont="1" applyAlignment="1">
      <alignment horizontal="center" vertical="center"/>
    </xf>
    <xf numFmtId="44" fontId="6" fillId="0" borderId="0" xfId="2" applyFont="1" applyAlignment="1">
      <alignment vertical="center"/>
    </xf>
    <xf numFmtId="0" fontId="21" fillId="0" borderId="0" xfId="0" applyFont="1" applyAlignment="1">
      <alignment vertical="center"/>
    </xf>
    <xf numFmtId="0" fontId="2" fillId="10" borderId="16" xfId="0" pivotButton="1" applyFont="1" applyFill="1" applyBorder="1" applyAlignment="1">
      <alignment horizontal="center"/>
    </xf>
    <xf numFmtId="0" fontId="19" fillId="10" borderId="16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9" fontId="17" fillId="5" borderId="2" xfId="3" applyFont="1" applyFill="1" applyBorder="1" applyAlignment="1">
      <alignment horizontal="center" vertical="center"/>
    </xf>
    <xf numFmtId="9" fontId="0" fillId="12" borderId="4" xfId="3" applyFont="1" applyFill="1" applyBorder="1" applyAlignment="1">
      <alignment horizontal="center"/>
    </xf>
    <xf numFmtId="37" fontId="0" fillId="0" borderId="0" xfId="0" applyNumberFormat="1" applyBorder="1"/>
    <xf numFmtId="9" fontId="0" fillId="12" borderId="10" xfId="3" applyFont="1" applyFill="1" applyBorder="1" applyAlignment="1">
      <alignment horizontal="center"/>
    </xf>
    <xf numFmtId="0" fontId="25" fillId="10" borderId="1" xfId="0" applyFont="1" applyFill="1" applyBorder="1" applyAlignment="1">
      <alignment horizontal="center"/>
    </xf>
    <xf numFmtId="0" fontId="25" fillId="10" borderId="3" xfId="0" applyFont="1" applyFill="1" applyBorder="1" applyAlignment="1">
      <alignment horizontal="center"/>
    </xf>
    <xf numFmtId="0" fontId="25" fillId="10" borderId="2" xfId="0" applyFont="1" applyFill="1" applyBorder="1" applyAlignment="1">
      <alignment horizontal="center"/>
    </xf>
    <xf numFmtId="0" fontId="25" fillId="10" borderId="16" xfId="0" applyFont="1" applyFill="1" applyBorder="1" applyAlignment="1">
      <alignment horizontal="center"/>
    </xf>
    <xf numFmtId="0" fontId="24" fillId="0" borderId="0" xfId="0" applyFont="1" applyBorder="1" applyAlignment="1">
      <alignment horizontal="left"/>
    </xf>
    <xf numFmtId="37" fontId="24" fillId="0" borderId="0" xfId="0" applyNumberFormat="1" applyFont="1" applyBorder="1" applyAlignment="1">
      <alignment horizontal="center"/>
    </xf>
    <xf numFmtId="1" fontId="24" fillId="0" borderId="0" xfId="0" applyNumberFormat="1" applyFont="1" applyBorder="1" applyAlignment="1">
      <alignment horizontal="center"/>
    </xf>
    <xf numFmtId="165" fontId="24" fillId="0" borderId="0" xfId="0" applyNumberFormat="1" applyFont="1" applyBorder="1" applyAlignment="1">
      <alignment horizontal="center"/>
    </xf>
    <xf numFmtId="0" fontId="24" fillId="12" borderId="0" xfId="0" applyFont="1" applyFill="1" applyBorder="1" applyAlignment="1">
      <alignment horizontal="left" indent="1"/>
    </xf>
    <xf numFmtId="9" fontId="0" fillId="12" borderId="42" xfId="3" applyFont="1" applyFill="1" applyBorder="1" applyAlignment="1">
      <alignment horizontal="centerContinuous"/>
    </xf>
    <xf numFmtId="0" fontId="2" fillId="11" borderId="37" xfId="0" applyFont="1" applyFill="1" applyBorder="1" applyAlignment="1">
      <alignment horizontal="center"/>
    </xf>
    <xf numFmtId="0" fontId="2" fillId="11" borderId="38" xfId="0" applyFont="1" applyFill="1" applyBorder="1" applyAlignment="1">
      <alignment horizontal="center"/>
    </xf>
    <xf numFmtId="0" fontId="14" fillId="12" borderId="38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center"/>
    </xf>
    <xf numFmtId="0" fontId="14" fillId="12" borderId="34" xfId="0" applyFont="1" applyFill="1" applyBorder="1" applyAlignment="1">
      <alignment horizontal="center"/>
    </xf>
    <xf numFmtId="0" fontId="2" fillId="11" borderId="35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0" fontId="14" fillId="12" borderId="31" xfId="0" applyFont="1" applyFill="1" applyBorder="1" applyAlignment="1">
      <alignment horizontal="center"/>
    </xf>
    <xf numFmtId="0" fontId="14" fillId="12" borderId="36" xfId="0" applyFont="1" applyFill="1" applyBorder="1" applyAlignment="1">
      <alignment horizontal="center"/>
    </xf>
    <xf numFmtId="0" fontId="7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top" wrapText="1"/>
    </xf>
    <xf numFmtId="0" fontId="12" fillId="7" borderId="3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4" fillId="12" borderId="33" xfId="0" applyFont="1" applyFill="1" applyBorder="1" applyAlignment="1">
      <alignment horizontal="center"/>
    </xf>
    <xf numFmtId="0" fontId="4" fillId="12" borderId="34" xfId="0" applyFont="1" applyFill="1" applyBorder="1" applyAlignment="1">
      <alignment horizontal="center"/>
    </xf>
    <xf numFmtId="0" fontId="11" fillId="7" borderId="6" xfId="0" applyFont="1" applyFill="1" applyBorder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4" fillId="12" borderId="31" xfId="0" applyFont="1" applyFill="1" applyBorder="1" applyAlignment="1">
      <alignment horizontal="center"/>
    </xf>
    <xf numFmtId="0" fontId="4" fillId="12" borderId="36" xfId="0" applyFont="1" applyFill="1" applyBorder="1" applyAlignment="1">
      <alignment horizontal="center"/>
    </xf>
    <xf numFmtId="0" fontId="4" fillId="12" borderId="31" xfId="0" applyFont="1" applyFill="1" applyBorder="1" applyAlignment="1">
      <alignment horizontal="center" vertical="center"/>
    </xf>
    <xf numFmtId="0" fontId="4" fillId="12" borderId="36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center"/>
    </xf>
    <xf numFmtId="0" fontId="3" fillId="7" borderId="35" xfId="0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5" fillId="12" borderId="0" xfId="4" applyFill="1" applyAlignment="1">
      <alignment horizontal="center" vertical="top" wrapText="1"/>
    </xf>
    <xf numFmtId="0" fontId="3" fillId="7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4" fillId="12" borderId="38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12" borderId="0" xfId="0" applyFont="1" applyFill="1" applyBorder="1" applyAlignment="1">
      <alignment vertical="center"/>
    </xf>
  </cellXfs>
  <cellStyles count="6">
    <cellStyle name="Comma" xfId="1" builtinId="3"/>
    <cellStyle name="Currency" xfId="2" builtinId="4"/>
    <cellStyle name="Hyperlink" xfId="4" builtinId="8"/>
    <cellStyle name="Normal" xfId="0" builtinId="0"/>
    <cellStyle name="Normal 2" xfId="5" xr:uid="{54697441-8430-42AC-B5FE-F142AA5C174A}"/>
    <cellStyle name="Percent" xfId="3" builtinId="5"/>
  </cellStyles>
  <dxfs count="58"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" formatCode="0"/>
    </dxf>
    <dxf>
      <numFmt numFmtId="165" formatCode="0.0%"/>
    </dxf>
    <dxf>
      <numFmt numFmtId="1" formatCode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left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b/>
      </font>
    </dxf>
    <dxf>
      <font>
        <b/>
      </font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b/>
      </font>
    </dxf>
    <dxf>
      <font>
        <b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solid"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numFmt numFmtId="5" formatCode="#,##0_);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11</xdr:row>
          <xdr:rowOff>53340</xdr:rowOff>
        </xdr:from>
        <xdr:to>
          <xdr:col>10</xdr:col>
          <xdr:colOff>998220</xdr:colOff>
          <xdr:row>14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%20Off%20-%20Analytics/Marketing%20Analytics%20Data%20(Performance%20Marketing)/Example%20Charts/LTO%20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7"/>
      <sheetName val="P8"/>
      <sheetName val="P9"/>
      <sheetName val="Media"/>
      <sheetName val="data"/>
      <sheetName val="Tables"/>
      <sheetName val="Lookup"/>
      <sheetName val="Slides"/>
      <sheetName val="Chart"/>
      <sheetName val="LTO_Data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B2" t="str">
            <v>DMA</v>
          </cell>
          <cell r="C2" t="str">
            <v>Count of Storeid</v>
          </cell>
          <cell r="D2" t="str">
            <v>Store Group</v>
          </cell>
          <cell r="E2" t="str">
            <v>Region</v>
          </cell>
        </row>
        <row r="3">
          <cell r="B3" t="str">
            <v>Alabama-Birmingham</v>
          </cell>
          <cell r="C3">
            <v>11</v>
          </cell>
          <cell r="D3" t="str">
            <v>11-20 Stores</v>
          </cell>
          <cell r="E3" t="str">
            <v>East</v>
          </cell>
        </row>
        <row r="4">
          <cell r="B4" t="str">
            <v>Alabama-Huntsville</v>
          </cell>
          <cell r="C4">
            <v>11</v>
          </cell>
          <cell r="D4" t="str">
            <v>11-20 Stores</v>
          </cell>
          <cell r="E4" t="str">
            <v>East</v>
          </cell>
        </row>
        <row r="5">
          <cell r="B5" t="str">
            <v>Alabama-Mobile</v>
          </cell>
          <cell r="C5">
            <v>5</v>
          </cell>
          <cell r="D5" t="str">
            <v>5-10 Stores</v>
          </cell>
          <cell r="E5" t="str">
            <v>East</v>
          </cell>
        </row>
        <row r="6">
          <cell r="B6" t="str">
            <v>Alaska-Anchorage</v>
          </cell>
          <cell r="C6">
            <v>8</v>
          </cell>
          <cell r="D6" t="str">
            <v>5-10 Stores</v>
          </cell>
          <cell r="E6" t="str">
            <v>West</v>
          </cell>
        </row>
        <row r="7">
          <cell r="B7" t="str">
            <v>Alaska-Fairbanks</v>
          </cell>
          <cell r="C7">
            <v>2</v>
          </cell>
          <cell r="D7" t="str">
            <v>1-2 stores</v>
          </cell>
          <cell r="E7" t="str">
            <v>West</v>
          </cell>
        </row>
        <row r="8">
          <cell r="B8" t="str">
            <v>Alaska-Juneau</v>
          </cell>
          <cell r="C8">
            <v>1</v>
          </cell>
          <cell r="D8" t="str">
            <v>1-2 stores</v>
          </cell>
          <cell r="E8" t="str">
            <v>West</v>
          </cell>
        </row>
        <row r="9">
          <cell r="B9" t="str">
            <v>Arizona-Phoenix</v>
          </cell>
          <cell r="C9">
            <v>37</v>
          </cell>
          <cell r="D9" t="str">
            <v>20+ Stores</v>
          </cell>
          <cell r="E9" t="str">
            <v>Central</v>
          </cell>
        </row>
        <row r="10">
          <cell r="B10" t="str">
            <v>Arizona-Tucson</v>
          </cell>
          <cell r="C10">
            <v>11</v>
          </cell>
          <cell r="D10" t="str">
            <v>11-20 Stores</v>
          </cell>
          <cell r="E10" t="str">
            <v>Central</v>
          </cell>
        </row>
        <row r="11">
          <cell r="B11" t="str">
            <v>Arizona-Yuma AZ -El Centro CA</v>
          </cell>
          <cell r="C11">
            <v>1</v>
          </cell>
          <cell r="D11" t="str">
            <v>1-2 stores</v>
          </cell>
          <cell r="E11" t="str">
            <v>Central</v>
          </cell>
        </row>
        <row r="12">
          <cell r="B12" t="str">
            <v>Arkansas-Ft. Smith/Fayettville/Rogers</v>
          </cell>
          <cell r="C12">
            <v>3</v>
          </cell>
          <cell r="D12" t="str">
            <v>3-4 stores</v>
          </cell>
          <cell r="E12" t="str">
            <v>East</v>
          </cell>
        </row>
        <row r="13">
          <cell r="B13" t="str">
            <v>Arkansas-Little Rock-Pine Bluff</v>
          </cell>
          <cell r="C13">
            <v>2</v>
          </cell>
          <cell r="D13" t="str">
            <v>1-2 stores</v>
          </cell>
          <cell r="E13" t="str">
            <v>East</v>
          </cell>
        </row>
        <row r="14">
          <cell r="B14" t="str">
            <v>California-Bakersfield</v>
          </cell>
          <cell r="C14">
            <v>5</v>
          </cell>
          <cell r="D14" t="str">
            <v>5-10 Stores</v>
          </cell>
          <cell r="E14" t="str">
            <v>West</v>
          </cell>
        </row>
        <row r="15">
          <cell r="B15" t="str">
            <v>California-Chico - Redding</v>
          </cell>
          <cell r="C15">
            <v>12</v>
          </cell>
          <cell r="D15" t="str">
            <v>11-20 Stores</v>
          </cell>
          <cell r="E15" t="str">
            <v>West</v>
          </cell>
        </row>
        <row r="16">
          <cell r="B16" t="str">
            <v>California-Eureka</v>
          </cell>
          <cell r="C16">
            <v>5</v>
          </cell>
          <cell r="D16" t="str">
            <v>5-10 Stores</v>
          </cell>
          <cell r="E16" t="str">
            <v>West</v>
          </cell>
        </row>
        <row r="17">
          <cell r="B17" t="str">
            <v>California-Fresno - Visalia</v>
          </cell>
          <cell r="C17">
            <v>18</v>
          </cell>
          <cell r="D17" t="str">
            <v>11-20 Stores</v>
          </cell>
          <cell r="E17" t="str">
            <v>West</v>
          </cell>
        </row>
        <row r="18">
          <cell r="B18" t="str">
            <v>California-Monterey - Salinas</v>
          </cell>
          <cell r="C18">
            <v>3</v>
          </cell>
          <cell r="D18" t="str">
            <v>3-4 stores</v>
          </cell>
          <cell r="E18" t="str">
            <v>West</v>
          </cell>
        </row>
        <row r="19">
          <cell r="B19" t="str">
            <v>California-Sacramento - Stockton - Modesto</v>
          </cell>
          <cell r="C19">
            <v>68</v>
          </cell>
          <cell r="D19" t="str">
            <v>20+ Stores</v>
          </cell>
          <cell r="E19" t="str">
            <v>West</v>
          </cell>
        </row>
        <row r="20">
          <cell r="B20" t="str">
            <v>California-San Francisco - Oakland - San Jose</v>
          </cell>
          <cell r="C20">
            <v>28</v>
          </cell>
          <cell r="D20" t="str">
            <v>20+ Stores</v>
          </cell>
          <cell r="E20" t="str">
            <v>West</v>
          </cell>
        </row>
        <row r="21">
          <cell r="B21" t="str">
            <v>California-Santa Barbara - Santa Maria - San Luis</v>
          </cell>
          <cell r="C21">
            <v>1</v>
          </cell>
          <cell r="D21" t="str">
            <v>1-2 stores</v>
          </cell>
          <cell r="E21" t="str">
            <v>West</v>
          </cell>
        </row>
        <row r="22">
          <cell r="B22" t="str">
            <v>Colorado-Colorado Springs/Pueblo</v>
          </cell>
          <cell r="C22">
            <v>16</v>
          </cell>
          <cell r="D22" t="str">
            <v>11-20 Stores</v>
          </cell>
          <cell r="E22" t="str">
            <v>Central</v>
          </cell>
        </row>
        <row r="23">
          <cell r="B23" t="str">
            <v>Colorado-Denver</v>
          </cell>
          <cell r="C23">
            <v>61</v>
          </cell>
          <cell r="D23" t="str">
            <v>20+ Stores</v>
          </cell>
          <cell r="E23" t="str">
            <v>Central</v>
          </cell>
        </row>
        <row r="24">
          <cell r="B24" t="str">
            <v>Colorado-Grand Junction/Montrose</v>
          </cell>
          <cell r="C24">
            <v>4</v>
          </cell>
          <cell r="D24" t="str">
            <v>3-4 stores</v>
          </cell>
          <cell r="E24" t="str">
            <v>Central</v>
          </cell>
        </row>
        <row r="25">
          <cell r="B25" t="str">
            <v>Florida-East Pensacola/Ft Walton</v>
          </cell>
          <cell r="C25">
            <v>2</v>
          </cell>
          <cell r="D25" t="str">
            <v>1-2 stores</v>
          </cell>
          <cell r="E25" t="str">
            <v>East</v>
          </cell>
        </row>
        <row r="26">
          <cell r="B26" t="str">
            <v>Florida-Jacksonville-Brunswick</v>
          </cell>
          <cell r="C26">
            <v>9</v>
          </cell>
          <cell r="D26" t="str">
            <v>5-10 Stores</v>
          </cell>
          <cell r="E26" t="str">
            <v>East</v>
          </cell>
        </row>
        <row r="27">
          <cell r="B27" t="str">
            <v>Florida-Orlando</v>
          </cell>
          <cell r="C27">
            <v>2</v>
          </cell>
          <cell r="D27" t="str">
            <v>1-2 stores</v>
          </cell>
          <cell r="E27" t="str">
            <v>East</v>
          </cell>
        </row>
        <row r="28">
          <cell r="B28" t="str">
            <v>Florida-Pensacola/Ft Walton Beach</v>
          </cell>
          <cell r="C28">
            <v>1</v>
          </cell>
          <cell r="D28" t="str">
            <v>1-2 stores</v>
          </cell>
          <cell r="E28" t="str">
            <v>East</v>
          </cell>
        </row>
        <row r="29">
          <cell r="B29" t="str">
            <v>Georgia-Savannah</v>
          </cell>
          <cell r="C29">
            <v>4</v>
          </cell>
          <cell r="D29" t="str">
            <v>3-4 stores</v>
          </cell>
          <cell r="E29" t="str">
            <v>East</v>
          </cell>
        </row>
        <row r="30">
          <cell r="B30" t="str">
            <v>Hawaii-Honolulu</v>
          </cell>
          <cell r="C30">
            <v>2</v>
          </cell>
          <cell r="D30" t="str">
            <v>1-2 stores</v>
          </cell>
          <cell r="E30" t="str">
            <v>West</v>
          </cell>
        </row>
        <row r="31">
          <cell r="B31" t="str">
            <v>Idaho-Boise</v>
          </cell>
          <cell r="C31">
            <v>21</v>
          </cell>
          <cell r="D31" t="str">
            <v>20+ Stores</v>
          </cell>
          <cell r="E31" t="str">
            <v>West</v>
          </cell>
        </row>
        <row r="32">
          <cell r="B32" t="str">
            <v>Idaho-Idaho Falls - Pocatello</v>
          </cell>
          <cell r="C32">
            <v>8</v>
          </cell>
          <cell r="D32" t="str">
            <v>5-10 Stores</v>
          </cell>
          <cell r="E32" t="str">
            <v>Central</v>
          </cell>
        </row>
        <row r="33">
          <cell r="B33" t="str">
            <v>Idaho-Twin Falls</v>
          </cell>
          <cell r="C33">
            <v>2</v>
          </cell>
          <cell r="D33" t="str">
            <v>1-2 stores</v>
          </cell>
          <cell r="E33" t="str">
            <v>West</v>
          </cell>
        </row>
        <row r="34">
          <cell r="B34" t="str">
            <v>Illinois-Champaign/Springfield/Decatur</v>
          </cell>
          <cell r="C34">
            <v>6</v>
          </cell>
          <cell r="D34" t="str">
            <v>5-10 Stores</v>
          </cell>
          <cell r="E34" t="str">
            <v>East</v>
          </cell>
        </row>
        <row r="35">
          <cell r="B35" t="str">
            <v>Illinois-Chicago</v>
          </cell>
          <cell r="C35">
            <v>1</v>
          </cell>
          <cell r="D35" t="str">
            <v>1-2 stores</v>
          </cell>
          <cell r="E35" t="str">
            <v>East</v>
          </cell>
        </row>
        <row r="36">
          <cell r="B36" t="str">
            <v>Illinois-Peoria/Bloomington</v>
          </cell>
          <cell r="C36">
            <v>4</v>
          </cell>
          <cell r="D36" t="str">
            <v>3-4 stores</v>
          </cell>
          <cell r="E36" t="str">
            <v>East</v>
          </cell>
        </row>
        <row r="37">
          <cell r="B37" t="str">
            <v>Illinois-Quincy/Hannibal/Keokuk</v>
          </cell>
          <cell r="C37">
            <v>1</v>
          </cell>
          <cell r="D37" t="str">
            <v>1-2 stores</v>
          </cell>
          <cell r="E37" t="str">
            <v>East</v>
          </cell>
        </row>
        <row r="38">
          <cell r="B38" t="str">
            <v>Illinois-Rockford</v>
          </cell>
          <cell r="C38">
            <v>2</v>
          </cell>
          <cell r="D38" t="str">
            <v>1-2 stores</v>
          </cell>
          <cell r="E38" t="str">
            <v>East</v>
          </cell>
        </row>
        <row r="39">
          <cell r="B39" t="str">
            <v>Indiana-Evansville</v>
          </cell>
          <cell r="C39">
            <v>2</v>
          </cell>
          <cell r="D39" t="str">
            <v>1-2 stores</v>
          </cell>
          <cell r="E39" t="str">
            <v>East</v>
          </cell>
        </row>
        <row r="40">
          <cell r="B40" t="str">
            <v>Indiana-Indianapolis</v>
          </cell>
          <cell r="C40">
            <v>20</v>
          </cell>
          <cell r="D40" t="str">
            <v>11-20 Stores</v>
          </cell>
          <cell r="E40" t="str">
            <v>East</v>
          </cell>
        </row>
        <row r="41">
          <cell r="B41" t="str">
            <v>Iowa-Cedar Rapids/Waterloo/Dubuque</v>
          </cell>
          <cell r="C41">
            <v>10</v>
          </cell>
          <cell r="D41" t="str">
            <v>5-10 Stores</v>
          </cell>
          <cell r="E41" t="str">
            <v>Central</v>
          </cell>
        </row>
        <row r="42">
          <cell r="B42" t="str">
            <v>Iowa-Davenport/Rock Island/Moline</v>
          </cell>
          <cell r="C42">
            <v>4</v>
          </cell>
          <cell r="D42" t="str">
            <v>3-4 stores</v>
          </cell>
          <cell r="E42" t="str">
            <v>West</v>
          </cell>
        </row>
        <row r="43">
          <cell r="B43" t="str">
            <v>Iowa-Des Moines/Ames</v>
          </cell>
          <cell r="C43">
            <v>12</v>
          </cell>
          <cell r="D43" t="str">
            <v>11-20 Stores</v>
          </cell>
          <cell r="E43" t="str">
            <v>Central</v>
          </cell>
        </row>
        <row r="44">
          <cell r="B44" t="str">
            <v>Iowa-Sioux City</v>
          </cell>
          <cell r="C44">
            <v>4</v>
          </cell>
          <cell r="D44" t="str">
            <v>3-4 stores</v>
          </cell>
          <cell r="E44" t="str">
            <v>Central</v>
          </cell>
        </row>
        <row r="45">
          <cell r="B45" t="str">
            <v>Kansas-Topeka</v>
          </cell>
          <cell r="C45">
            <v>4</v>
          </cell>
          <cell r="D45" t="str">
            <v>3-4 stores</v>
          </cell>
          <cell r="E45" t="str">
            <v>Central</v>
          </cell>
        </row>
        <row r="46">
          <cell r="B46" t="str">
            <v>Kansas-Wichita/Hutchinson</v>
          </cell>
          <cell r="C46">
            <v>12</v>
          </cell>
          <cell r="D46" t="str">
            <v>11-20 Stores</v>
          </cell>
          <cell r="E46" t="str">
            <v>Central</v>
          </cell>
        </row>
        <row r="47">
          <cell r="B47" t="str">
            <v>Kentucky-Lexington</v>
          </cell>
          <cell r="C47">
            <v>2</v>
          </cell>
          <cell r="D47" t="str">
            <v>1-2 stores</v>
          </cell>
          <cell r="E47" t="str">
            <v>East</v>
          </cell>
        </row>
        <row r="48">
          <cell r="B48" t="str">
            <v>Kentucky-Louisville</v>
          </cell>
          <cell r="C48">
            <v>11</v>
          </cell>
          <cell r="D48" t="str">
            <v>11-20 Stores</v>
          </cell>
          <cell r="E48" t="str">
            <v>East</v>
          </cell>
        </row>
        <row r="49">
          <cell r="B49" t="str">
            <v>Louisiana-Shreveport</v>
          </cell>
          <cell r="C49">
            <v>2</v>
          </cell>
          <cell r="D49" t="str">
            <v>1-2 stores</v>
          </cell>
          <cell r="E49" t="str">
            <v>East</v>
          </cell>
        </row>
        <row r="50">
          <cell r="B50" t="str">
            <v>Michigan-Grand Rapids/Kalamazoo/ Battle Creek</v>
          </cell>
          <cell r="C50">
            <v>8</v>
          </cell>
          <cell r="D50" t="str">
            <v>5-10 Stores</v>
          </cell>
          <cell r="E50" t="str">
            <v>East</v>
          </cell>
        </row>
        <row r="51">
          <cell r="B51" t="str">
            <v>Michigan-Marquette</v>
          </cell>
          <cell r="C51">
            <v>4</v>
          </cell>
          <cell r="D51" t="str">
            <v>3-4 stores</v>
          </cell>
          <cell r="E51" t="str">
            <v>East</v>
          </cell>
        </row>
        <row r="52">
          <cell r="B52" t="str">
            <v>Minnesota-Duluth/Superior</v>
          </cell>
          <cell r="C52">
            <v>9</v>
          </cell>
          <cell r="D52" t="str">
            <v>5-10 Stores</v>
          </cell>
          <cell r="E52" t="str">
            <v>Central</v>
          </cell>
        </row>
        <row r="53">
          <cell r="B53" t="str">
            <v>Minnesota-Mankato</v>
          </cell>
          <cell r="C53">
            <v>3</v>
          </cell>
          <cell r="D53" t="str">
            <v>3-4 stores</v>
          </cell>
          <cell r="E53" t="str">
            <v>Central</v>
          </cell>
        </row>
        <row r="54">
          <cell r="B54" t="str">
            <v>Minnesota-Minneapolis/St. Paul/Mankato</v>
          </cell>
          <cell r="C54">
            <v>79</v>
          </cell>
          <cell r="D54" t="str">
            <v>20+ Stores</v>
          </cell>
          <cell r="E54" t="str">
            <v>Central</v>
          </cell>
        </row>
        <row r="55">
          <cell r="B55" t="str">
            <v>Minnesota-Rochester/Mason City</v>
          </cell>
          <cell r="C55">
            <v>5</v>
          </cell>
          <cell r="D55" t="str">
            <v>5-10 Stores</v>
          </cell>
          <cell r="E55" t="str">
            <v>Central</v>
          </cell>
        </row>
        <row r="56">
          <cell r="B56" t="str">
            <v>Missouri-Cape Girardeau MO - Paducah KY - Mt Verno</v>
          </cell>
          <cell r="C56">
            <v>2</v>
          </cell>
          <cell r="D56" t="str">
            <v>1-2 stores</v>
          </cell>
          <cell r="E56" t="str">
            <v>East</v>
          </cell>
        </row>
        <row r="57">
          <cell r="B57" t="str">
            <v>Missouri-Columbia/Jefferson City</v>
          </cell>
          <cell r="C57">
            <v>2</v>
          </cell>
          <cell r="D57" t="str">
            <v>1-2 stores</v>
          </cell>
          <cell r="E57" t="str">
            <v>East</v>
          </cell>
        </row>
        <row r="58">
          <cell r="B58" t="str">
            <v>Missouri-Joplin/Pittsburg</v>
          </cell>
          <cell r="C58">
            <v>3</v>
          </cell>
          <cell r="D58" t="str">
            <v>3-4 stores</v>
          </cell>
          <cell r="E58" t="str">
            <v>East</v>
          </cell>
        </row>
        <row r="59">
          <cell r="B59" t="str">
            <v>Missouri-Kansas City</v>
          </cell>
          <cell r="C59">
            <v>36</v>
          </cell>
          <cell r="D59" t="str">
            <v>20+ Stores</v>
          </cell>
          <cell r="E59" t="str">
            <v>East</v>
          </cell>
        </row>
        <row r="60">
          <cell r="B60" t="str">
            <v>Missouri-Springfield</v>
          </cell>
          <cell r="C60">
            <v>11</v>
          </cell>
          <cell r="D60" t="str">
            <v>11-20 Stores</v>
          </cell>
          <cell r="E60" t="str">
            <v>East</v>
          </cell>
        </row>
        <row r="61">
          <cell r="B61" t="str">
            <v>Missouri-St. Joseph</v>
          </cell>
          <cell r="C61">
            <v>1</v>
          </cell>
          <cell r="D61" t="str">
            <v>1-2 stores</v>
          </cell>
          <cell r="E61" t="str">
            <v>East</v>
          </cell>
        </row>
        <row r="62">
          <cell r="B62" t="str">
            <v>Missouri-St. Louis</v>
          </cell>
          <cell r="C62">
            <v>9</v>
          </cell>
          <cell r="D62" t="str">
            <v>5-10 Stores</v>
          </cell>
          <cell r="E62" t="str">
            <v>East</v>
          </cell>
        </row>
        <row r="63">
          <cell r="B63" t="str">
            <v>Montana-Billings</v>
          </cell>
          <cell r="C63">
            <v>4</v>
          </cell>
          <cell r="D63" t="str">
            <v>3-4 stores</v>
          </cell>
          <cell r="E63" t="str">
            <v>West</v>
          </cell>
        </row>
        <row r="64">
          <cell r="B64" t="str">
            <v>Montana-Butte - Bozeman</v>
          </cell>
          <cell r="C64">
            <v>3</v>
          </cell>
          <cell r="D64" t="str">
            <v>3-4 stores</v>
          </cell>
          <cell r="E64" t="str">
            <v>West</v>
          </cell>
        </row>
        <row r="65">
          <cell r="B65" t="str">
            <v>Montana-Great Falls</v>
          </cell>
          <cell r="C65">
            <v>1</v>
          </cell>
          <cell r="D65" t="str">
            <v>1-2 stores</v>
          </cell>
          <cell r="E65" t="str">
            <v>West</v>
          </cell>
        </row>
        <row r="66">
          <cell r="B66" t="str">
            <v>Montana-Helena</v>
          </cell>
          <cell r="C66">
            <v>2</v>
          </cell>
          <cell r="D66" t="str">
            <v>1-2 stores</v>
          </cell>
          <cell r="E66" t="str">
            <v>West</v>
          </cell>
        </row>
        <row r="67">
          <cell r="B67" t="str">
            <v>Montana-Missoula</v>
          </cell>
          <cell r="C67">
            <v>5</v>
          </cell>
          <cell r="D67" t="str">
            <v>5-10 Stores</v>
          </cell>
          <cell r="E67" t="str">
            <v>West</v>
          </cell>
        </row>
        <row r="68">
          <cell r="B68" t="str">
            <v>Nebraska-Lincoln / Hastings / Kearney</v>
          </cell>
          <cell r="C68">
            <v>2</v>
          </cell>
          <cell r="D68" t="str">
            <v>1-2 stores</v>
          </cell>
          <cell r="E68" t="str">
            <v>East</v>
          </cell>
        </row>
        <row r="69">
          <cell r="B69" t="str">
            <v>Nebraska-North Platte</v>
          </cell>
          <cell r="C69">
            <v>1</v>
          </cell>
          <cell r="D69" t="str">
            <v>1-2 stores</v>
          </cell>
          <cell r="E69" t="str">
            <v>Central</v>
          </cell>
        </row>
        <row r="70">
          <cell r="B70" t="str">
            <v>Nebraska-Omaha</v>
          </cell>
          <cell r="C70">
            <v>8</v>
          </cell>
          <cell r="D70" t="str">
            <v>5-10 Stores</v>
          </cell>
          <cell r="E70" t="str">
            <v>Central</v>
          </cell>
        </row>
        <row r="71">
          <cell r="B71" t="str">
            <v>Nevada-Las Vegas</v>
          </cell>
          <cell r="C71">
            <v>11</v>
          </cell>
          <cell r="D71" t="str">
            <v>11-20 Stores</v>
          </cell>
          <cell r="E71" t="str">
            <v>Central</v>
          </cell>
        </row>
        <row r="72">
          <cell r="B72" t="str">
            <v>Nevada-Reno</v>
          </cell>
          <cell r="C72">
            <v>14</v>
          </cell>
          <cell r="D72" t="str">
            <v>11-20 Stores</v>
          </cell>
          <cell r="E72" t="str">
            <v>Central</v>
          </cell>
        </row>
        <row r="73">
          <cell r="B73" t="str">
            <v>New Mexico-Albuquerque/Santa Fe</v>
          </cell>
          <cell r="C73">
            <v>18</v>
          </cell>
          <cell r="D73" t="str">
            <v>11-20 Stores</v>
          </cell>
          <cell r="E73" t="str">
            <v>Central</v>
          </cell>
        </row>
        <row r="74">
          <cell r="B74" t="str">
            <v>North Carolina - Greensboro</v>
          </cell>
          <cell r="C74">
            <v>1</v>
          </cell>
          <cell r="D74" t="str">
            <v>1-2 stores</v>
          </cell>
          <cell r="E74" t="str">
            <v>East</v>
          </cell>
        </row>
        <row r="75">
          <cell r="B75" t="str">
            <v>North Carolina-Charlotte</v>
          </cell>
          <cell r="C75">
            <v>1</v>
          </cell>
          <cell r="D75" t="str">
            <v>1-2 stores</v>
          </cell>
          <cell r="E75" t="str">
            <v>East</v>
          </cell>
        </row>
        <row r="76">
          <cell r="B76" t="str">
            <v>North Carolina-Raleigh/Durham</v>
          </cell>
          <cell r="C76">
            <v>13</v>
          </cell>
          <cell r="D76" t="str">
            <v>11-20 Stores</v>
          </cell>
          <cell r="E76" t="str">
            <v>East</v>
          </cell>
        </row>
        <row r="77">
          <cell r="B77" t="str">
            <v>North Carolina-Wilmington</v>
          </cell>
          <cell r="C77">
            <v>3</v>
          </cell>
          <cell r="D77" t="str">
            <v>3-4 stores</v>
          </cell>
          <cell r="E77" t="str">
            <v>East</v>
          </cell>
        </row>
        <row r="78">
          <cell r="B78" t="str">
            <v>North Dakota-Fargo/Valley City</v>
          </cell>
          <cell r="C78">
            <v>11</v>
          </cell>
          <cell r="D78" t="str">
            <v>11-20 Stores</v>
          </cell>
          <cell r="E78" t="str">
            <v>Central</v>
          </cell>
        </row>
        <row r="79">
          <cell r="B79" t="str">
            <v>North Dakota-Minot/Bismarck/Dickinson</v>
          </cell>
          <cell r="C79">
            <v>6</v>
          </cell>
          <cell r="D79" t="str">
            <v>5-10 Stores</v>
          </cell>
          <cell r="E79" t="str">
            <v>Central</v>
          </cell>
        </row>
        <row r="80">
          <cell r="B80" t="str">
            <v>Oklahoma-Oklahoma City</v>
          </cell>
          <cell r="C80">
            <v>7</v>
          </cell>
          <cell r="D80" t="str">
            <v>5-10 Stores</v>
          </cell>
          <cell r="E80" t="str">
            <v>East</v>
          </cell>
        </row>
        <row r="81">
          <cell r="B81" t="str">
            <v>Oklahoma-Tulsa</v>
          </cell>
          <cell r="C81">
            <v>7</v>
          </cell>
          <cell r="D81" t="str">
            <v>5-10 Stores</v>
          </cell>
          <cell r="E81" t="str">
            <v>East</v>
          </cell>
        </row>
        <row r="82">
          <cell r="B82" t="str">
            <v>Oregon-Bend</v>
          </cell>
          <cell r="C82">
            <v>6</v>
          </cell>
          <cell r="D82" t="str">
            <v>5-10 Stores</v>
          </cell>
          <cell r="E82" t="str">
            <v>West</v>
          </cell>
        </row>
        <row r="83">
          <cell r="B83" t="str">
            <v>Oregon-Eugene</v>
          </cell>
          <cell r="C83">
            <v>17</v>
          </cell>
          <cell r="D83" t="str">
            <v>11-20 Stores</v>
          </cell>
          <cell r="E83" t="str">
            <v>West</v>
          </cell>
        </row>
        <row r="84">
          <cell r="B84" t="str">
            <v>Oregon-Medford - Klamath Falls</v>
          </cell>
          <cell r="C84">
            <v>11</v>
          </cell>
          <cell r="D84" t="str">
            <v>11-20 Stores</v>
          </cell>
          <cell r="E84" t="str">
            <v>West</v>
          </cell>
        </row>
        <row r="85">
          <cell r="B85" t="str">
            <v>Oregon-Portland</v>
          </cell>
          <cell r="C85">
            <v>85</v>
          </cell>
          <cell r="D85" t="str">
            <v>20+ Stores</v>
          </cell>
          <cell r="E85" t="str">
            <v>West</v>
          </cell>
        </row>
        <row r="86">
          <cell r="B86" t="str">
            <v>South Dakota-Rapid City</v>
          </cell>
          <cell r="C86">
            <v>5</v>
          </cell>
          <cell r="D86" t="str">
            <v>5-10 Stores</v>
          </cell>
          <cell r="E86" t="str">
            <v>Central</v>
          </cell>
        </row>
        <row r="87">
          <cell r="B87" t="str">
            <v>South Dakota-Sioux Falls</v>
          </cell>
          <cell r="C87">
            <v>11</v>
          </cell>
          <cell r="D87" t="str">
            <v>11-20 Stores</v>
          </cell>
          <cell r="E87" t="str">
            <v>Central</v>
          </cell>
        </row>
        <row r="88">
          <cell r="B88" t="str">
            <v>Tennessee-Chattanooga</v>
          </cell>
          <cell r="C88">
            <v>3</v>
          </cell>
          <cell r="D88" t="str">
            <v>3-4 stores</v>
          </cell>
          <cell r="E88" t="str">
            <v>East</v>
          </cell>
        </row>
        <row r="89">
          <cell r="B89" t="str">
            <v>Tennessee-Knoxville</v>
          </cell>
          <cell r="C89">
            <v>11</v>
          </cell>
          <cell r="D89" t="str">
            <v>11-20 Stores</v>
          </cell>
          <cell r="E89" t="str">
            <v>East</v>
          </cell>
        </row>
        <row r="90">
          <cell r="B90" t="str">
            <v>Tennessee-Memphis</v>
          </cell>
          <cell r="C90">
            <v>3</v>
          </cell>
          <cell r="D90" t="str">
            <v>3-4 stores</v>
          </cell>
          <cell r="E90" t="str">
            <v>East</v>
          </cell>
        </row>
        <row r="91">
          <cell r="B91" t="str">
            <v>Tennessee-Nashville</v>
          </cell>
          <cell r="C91">
            <v>19</v>
          </cell>
          <cell r="D91" t="str">
            <v>11-20 Stores</v>
          </cell>
          <cell r="E91" t="str">
            <v>East</v>
          </cell>
        </row>
        <row r="92">
          <cell r="B92" t="str">
            <v>Texas-Abilene-Sweetwater</v>
          </cell>
          <cell r="C92">
            <v>1</v>
          </cell>
          <cell r="D92" t="str">
            <v>1-2 stores</v>
          </cell>
          <cell r="E92" t="str">
            <v>East</v>
          </cell>
        </row>
        <row r="93">
          <cell r="B93" t="str">
            <v>Texas-Amarillo</v>
          </cell>
          <cell r="C93">
            <v>3</v>
          </cell>
          <cell r="D93" t="str">
            <v>3-4 stores</v>
          </cell>
          <cell r="E93" t="str">
            <v>East</v>
          </cell>
        </row>
        <row r="94">
          <cell r="B94" t="str">
            <v>Texas-Austin</v>
          </cell>
          <cell r="C94">
            <v>13</v>
          </cell>
          <cell r="D94" t="str">
            <v>11-20 Stores</v>
          </cell>
          <cell r="E94" t="str">
            <v>East</v>
          </cell>
        </row>
        <row r="95">
          <cell r="B95" t="str">
            <v>Texas-Corpus Christi</v>
          </cell>
          <cell r="C95">
            <v>2</v>
          </cell>
          <cell r="D95" t="str">
            <v>1-2 stores</v>
          </cell>
          <cell r="E95" t="str">
            <v>East</v>
          </cell>
        </row>
        <row r="96">
          <cell r="B96" t="str">
            <v>Texas-Dallas-Ft. Worth</v>
          </cell>
          <cell r="C96">
            <v>27</v>
          </cell>
          <cell r="D96" t="str">
            <v>20+ Stores</v>
          </cell>
          <cell r="E96" t="str">
            <v>East</v>
          </cell>
        </row>
        <row r="97">
          <cell r="B97" t="str">
            <v>Texas-Houston</v>
          </cell>
          <cell r="C97">
            <v>8</v>
          </cell>
          <cell r="D97" t="str">
            <v>5-10 Stores</v>
          </cell>
          <cell r="E97" t="str">
            <v>East</v>
          </cell>
        </row>
        <row r="98">
          <cell r="B98" t="str">
            <v>Texas-Lubbock</v>
          </cell>
          <cell r="C98">
            <v>3</v>
          </cell>
          <cell r="D98" t="str">
            <v>3-4 stores</v>
          </cell>
          <cell r="E98" t="str">
            <v>East</v>
          </cell>
        </row>
        <row r="99">
          <cell r="B99" t="str">
            <v>Texas-Odessa-Midland</v>
          </cell>
          <cell r="C99">
            <v>1</v>
          </cell>
          <cell r="D99" t="str">
            <v>1-2 stores</v>
          </cell>
          <cell r="E99" t="str">
            <v>East</v>
          </cell>
        </row>
        <row r="100">
          <cell r="B100" t="str">
            <v>Texas-San Antonio</v>
          </cell>
          <cell r="C100">
            <v>4</v>
          </cell>
          <cell r="D100" t="str">
            <v>3-4 stores</v>
          </cell>
          <cell r="E100" t="str">
            <v>East</v>
          </cell>
        </row>
        <row r="101">
          <cell r="B101" t="str">
            <v>Texas-Tyler-Longview</v>
          </cell>
          <cell r="C101">
            <v>1</v>
          </cell>
          <cell r="D101" t="str">
            <v>1-2 stores</v>
          </cell>
          <cell r="E101" t="str">
            <v>East</v>
          </cell>
        </row>
        <row r="102">
          <cell r="B102" t="str">
            <v>Texas-Waco-Temple-Bryan</v>
          </cell>
          <cell r="C102">
            <v>1</v>
          </cell>
          <cell r="D102" t="str">
            <v>1-2 stores</v>
          </cell>
          <cell r="E102" t="str">
            <v>East</v>
          </cell>
        </row>
        <row r="103">
          <cell r="B103" t="str">
            <v>Utah-Salt Lake City</v>
          </cell>
          <cell r="C103">
            <v>63</v>
          </cell>
          <cell r="D103" t="str">
            <v>20+ Stores</v>
          </cell>
          <cell r="E103" t="str">
            <v>Central</v>
          </cell>
        </row>
        <row r="104">
          <cell r="B104" t="str">
            <v>Virginia-Norfolk</v>
          </cell>
          <cell r="C104">
            <v>3</v>
          </cell>
          <cell r="D104" t="str">
            <v>3-4 stores</v>
          </cell>
          <cell r="E104" t="str">
            <v>East</v>
          </cell>
        </row>
        <row r="105">
          <cell r="B105" t="str">
            <v>Washington-Seattle - Tacoma</v>
          </cell>
          <cell r="C105">
            <v>100</v>
          </cell>
          <cell r="D105" t="str">
            <v>20+ Stores</v>
          </cell>
          <cell r="E105" t="str">
            <v>West</v>
          </cell>
        </row>
        <row r="106">
          <cell r="B106" t="str">
            <v>Washington-Spokane</v>
          </cell>
          <cell r="C106">
            <v>26</v>
          </cell>
          <cell r="D106" t="str">
            <v>20+ Stores</v>
          </cell>
          <cell r="E106" t="str">
            <v>West</v>
          </cell>
        </row>
        <row r="107">
          <cell r="B107" t="str">
            <v>Washington-Tri-Cities</v>
          </cell>
          <cell r="C107">
            <v>4</v>
          </cell>
          <cell r="D107" t="str">
            <v>3-4 stores</v>
          </cell>
          <cell r="E107" t="str">
            <v>West</v>
          </cell>
        </row>
        <row r="108">
          <cell r="B108" t="str">
            <v>Washington-Yakima - Pasco - Richland</v>
          </cell>
          <cell r="C108">
            <v>11</v>
          </cell>
          <cell r="D108" t="str">
            <v>11-20 Stores</v>
          </cell>
          <cell r="E108" t="str">
            <v>West</v>
          </cell>
        </row>
        <row r="109">
          <cell r="B109" t="str">
            <v>Wisconsin-Green Bay/Appleton</v>
          </cell>
          <cell r="C109">
            <v>17</v>
          </cell>
          <cell r="D109" t="str">
            <v>11-20 Stores</v>
          </cell>
          <cell r="E109" t="str">
            <v>East</v>
          </cell>
        </row>
        <row r="110">
          <cell r="B110" t="str">
            <v>Wisconsin-LaCrosse/Eau Claire</v>
          </cell>
          <cell r="C110">
            <v>12</v>
          </cell>
          <cell r="D110" t="str">
            <v>11-20 Stores</v>
          </cell>
          <cell r="E110" t="str">
            <v>East</v>
          </cell>
        </row>
        <row r="111">
          <cell r="B111" t="str">
            <v>Wisconsin-Madison</v>
          </cell>
          <cell r="C111">
            <v>17</v>
          </cell>
          <cell r="D111" t="str">
            <v>11-20 Stores</v>
          </cell>
          <cell r="E111" t="str">
            <v>East</v>
          </cell>
        </row>
        <row r="112">
          <cell r="B112" t="str">
            <v>Wisconsin-Milwaukee</v>
          </cell>
          <cell r="C112">
            <v>30</v>
          </cell>
          <cell r="D112" t="str">
            <v>20+ Stores</v>
          </cell>
          <cell r="E112" t="str">
            <v>East</v>
          </cell>
        </row>
        <row r="113">
          <cell r="B113" t="str">
            <v>Wisconsin-Wausau/Rhinelander</v>
          </cell>
          <cell r="C113">
            <v>9</v>
          </cell>
          <cell r="D113" t="str">
            <v>5-10 Stores</v>
          </cell>
          <cell r="E113" t="str">
            <v>East</v>
          </cell>
        </row>
        <row r="114">
          <cell r="B114" t="str">
            <v>Wyoming-Casper/Riverton</v>
          </cell>
          <cell r="C114">
            <v>3</v>
          </cell>
          <cell r="D114" t="str">
            <v>3-4 stores</v>
          </cell>
          <cell r="E114" t="str">
            <v>Central</v>
          </cell>
        </row>
        <row r="115">
          <cell r="B115" t="str">
            <v>Wyoming-Cheyenne/Scottsbluff/ Sterling</v>
          </cell>
          <cell r="C115">
            <v>3</v>
          </cell>
          <cell r="D115" t="str">
            <v>3-4 stores</v>
          </cell>
          <cell r="E115" t="str">
            <v>Central</v>
          </cell>
        </row>
      </sheetData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k Hobbs" refreshedDate="44560.385602546296" createdVersion="6" refreshedVersion="6" minRefreshableVersion="3" recordCount="112" xr:uid="{8034A2AF-A607-4B57-923F-5E81DCE38E9C}">
  <cacheSource type="worksheet">
    <worksheetSource ref="AO12:AV124" sheet="LTO Data"/>
  </cacheSource>
  <cacheFields count="15">
    <cacheField name="DMA" numFmtId="0">
      <sharedItems/>
    </cacheField>
    <cacheField name="LTO Units" numFmtId="1">
      <sharedItems containsSemiMixedTypes="0" containsString="0" containsNumber="1" minValue="24.507157619172439" maxValue="1984.4798233632312"/>
    </cacheField>
    <cacheField name="Total Units" numFmtId="1">
      <sharedItems containsSemiMixedTypes="0" containsString="0" containsNumber="1" minValue="1735.3077701317554" maxValue="190533.08079399401"/>
    </cacheField>
    <cacheField name="Mix" numFmtId="165">
      <sharedItems containsSemiMixedTypes="0" containsString="0" containsNumber="1" minValue="1.6786474970320741E-4" maxValue="1.1014320966410189"/>
    </cacheField>
    <cacheField name="Region" numFmtId="0">
      <sharedItems count="3">
        <s v="RA"/>
        <s v="RC"/>
        <s v="RB"/>
      </sharedItems>
    </cacheField>
    <cacheField name="Store Count" numFmtId="0">
      <sharedItems containsSemiMixedTypes="0" containsString="0" containsNumber="1" containsInteger="1" minValue="0" maxValue="541"/>
    </cacheField>
    <cacheField name="DMA Size" numFmtId="0">
      <sharedItems containsSemiMixedTypes="0" containsString="0" containsNumber="1" containsInteger="1" minValue="1" maxValue="4" count="4">
        <n v="1"/>
        <n v="2"/>
        <n v="4"/>
        <n v="3"/>
      </sharedItems>
    </cacheField>
    <cacheField name="Price" numFmtId="0">
      <sharedItems count="1">
        <s v="Unpriced"/>
      </sharedItems>
    </cacheField>
    <cacheField name="P4%" numFmtId="0" formula="#NAME?/#NAME?" databaseField="0"/>
    <cacheField name="P5%" numFmtId="0" formula="#NAME? /#NAME?" databaseField="0"/>
    <cacheField name="P6%" numFmtId="0" formula="#NAME?/#NAME?" databaseField="0"/>
    <cacheField name="TOTAL%" numFmtId="0" formula="#NAME?/#NAME?" databaseField="0"/>
    <cacheField name="TP/STore" numFmtId="0" formula="#NAME?/#NAME?" databaseField="0"/>
    <cacheField name="Units per Store" numFmtId="0" formula="'LTO Units'/'Store Count'" databaseField="0"/>
    <cacheField name="LTO Mix" numFmtId="0" formula="'LTO Units'/'Total Unit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s v="A"/>
    <n v="967.14419917104681"/>
    <n v="176845.86448451882"/>
    <n v="5.4688539197121633E-3"/>
    <x v="0"/>
    <n v="37"/>
    <x v="0"/>
    <x v="0"/>
  </r>
  <r>
    <s v="B"/>
    <n v="1778.8470090668136"/>
    <n v="92282.505070045809"/>
    <n v="1.9276102309062845E-2"/>
    <x v="0"/>
    <n v="27"/>
    <x v="1"/>
    <x v="0"/>
  </r>
  <r>
    <s v="C"/>
    <n v="860.56123088641789"/>
    <n v="57648.981664665567"/>
    <n v="1.4927605068414875E-2"/>
    <x v="0"/>
    <n v="27"/>
    <x v="0"/>
    <x v="0"/>
  </r>
  <r>
    <s v="D"/>
    <n v="905.35679343567699"/>
    <n v="176506.53634334318"/>
    <n v="5.1293102917988444E-3"/>
    <x v="1"/>
    <n v="77"/>
    <x v="1"/>
    <x v="0"/>
  </r>
  <r>
    <s v="E"/>
    <n v="555.52163279668878"/>
    <n v="2332.7689493642056"/>
    <n v="0.23813830038679817"/>
    <x v="1"/>
    <n v="10"/>
    <x v="0"/>
    <x v="0"/>
  </r>
  <r>
    <s v="F"/>
    <n v="1517.5338723018026"/>
    <n v="58774.832628732023"/>
    <n v="2.5819450340041589E-2"/>
    <x v="1"/>
    <n v="0"/>
    <x v="0"/>
    <x v="0"/>
  </r>
  <r>
    <s v="G"/>
    <n v="1701.8260207248595"/>
    <n v="190533.08079399401"/>
    <n v="8.931918875362585E-3"/>
    <x v="2"/>
    <n v="319"/>
    <x v="2"/>
    <x v="0"/>
  </r>
  <r>
    <s v="H"/>
    <n v="1911.3236755736707"/>
    <n v="1735.3077701317554"/>
    <n v="1.1014320966410189"/>
    <x v="2"/>
    <n v="107"/>
    <x v="0"/>
    <x v="0"/>
  </r>
  <r>
    <s v="I"/>
    <n v="1854.4991758738406"/>
    <n v="136293.88516269976"/>
    <n v="1.3606620529307289E-2"/>
    <x v="2"/>
    <n v="8"/>
    <x v="1"/>
    <x v="0"/>
  </r>
  <r>
    <s v="J"/>
    <n v="766.28118705736824"/>
    <n v="104717.65274590756"/>
    <n v="7.3175932325060169E-3"/>
    <x v="0"/>
    <n v="19"/>
    <x v="1"/>
    <x v="0"/>
  </r>
  <r>
    <s v="K"/>
    <n v="1087.8077333848946"/>
    <n v="108890.6132928208"/>
    <n v="9.989912816999574E-3"/>
    <x v="0"/>
    <n v="18"/>
    <x v="2"/>
    <x v="0"/>
  </r>
  <r>
    <s v="L"/>
    <n v="581.72297575614357"/>
    <n v="149429.35039648239"/>
    <n v="3.8929632914327219E-3"/>
    <x v="1"/>
    <n v="30"/>
    <x v="1"/>
    <x v="0"/>
  </r>
  <r>
    <s v="M"/>
    <n v="1478.5756495146122"/>
    <n v="40705.602459128757"/>
    <n v="3.6323639995236641E-2"/>
    <x v="1"/>
    <n v="62"/>
    <x v="1"/>
    <x v="0"/>
  </r>
  <r>
    <s v="N"/>
    <n v="993.12208242367126"/>
    <n v="22818.441177175107"/>
    <n v="4.3522783818251094E-2"/>
    <x v="1"/>
    <n v="10"/>
    <x v="1"/>
    <x v="0"/>
  </r>
  <r>
    <s v="O"/>
    <n v="95.820596858942736"/>
    <n v="116381.68967340459"/>
    <n v="8.2333051812393085E-4"/>
    <x v="1"/>
    <n v="53"/>
    <x v="2"/>
    <x v="0"/>
  </r>
  <r>
    <s v="P"/>
    <n v="911.24059049878485"/>
    <n v="64564.277289128149"/>
    <n v="1.4113696129798186E-2"/>
    <x v="1"/>
    <n v="26"/>
    <x v="2"/>
    <x v="0"/>
  </r>
  <r>
    <s v="Q"/>
    <n v="1395.4817388393706"/>
    <n v="48215.404636586092"/>
    <n v="2.8942653273523956E-2"/>
    <x v="1"/>
    <n v="541"/>
    <x v="3"/>
    <x v="0"/>
  </r>
  <r>
    <s v="R"/>
    <n v="1768.6173595576295"/>
    <n v="10580.996533394926"/>
    <n v="0.16715035809487847"/>
    <x v="1"/>
    <n v="52"/>
    <x v="3"/>
    <x v="0"/>
  </r>
  <r>
    <s v="S"/>
    <n v="901.2146039001741"/>
    <n v="26375.592921622992"/>
    <n v="3.4168505958451792E-2"/>
    <x v="1"/>
    <n v="8"/>
    <x v="0"/>
    <x v="0"/>
  </r>
  <r>
    <s v="T"/>
    <n v="514.60259851452815"/>
    <n v="89227.036227988283"/>
    <n v="5.7673393656115885E-3"/>
    <x v="2"/>
    <n v="41"/>
    <x v="1"/>
    <x v="0"/>
  </r>
  <r>
    <s v="U"/>
    <n v="791.73040956241732"/>
    <n v="75017.975187111195"/>
    <n v="1.0553876022215596E-2"/>
    <x v="2"/>
    <n v="5"/>
    <x v="1"/>
    <x v="0"/>
  </r>
  <r>
    <s v="V"/>
    <n v="482.33656432042335"/>
    <n v="62103.347325190625"/>
    <n v="7.7666757927680324E-3"/>
    <x v="2"/>
    <n v="16"/>
    <x v="1"/>
    <x v="0"/>
  </r>
  <r>
    <s v="W"/>
    <n v="851.60370033417894"/>
    <n v="73781.760247207567"/>
    <n v="1.1542198200217239E-2"/>
    <x v="0"/>
    <n v="11"/>
    <x v="3"/>
    <x v="0"/>
  </r>
  <r>
    <s v="X"/>
    <n v="857.1363177312403"/>
    <n v="56889.45642345622"/>
    <n v="1.5066699026813561E-2"/>
    <x v="0"/>
    <n v="47"/>
    <x v="3"/>
    <x v="0"/>
  </r>
  <r>
    <s v="Y"/>
    <n v="317.81262196392834"/>
    <n v="64780.164255324446"/>
    <n v="4.9060175381973733E-3"/>
    <x v="0"/>
    <n v="15"/>
    <x v="1"/>
    <x v="0"/>
  </r>
  <r>
    <s v="Z"/>
    <n v="93.252828578012753"/>
    <n v="170418.89781739522"/>
    <n v="5.4719769798026552E-4"/>
    <x v="0"/>
    <n v="3"/>
    <x v="3"/>
    <x v="0"/>
  </r>
  <r>
    <s v="CA"/>
    <n v="1924.4003076040835"/>
    <n v="76746.956177224158"/>
    <n v="2.507461407538113E-2"/>
    <x v="0"/>
    <n v="25"/>
    <x v="1"/>
    <x v="0"/>
  </r>
  <r>
    <s v="CB"/>
    <n v="1482.1226623577886"/>
    <n v="150539.0634338308"/>
    <n v="9.8454356533794508E-3"/>
    <x v="1"/>
    <n v="4"/>
    <x v="3"/>
    <x v="0"/>
  </r>
  <r>
    <s v="CC"/>
    <n v="735.92146196542149"/>
    <n v="111692.00513054656"/>
    <n v="6.5888463646549301E-3"/>
    <x v="1"/>
    <n v="26"/>
    <x v="1"/>
    <x v="0"/>
  </r>
  <r>
    <s v="CD"/>
    <n v="744.13137279576438"/>
    <n v="24948.653109496878"/>
    <n v="2.9826514863542097E-2"/>
    <x v="2"/>
    <n v="3"/>
    <x v="3"/>
    <x v="0"/>
  </r>
  <r>
    <s v="CE"/>
    <n v="1444.3395581339637"/>
    <n v="56763.366220339376"/>
    <n v="2.5444924328966768E-2"/>
    <x v="1"/>
    <n v="3"/>
    <x v="1"/>
    <x v="0"/>
  </r>
  <r>
    <s v="CF"/>
    <n v="1350.3284293448401"/>
    <n v="28951.839619465103"/>
    <n v="4.6640505304435913E-2"/>
    <x v="0"/>
    <n v="32"/>
    <x v="1"/>
    <x v="0"/>
  </r>
  <r>
    <s v="CG"/>
    <n v="1418.2865837610711"/>
    <n v="128281.89049455828"/>
    <n v="1.1056015609788935E-2"/>
    <x v="0"/>
    <n v="3"/>
    <x v="3"/>
    <x v="0"/>
  </r>
  <r>
    <s v="CH"/>
    <n v="1898.3587271725053"/>
    <n v="40659.139251129498"/>
    <n v="4.6689594569313701E-2"/>
    <x v="0"/>
    <n v="27"/>
    <x v="1"/>
    <x v="0"/>
  </r>
  <r>
    <s v="CI"/>
    <n v="1371.1363787284677"/>
    <n v="174332.49562674609"/>
    <n v="7.8650648222471035E-3"/>
    <x v="0"/>
    <n v="9"/>
    <x v="1"/>
    <x v="0"/>
  </r>
  <r>
    <s v="CJ"/>
    <n v="651.91325944729761"/>
    <n v="131039.78744149985"/>
    <n v="4.9749261058465279E-3"/>
    <x v="0"/>
    <n v="0"/>
    <x v="3"/>
    <x v="0"/>
  </r>
  <r>
    <s v="CK"/>
    <n v="928.13224424987095"/>
    <n v="33880.168349100481"/>
    <n v="2.7394558217256112E-2"/>
    <x v="0"/>
    <n v="3"/>
    <x v="3"/>
    <x v="0"/>
  </r>
  <r>
    <s v="CL"/>
    <n v="1823.7868096284997"/>
    <n v="9820.4034198024819"/>
    <n v="0.18571404164017344"/>
    <x v="0"/>
    <n v="108"/>
    <x v="2"/>
    <x v="0"/>
  </r>
  <r>
    <s v="CM"/>
    <n v="655.15855144750446"/>
    <n v="190523.01252289451"/>
    <n v="3.4387370993767814E-3"/>
    <x v="2"/>
    <n v="88"/>
    <x v="3"/>
    <x v="0"/>
  </r>
  <r>
    <s v="CN"/>
    <n v="1251.7953958703843"/>
    <n v="129716.30838190833"/>
    <n v="9.6502545553861403E-3"/>
    <x v="2"/>
    <n v="2"/>
    <x v="3"/>
    <x v="0"/>
  </r>
  <r>
    <s v="CO"/>
    <n v="89.118120231624246"/>
    <n v="150552.93590332518"/>
    <n v="5.9193877354108738E-4"/>
    <x v="2"/>
    <n v="55"/>
    <x v="3"/>
    <x v="0"/>
  </r>
  <r>
    <s v="CP"/>
    <n v="966.32439728453164"/>
    <n v="99562.39403013332"/>
    <n v="9.7057167688441304E-3"/>
    <x v="2"/>
    <n v="14"/>
    <x v="2"/>
    <x v="0"/>
  </r>
  <r>
    <s v="CQ"/>
    <n v="1421.6246319441054"/>
    <n v="126476.29407832403"/>
    <n v="1.1240245789173139E-2"/>
    <x v="2"/>
    <n v="10"/>
    <x v="2"/>
    <x v="0"/>
  </r>
  <r>
    <s v="CR"/>
    <n v="142.36877552241543"/>
    <n v="168525.29416287085"/>
    <n v="8.4479173425933011E-4"/>
    <x v="2"/>
    <n v="113"/>
    <x v="1"/>
    <x v="0"/>
  </r>
  <r>
    <s v="CS"/>
    <n v="301.80794973903824"/>
    <n v="95194.541240323233"/>
    <n v="3.1704333652610335E-3"/>
    <x v="0"/>
    <n v="18"/>
    <x v="3"/>
    <x v="0"/>
  </r>
  <r>
    <s v="CT"/>
    <n v="415.52247071464922"/>
    <n v="127585.85437649582"/>
    <n v="3.2568067419799932E-3"/>
    <x v="0"/>
    <n v="93"/>
    <x v="1"/>
    <x v="0"/>
  </r>
  <r>
    <s v="CU"/>
    <n v="275.35443414460258"/>
    <n v="172574.56178135707"/>
    <n v="1.595567917440012E-3"/>
    <x v="0"/>
    <n v="10"/>
    <x v="3"/>
    <x v="0"/>
  </r>
  <r>
    <s v="CV"/>
    <n v="1415.2182291678259"/>
    <n v="98960.849148334542"/>
    <n v="1.4300789063021528E-2"/>
    <x v="0"/>
    <n v="33"/>
    <x v="3"/>
    <x v="0"/>
  </r>
  <r>
    <s v="CW"/>
    <n v="1796.0896984407345"/>
    <n v="128914.2258398354"/>
    <n v="1.3932439858671751E-2"/>
    <x v="0"/>
    <n v="4"/>
    <x v="3"/>
    <x v="0"/>
  </r>
  <r>
    <s v="CX"/>
    <n v="438.08722812547239"/>
    <n v="73191.201271674829"/>
    <n v="5.9855176648810271E-3"/>
    <x v="2"/>
    <n v="43"/>
    <x v="2"/>
    <x v="0"/>
  </r>
  <r>
    <s v="CY"/>
    <n v="1820.9499187016536"/>
    <n v="109434.08896076622"/>
    <n v="1.6639695509819537E-2"/>
    <x v="2"/>
    <n v="19"/>
    <x v="2"/>
    <x v="0"/>
  </r>
  <r>
    <s v="CZ"/>
    <n v="1876.5874413685608"/>
    <n v="141142.75824163243"/>
    <n v="1.3295669326200186E-2"/>
    <x v="2"/>
    <n v="113"/>
    <x v="2"/>
    <x v="0"/>
  </r>
  <r>
    <s v="AA"/>
    <n v="1596.934914590059"/>
    <n v="64200.675145222762"/>
    <n v="2.4874114033501538E-2"/>
    <x v="2"/>
    <n v="2"/>
    <x v="2"/>
    <x v="0"/>
  </r>
  <r>
    <s v="AB"/>
    <n v="1750.5181181918751"/>
    <n v="4229.0640352315113"/>
    <n v="0.41392565910770057"/>
    <x v="0"/>
    <n v="9"/>
    <x v="3"/>
    <x v="0"/>
  </r>
  <r>
    <s v="AC"/>
    <n v="1313.4335311582252"/>
    <n v="150674.90105281473"/>
    <n v="8.7170027787032631E-3"/>
    <x v="0"/>
    <n v="10"/>
    <x v="1"/>
    <x v="0"/>
  </r>
  <r>
    <s v="AD"/>
    <n v="1435.4780964535416"/>
    <n v="43862.544500091572"/>
    <n v="3.2726740156411693E-2"/>
    <x v="0"/>
    <n v="9"/>
    <x v="1"/>
    <x v="0"/>
  </r>
  <r>
    <s v="AE"/>
    <n v="136.51732461855158"/>
    <n v="189158.88130830514"/>
    <n v="7.2170718960874779E-4"/>
    <x v="0"/>
    <n v="337"/>
    <x v="0"/>
    <x v="0"/>
  </r>
  <r>
    <s v="AF"/>
    <n v="1014.0309508977045"/>
    <n v="69838.287712894016"/>
    <n v="1.4519699495875345E-2"/>
    <x v="0"/>
    <n v="109"/>
    <x v="2"/>
    <x v="0"/>
  </r>
  <r>
    <s v="AG"/>
    <n v="793.90272174887616"/>
    <n v="149643.49801172558"/>
    <n v="5.3052937969056864E-3"/>
    <x v="0"/>
    <n v="0"/>
    <x v="1"/>
    <x v="0"/>
  </r>
  <r>
    <s v="AH"/>
    <n v="662.03472534755963"/>
    <n v="132317.37997723665"/>
    <n v="5.0033844795102003E-3"/>
    <x v="0"/>
    <n v="68"/>
    <x v="0"/>
    <x v="0"/>
  </r>
  <r>
    <s v="AI"/>
    <n v="24.507157619172439"/>
    <n v="145993.47190224403"/>
    <n v="1.6786474970320741E-4"/>
    <x v="1"/>
    <n v="2"/>
    <x v="2"/>
    <x v="0"/>
  </r>
  <r>
    <s v="AJ"/>
    <n v="846.32046907981737"/>
    <n v="153766.6514049987"/>
    <n v="5.5039272907799362E-3"/>
    <x v="1"/>
    <n v="9"/>
    <x v="3"/>
    <x v="0"/>
  </r>
  <r>
    <s v="AK"/>
    <n v="953.87072002708487"/>
    <n v="20466.570263729998"/>
    <n v="4.660628076593247E-2"/>
    <x v="1"/>
    <n v="9"/>
    <x v="0"/>
    <x v="0"/>
  </r>
  <r>
    <s v="AL"/>
    <n v="29.457807005444756"/>
    <n v="12433.674820439512"/>
    <n v="2.3691955460359601E-3"/>
    <x v="1"/>
    <n v="3"/>
    <x v="0"/>
    <x v="0"/>
  </r>
  <r>
    <s v="AM"/>
    <n v="507.84389478199944"/>
    <n v="148523.23783508988"/>
    <n v="3.4192891441396857E-3"/>
    <x v="1"/>
    <n v="6"/>
    <x v="1"/>
    <x v="0"/>
  </r>
  <r>
    <s v="AN"/>
    <n v="1838.0892101991096"/>
    <n v="4604.0859700796855"/>
    <n v="0.3992299931287549"/>
    <x v="2"/>
    <n v="4"/>
    <x v="2"/>
    <x v="0"/>
  </r>
  <r>
    <s v="AO"/>
    <n v="1984.4798233632312"/>
    <n v="110435.52210589129"/>
    <n v="1.7969578859421784E-2"/>
    <x v="2"/>
    <n v="64"/>
    <x v="3"/>
    <x v="0"/>
  </r>
  <r>
    <s v="AP"/>
    <n v="1825.5402680483176"/>
    <n v="166019.83278195903"/>
    <n v="1.0995916797759204E-2"/>
    <x v="2"/>
    <n v="27"/>
    <x v="0"/>
    <x v="0"/>
  </r>
  <r>
    <s v="AQ"/>
    <n v="513.23320296104669"/>
    <n v="157009.05544233782"/>
    <n v="3.2688127542397295E-3"/>
    <x v="2"/>
    <n v="29"/>
    <x v="3"/>
    <x v="0"/>
  </r>
  <r>
    <s v="AR"/>
    <n v="1253.4166024163501"/>
    <n v="21061.471372269592"/>
    <n v="5.9512299984257055E-2"/>
    <x v="2"/>
    <n v="92"/>
    <x v="0"/>
    <x v="0"/>
  </r>
  <r>
    <s v="AS"/>
    <n v="126.39133325819674"/>
    <n v="184294.89959389801"/>
    <n v="6.8581026136211936E-4"/>
    <x v="0"/>
    <n v="7"/>
    <x v="3"/>
    <x v="0"/>
  </r>
  <r>
    <s v="AT"/>
    <n v="1070.1959231399846"/>
    <n v="99486.944775265045"/>
    <n v="1.075714934816314E-2"/>
    <x v="0"/>
    <n v="8"/>
    <x v="3"/>
    <x v="0"/>
  </r>
  <r>
    <s v="AU"/>
    <n v="1290.7275937495988"/>
    <n v="110537.59773431027"/>
    <n v="1.1676819654177847E-2"/>
    <x v="0"/>
    <n v="52"/>
    <x v="1"/>
    <x v="0"/>
  </r>
  <r>
    <s v="AV"/>
    <n v="422.9460037832622"/>
    <n v="86443.441200164656"/>
    <n v="4.892748344017297E-3"/>
    <x v="0"/>
    <n v="14"/>
    <x v="1"/>
    <x v="0"/>
  </r>
  <r>
    <s v="AW"/>
    <n v="272.23990107652043"/>
    <n v="46346.555544418647"/>
    <n v="5.874005044789252E-3"/>
    <x v="2"/>
    <n v="80"/>
    <x v="3"/>
    <x v="0"/>
  </r>
  <r>
    <s v="AX"/>
    <n v="385.26938816743228"/>
    <n v="38193.464709392822"/>
    <n v="1.0087311824126916E-2"/>
    <x v="2"/>
    <n v="44"/>
    <x v="3"/>
    <x v="0"/>
  </r>
  <r>
    <s v="AY"/>
    <n v="917.46168459837588"/>
    <n v="52412.66866737089"/>
    <n v="1.7504578719715808E-2"/>
    <x v="0"/>
    <n v="37"/>
    <x v="2"/>
    <x v="0"/>
  </r>
  <r>
    <s v="AZ"/>
    <n v="1693.5762846436758"/>
    <n v="66232.337268847157"/>
    <n v="2.5570232827043252E-2"/>
    <x v="0"/>
    <n v="36"/>
    <x v="3"/>
    <x v="0"/>
  </r>
  <r>
    <s v="AA"/>
    <n v="1782.7819773829196"/>
    <n v="19549.191501884943"/>
    <n v="9.1194665375855716E-2"/>
    <x v="2"/>
    <n v="2"/>
    <x v="2"/>
    <x v="0"/>
  </r>
  <r>
    <s v="AB"/>
    <n v="1745.3648194849793"/>
    <n v="187919.63437075491"/>
    <n v="9.2878257523717409E-3"/>
    <x v="0"/>
    <n v="9"/>
    <x v="3"/>
    <x v="0"/>
  </r>
  <r>
    <s v="AC"/>
    <n v="1533.6380716361032"/>
    <n v="93831.319686375791"/>
    <n v="1.6344628603350932E-2"/>
    <x v="0"/>
    <n v="10"/>
    <x v="1"/>
    <x v="0"/>
  </r>
  <r>
    <s v="AD"/>
    <n v="691.98375517447892"/>
    <n v="113406.15785351966"/>
    <n v="6.1018181752376735E-3"/>
    <x v="0"/>
    <n v="9"/>
    <x v="1"/>
    <x v="0"/>
  </r>
  <r>
    <s v="AE"/>
    <n v="264.23991971648866"/>
    <n v="92775.592390363439"/>
    <n v="2.8481620317191867E-3"/>
    <x v="0"/>
    <n v="337"/>
    <x v="0"/>
    <x v="0"/>
  </r>
  <r>
    <s v="AF"/>
    <n v="157.47404045740331"/>
    <n v="64498.824013046542"/>
    <n v="2.4415025059301878E-3"/>
    <x v="0"/>
    <n v="109"/>
    <x v="2"/>
    <x v="0"/>
  </r>
  <r>
    <s v="AG"/>
    <n v="1915.520224414325"/>
    <n v="125858.95338000097"/>
    <n v="1.5219578527964319E-2"/>
    <x v="0"/>
    <n v="0"/>
    <x v="1"/>
    <x v="0"/>
  </r>
  <r>
    <s v="AH"/>
    <n v="1409.8380169376499"/>
    <n v="125322.30665489596"/>
    <n v="1.1249697317014487E-2"/>
    <x v="0"/>
    <n v="68"/>
    <x v="0"/>
    <x v="0"/>
  </r>
  <r>
    <s v="AI"/>
    <n v="1659.9554299092424"/>
    <n v="186768.55399735438"/>
    <n v="8.8877672091028561E-3"/>
    <x v="1"/>
    <n v="2"/>
    <x v="2"/>
    <x v="0"/>
  </r>
  <r>
    <s v="AJ"/>
    <n v="786.73633115623318"/>
    <n v="106760.33135579515"/>
    <n v="7.3691821781099003E-3"/>
    <x v="1"/>
    <n v="9"/>
    <x v="3"/>
    <x v="0"/>
  </r>
  <r>
    <s v="AK"/>
    <n v="1574.2023975697559"/>
    <n v="190106.26762230872"/>
    <n v="8.2806443851566377E-3"/>
    <x v="1"/>
    <n v="9"/>
    <x v="0"/>
    <x v="0"/>
  </r>
  <r>
    <s v="AL"/>
    <n v="960.89928431374381"/>
    <n v="49730.790456465067"/>
    <n v="1.9322019125252526E-2"/>
    <x v="1"/>
    <n v="3"/>
    <x v="0"/>
    <x v="0"/>
  </r>
  <r>
    <s v="AM"/>
    <n v="29.224964938032947"/>
    <n v="149345.23822080169"/>
    <n v="1.9568728997455454E-4"/>
    <x v="1"/>
    <n v="6"/>
    <x v="1"/>
    <x v="0"/>
  </r>
  <r>
    <s v="AN"/>
    <n v="198.57107427883847"/>
    <n v="118354.34251104206"/>
    <n v="1.6777675416541006E-3"/>
    <x v="2"/>
    <n v="4"/>
    <x v="2"/>
    <x v="0"/>
  </r>
  <r>
    <s v="AO"/>
    <n v="1272.8172136853275"/>
    <n v="123457.31859597081"/>
    <n v="1.0309775298544897E-2"/>
    <x v="2"/>
    <n v="64"/>
    <x v="3"/>
    <x v="0"/>
  </r>
  <r>
    <s v="AP"/>
    <n v="66.635233584078307"/>
    <n v="103422.47387938839"/>
    <n v="6.4430129240370445E-4"/>
    <x v="2"/>
    <n v="27"/>
    <x v="0"/>
    <x v="0"/>
  </r>
  <r>
    <s v="AQ"/>
    <n v="1156.6293125068555"/>
    <n v="102381.82039063128"/>
    <n v="1.1297213783597619E-2"/>
    <x v="2"/>
    <n v="29"/>
    <x v="3"/>
    <x v="0"/>
  </r>
  <r>
    <s v="AR"/>
    <n v="1350.9495076381263"/>
    <n v="65551.941979570067"/>
    <n v="2.0608840361421535E-2"/>
    <x v="2"/>
    <n v="92"/>
    <x v="0"/>
    <x v="0"/>
  </r>
  <r>
    <s v="AS"/>
    <n v="71.486592556593735"/>
    <n v="129320.42638576553"/>
    <n v="5.5278655162601872E-4"/>
    <x v="0"/>
    <n v="7"/>
    <x v="3"/>
    <x v="0"/>
  </r>
  <r>
    <s v="AT"/>
    <n v="1258.1324506118024"/>
    <n v="73630.412761168729"/>
    <n v="1.7087130214694619E-2"/>
    <x v="0"/>
    <n v="8"/>
    <x v="3"/>
    <x v="0"/>
  </r>
  <r>
    <s v="AU"/>
    <n v="664.1254052591712"/>
    <n v="19383.83372405672"/>
    <n v="3.4261819138230856E-2"/>
    <x v="0"/>
    <n v="52"/>
    <x v="1"/>
    <x v="0"/>
  </r>
  <r>
    <s v="AV"/>
    <n v="364.35602753147589"/>
    <n v="133169.98735997756"/>
    <n v="2.7360220929252576E-3"/>
    <x v="0"/>
    <n v="14"/>
    <x v="1"/>
    <x v="0"/>
  </r>
  <r>
    <s v="AW"/>
    <n v="1511.9669708566178"/>
    <n v="178806.87600472345"/>
    <n v="8.4558659299918473E-3"/>
    <x v="2"/>
    <n v="80"/>
    <x v="3"/>
    <x v="0"/>
  </r>
  <r>
    <s v="AX"/>
    <n v="1807.2123105474909"/>
    <n v="186847.58742837087"/>
    <n v="9.6721201243248397E-3"/>
    <x v="2"/>
    <n v="44"/>
    <x v="3"/>
    <x v="0"/>
  </r>
  <r>
    <s v="AY"/>
    <n v="217.23897943058535"/>
    <n v="165703.10911655345"/>
    <n v="1.3110132971481073E-3"/>
    <x v="0"/>
    <n v="37"/>
    <x v="2"/>
    <x v="0"/>
  </r>
  <r>
    <s v="AZ"/>
    <n v="605.47464252658551"/>
    <n v="36356.820916294884"/>
    <n v="1.6653673981027749E-2"/>
    <x v="0"/>
    <n v="36"/>
    <x v="3"/>
    <x v="0"/>
  </r>
  <r>
    <s v="BA"/>
    <n v="1559.49484250316"/>
    <n v="105860.57339650179"/>
    <n v="1.4731592626671852E-2"/>
    <x v="1"/>
    <n v="94"/>
    <x v="2"/>
    <x v="0"/>
  </r>
  <r>
    <s v="BB"/>
    <n v="942.80804646018225"/>
    <n v="72968.401582197679"/>
    <n v="1.2920771539693449E-2"/>
    <x v="0"/>
    <n v="14"/>
    <x v="3"/>
    <x v="0"/>
  </r>
  <r>
    <s v="BC"/>
    <n v="231.81945026492136"/>
    <n v="74515.967729266325"/>
    <n v="3.1110036859103114E-3"/>
    <x v="0"/>
    <n v="81"/>
    <x v="1"/>
    <x v="0"/>
  </r>
  <r>
    <s v="BD"/>
    <n v="1409.8701458257044"/>
    <n v="189244.19024237248"/>
    <n v="7.4500049064651769E-3"/>
    <x v="0"/>
    <n v="87"/>
    <x v="0"/>
    <x v="0"/>
  </r>
  <r>
    <s v="BE"/>
    <n v="1615.1147431285331"/>
    <n v="128377.99304012023"/>
    <n v="1.2580931551280625E-2"/>
    <x v="0"/>
    <n v="254"/>
    <x v="3"/>
    <x v="0"/>
  </r>
  <r>
    <s v="BF"/>
    <n v="983.5354414745301"/>
    <n v="22810.74800915537"/>
    <n v="4.3117193749182457E-2"/>
    <x v="0"/>
    <n v="51"/>
    <x v="3"/>
    <x v="0"/>
  </r>
  <r>
    <s v="BG"/>
    <n v="1296.4322710320885"/>
    <n v="78094.304920227907"/>
    <n v="1.6600855495882489E-2"/>
    <x v="1"/>
    <n v="22"/>
    <x v="1"/>
    <x v="0"/>
  </r>
  <r>
    <s v="BH"/>
    <n v="696.31493204844696"/>
    <n v="71748.568024012478"/>
    <n v="9.7049314184975439E-3"/>
    <x v="1"/>
    <n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51F4DE-25B7-4986-839B-C3C6D769B042}" name="PivotTable3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outline="1" outlineData="1" multipleFieldFilters="0" rowHeaderCaption="Price Point">
  <location ref="G77:K82" firstHeaderRow="0" firstDataRow="1" firstDataCol="1"/>
  <pivotFields count="15">
    <pivotField showAll="0"/>
    <pivotField dataField="1" numFmtId="1" showAll="0"/>
    <pivotField numFmtId="1" showAll="0"/>
    <pivotField numFmtId="165" showAll="0"/>
    <pivotField showAll="0">
      <items count="4">
        <item x="0"/>
        <item x="1"/>
        <item x="2"/>
        <item t="default"/>
      </items>
    </pivotField>
    <pivotField dataField="1" showAll="0"/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2">
        <item x="0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7"/>
    <field x="6"/>
  </rowFields>
  <rowItems count="5">
    <i>
      <x/>
    </i>
    <i r="1">
      <x/>
    </i>
    <i r="1">
      <x v="1"/>
    </i>
    <i r="1">
      <x v="2"/>
    </i>
    <i r="1"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tores Count" fld="5" baseField="7" baseItem="1"/>
    <dataField name="LTO Product Units" fld="1" baseField="7" baseItem="1" numFmtId="1"/>
    <dataField name="LTO Units per Store" fld="13" subtotal="average" baseField="7" baseItem="1" numFmtId="1"/>
    <dataField name="LTO Mix %" fld="14" subtotal="average" baseField="7" baseItem="1" numFmtId="165"/>
  </dataFields>
  <formats count="58">
    <format dxfId="57">
      <pivotArea outline="0" collapsedLevelsAreSubtotals="1" fieldPosition="0"/>
    </format>
    <format dxfId="56">
      <pivotArea outline="0" collapsedLevelsAreSubtotals="1" fieldPosition="0"/>
    </format>
    <format dxfId="55">
      <pivotArea field="4" type="button" dataOnly="0" labelOnly="1" outline="0"/>
    </format>
    <format dxfId="54">
      <pivotArea dataOnly="0" labelOnly="1" grandRow="1" outline="0" fieldPosition="0"/>
    </format>
    <format dxfId="53">
      <pivotArea field="7" type="button" dataOnly="0" labelOnly="1" outline="0" axis="axisRow" fieldPosition="0"/>
    </format>
    <format dxfId="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0">
      <pivotArea field="7" type="button" dataOnly="0" labelOnly="1" outline="0" axis="axisRow" fieldPosition="0"/>
    </format>
    <format dxfId="49">
      <pivotArea dataOnly="0" labelOnly="1" grandRow="1" outline="0" fieldPosition="0"/>
    </format>
    <format dxfId="48">
      <pivotArea field="6" type="button" dataOnly="0" labelOnly="1" outline="0" axis="axisRow" fieldPosition="1"/>
    </format>
    <format dxfId="47">
      <pivotArea field="6" type="button" dataOnly="0" labelOnly="1" outline="0" axis="axisRow" fieldPosition="1"/>
    </format>
    <format dxfId="46">
      <pivotArea dataOnly="0" labelOnly="1" fieldPosition="0">
        <references count="1">
          <reference field="6" count="0"/>
        </references>
      </pivotArea>
    </format>
    <format dxfId="45">
      <pivotArea dataOnly="0" labelOnly="1" fieldPosition="0">
        <references count="1">
          <reference field="6" count="0"/>
        </references>
      </pivotArea>
    </format>
    <format dxfId="44">
      <pivotArea field="6" type="button" dataOnly="0" labelOnly="1" outline="0" axis="axisRow" fieldPosition="1"/>
    </format>
    <format dxfId="43">
      <pivotArea type="all" dataOnly="0" outline="0" fieldPosition="0"/>
    </format>
    <format dxfId="42">
      <pivotArea dataOnly="0" labelOnly="1" fieldPosition="0">
        <references count="1">
          <reference field="6" count="0"/>
        </references>
      </pivotArea>
    </format>
    <format dxfId="41">
      <pivotArea dataOnly="0" labelOnly="1" fieldPosition="0">
        <references count="1">
          <reference field="6" count="0"/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6" type="button" dataOnly="0" labelOnly="1" outline="0" axis="axisRow" fieldPosition="1"/>
    </format>
    <format dxfId="37">
      <pivotArea dataOnly="0" labelOnly="1" fieldPosition="0">
        <references count="1">
          <reference field="6" count="0"/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field="6" type="button" dataOnly="0" labelOnly="1" outline="0" axis="axisRow" fieldPosition="1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field="6" type="button" dataOnly="0" labelOnly="1" outline="0" axis="axisRow" fieldPosition="1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field="6" type="button" dataOnly="0" labelOnly="1" outline="0" axis="axisRow" fieldPosition="1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field="6" type="button" dataOnly="0" labelOnly="1" outline="0" axis="axisRow" fieldPosition="1"/>
    </format>
    <format dxfId="23">
      <pivotArea dataOnly="0" labelOnly="1" fieldPosition="0">
        <references count="1">
          <reference field="6" count="0"/>
        </references>
      </pivotArea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field="7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outline="0" fieldPosition="0">
        <references count="1">
          <reference field="4294967294" count="1">
            <x v="1"/>
          </reference>
        </references>
      </pivotArea>
    </format>
    <format dxfId="17">
      <pivotArea outline="0" fieldPosition="0">
        <references count="1">
          <reference field="4294967294" count="1">
            <x v="3"/>
          </reference>
        </references>
      </pivotArea>
    </format>
    <format dxfId="16">
      <pivotArea outline="0" fieldPosition="0">
        <references count="1">
          <reference field="4294967294" count="1">
            <x v="2"/>
          </reference>
        </references>
      </pivotArea>
    </format>
    <format dxfId="15">
      <pivotArea field="7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">
      <pivotArea field="7" type="button" dataOnly="0" labelOnly="1" outline="0" axis="axisRow" fieldPosition="0"/>
    </format>
    <format dxfId="1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">
      <pivotArea field="7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">
      <pivotArea field="7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">
      <pivotArea field="7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">
      <pivotArea field="7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">
      <pivotArea type="all" dataOnly="0" outline="0" fieldPosition="0"/>
    </format>
    <format dxfId="2">
      <pivotArea outline="0" collapsedLevelsAreSubtotals="1" fieldPosition="0"/>
    </format>
    <format dxfId="1">
      <pivotArea field="7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ithub.com/Thehobbses/VBA-Analysis-Automation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E82C-34EB-4B48-94EA-9BD31301CB14}">
  <sheetPr codeName="Sheet19">
    <tabColor rgb="FFFFC000"/>
  </sheetPr>
  <dimension ref="B1:S39"/>
  <sheetViews>
    <sheetView tabSelected="1" topLeftCell="A12" zoomScale="109" zoomScaleNormal="385" workbookViewId="0">
      <selection activeCell="H24" sqref="H24:K24"/>
    </sheetView>
  </sheetViews>
  <sheetFormatPr defaultRowHeight="14.4" x14ac:dyDescent="0.3"/>
  <cols>
    <col min="1" max="5" width="8.88671875" style="41"/>
    <col min="6" max="11" width="15.77734375" style="41" customWidth="1"/>
    <col min="12" max="12" width="6.21875" style="41" customWidth="1"/>
    <col min="13" max="16384" width="8.88671875" style="41"/>
  </cols>
  <sheetData>
    <row r="1" spans="2:19" ht="14.4" customHeight="1" x14ac:dyDescent="0.3">
      <c r="C1" s="72"/>
      <c r="D1" s="72"/>
      <c r="E1" s="72"/>
      <c r="F1" s="334" t="s">
        <v>105</v>
      </c>
      <c r="G1" s="334"/>
      <c r="H1" s="334"/>
      <c r="I1" s="334"/>
      <c r="J1" s="334"/>
      <c r="K1" s="334"/>
      <c r="L1" s="72"/>
    </row>
    <row r="2" spans="2:19" ht="14.4" customHeight="1" x14ac:dyDescent="0.3">
      <c r="C2" s="72"/>
      <c r="D2" s="72"/>
      <c r="E2" s="72"/>
      <c r="F2" s="334"/>
      <c r="G2" s="334"/>
      <c r="H2" s="334"/>
      <c r="I2" s="334"/>
      <c r="J2" s="334"/>
      <c r="K2" s="334"/>
      <c r="L2" s="72"/>
      <c r="M2" s="73"/>
      <c r="N2" s="73"/>
      <c r="O2" s="73"/>
      <c r="P2" s="73"/>
    </row>
    <row r="3" spans="2:19" ht="14.4" customHeight="1" x14ac:dyDescent="0.3">
      <c r="C3" s="72"/>
      <c r="D3" s="72"/>
      <c r="E3" s="72"/>
      <c r="F3" s="334"/>
      <c r="G3" s="334"/>
      <c r="H3" s="334"/>
      <c r="I3" s="334"/>
      <c r="J3" s="334"/>
      <c r="K3" s="334"/>
      <c r="L3" s="72"/>
      <c r="M3" s="73"/>
      <c r="N3" s="73"/>
      <c r="O3" s="73"/>
      <c r="P3" s="73"/>
    </row>
    <row r="4" spans="2:19" ht="14.4" customHeight="1" x14ac:dyDescent="0.3">
      <c r="C4" s="43"/>
      <c r="D4" s="43"/>
      <c r="E4" s="43"/>
      <c r="F4" s="335" t="s">
        <v>41</v>
      </c>
      <c r="G4" s="335"/>
      <c r="H4" s="335"/>
      <c r="I4" s="335"/>
      <c r="J4" s="335"/>
      <c r="K4" s="335"/>
      <c r="L4" s="43"/>
      <c r="M4" s="68"/>
      <c r="N4" s="68"/>
      <c r="O4" s="68"/>
      <c r="P4" s="68"/>
    </row>
    <row r="5" spans="2:19" x14ac:dyDescent="0.3">
      <c r="C5" s="43"/>
      <c r="D5" s="43"/>
      <c r="E5" s="43"/>
      <c r="F5" s="335"/>
      <c r="G5" s="335"/>
      <c r="H5" s="335"/>
      <c r="I5" s="335"/>
      <c r="J5" s="335"/>
      <c r="K5" s="335"/>
      <c r="L5" s="43"/>
      <c r="M5" s="68"/>
      <c r="N5" s="68"/>
      <c r="O5" s="68"/>
      <c r="P5" s="68"/>
    </row>
    <row r="6" spans="2:19" x14ac:dyDescent="0.3">
      <c r="C6" s="42"/>
      <c r="D6" s="42"/>
      <c r="E6" s="42"/>
      <c r="F6" s="335"/>
      <c r="G6" s="335"/>
      <c r="H6" s="335"/>
      <c r="I6" s="335"/>
      <c r="J6" s="335"/>
      <c r="K6" s="335"/>
      <c r="L6" s="43"/>
      <c r="M6" s="68"/>
      <c r="N6" s="68"/>
      <c r="O6" s="68"/>
      <c r="P6" s="68"/>
    </row>
    <row r="7" spans="2:19" ht="14.4" customHeight="1" x14ac:dyDescent="0.3">
      <c r="C7" s="43"/>
      <c r="D7" s="43"/>
      <c r="E7" s="43"/>
      <c r="F7" s="354" t="s">
        <v>158</v>
      </c>
      <c r="G7" s="354"/>
      <c r="H7" s="354"/>
      <c r="I7" s="354"/>
      <c r="J7" s="354"/>
      <c r="K7" s="354"/>
      <c r="L7" s="44"/>
    </row>
    <row r="8" spans="2:19" ht="14.4" customHeight="1" x14ac:dyDescent="0.3">
      <c r="B8" s="43"/>
      <c r="C8" s="43"/>
      <c r="D8" s="43"/>
      <c r="E8" s="43"/>
      <c r="F8" s="354"/>
      <c r="G8" s="354"/>
      <c r="H8" s="354"/>
      <c r="I8" s="354"/>
      <c r="J8" s="354"/>
      <c r="K8" s="354"/>
      <c r="L8" s="44"/>
    </row>
    <row r="9" spans="2:19" ht="14.4" customHeight="1" x14ac:dyDescent="0.3">
      <c r="B9" s="42"/>
      <c r="C9" s="42"/>
      <c r="D9" s="42"/>
      <c r="E9" s="42"/>
      <c r="F9" s="67"/>
      <c r="G9" s="67"/>
      <c r="H9" s="67"/>
      <c r="I9" s="67"/>
      <c r="J9" s="67"/>
      <c r="K9" s="67"/>
    </row>
    <row r="10" spans="2:19" ht="14.4" customHeight="1" x14ac:dyDescent="0.3">
      <c r="B10" s="44"/>
      <c r="C10" s="43"/>
      <c r="D10" s="43"/>
      <c r="E10" s="43"/>
      <c r="F10" s="67"/>
      <c r="G10" s="67"/>
      <c r="H10" s="67"/>
      <c r="I10" s="67"/>
      <c r="J10" s="67"/>
      <c r="K10" s="67"/>
      <c r="S10" s="64"/>
    </row>
    <row r="11" spans="2:19" ht="14.4" customHeight="1" thickBot="1" x14ac:dyDescent="0.35">
      <c r="B11" s="67"/>
      <c r="C11" s="67"/>
      <c r="D11" s="67"/>
      <c r="E11" s="67"/>
      <c r="F11" s="177"/>
      <c r="G11" s="177"/>
      <c r="H11" s="177"/>
      <c r="I11" s="177"/>
      <c r="J11" s="177"/>
      <c r="K11" s="177"/>
    </row>
    <row r="12" spans="2:19" ht="31.2" customHeight="1" x14ac:dyDescent="0.3">
      <c r="B12" s="67"/>
      <c r="C12" s="67"/>
      <c r="D12" s="67"/>
      <c r="E12" s="67"/>
      <c r="F12" s="340" t="s">
        <v>83</v>
      </c>
      <c r="G12" s="341"/>
      <c r="H12" s="341"/>
      <c r="I12" s="342"/>
      <c r="J12" s="74"/>
      <c r="K12" s="70"/>
    </row>
    <row r="13" spans="2:19" ht="14.4" customHeight="1" x14ac:dyDescent="0.3">
      <c r="B13" s="67"/>
      <c r="C13" s="67"/>
      <c r="D13" s="67"/>
      <c r="E13" s="67"/>
      <c r="F13" s="343"/>
      <c r="G13" s="344"/>
      <c r="H13" s="344"/>
      <c r="I13" s="345"/>
      <c r="J13" s="75"/>
      <c r="K13" s="71"/>
    </row>
    <row r="14" spans="2:19" ht="14.4" customHeight="1" x14ac:dyDescent="0.3">
      <c r="B14" s="67"/>
      <c r="C14" s="67"/>
      <c r="D14" s="67"/>
      <c r="E14" s="67"/>
      <c r="F14" s="343"/>
      <c r="G14" s="344"/>
      <c r="H14" s="344"/>
      <c r="I14" s="345"/>
      <c r="J14" s="75"/>
      <c r="K14" s="71"/>
      <c r="L14" s="45"/>
    </row>
    <row r="15" spans="2:19" ht="14.4" customHeight="1" thickBot="1" x14ac:dyDescent="0.35">
      <c r="B15" s="67"/>
      <c r="C15" s="67"/>
      <c r="D15" s="67"/>
      <c r="E15" s="67"/>
      <c r="F15" s="343"/>
      <c r="G15" s="344"/>
      <c r="H15" s="344"/>
      <c r="I15" s="345"/>
      <c r="J15" s="75"/>
      <c r="K15" s="71"/>
    </row>
    <row r="16" spans="2:19" ht="14.4" customHeight="1" x14ac:dyDescent="0.3">
      <c r="B16" s="67"/>
      <c r="C16" s="67"/>
      <c r="D16" s="67"/>
      <c r="E16" s="67"/>
      <c r="F16" s="336" t="s">
        <v>118</v>
      </c>
      <c r="G16" s="337"/>
      <c r="H16" s="338" t="s">
        <v>1</v>
      </c>
      <c r="I16" s="338"/>
      <c r="J16" s="338"/>
      <c r="K16" s="339"/>
    </row>
    <row r="17" spans="2:11" ht="14.4" customHeight="1" x14ac:dyDescent="0.3">
      <c r="B17" s="67"/>
      <c r="C17" s="67"/>
      <c r="D17" s="67"/>
      <c r="E17" s="67"/>
      <c r="F17" s="350" t="s">
        <v>82</v>
      </c>
      <c r="G17" s="351"/>
      <c r="H17" s="346" t="s">
        <v>157</v>
      </c>
      <c r="I17" s="346"/>
      <c r="J17" s="346"/>
      <c r="K17" s="347"/>
    </row>
    <row r="18" spans="2:11" ht="14.4" customHeight="1" x14ac:dyDescent="0.3">
      <c r="B18" s="67"/>
      <c r="C18" s="67"/>
      <c r="D18" s="67"/>
      <c r="E18" s="67"/>
      <c r="F18" s="352" t="s">
        <v>38</v>
      </c>
      <c r="G18" s="353"/>
      <c r="H18" s="348" t="s">
        <v>179</v>
      </c>
      <c r="I18" s="348"/>
      <c r="J18" s="348"/>
      <c r="K18" s="349"/>
    </row>
    <row r="19" spans="2:11" ht="15.6" x14ac:dyDescent="0.3">
      <c r="B19" s="67"/>
      <c r="C19" s="67"/>
      <c r="D19" s="67"/>
      <c r="E19" s="67"/>
      <c r="F19" s="352" t="s">
        <v>104</v>
      </c>
      <c r="G19" s="353"/>
      <c r="H19" s="348" t="s">
        <v>117</v>
      </c>
      <c r="I19" s="348"/>
      <c r="J19" s="348"/>
      <c r="K19" s="349"/>
    </row>
    <row r="20" spans="2:11" ht="15.6" x14ac:dyDescent="0.3">
      <c r="B20" s="67"/>
      <c r="C20" s="67"/>
      <c r="D20" s="67"/>
      <c r="E20" s="67"/>
      <c r="F20" s="352" t="s">
        <v>40</v>
      </c>
      <c r="G20" s="353"/>
      <c r="H20" s="348" t="s">
        <v>34</v>
      </c>
      <c r="I20" s="348"/>
      <c r="J20" s="348"/>
      <c r="K20" s="349"/>
    </row>
    <row r="21" spans="2:11" s="67" customFormat="1" ht="16.2" thickBot="1" x14ac:dyDescent="0.35">
      <c r="F21" s="355" t="s">
        <v>39</v>
      </c>
      <c r="G21" s="356"/>
      <c r="H21" s="357">
        <v>2021</v>
      </c>
      <c r="I21" s="357"/>
      <c r="J21" s="357"/>
      <c r="K21" s="358"/>
    </row>
    <row r="22" spans="2:11" s="67" customFormat="1" ht="15" thickBot="1" x14ac:dyDescent="0.35"/>
    <row r="23" spans="2:11" s="67" customFormat="1" x14ac:dyDescent="0.3">
      <c r="F23" s="326" t="s">
        <v>110</v>
      </c>
      <c r="G23" s="327"/>
      <c r="H23" s="328" t="s">
        <v>403</v>
      </c>
      <c r="I23" s="328"/>
      <c r="J23" s="328"/>
      <c r="K23" s="329"/>
    </row>
    <row r="24" spans="2:11" s="67" customFormat="1" x14ac:dyDescent="0.3">
      <c r="F24" s="330" t="s">
        <v>111</v>
      </c>
      <c r="G24" s="331"/>
      <c r="H24" s="332" t="s">
        <v>112</v>
      </c>
      <c r="I24" s="332"/>
      <c r="J24" s="332"/>
      <c r="K24" s="333"/>
    </row>
    <row r="25" spans="2:11" s="67" customFormat="1" ht="15" thickBot="1" x14ac:dyDescent="0.35">
      <c r="F25" s="322" t="s">
        <v>120</v>
      </c>
      <c r="G25" s="323"/>
      <c r="H25" s="324" t="s">
        <v>119</v>
      </c>
      <c r="I25" s="324"/>
      <c r="J25" s="324"/>
      <c r="K25" s="325"/>
    </row>
    <row r="26" spans="2:11" s="67" customFormat="1" x14ac:dyDescent="0.3"/>
    <row r="27" spans="2:11" s="67" customFormat="1" x14ac:dyDescent="0.3"/>
    <row r="28" spans="2:11" s="67" customFormat="1" x14ac:dyDescent="0.3"/>
    <row r="29" spans="2:11" s="67" customFormat="1" x14ac:dyDescent="0.3"/>
    <row r="30" spans="2:11" s="67" customFormat="1" x14ac:dyDescent="0.3"/>
    <row r="31" spans="2:11" s="67" customFormat="1" x14ac:dyDescent="0.3"/>
    <row r="32" spans="2:11" s="67" customFormat="1" x14ac:dyDescent="0.3"/>
    <row r="33" s="67" customFormat="1" x14ac:dyDescent="0.3"/>
    <row r="34" s="67" customFormat="1" x14ac:dyDescent="0.3"/>
    <row r="35" s="67" customFormat="1" x14ac:dyDescent="0.3"/>
    <row r="36" s="67" customFormat="1" x14ac:dyDescent="0.3"/>
    <row r="37" s="67" customFormat="1" x14ac:dyDescent="0.3"/>
    <row r="38" s="67" customFormat="1" x14ac:dyDescent="0.3"/>
    <row r="39" s="67" customFormat="1" x14ac:dyDescent="0.3"/>
  </sheetData>
  <mergeCells count="22">
    <mergeCell ref="F19:G19"/>
    <mergeCell ref="H19:K19"/>
    <mergeCell ref="F20:G20"/>
    <mergeCell ref="H20:K20"/>
    <mergeCell ref="F21:G21"/>
    <mergeCell ref="H21:K21"/>
    <mergeCell ref="H17:K17"/>
    <mergeCell ref="H18:K18"/>
    <mergeCell ref="F17:G17"/>
    <mergeCell ref="F18:G18"/>
    <mergeCell ref="F7:K8"/>
    <mergeCell ref="F1:K3"/>
    <mergeCell ref="F4:K6"/>
    <mergeCell ref="F16:G16"/>
    <mergeCell ref="H16:K16"/>
    <mergeCell ref="F12:I15"/>
    <mergeCell ref="F25:G25"/>
    <mergeCell ref="H25:K25"/>
    <mergeCell ref="F23:G23"/>
    <mergeCell ref="H23:K23"/>
    <mergeCell ref="F24:G24"/>
    <mergeCell ref="H24:K24"/>
  </mergeCells>
  <dataValidations count="5">
    <dataValidation type="list" allowBlank="1" showInputMessage="1" showErrorMessage="1" sqref="H21" xr:uid="{0E542C14-39A3-4130-A083-0A27191A9238}">
      <formula1>"2021,2022,2023,2024,2025,2026"</formula1>
    </dataValidation>
    <dataValidation type="list" allowBlank="1" showInputMessage="1" showErrorMessage="1" sqref="H17" xr:uid="{617E8DA4-FCF8-4A4A-B8C3-E31E819342D8}">
      <formula1>"Excel, PowerPoint, Both"</formula1>
    </dataValidation>
    <dataValidation type="list" allowBlank="1" showInputMessage="1" showErrorMessage="1" sqref="H16:K16" xr:uid="{5E1D1467-D40F-4E92-B7A6-877704CB25E6}">
      <formula1>"All, Selected"</formula1>
    </dataValidation>
    <dataValidation type="list" allowBlank="1" showInputMessage="1" showErrorMessage="1" sqref="H20" xr:uid="{0C81471E-B6CA-43C1-B91C-31B1F3A9DEC6}">
      <formula1>"Q1,Q2,Q3,Q4,Ad Hoc"</formula1>
    </dataValidation>
    <dataValidation type="list" allowBlank="1" showInputMessage="1" showErrorMessage="1" sqref="H25:K25" xr:uid="{C5C8F1E5-7BFA-49E4-B413-87DED0BFBA35}">
      <formula1>"Fast, Direct (Not Recommended)"</formula1>
    </dataValidation>
  </dataValidations>
  <hyperlinks>
    <hyperlink ref="F7" r:id="rId1" xr:uid="{F111E32A-BFA2-4BD8-A946-036E31585C71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_xludf.Execute">
                <anchor moveWithCells="1" sizeWithCells="1">
                  <from>
                    <xdr:col>9</xdr:col>
                    <xdr:colOff>76200</xdr:colOff>
                    <xdr:row>11</xdr:row>
                    <xdr:rowOff>53340</xdr:rowOff>
                  </from>
                  <to>
                    <xdr:col>10</xdr:col>
                    <xdr:colOff>998220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E9D65A-1766-4AEF-A10A-A879CCFB167B}">
          <x14:formula1>
            <xm:f>'General Lookups'!$A$2:$A$113</xm:f>
          </x14:formula1>
          <xm:sqref>H18:K18</xm:sqref>
        </x14:dataValidation>
        <x14:dataValidation type="list" allowBlank="1" showInputMessage="1" showErrorMessage="1" xr:uid="{807BAC07-B5FA-4C79-AE76-6AB6E90C5AF8}">
          <x14:formula1>
            <xm:f>'General Lookups'!$Q$2:$Q$200</xm:f>
          </x14:formula1>
          <xm:sqref>H19:K19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3457-931E-47E5-AD79-14686AC7B860}">
  <sheetPr codeName="Sheet7">
    <tabColor rgb="FFFF0000"/>
  </sheetPr>
  <dimension ref="A1:AF96"/>
  <sheetViews>
    <sheetView topLeftCell="A78" zoomScale="60" zoomScaleNormal="70" workbookViewId="0">
      <selection activeCell="D86" sqref="D86"/>
    </sheetView>
  </sheetViews>
  <sheetFormatPr defaultColWidth="25.77734375" defaultRowHeight="15.6" x14ac:dyDescent="0.3"/>
  <cols>
    <col min="2" max="2" width="25.77734375" style="120"/>
    <col min="3" max="3" width="52.109375" style="120" bestFit="1" customWidth="1"/>
    <col min="4" max="4" width="28.6640625" style="120" bestFit="1" customWidth="1"/>
    <col min="5" max="6" width="25.77734375" style="120"/>
    <col min="7" max="7" width="21.5546875" style="120" bestFit="1" customWidth="1"/>
    <col min="8" max="8" width="16.44140625" style="120" bestFit="1" customWidth="1"/>
    <col min="9" max="9" width="23.21875" style="120" bestFit="1" customWidth="1"/>
    <col min="10" max="10" width="24.88671875" style="120" bestFit="1" customWidth="1"/>
    <col min="11" max="11" width="14.21875" style="120" bestFit="1" customWidth="1"/>
    <col min="12" max="16384" width="25.77734375" style="120"/>
  </cols>
  <sheetData>
    <row r="1" spans="2:28" ht="26.4" customHeight="1" x14ac:dyDescent="0.3"/>
    <row r="2" spans="2:28" ht="16.2" thickBot="1" x14ac:dyDescent="0.35"/>
    <row r="3" spans="2:28" ht="21.6" customHeight="1" thickBot="1" x14ac:dyDescent="0.35">
      <c r="B3" s="183" t="str">
        <f>Controls!$H$18</f>
        <v>P</v>
      </c>
      <c r="C3" s="184"/>
      <c r="D3" s="185"/>
    </row>
    <row r="4" spans="2:28" ht="21" customHeight="1" thickBot="1" x14ac:dyDescent="0.35">
      <c r="B4" s="93" t="s">
        <v>33</v>
      </c>
      <c r="C4" s="94" t="s">
        <v>68</v>
      </c>
      <c r="D4" s="94" t="s">
        <v>69</v>
      </c>
    </row>
    <row r="5" spans="2:28" ht="14.4" customHeight="1" x14ac:dyDescent="0.3">
      <c r="B5" s="84" t="s">
        <v>362</v>
      </c>
      <c r="C5" s="95">
        <f>VLOOKUP($B3,'Check by Channel Data'!C$11:Q$122,12)</f>
        <v>53.26130791117054</v>
      </c>
      <c r="D5" s="95">
        <f>VLOOKUP($B3,'Check by Channel Data'!U$11:BY$122,12)</f>
        <v>87.724234906229242</v>
      </c>
    </row>
    <row r="6" spans="2:28" ht="14.4" customHeight="1" x14ac:dyDescent="0.3">
      <c r="B6" s="84" t="s">
        <v>296</v>
      </c>
      <c r="C6" s="96">
        <f>VLOOKUP($B3,'Check by Channel Data'!C$11:Q$122,13)</f>
        <v>26.322679602000253</v>
      </c>
      <c r="D6" s="96">
        <f>VLOOKUP($B3,'Check by Channel Data'!U$11:BY$122,13)</f>
        <v>53.418301554506719</v>
      </c>
    </row>
    <row r="7" spans="2:28" ht="14.4" customHeight="1" x14ac:dyDescent="0.3">
      <c r="B7" s="84" t="s">
        <v>375</v>
      </c>
      <c r="C7" s="96">
        <f>VLOOKUP($B3,'Check by Channel Data'!C$11:Q$122,14)</f>
        <v>33.125182226142527</v>
      </c>
      <c r="D7" s="96">
        <f>VLOOKUP($B3,'Check by Channel Data'!U$11:BY$122,14)</f>
        <v>31.614105835431229</v>
      </c>
    </row>
    <row r="8" spans="2:28" ht="16.2" thickBot="1" x14ac:dyDescent="0.35">
      <c r="B8" s="97" t="s">
        <v>383</v>
      </c>
      <c r="C8" s="98">
        <f>VLOOKUP($B3,'Check by Channel Data'!C$11:Q$122,15)</f>
        <v>96.752214560830907</v>
      </c>
      <c r="D8" s="98">
        <f>VLOOKUP($B3,'Check by Channel Data'!U$11:BY$122,15)</f>
        <v>72.73473257427024</v>
      </c>
    </row>
    <row r="11" spans="2:28" ht="16.2" thickBot="1" x14ac:dyDescent="0.35"/>
    <row r="12" spans="2:28" ht="21.6" customHeight="1" thickBot="1" x14ac:dyDescent="0.35">
      <c r="B12" s="359" t="s">
        <v>37</v>
      </c>
      <c r="C12" s="360"/>
      <c r="D12" s="361"/>
      <c r="E12" s="359" t="s">
        <v>219</v>
      </c>
      <c r="F12" s="360"/>
      <c r="G12" s="361"/>
      <c r="H12" s="110"/>
      <c r="I12" s="76"/>
      <c r="J12" s="79" t="s">
        <v>242</v>
      </c>
      <c r="K12" s="77"/>
      <c r="L12" s="110"/>
      <c r="M12" s="76"/>
      <c r="N12" s="79" t="s">
        <v>231</v>
      </c>
      <c r="O12" s="77"/>
      <c r="P12" s="110"/>
      <c r="Q12" s="362" t="s">
        <v>29</v>
      </c>
      <c r="R12" s="363"/>
      <c r="S12" s="110"/>
      <c r="T12" s="364" t="s">
        <v>219</v>
      </c>
      <c r="U12" s="365"/>
      <c r="V12" s="110"/>
      <c r="W12" s="364" t="s">
        <v>242</v>
      </c>
      <c r="X12" s="365"/>
      <c r="Y12" s="110"/>
      <c r="Z12" s="364" t="s">
        <v>231</v>
      </c>
      <c r="AA12" s="365"/>
      <c r="AB12" s="110"/>
    </row>
    <row r="13" spans="2:28" ht="31.8" thickBot="1" x14ac:dyDescent="0.35">
      <c r="B13" s="142" t="s">
        <v>19</v>
      </c>
      <c r="C13" s="143" t="s">
        <v>14</v>
      </c>
      <c r="D13" s="144" t="s">
        <v>13</v>
      </c>
      <c r="E13" s="142" t="s">
        <v>19</v>
      </c>
      <c r="F13" s="145" t="s">
        <v>14</v>
      </c>
      <c r="G13" s="146" t="s">
        <v>13</v>
      </c>
      <c r="H13" s="110"/>
      <c r="I13" s="142" t="s">
        <v>19</v>
      </c>
      <c r="J13" s="145" t="s">
        <v>14</v>
      </c>
      <c r="K13" s="146" t="s">
        <v>13</v>
      </c>
      <c r="L13" s="110"/>
      <c r="M13" s="142" t="s">
        <v>19</v>
      </c>
      <c r="N13" s="145" t="s">
        <v>14</v>
      </c>
      <c r="O13" s="146" t="s">
        <v>13</v>
      </c>
      <c r="P13" s="110"/>
      <c r="Q13" s="80" t="s">
        <v>19</v>
      </c>
      <c r="R13" s="147" t="s">
        <v>14</v>
      </c>
      <c r="S13" s="110"/>
      <c r="T13" s="148" t="s">
        <v>19</v>
      </c>
      <c r="U13" s="149" t="s">
        <v>14</v>
      </c>
      <c r="V13" s="110"/>
      <c r="W13" s="148" t="s">
        <v>19</v>
      </c>
      <c r="X13" s="149" t="s">
        <v>14</v>
      </c>
      <c r="Y13" s="110"/>
      <c r="Z13" s="148" t="s">
        <v>19</v>
      </c>
      <c r="AA13" s="149" t="s">
        <v>14</v>
      </c>
      <c r="AB13" s="110"/>
    </row>
    <row r="14" spans="2:28" ht="14.4" customHeight="1" x14ac:dyDescent="0.3">
      <c r="B14" s="104" t="s">
        <v>20</v>
      </c>
      <c r="C14" s="150">
        <f ca="1">'Day of the Week Data'!X52</f>
        <v>0.16154908547995722</v>
      </c>
      <c r="D14" s="150">
        <f ca="1">'Day of the Week Data'!Y52</f>
        <v>4.3412492028997385E-2</v>
      </c>
      <c r="E14" s="121" t="s">
        <v>20</v>
      </c>
      <c r="F14" s="151">
        <f ca="1">'Day of the Week Data'!Z63</f>
        <v>0.11943309090502319</v>
      </c>
      <c r="G14" s="88">
        <f ca="1">'Day of the Week Data'!AA63</f>
        <v>0.25642209932866267</v>
      </c>
      <c r="H14" s="110"/>
      <c r="I14" s="121" t="s">
        <v>20</v>
      </c>
      <c r="J14" s="151">
        <f ca="1">'Day of the Week Data'!AB63</f>
        <v>0.14591486851422639</v>
      </c>
      <c r="K14" s="88">
        <f ca="1">'Day of the Week Data'!AC63</f>
        <v>0.12888195412653866</v>
      </c>
      <c r="L14" s="110"/>
      <c r="M14" s="121" t="s">
        <v>20</v>
      </c>
      <c r="N14" s="151">
        <f ca="1">'Day of the Week Data'!AD63</f>
        <v>8.6459778887319552E-2</v>
      </c>
      <c r="O14" s="88">
        <f ca="1">'Day of the Week Data'!AE63</f>
        <v>1.7898902181700156E-2</v>
      </c>
      <c r="P14" s="110"/>
      <c r="Q14" s="104" t="s">
        <v>20</v>
      </c>
      <c r="R14" s="152">
        <f t="shared" ref="R14:R20" ca="1" si="0">C14</f>
        <v>0.16154908547995722</v>
      </c>
      <c r="S14" s="110"/>
      <c r="T14" s="153" t="s">
        <v>20</v>
      </c>
      <c r="U14" s="154">
        <f ca="1">F14</f>
        <v>0.11943309090502319</v>
      </c>
      <c r="V14" s="110"/>
      <c r="W14" s="153" t="s">
        <v>20</v>
      </c>
      <c r="X14" s="154">
        <f ca="1">J14</f>
        <v>0.14591486851422639</v>
      </c>
      <c r="Y14" s="110"/>
      <c r="Z14" s="153" t="s">
        <v>20</v>
      </c>
      <c r="AA14" s="154">
        <f ca="1">N14</f>
        <v>8.6459778887319552E-2</v>
      </c>
      <c r="AB14" s="110"/>
    </row>
    <row r="15" spans="2:28" ht="14.4" customHeight="1" x14ac:dyDescent="0.3">
      <c r="B15" s="104" t="s">
        <v>21</v>
      </c>
      <c r="C15" s="152">
        <f ca="1">'Day of the Week Data'!X53</f>
        <v>0.2170920036613973</v>
      </c>
      <c r="D15" s="152">
        <f ca="1">'Day of the Week Data'!Y53</f>
        <v>4.6520278394104768E-2</v>
      </c>
      <c r="E15" s="121" t="s">
        <v>21</v>
      </c>
      <c r="F15" s="155">
        <f ca="1">'Day of the Week Data'!Z64</f>
        <v>0.21093536666400028</v>
      </c>
      <c r="G15" s="86">
        <f ca="1">'Day of the Week Data'!AA64</f>
        <v>0.23532820570068402</v>
      </c>
      <c r="H15" s="110"/>
      <c r="I15" s="121" t="s">
        <v>21</v>
      </c>
      <c r="J15" s="155">
        <f ca="1">'Day of the Week Data'!AB64</f>
        <v>0.10356346916741989</v>
      </c>
      <c r="K15" s="86">
        <f ca="1">'Day of the Week Data'!AC64</f>
        <v>0.18049444612390494</v>
      </c>
      <c r="L15" s="110"/>
      <c r="M15" s="121" t="s">
        <v>21</v>
      </c>
      <c r="N15" s="155">
        <f ca="1">'Day of the Week Data'!AD64</f>
        <v>0.14212455981035108</v>
      </c>
      <c r="O15" s="86">
        <f ca="1">'Day of the Week Data'!AE64</f>
        <v>4.4901963055122902E-2</v>
      </c>
      <c r="P15" s="110"/>
      <c r="Q15" s="104" t="s">
        <v>21</v>
      </c>
      <c r="R15" s="152">
        <f t="shared" ca="1" si="0"/>
        <v>0.2170920036613973</v>
      </c>
      <c r="S15" s="110"/>
      <c r="T15" s="153" t="s">
        <v>21</v>
      </c>
      <c r="U15" s="154">
        <f t="shared" ref="U15:U20" ca="1" si="1">F15</f>
        <v>0.21093536666400028</v>
      </c>
      <c r="V15" s="110"/>
      <c r="W15" s="153" t="s">
        <v>21</v>
      </c>
      <c r="X15" s="154">
        <f t="shared" ref="X15:X20" ca="1" si="2">J15</f>
        <v>0.10356346916741989</v>
      </c>
      <c r="Y15" s="110"/>
      <c r="Z15" s="153" t="s">
        <v>21</v>
      </c>
      <c r="AA15" s="154">
        <f t="shared" ref="AA15:AA20" ca="1" si="3">N15</f>
        <v>0.14212455981035108</v>
      </c>
      <c r="AB15" s="110"/>
    </row>
    <row r="16" spans="2:28" ht="14.4" customHeight="1" x14ac:dyDescent="0.3">
      <c r="B16" s="104" t="s">
        <v>22</v>
      </c>
      <c r="C16" s="152">
        <f ca="1">'Day of the Week Data'!X54</f>
        <v>6.5585636876060699E-2</v>
      </c>
      <c r="D16" s="152">
        <f ca="1">'Day of the Week Data'!Y54</f>
        <v>5.3035199611234068E-2</v>
      </c>
      <c r="E16" s="121" t="s">
        <v>22</v>
      </c>
      <c r="F16" s="155">
        <f ca="1">'Day of the Week Data'!Z65</f>
        <v>0.25166303373340015</v>
      </c>
      <c r="G16" s="86">
        <f ca="1">'Day of the Week Data'!AA65</f>
        <v>0.12737564465088039</v>
      </c>
      <c r="H16" s="110"/>
      <c r="I16" s="121" t="s">
        <v>22</v>
      </c>
      <c r="J16" s="155">
        <f ca="1">'Day of the Week Data'!AB65</f>
        <v>0.21388541085562096</v>
      </c>
      <c r="K16" s="86">
        <f ca="1">'Day of the Week Data'!AC65</f>
        <v>0.19588997102596448</v>
      </c>
      <c r="L16" s="110"/>
      <c r="M16" s="121" t="s">
        <v>22</v>
      </c>
      <c r="N16" s="155">
        <f ca="1">'Day of the Week Data'!AD65</f>
        <v>7.9826455322321202E-2</v>
      </c>
      <c r="O16" s="86">
        <f ca="1">'Day of the Week Data'!AE65</f>
        <v>0.26035475319506524</v>
      </c>
      <c r="P16" s="110"/>
      <c r="Q16" s="104" t="s">
        <v>22</v>
      </c>
      <c r="R16" s="152">
        <f t="shared" ca="1" si="0"/>
        <v>6.5585636876060699E-2</v>
      </c>
      <c r="S16" s="110"/>
      <c r="T16" s="153" t="s">
        <v>22</v>
      </c>
      <c r="U16" s="154">
        <f t="shared" ca="1" si="1"/>
        <v>0.25166303373340015</v>
      </c>
      <c r="V16" s="110"/>
      <c r="W16" s="153" t="s">
        <v>22</v>
      </c>
      <c r="X16" s="154">
        <f t="shared" ca="1" si="2"/>
        <v>0.21388541085562096</v>
      </c>
      <c r="Y16" s="110"/>
      <c r="Z16" s="153" t="s">
        <v>22</v>
      </c>
      <c r="AA16" s="154">
        <f t="shared" ca="1" si="3"/>
        <v>7.9826455322321202E-2</v>
      </c>
      <c r="AB16" s="110"/>
    </row>
    <row r="17" spans="2:29" ht="14.4" customHeight="1" x14ac:dyDescent="0.3">
      <c r="B17" s="104" t="s">
        <v>23</v>
      </c>
      <c r="C17" s="152">
        <f ca="1">'Day of the Week Data'!X55</f>
        <v>0.15082944492682673</v>
      </c>
      <c r="D17" s="152">
        <f ca="1">'Day of the Week Data'!Y55</f>
        <v>2.9399073504181698E-2</v>
      </c>
      <c r="E17" s="121" t="s">
        <v>23</v>
      </c>
      <c r="F17" s="155">
        <f ca="1">'Day of the Week Data'!Z66</f>
        <v>0.1706551465375446</v>
      </c>
      <c r="G17" s="86">
        <f ca="1">'Day of the Week Data'!AA66</f>
        <v>0.25026144634022368</v>
      </c>
      <c r="H17" s="110"/>
      <c r="I17" s="121" t="s">
        <v>23</v>
      </c>
      <c r="J17" s="155">
        <f ca="1">'Day of the Week Data'!AB66</f>
        <v>0.21273917544220225</v>
      </c>
      <c r="K17" s="86">
        <f ca="1">'Day of the Week Data'!AC66</f>
        <v>0.23513349816759105</v>
      </c>
      <c r="L17" s="110"/>
      <c r="M17" s="121" t="s">
        <v>23</v>
      </c>
      <c r="N17" s="155">
        <f ca="1">'Day of the Week Data'!AD66</f>
        <v>0.22986551042640876</v>
      </c>
      <c r="O17" s="86">
        <f ca="1">'Day of the Week Data'!AE66</f>
        <v>0.12022852648123707</v>
      </c>
      <c r="P17" s="110"/>
      <c r="Q17" s="104" t="s">
        <v>23</v>
      </c>
      <c r="R17" s="152">
        <f t="shared" ca="1" si="0"/>
        <v>0.15082944492682673</v>
      </c>
      <c r="S17" s="110"/>
      <c r="T17" s="153" t="s">
        <v>23</v>
      </c>
      <c r="U17" s="154">
        <f t="shared" ca="1" si="1"/>
        <v>0.1706551465375446</v>
      </c>
      <c r="V17" s="110"/>
      <c r="W17" s="153" t="s">
        <v>23</v>
      </c>
      <c r="X17" s="154">
        <f t="shared" ca="1" si="2"/>
        <v>0.21273917544220225</v>
      </c>
      <c r="Y17" s="110"/>
      <c r="Z17" s="153" t="s">
        <v>23</v>
      </c>
      <c r="AA17" s="154">
        <f t="shared" ca="1" si="3"/>
        <v>0.22986551042640876</v>
      </c>
      <c r="AB17" s="110"/>
    </row>
    <row r="18" spans="2:29" ht="14.4" customHeight="1" x14ac:dyDescent="0.3">
      <c r="B18" s="104" t="s">
        <v>24</v>
      </c>
      <c r="C18" s="152">
        <f ca="1">'Day of the Week Data'!X56</f>
        <v>0.22945828812121402</v>
      </c>
      <c r="D18" s="152">
        <f ca="1">'Day of the Week Data'!Y56</f>
        <v>0.18917857945017585</v>
      </c>
      <c r="E18" s="121" t="s">
        <v>24</v>
      </c>
      <c r="F18" s="155">
        <f ca="1">'Day of the Week Data'!Z67</f>
        <v>0.21766185674666075</v>
      </c>
      <c r="G18" s="86">
        <f ca="1">'Day of the Week Data'!AA67</f>
        <v>0.21220123371177979</v>
      </c>
      <c r="H18" s="110"/>
      <c r="I18" s="121" t="s">
        <v>24</v>
      </c>
      <c r="J18" s="155">
        <f ca="1">'Day of the Week Data'!AB67</f>
        <v>0.26363548272521248</v>
      </c>
      <c r="K18" s="86">
        <f ca="1">'Day of the Week Data'!AC67</f>
        <v>9.1911899959892907E-2</v>
      </c>
      <c r="L18" s="110"/>
      <c r="M18" s="121" t="s">
        <v>24</v>
      </c>
      <c r="N18" s="155">
        <f ca="1">'Day of the Week Data'!AD67</f>
        <v>0.2533622470052585</v>
      </c>
      <c r="O18" s="86">
        <f ca="1">'Day of the Week Data'!AE67</f>
        <v>0.25939923144428018</v>
      </c>
      <c r="P18" s="110"/>
      <c r="Q18" s="104" t="s">
        <v>24</v>
      </c>
      <c r="R18" s="152">
        <f t="shared" ca="1" si="0"/>
        <v>0.22945828812121402</v>
      </c>
      <c r="S18" s="110"/>
      <c r="T18" s="153" t="s">
        <v>24</v>
      </c>
      <c r="U18" s="154">
        <f t="shared" ca="1" si="1"/>
        <v>0.21766185674666075</v>
      </c>
      <c r="V18" s="110"/>
      <c r="W18" s="153" t="s">
        <v>24</v>
      </c>
      <c r="X18" s="154">
        <f t="shared" ca="1" si="2"/>
        <v>0.26363548272521248</v>
      </c>
      <c r="Y18" s="110"/>
      <c r="Z18" s="153" t="s">
        <v>24</v>
      </c>
      <c r="AA18" s="154">
        <f t="shared" ca="1" si="3"/>
        <v>0.2533622470052585</v>
      </c>
      <c r="AB18" s="110"/>
    </row>
    <row r="19" spans="2:29" ht="14.4" customHeight="1" x14ac:dyDescent="0.3">
      <c r="B19" s="104" t="s">
        <v>25</v>
      </c>
      <c r="C19" s="152">
        <f ca="1">'Day of the Week Data'!X57</f>
        <v>8.9096641493704568E-2</v>
      </c>
      <c r="D19" s="152">
        <f ca="1">'Day of the Week Data'!Y57</f>
        <v>0.14188789792564649</v>
      </c>
      <c r="E19" s="121" t="s">
        <v>25</v>
      </c>
      <c r="F19" s="155">
        <f ca="1">'Day of the Week Data'!Z68</f>
        <v>0.22318119393730623</v>
      </c>
      <c r="G19" s="86">
        <f ca="1">'Day of the Week Data'!AA68</f>
        <v>5.8702692099968978E-2</v>
      </c>
      <c r="H19" s="110"/>
      <c r="I19" s="121" t="s">
        <v>25</v>
      </c>
      <c r="J19" s="155">
        <f ca="1">'Day of the Week Data'!AB68</f>
        <v>0.16485735668192725</v>
      </c>
      <c r="K19" s="86">
        <f ca="1">'Day of the Week Data'!AC68</f>
        <v>0.26655083892940729</v>
      </c>
      <c r="L19" s="110"/>
      <c r="M19" s="121" t="s">
        <v>25</v>
      </c>
      <c r="N19" s="155">
        <f ca="1">'Day of the Week Data'!AD68</f>
        <v>5.6039561294635359E-2</v>
      </c>
      <c r="O19" s="86">
        <f ca="1">'Day of the Week Data'!AE68</f>
        <v>0.14581359905128957</v>
      </c>
      <c r="P19" s="110"/>
      <c r="Q19" s="104" t="s">
        <v>25</v>
      </c>
      <c r="R19" s="152">
        <f t="shared" ca="1" si="0"/>
        <v>8.9096641493704568E-2</v>
      </c>
      <c r="S19" s="110"/>
      <c r="T19" s="153" t="s">
        <v>25</v>
      </c>
      <c r="U19" s="154">
        <f t="shared" ca="1" si="1"/>
        <v>0.22318119393730623</v>
      </c>
      <c r="V19" s="110"/>
      <c r="W19" s="153" t="s">
        <v>25</v>
      </c>
      <c r="X19" s="154">
        <f t="shared" ca="1" si="2"/>
        <v>0.16485735668192725</v>
      </c>
      <c r="Y19" s="110"/>
      <c r="Z19" s="153" t="s">
        <v>25</v>
      </c>
      <c r="AA19" s="154">
        <f t="shared" ca="1" si="3"/>
        <v>5.6039561294635359E-2</v>
      </c>
      <c r="AB19" s="110"/>
    </row>
    <row r="20" spans="2:29" ht="15" customHeight="1" thickBot="1" x14ac:dyDescent="0.35">
      <c r="B20" s="108" t="s">
        <v>26</v>
      </c>
      <c r="C20" s="156">
        <f ca="1">'Day of the Week Data'!X51</f>
        <v>0.19626725452592475</v>
      </c>
      <c r="D20" s="156">
        <f ca="1">'Day of the Week Data'!Y51</f>
        <v>0.10176877117874679</v>
      </c>
      <c r="E20" s="132" t="s">
        <v>26</v>
      </c>
      <c r="F20" s="157">
        <f ca="1">'Day of the Week Data'!Z69</f>
        <v>2.0369888245625856E-2</v>
      </c>
      <c r="G20" s="158">
        <f ca="1">'Day of the Week Data'!AA69</f>
        <v>3.1399415464331469E-2</v>
      </c>
      <c r="H20" s="110"/>
      <c r="I20" s="132" t="s">
        <v>26</v>
      </c>
      <c r="J20" s="157">
        <f ca="1">'Day of the Week Data'!AB69</f>
        <v>0.25734158865278783</v>
      </c>
      <c r="K20" s="158">
        <f ca="1">'Day of the Week Data'!AC69</f>
        <v>8.0848075876620351E-2</v>
      </c>
      <c r="L20" s="110"/>
      <c r="M20" s="132" t="s">
        <v>26</v>
      </c>
      <c r="N20" s="157">
        <f ca="1">'Day of the Week Data'!AD69</f>
        <v>0.23388550747816253</v>
      </c>
      <c r="O20" s="158">
        <f ca="1">'Day of the Week Data'!AE69</f>
        <v>0.22551165368667281</v>
      </c>
      <c r="P20" s="110"/>
      <c r="Q20" s="108" t="s">
        <v>26</v>
      </c>
      <c r="R20" s="156">
        <f t="shared" ca="1" si="0"/>
        <v>0.19626725452592475</v>
      </c>
      <c r="S20" s="110"/>
      <c r="T20" s="159" t="s">
        <v>26</v>
      </c>
      <c r="U20" s="160">
        <f t="shared" ca="1" si="1"/>
        <v>2.0369888245625856E-2</v>
      </c>
      <c r="V20" s="110"/>
      <c r="W20" s="159" t="s">
        <v>26</v>
      </c>
      <c r="X20" s="160">
        <f t="shared" ca="1" si="2"/>
        <v>0.25734158865278783</v>
      </c>
      <c r="Y20" s="110"/>
      <c r="Z20" s="159" t="s">
        <v>26</v>
      </c>
      <c r="AA20" s="160">
        <f t="shared" ca="1" si="3"/>
        <v>0.23388550747816253</v>
      </c>
      <c r="AB20" s="110"/>
    </row>
    <row r="21" spans="2:29" ht="15" customHeight="1" thickBot="1" x14ac:dyDescent="0.35">
      <c r="B21" s="110"/>
      <c r="C21" s="110"/>
      <c r="D21" s="110"/>
      <c r="E21" s="110"/>
      <c r="F21" s="110"/>
      <c r="G21" s="110"/>
      <c r="H21" s="110"/>
      <c r="L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</row>
    <row r="22" spans="2:29" ht="16.2" customHeight="1" thickBot="1" x14ac:dyDescent="0.35">
      <c r="B22" s="183" t="str">
        <f>Controls!$H$18</f>
        <v>P</v>
      </c>
      <c r="C22" s="184"/>
      <c r="D22" s="185"/>
      <c r="E22" s="183" t="s">
        <v>29</v>
      </c>
      <c r="F22" s="184"/>
      <c r="G22" s="185"/>
      <c r="H22" s="110"/>
      <c r="L22" s="110"/>
      <c r="P22" s="110"/>
      <c r="Q22" s="359" t="s">
        <v>37</v>
      </c>
      <c r="R22" s="361"/>
      <c r="S22" s="110"/>
      <c r="T22" s="359" t="s">
        <v>219</v>
      </c>
      <c r="U22" s="361"/>
      <c r="V22" s="110"/>
      <c r="W22" s="359" t="s">
        <v>242</v>
      </c>
      <c r="X22" s="361"/>
      <c r="Y22" s="110"/>
      <c r="Z22" s="359" t="s">
        <v>231</v>
      </c>
      <c r="AA22" s="361"/>
      <c r="AB22" s="110"/>
    </row>
    <row r="23" spans="2:29" ht="16.2" thickBot="1" x14ac:dyDescent="0.35">
      <c r="B23" s="99" t="s">
        <v>19</v>
      </c>
      <c r="C23" s="100" t="s">
        <v>14</v>
      </c>
      <c r="D23" s="81" t="s">
        <v>13</v>
      </c>
      <c r="E23" s="99" t="s">
        <v>19</v>
      </c>
      <c r="F23" s="101" t="s">
        <v>14</v>
      </c>
      <c r="G23" s="102" t="s">
        <v>13</v>
      </c>
      <c r="H23" s="110"/>
      <c r="L23" s="110"/>
      <c r="P23" s="110"/>
      <c r="Q23" s="76" t="s">
        <v>19</v>
      </c>
      <c r="R23" s="146" t="s">
        <v>27</v>
      </c>
      <c r="S23" s="110"/>
      <c r="T23" s="142" t="s">
        <v>19</v>
      </c>
      <c r="U23" s="161" t="s">
        <v>13</v>
      </c>
      <c r="V23" s="110"/>
      <c r="W23" s="142" t="s">
        <v>19</v>
      </c>
      <c r="X23" s="161" t="s">
        <v>13</v>
      </c>
      <c r="Y23" s="110"/>
      <c r="Z23" s="142" t="s">
        <v>19</v>
      </c>
      <c r="AA23" s="161" t="s">
        <v>13</v>
      </c>
      <c r="AB23" s="110"/>
    </row>
    <row r="24" spans="2:29" ht="14.4" customHeight="1" x14ac:dyDescent="0.3">
      <c r="B24" s="104" t="s">
        <v>20</v>
      </c>
      <c r="C24" s="103">
        <f>'Day of the Week Data'!X74</f>
        <v>0.27098411360597285</v>
      </c>
      <c r="D24" s="245">
        <f>'Day of the Week Data'!Y74</f>
        <v>0.64014138177198954</v>
      </c>
      <c r="E24" s="104" t="s">
        <v>20</v>
      </c>
      <c r="F24" s="103">
        <f ca="1">'Day of the Week Data'!X52</f>
        <v>0.16154908547995722</v>
      </c>
      <c r="G24" s="103">
        <f ca="1">'Day of the Week Data'!Y52</f>
        <v>4.3412492028997385E-2</v>
      </c>
      <c r="H24" s="110"/>
      <c r="L24" s="110"/>
      <c r="P24" s="110"/>
      <c r="Q24" s="162" t="s">
        <v>20</v>
      </c>
      <c r="R24" s="105">
        <f t="shared" ref="R24:R30" ca="1" si="4">D14</f>
        <v>4.3412492028997385E-2</v>
      </c>
      <c r="S24" s="110"/>
      <c r="T24" s="163" t="s">
        <v>20</v>
      </c>
      <c r="U24" s="164">
        <f ca="1">G14</f>
        <v>0.25642209932866267</v>
      </c>
      <c r="V24" s="110"/>
      <c r="W24" s="163" t="s">
        <v>20</v>
      </c>
      <c r="X24" s="164">
        <f ca="1">K14</f>
        <v>0.12888195412653866</v>
      </c>
      <c r="Y24" s="110"/>
      <c r="Z24" s="163" t="s">
        <v>20</v>
      </c>
      <c r="AA24" s="164">
        <f ca="1">O14</f>
        <v>1.7898902181700156E-2</v>
      </c>
      <c r="AB24" s="110"/>
    </row>
    <row r="25" spans="2:29" ht="14.4" customHeight="1" x14ac:dyDescent="0.3">
      <c r="B25" s="104" t="s">
        <v>21</v>
      </c>
      <c r="C25" s="105">
        <f>'Day of the Week Data'!X75</f>
        <v>-0.65769328454724152</v>
      </c>
      <c r="D25" s="106">
        <f>'Day of the Week Data'!Y75</f>
        <v>-0.33013227735195844</v>
      </c>
      <c r="E25" s="104" t="s">
        <v>21</v>
      </c>
      <c r="F25" s="105">
        <f ca="1">'Day of the Week Data'!X53</f>
        <v>0.2170920036613973</v>
      </c>
      <c r="G25" s="106">
        <f ca="1">'Day of the Week Data'!Y53</f>
        <v>4.6520278394104768E-2</v>
      </c>
      <c r="H25" s="110"/>
      <c r="L25" s="110"/>
      <c r="P25" s="110"/>
      <c r="Q25" s="162" t="s">
        <v>21</v>
      </c>
      <c r="R25" s="105">
        <f t="shared" ca="1" si="4"/>
        <v>4.6520278394104768E-2</v>
      </c>
      <c r="S25" s="110"/>
      <c r="T25" s="163" t="s">
        <v>21</v>
      </c>
      <c r="U25" s="164">
        <f t="shared" ref="U25:U30" ca="1" si="5">G15</f>
        <v>0.23532820570068402</v>
      </c>
      <c r="V25" s="110"/>
      <c r="W25" s="163" t="s">
        <v>21</v>
      </c>
      <c r="X25" s="164">
        <f t="shared" ref="X25:X30" ca="1" si="6">K15</f>
        <v>0.18049444612390494</v>
      </c>
      <c r="Y25" s="110"/>
      <c r="Z25" s="163" t="s">
        <v>21</v>
      </c>
      <c r="AA25" s="164">
        <f t="shared" ref="AA25:AA30" ca="1" si="7">O15</f>
        <v>4.4901963055122902E-2</v>
      </c>
      <c r="AB25" s="110"/>
    </row>
    <row r="26" spans="2:29" ht="14.4" customHeight="1" x14ac:dyDescent="0.3">
      <c r="B26" s="104" t="s">
        <v>22</v>
      </c>
      <c r="C26" s="105">
        <f>'Day of the Week Data'!X76</f>
        <v>-0.55882667649377382</v>
      </c>
      <c r="D26" s="106">
        <f>'Day of the Week Data'!Y76</f>
        <v>-0.48141145039526156</v>
      </c>
      <c r="E26" s="104" t="s">
        <v>22</v>
      </c>
      <c r="F26" s="105">
        <f ca="1">'Day of the Week Data'!X54</f>
        <v>6.5585636876060699E-2</v>
      </c>
      <c r="G26" s="106">
        <f ca="1">'Day of the Week Data'!Y54</f>
        <v>5.3035199611234068E-2</v>
      </c>
      <c r="H26" s="110"/>
      <c r="L26" s="110"/>
      <c r="P26" s="110"/>
      <c r="Q26" s="162" t="s">
        <v>22</v>
      </c>
      <c r="R26" s="105">
        <f t="shared" ca="1" si="4"/>
        <v>5.3035199611234068E-2</v>
      </c>
      <c r="S26" s="110"/>
      <c r="T26" s="163" t="s">
        <v>22</v>
      </c>
      <c r="U26" s="164">
        <f t="shared" ca="1" si="5"/>
        <v>0.12737564465088039</v>
      </c>
      <c r="V26" s="110"/>
      <c r="W26" s="163" t="s">
        <v>22</v>
      </c>
      <c r="X26" s="164">
        <f t="shared" ca="1" si="6"/>
        <v>0.19588997102596448</v>
      </c>
      <c r="Y26" s="110"/>
      <c r="Z26" s="163" t="s">
        <v>22</v>
      </c>
      <c r="AA26" s="164">
        <f t="shared" ca="1" si="7"/>
        <v>0.26035475319506524</v>
      </c>
      <c r="AB26" s="110"/>
    </row>
    <row r="27" spans="2:29" ht="14.4" customHeight="1" x14ac:dyDescent="0.3">
      <c r="B27" s="104" t="s">
        <v>23</v>
      </c>
      <c r="C27" s="105">
        <f>'Day of the Week Data'!X77</f>
        <v>5.9337804111197965</v>
      </c>
      <c r="D27" s="106">
        <f>'Day of the Week Data'!Y77</f>
        <v>3.7251346587792575</v>
      </c>
      <c r="E27" s="104" t="s">
        <v>23</v>
      </c>
      <c r="F27" s="105">
        <f ca="1">'Day of the Week Data'!X55</f>
        <v>0.15082944492682673</v>
      </c>
      <c r="G27" s="106">
        <f ca="1">'Day of the Week Data'!Y55</f>
        <v>2.9399073504181698E-2</v>
      </c>
      <c r="H27" s="110"/>
      <c r="L27" s="110"/>
      <c r="P27" s="110"/>
      <c r="Q27" s="162" t="s">
        <v>23</v>
      </c>
      <c r="R27" s="105">
        <f t="shared" ca="1" si="4"/>
        <v>2.9399073504181698E-2</v>
      </c>
      <c r="S27" s="110"/>
      <c r="T27" s="163" t="s">
        <v>23</v>
      </c>
      <c r="U27" s="164">
        <f t="shared" ca="1" si="5"/>
        <v>0.25026144634022368</v>
      </c>
      <c r="V27" s="110"/>
      <c r="W27" s="163" t="s">
        <v>23</v>
      </c>
      <c r="X27" s="164">
        <f t="shared" ca="1" si="6"/>
        <v>0.23513349816759105</v>
      </c>
      <c r="Y27" s="110"/>
      <c r="Z27" s="163" t="s">
        <v>23</v>
      </c>
      <c r="AA27" s="164">
        <f t="shared" ca="1" si="7"/>
        <v>0.12022852648123707</v>
      </c>
      <c r="AB27" s="110"/>
    </row>
    <row r="28" spans="2:29" x14ac:dyDescent="0.3">
      <c r="B28" s="104" t="s">
        <v>24</v>
      </c>
      <c r="C28" s="105">
        <f>'Day of the Week Data'!X78</f>
        <v>-0.4650022582337533</v>
      </c>
      <c r="D28" s="106">
        <f>'Day of the Week Data'!Y78</f>
        <v>-0.46600981463881319</v>
      </c>
      <c r="E28" s="104" t="s">
        <v>24</v>
      </c>
      <c r="F28" s="105">
        <f ca="1">'Day of the Week Data'!X56</f>
        <v>0.22945828812121402</v>
      </c>
      <c r="G28" s="106">
        <f ca="1">'Day of the Week Data'!Y56</f>
        <v>0.18917857945017585</v>
      </c>
      <c r="H28" s="110"/>
      <c r="L28" s="110"/>
      <c r="P28" s="110"/>
      <c r="Q28" s="162" t="s">
        <v>24</v>
      </c>
      <c r="R28" s="105">
        <f t="shared" ca="1" si="4"/>
        <v>0.18917857945017585</v>
      </c>
      <c r="S28" s="110"/>
      <c r="T28" s="163" t="s">
        <v>24</v>
      </c>
      <c r="U28" s="164">
        <f t="shared" ca="1" si="5"/>
        <v>0.21220123371177979</v>
      </c>
      <c r="V28" s="110"/>
      <c r="W28" s="163" t="s">
        <v>24</v>
      </c>
      <c r="X28" s="164">
        <f t="shared" ca="1" si="6"/>
        <v>9.1911899959892907E-2</v>
      </c>
      <c r="Y28" s="110"/>
      <c r="Z28" s="163" t="s">
        <v>24</v>
      </c>
      <c r="AA28" s="164">
        <f t="shared" ca="1" si="7"/>
        <v>0.25939923144428018</v>
      </c>
      <c r="AB28" s="110"/>
    </row>
    <row r="29" spans="2:29" x14ac:dyDescent="0.3">
      <c r="B29" s="104" t="s">
        <v>25</v>
      </c>
      <c r="C29" s="105">
        <f>'Day of the Week Data'!X79</f>
        <v>-0.54565090316808085</v>
      </c>
      <c r="D29" s="106">
        <f>'Day of the Week Data'!Y79</f>
        <v>-0.41982230814177618</v>
      </c>
      <c r="E29" s="104" t="s">
        <v>25</v>
      </c>
      <c r="F29" s="105">
        <f ca="1">'Day of the Week Data'!X57</f>
        <v>8.9096641493704568E-2</v>
      </c>
      <c r="G29" s="106">
        <f ca="1">'Day of the Week Data'!Y57</f>
        <v>0.14188789792564649</v>
      </c>
      <c r="H29" s="110"/>
      <c r="L29" s="110"/>
      <c r="P29" s="110"/>
      <c r="Q29" s="162" t="s">
        <v>25</v>
      </c>
      <c r="R29" s="105">
        <f t="shared" ca="1" si="4"/>
        <v>0.14188789792564649</v>
      </c>
      <c r="S29" s="110"/>
      <c r="T29" s="163" t="s">
        <v>25</v>
      </c>
      <c r="U29" s="164">
        <f t="shared" ca="1" si="5"/>
        <v>5.8702692099968978E-2</v>
      </c>
      <c r="V29" s="110"/>
      <c r="W29" s="163" t="s">
        <v>25</v>
      </c>
      <c r="X29" s="164">
        <f t="shared" ca="1" si="6"/>
        <v>0.26655083892940729</v>
      </c>
      <c r="Y29" s="110"/>
      <c r="Z29" s="163" t="s">
        <v>25</v>
      </c>
      <c r="AA29" s="164">
        <f t="shared" ca="1" si="7"/>
        <v>0.14581359905128957</v>
      </c>
      <c r="AB29" s="110"/>
    </row>
    <row r="30" spans="2:29" ht="16.2" thickBot="1" x14ac:dyDescent="0.35">
      <c r="B30" s="108" t="s">
        <v>26</v>
      </c>
      <c r="C30" s="107">
        <f>'Day of the Week Data'!X80</f>
        <v>12.188451207037717</v>
      </c>
      <c r="D30" s="109">
        <f>'Day of the Week Data'!Y80</f>
        <v>0.32171937153152597</v>
      </c>
      <c r="E30" s="108" t="s">
        <v>26</v>
      </c>
      <c r="F30" s="107">
        <f ca="1">'Day of the Week Data'!X51</f>
        <v>0.19626725452592475</v>
      </c>
      <c r="G30" s="109">
        <f ca="1">'Day of the Week Data'!Y51</f>
        <v>0.10176877117874679</v>
      </c>
      <c r="H30" s="110"/>
      <c r="L30" s="110"/>
      <c r="P30" s="110"/>
      <c r="Q30" s="165" t="s">
        <v>26</v>
      </c>
      <c r="R30" s="107">
        <f t="shared" ca="1" si="4"/>
        <v>0.10176877117874679</v>
      </c>
      <c r="S30" s="110"/>
      <c r="T30" s="166" t="s">
        <v>26</v>
      </c>
      <c r="U30" s="167">
        <f t="shared" ca="1" si="5"/>
        <v>3.1399415464331469E-2</v>
      </c>
      <c r="V30" s="110"/>
      <c r="W30" s="166" t="s">
        <v>26</v>
      </c>
      <c r="X30" s="167">
        <f t="shared" ca="1" si="6"/>
        <v>8.0848075876620351E-2</v>
      </c>
      <c r="Y30" s="110"/>
      <c r="Z30" s="166" t="s">
        <v>26</v>
      </c>
      <c r="AA30" s="167">
        <f t="shared" ca="1" si="7"/>
        <v>0.22551165368667281</v>
      </c>
      <c r="AB30" s="110"/>
    </row>
    <row r="31" spans="2:29" x14ac:dyDescent="0.3">
      <c r="M31" s="110"/>
      <c r="Q31" s="110"/>
      <c r="AC31" s="110"/>
    </row>
    <row r="32" spans="2:29" x14ac:dyDescent="0.3">
      <c r="M32" s="110"/>
    </row>
    <row r="33" spans="2:32" ht="16.2" thickBot="1" x14ac:dyDescent="0.35"/>
    <row r="34" spans="2:32" ht="15" customHeight="1" thickBot="1" x14ac:dyDescent="0.35">
      <c r="B34" s="183" t="str">
        <f>Controls!$H$18</f>
        <v>P</v>
      </c>
      <c r="C34" s="184"/>
      <c r="D34" s="184"/>
      <c r="E34" s="185"/>
      <c r="F34" s="186" t="s">
        <v>50</v>
      </c>
      <c r="G34" s="187"/>
      <c r="H34" s="188"/>
    </row>
    <row r="35" spans="2:32" ht="15" customHeight="1" thickBot="1" x14ac:dyDescent="0.35">
      <c r="B35" s="81" t="s">
        <v>17</v>
      </c>
      <c r="C35" s="81" t="s">
        <v>11</v>
      </c>
      <c r="D35" s="81" t="s">
        <v>30</v>
      </c>
      <c r="E35" s="81" t="s">
        <v>31</v>
      </c>
      <c r="F35" s="82" t="s">
        <v>11</v>
      </c>
      <c r="G35" s="82" t="s">
        <v>30</v>
      </c>
      <c r="H35" s="83" t="s">
        <v>31</v>
      </c>
    </row>
    <row r="36" spans="2:32" ht="15" customHeight="1" x14ac:dyDescent="0.3">
      <c r="B36" s="84" t="s">
        <v>15</v>
      </c>
      <c r="C36" s="85">
        <f>IFERROR(VLOOKUP($B34,'EBT Quarter'!$A$11:$I$126,2),"-")</f>
        <v>604426</v>
      </c>
      <c r="D36" s="85">
        <f>IFERROR(VLOOKUP($B34,'EBT Quarter'!$A$11:$I$126,3),"-")</f>
        <v>7080838</v>
      </c>
      <c r="E36" s="86">
        <f>IFERROR(C36/D36,"-")</f>
        <v>8.5360800515419222E-2</v>
      </c>
      <c r="F36" s="87">
        <f>IFERROR('EBT Quarter'!$B$124,"-")</f>
        <v>604426</v>
      </c>
      <c r="G36" s="87">
        <f>IFERROR('EBT Quarter'!$C$124,"-")</f>
        <v>7080838</v>
      </c>
      <c r="H36" s="88">
        <f>IFERROR(F36/G36,"-")</f>
        <v>8.5360800515419222E-2</v>
      </c>
    </row>
    <row r="37" spans="2:32" ht="15" customHeight="1" x14ac:dyDescent="0.3">
      <c r="B37" s="84" t="s">
        <v>16</v>
      </c>
      <c r="C37" s="85">
        <f>IFERROR(VLOOKUP($B34,'EBT Quarter'!$A$11:$I$126,4),"-")</f>
        <v>953307</v>
      </c>
      <c r="D37" s="85">
        <f>IFERROR(VLOOKUP($B34,'EBT Quarter'!$A$11:$I$126,5),"-")</f>
        <v>9420293</v>
      </c>
      <c r="E37" s="86">
        <f t="shared" ref="E37:E39" si="8">IFERROR(C37/D37,"-")</f>
        <v>0.10119717083109836</v>
      </c>
      <c r="F37" s="87">
        <f>IFERROR('EBT Quarter'!$D$124,"-")</f>
        <v>953307</v>
      </c>
      <c r="G37" s="87">
        <f>IFERROR('EBT Quarter'!$E$124,"-")</f>
        <v>9420293</v>
      </c>
      <c r="H37" s="86">
        <f t="shared" ref="H37:H39" si="9">IFERROR(F37/G37,"-")</f>
        <v>0.10119717083109836</v>
      </c>
    </row>
    <row r="38" spans="2:32" ht="15" customHeight="1" x14ac:dyDescent="0.3">
      <c r="B38" s="84" t="s">
        <v>32</v>
      </c>
      <c r="C38" s="85">
        <f>IFERROR(VLOOKUP($B34,'EBT Quarter'!$A$11:$I$126,6),"-")</f>
        <v>1051522</v>
      </c>
      <c r="D38" s="85">
        <f>IFERROR(VLOOKUP($B34,'EBT Quarter'!$A$11:$I$126,7),"-")</f>
        <v>8342980</v>
      </c>
      <c r="E38" s="86">
        <f t="shared" si="8"/>
        <v>0.12603673986992658</v>
      </c>
      <c r="F38" s="87">
        <f>IFERROR('EBT Quarter'!$F$124,"-")</f>
        <v>1051522</v>
      </c>
      <c r="G38" s="87">
        <f>IFERROR('EBT Quarter'!$G$124,"-")</f>
        <v>8342980</v>
      </c>
      <c r="H38" s="86">
        <f t="shared" si="9"/>
        <v>0.12603673986992658</v>
      </c>
    </row>
    <row r="39" spans="2:32" ht="15" customHeight="1" thickBot="1" x14ac:dyDescent="0.35">
      <c r="B39" s="84" t="s">
        <v>34</v>
      </c>
      <c r="C39" s="85">
        <f>IFERROR(VLOOKUP($B34,'EBT Quarter'!$A$11:$I$126,8),"-")</f>
        <v>1207861</v>
      </c>
      <c r="D39" s="85">
        <f>IFERROR(VLOOKUP($B34,'EBT Quarter'!$A$11:$I$126,9),"-")</f>
        <v>9508691</v>
      </c>
      <c r="E39" s="86">
        <f t="shared" si="8"/>
        <v>0.1270270534608812</v>
      </c>
      <c r="F39" s="87">
        <f>IFERROR('EBT Quarter'!$H$124,"-")</f>
        <v>1207861</v>
      </c>
      <c r="G39" s="87">
        <f>IFERROR('EBT Quarter'!$I$124,"-")</f>
        <v>9508691</v>
      </c>
      <c r="H39" s="158">
        <f t="shared" si="9"/>
        <v>0.1270270534608812</v>
      </c>
    </row>
    <row r="40" spans="2:32" ht="15" customHeight="1" thickBot="1" x14ac:dyDescent="0.35">
      <c r="B40" s="89" t="s">
        <v>35</v>
      </c>
      <c r="C40" s="90">
        <f>SUM(C36:C39)</f>
        <v>3817116</v>
      </c>
      <c r="D40" s="90">
        <f>SUM(D36:D39)</f>
        <v>34352802</v>
      </c>
      <c r="E40" s="91">
        <f>C40/D40</f>
        <v>0.1111151282506737</v>
      </c>
      <c r="F40" s="92">
        <f>SUM(F36:F39)</f>
        <v>3817116</v>
      </c>
      <c r="G40" s="92">
        <f>SUM(G36:G39)</f>
        <v>34352802</v>
      </c>
      <c r="H40" s="228">
        <f>F40/G40</f>
        <v>0.1111151282506737</v>
      </c>
    </row>
    <row r="43" spans="2:32" ht="16.2" thickBot="1" x14ac:dyDescent="0.35">
      <c r="AF43" s="110"/>
    </row>
    <row r="44" spans="2:32" ht="16.2" thickBot="1" x14ac:dyDescent="0.35">
      <c r="B44" s="189" t="str">
        <f>Controls!$H$18</f>
        <v>P</v>
      </c>
      <c r="C44" s="190"/>
      <c r="D44" s="190"/>
      <c r="E44" s="190"/>
      <c r="F44" s="191"/>
      <c r="G44" s="110"/>
      <c r="H44" s="189" t="str">
        <f>B44</f>
        <v>P</v>
      </c>
      <c r="I44" s="190"/>
      <c r="J44" s="190"/>
      <c r="K44" s="191"/>
      <c r="L44" s="110"/>
      <c r="M44" s="189" t="str">
        <f>B44</f>
        <v>P</v>
      </c>
      <c r="N44" s="190"/>
      <c r="O44" s="190"/>
      <c r="P44" s="191"/>
      <c r="Q44" s="110"/>
      <c r="R44" s="189" t="str">
        <f>B44</f>
        <v>P</v>
      </c>
      <c r="S44" s="190"/>
      <c r="T44" s="190"/>
      <c r="U44" s="191"/>
      <c r="V44" s="110"/>
      <c r="W44" s="189" t="str">
        <f>B44</f>
        <v>P</v>
      </c>
      <c r="X44" s="190"/>
      <c r="Y44" s="190"/>
      <c r="Z44" s="191"/>
    </row>
    <row r="45" spans="2:32" ht="16.2" thickBot="1" x14ac:dyDescent="0.35">
      <c r="B45"/>
      <c r="C45"/>
      <c r="D45"/>
      <c r="E45"/>
      <c r="F45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</row>
    <row r="46" spans="2:32" ht="16.2" thickBot="1" x14ac:dyDescent="0.35">
      <c r="B46" s="111" t="s">
        <v>10</v>
      </c>
      <c r="C46" s="111" t="s">
        <v>57</v>
      </c>
      <c r="D46" s="111" t="s">
        <v>48</v>
      </c>
      <c r="E46" s="112" t="s">
        <v>140</v>
      </c>
      <c r="F46" s="112" t="s">
        <v>141</v>
      </c>
      <c r="G46" s="110"/>
      <c r="H46" s="179" t="s">
        <v>49</v>
      </c>
      <c r="I46" s="178" t="s">
        <v>80</v>
      </c>
      <c r="J46" s="178" t="s">
        <v>57</v>
      </c>
      <c r="K46" s="180" t="s">
        <v>56</v>
      </c>
      <c r="L46" s="181"/>
      <c r="M46" s="179" t="s">
        <v>49</v>
      </c>
      <c r="N46" s="178" t="s">
        <v>80</v>
      </c>
      <c r="O46" s="178" t="s">
        <v>57</v>
      </c>
      <c r="P46" s="180" t="s">
        <v>56</v>
      </c>
      <c r="Q46" s="181"/>
      <c r="R46" s="179" t="s">
        <v>49</v>
      </c>
      <c r="S46" s="178" t="s">
        <v>80</v>
      </c>
      <c r="T46" s="178" t="s">
        <v>57</v>
      </c>
      <c r="U46" s="180" t="s">
        <v>56</v>
      </c>
      <c r="V46" s="181"/>
      <c r="W46" s="179" t="s">
        <v>49</v>
      </c>
      <c r="X46" s="178" t="s">
        <v>80</v>
      </c>
      <c r="Y46" s="178" t="s">
        <v>57</v>
      </c>
      <c r="Z46" s="180" t="s">
        <v>56</v>
      </c>
    </row>
    <row r="47" spans="2:32" ht="16.2" thickBot="1" x14ac:dyDescent="0.35">
      <c r="B47" s="78" t="str">
        <f>VLOOKUP(B44,'General Lookups'!$A:$E,2,FALSE)</f>
        <v>RC</v>
      </c>
      <c r="C47" s="113">
        <f ca="1">SUMIF('LP Tables'!$B12:$B1250, B44, 'LP Tables'!$F12:$F1250)</f>
        <v>73420.553890037656</v>
      </c>
      <c r="D47" s="114">
        <f>VLOOKUP(B44,'General Lookups'!$A:$E,5,FALSE)</f>
        <v>4</v>
      </c>
      <c r="E47" s="115">
        <f ca="1">VLOOKUP(B44,'LP Tables'!$AJ$4:$AM$150,4,FALSE)</f>
        <v>0.30510379038555901</v>
      </c>
      <c r="F47" s="115">
        <f ca="1">VLOOKUP(B44,'LP Tables'!$O$12:$R$123,4,FALSE)</f>
        <v>8.8941716539061688E-2</v>
      </c>
      <c r="G47" s="110"/>
      <c r="H47" s="116" t="str" cm="1">
        <f t="array" ref="H47">IFERROR(IFERROR(INDEX('LP Tables'!$A$12:$A$1250,SMALL(IF('LP Tables'!$B$12:$B$1250=$H$44,ROW('LP Tables'!$A$12:$A$1250)),ROW(1:1))-11,1),””),"")</f>
        <v>CL1</v>
      </c>
      <c r="I47" s="117">
        <f ca="1">IFERROR(VLOOKUP($H47,'LP Tables'!$A$12:$G$1252,5,FALSE),"")</f>
        <v>0.98348508872889173</v>
      </c>
      <c r="J47" s="118">
        <f ca="1">IFERROR(VLOOKUP($H47,'LP Tables'!$A$12:$G$1252,6,FALSE),"")</f>
        <v>158354.19438657365</v>
      </c>
      <c r="K47" s="119">
        <f ca="1">IFERROR(VLOOKUP($H47,'LP Tables'!$A$12:$G$1252,7,FALSE),"")</f>
        <v>199.29462386229301</v>
      </c>
      <c r="L47" s="110"/>
      <c r="M47" s="116" t="str" cm="1">
        <f t="array" ref="M47">IFERROR(IFERROR(INDEX('LP Tables'!$A$12:$A$1250,SMALL(IF('LP Tables'!$B$12:$B$1250=$H$44,ROW('LP Tables'!$A$12:$A$1250)),ROW(28:28))-11,1),””),"")</f>
        <v/>
      </c>
      <c r="N47" s="117" t="str">
        <f>IFERROR(VLOOKUP($M47,'LP Tables'!$A$12:$G$1252,5,FALSE),"")</f>
        <v/>
      </c>
      <c r="O47" s="118" t="str">
        <f>IFERROR(VLOOKUP($M47,'LP Tables'!$A$12:$G$1252,6,FALSE),"")</f>
        <v/>
      </c>
      <c r="P47" s="119" t="str">
        <f>IFERROR(VLOOKUP($M47,'LP Tables'!$A$12:$G$1252,7,FALSE),"")</f>
        <v/>
      </c>
      <c r="Q47" s="110"/>
      <c r="R47" s="116" t="str" cm="1">
        <f t="array" ref="R47">IFERROR(IFERROR(INDEX('LP Tables'!$A$12:$A$1250,SMALL(IF('LP Tables'!$B$12:$B$1250=$H$44,ROW('LP Tables'!$A$12:$A$1250)),ROW(55:55))-11,1),””),"")</f>
        <v/>
      </c>
      <c r="S47" s="117" t="str">
        <f>IFERROR(VLOOKUP($R47,'LP Tables'!$A$12:$G$1252,5,FALSE),"")</f>
        <v/>
      </c>
      <c r="T47" s="118" t="str">
        <f>IFERROR(VLOOKUP($R47,'LP Tables'!$A$12:$G$1252,6,FALSE),"")</f>
        <v/>
      </c>
      <c r="U47" s="119" t="str">
        <f>IFERROR(VLOOKUP($R47,'LP Tables'!$A$12:$G$1252,7,FALSE),"")</f>
        <v/>
      </c>
      <c r="V47" s="110"/>
      <c r="W47" s="116" t="str" cm="1">
        <f t="array" ref="W47">IFERROR(IFERROR(INDEX('LP Tables'!$A$12:$A$1250,SMALL(IF('LP Tables'!$B$12:$B$1250=$H$44,ROW('LP Tables'!$A$12:$A$1250)),ROW(82:82))-11,1),””),"")</f>
        <v/>
      </c>
      <c r="X47" s="117" t="str">
        <f>IFERROR(VLOOKUP($W47,'LP Tables'!$A$12:$G$1252,5,FALSE),"")</f>
        <v/>
      </c>
      <c r="Y47" s="118" t="str">
        <f>IFERROR(VLOOKUP($W47,'LP Tables'!$A$12:$G$1252,6,FALSE),"")</f>
        <v/>
      </c>
      <c r="Z47" s="119" t="str">
        <f>IFERROR(VLOOKUP($W47,'LP Tables'!$A$12:$G$1252,7,FALSE),"")</f>
        <v/>
      </c>
    </row>
    <row r="48" spans="2:32" ht="16.2" thickBot="1" x14ac:dyDescent="0.35">
      <c r="G48" s="110"/>
      <c r="H48" s="121" t="str" cm="1">
        <f t="array" ref="H48">IFERROR(IFERROR(INDEX('LP Tables'!$A$12:$A$1250,SMALL(IF('LP Tables'!$B$12:$B$1250=$H$44,ROW('LP Tables'!$A$12:$A$1250)),ROW(2:2))-11,1),””),"")</f>
        <v/>
      </c>
      <c r="I48" s="122" t="str">
        <f>IFERROR(VLOOKUP($H48,'LP Tables'!$A$12:$G$1252,5,FALSE),"")</f>
        <v/>
      </c>
      <c r="J48" s="123" t="str">
        <f>IFERROR(VLOOKUP($H48,'LP Tables'!$A$12:$G$1252,6,FALSE),"")</f>
        <v/>
      </c>
      <c r="K48" s="124" t="str">
        <f>IFERROR(VLOOKUP($H48,'LP Tables'!$A$12:$G$1252,7,FALSE),"")</f>
        <v/>
      </c>
      <c r="L48" s="110"/>
      <c r="M48" s="121" t="str" cm="1">
        <f t="array" ref="M48">IFERROR(IFERROR(INDEX('LP Tables'!$A$12:$A$1250,SMALL(IF('LP Tables'!$B$12:$B$1250=$H$44,ROW('LP Tables'!$A$12:$A$1250)),ROW(29:29))-11,1),””),"")</f>
        <v/>
      </c>
      <c r="N48" s="122" t="str">
        <f>IFERROR(VLOOKUP($M48,'LP Tables'!$A$12:$G$1252,5,FALSE),"")</f>
        <v/>
      </c>
      <c r="O48" s="123" t="str">
        <f>IFERROR(VLOOKUP($M48,'LP Tables'!$A$12:$G$1252,6,FALSE),"")</f>
        <v/>
      </c>
      <c r="P48" s="124" t="str">
        <f>IFERROR(VLOOKUP($M48,'LP Tables'!$A$12:$G$1252,7,FALSE),"")</f>
        <v/>
      </c>
      <c r="Q48" s="110"/>
      <c r="R48" s="121" t="str" cm="1">
        <f t="array" ref="R48">IFERROR(IFERROR(INDEX('LP Tables'!$A$12:$A$1250,SMALL(IF('LP Tables'!$B$12:$B$1250=$H$44,ROW('LP Tables'!$A$12:$A$1250)),ROW(56:56))-11,1),””),"")</f>
        <v/>
      </c>
      <c r="S48" s="122" t="str">
        <f>IFERROR(VLOOKUP($R48,'LP Tables'!$A$12:$G$1252,5,FALSE),"")</f>
        <v/>
      </c>
      <c r="T48" s="123" t="str">
        <f>IFERROR(VLOOKUP($R48,'LP Tables'!$A$12:$G$1252,6,FALSE),"")</f>
        <v/>
      </c>
      <c r="U48" s="124" t="str">
        <f>IFERROR(VLOOKUP($R48,'LP Tables'!$A$12:$G$1252,7,FALSE),"")</f>
        <v/>
      </c>
      <c r="V48" s="110"/>
      <c r="W48" s="121" t="str" cm="1">
        <f t="array" ref="W48">IFERROR(IFERROR(INDEX('LP Tables'!$A$12:$A$1250,SMALL(IF('LP Tables'!$B$12:$B$1250=$H$44,ROW('LP Tables'!$A$12:$A$1250)),ROW(83:83))-11,1),””),"")</f>
        <v/>
      </c>
      <c r="X48" s="122" t="str">
        <f>IFERROR(VLOOKUP($W48,'LP Tables'!$A$12:$G$1252,5,FALSE),"")</f>
        <v/>
      </c>
      <c r="Y48" s="123" t="str">
        <f>IFERROR(VLOOKUP($W48,'LP Tables'!$A$12:$G$1252,6,FALSE),"")</f>
        <v/>
      </c>
      <c r="Z48" s="124" t="str">
        <f>IFERROR(VLOOKUP($W48,'LP Tables'!$A$12:$G$1252,7,FALSE),"")</f>
        <v/>
      </c>
    </row>
    <row r="49" spans="1:26" ht="16.2" thickBot="1" x14ac:dyDescent="0.35">
      <c r="B49" s="195" t="s">
        <v>77</v>
      </c>
      <c r="C49" s="196"/>
      <c r="D49" s="197"/>
      <c r="E49" s="125">
        <f ca="1">'LP Tables'!AF49</f>
        <v>0.59550509238739535</v>
      </c>
      <c r="F49" s="125">
        <f ca="1">'LP Tables'!K50</f>
        <v>0.67609596046440978</v>
      </c>
      <c r="G49" s="110"/>
      <c r="H49" s="121" t="str" cm="1">
        <f t="array" ref="H49">IFERROR(IFERROR(INDEX('LP Tables'!$A$12:$A$1250,SMALL(IF('LP Tables'!$B$12:$B$1250=$H$44,ROW('LP Tables'!$A$12:$A$1250)),ROW(3:3))-11,1),””),"")</f>
        <v/>
      </c>
      <c r="I49" s="122" t="str">
        <f>IFERROR(VLOOKUP($H49,'LP Tables'!$A$12:$G$1252,5,FALSE),"")</f>
        <v/>
      </c>
      <c r="J49" s="123" t="str">
        <f>IFERROR(VLOOKUP($H49,'LP Tables'!$A$12:$G$1252,6,FALSE),"")</f>
        <v/>
      </c>
      <c r="K49" s="124" t="str">
        <f>IFERROR(VLOOKUP($H49,'LP Tables'!$A$12:$G$1252,7,FALSE),"")</f>
        <v/>
      </c>
      <c r="L49" s="110"/>
      <c r="M49" s="121" t="str" cm="1">
        <f t="array" ref="M49">IFERROR(IFERROR(INDEX('LP Tables'!$A$12:$A$1250,SMALL(IF('LP Tables'!$B$12:$B$1250=$H$44,ROW('LP Tables'!$A$12:$A$1250)),ROW(30:30))-11,1),””),"")</f>
        <v/>
      </c>
      <c r="N49" s="122" t="str">
        <f>IFERROR(VLOOKUP($M49,'LP Tables'!$A$12:$G$1252,5,FALSE),"")</f>
        <v/>
      </c>
      <c r="O49" s="123" t="str">
        <f>IFERROR(VLOOKUP($M49,'LP Tables'!$A$12:$G$1252,6,FALSE),"")</f>
        <v/>
      </c>
      <c r="P49" s="124" t="str">
        <f>IFERROR(VLOOKUP($M49,'LP Tables'!$A$12:$G$1252,7,FALSE),"")</f>
        <v/>
      </c>
      <c r="Q49" s="110"/>
      <c r="R49" s="121" t="str" cm="1">
        <f t="array" ref="R49">IFERROR(IFERROR(INDEX('LP Tables'!$A$12:$A$1250,SMALL(IF('LP Tables'!$B$12:$B$1250=$H$44,ROW('LP Tables'!$A$12:$A$1250)),ROW(57:57))-11,1),””),"")</f>
        <v/>
      </c>
      <c r="S49" s="122" t="str">
        <f>IFERROR(VLOOKUP($R49,'LP Tables'!$A$12:$G$1252,5,FALSE),"")</f>
        <v/>
      </c>
      <c r="T49" s="123" t="str">
        <f>IFERROR(VLOOKUP($R49,'LP Tables'!$A$12:$G$1252,6,FALSE),"")</f>
        <v/>
      </c>
      <c r="U49" s="124" t="str">
        <f>IFERROR(VLOOKUP($R49,'LP Tables'!$A$12:$G$1252,7,FALSE),"")</f>
        <v/>
      </c>
      <c r="V49" s="110"/>
      <c r="W49" s="121" t="str" cm="1">
        <f t="array" ref="W49">IFERROR(IFERROR(INDEX('LP Tables'!$A$12:$A$1250,SMALL(IF('LP Tables'!$B$12:$B$1250=$H$44,ROW('LP Tables'!$A$12:$A$1250)),ROW(84:84))-11,1),””),"")</f>
        <v/>
      </c>
      <c r="X49" s="122" t="str">
        <f>IFERROR(VLOOKUP($W49,'LP Tables'!$A$12:$G$1252,5,FALSE),"")</f>
        <v/>
      </c>
      <c r="Y49" s="123" t="str">
        <f>IFERROR(VLOOKUP($W49,'LP Tables'!$A$12:$G$1252,6,FALSE),"")</f>
        <v/>
      </c>
      <c r="Z49" s="124" t="str">
        <f>IFERROR(VLOOKUP($W49,'LP Tables'!$A$12:$G$1252,7,FALSE),"")</f>
        <v/>
      </c>
    </row>
    <row r="50" spans="1:26" ht="16.2" thickBot="1" x14ac:dyDescent="0.35">
      <c r="B50" s="126" t="s">
        <v>10</v>
      </c>
      <c r="C50" s="127" t="s">
        <v>76</v>
      </c>
      <c r="D50" s="127" t="s">
        <v>48</v>
      </c>
      <c r="E50" s="128" t="s">
        <v>140</v>
      </c>
      <c r="F50" s="112" t="s">
        <v>141</v>
      </c>
      <c r="G50" s="110"/>
      <c r="H50" s="121" t="str" cm="1">
        <f t="array" ref="H50">IFERROR(IFERROR(INDEX('LP Tables'!$A$12:$A$1250,SMALL(IF('LP Tables'!$B$12:$B$1250=$H$44,ROW('LP Tables'!$A$12:$A$1250)),ROW(4:4))-11,1),””),"")</f>
        <v/>
      </c>
      <c r="I50" s="122" t="str">
        <f>IFERROR(VLOOKUP($H50,'LP Tables'!$A$12:$G$1252,5,FALSE),"")</f>
        <v/>
      </c>
      <c r="J50" s="123" t="str">
        <f>IFERROR(VLOOKUP($H50,'LP Tables'!$A$12:$G$1252,6,FALSE),"")</f>
        <v/>
      </c>
      <c r="K50" s="124" t="str">
        <f>IFERROR(VLOOKUP($H50,'LP Tables'!$A$12:$G$1252,7,FALSE),"")</f>
        <v/>
      </c>
      <c r="L50" s="110"/>
      <c r="M50" s="121" t="str" cm="1">
        <f t="array" ref="M50">IFERROR(IFERROR(INDEX('LP Tables'!$A$12:$A$1250,SMALL(IF('LP Tables'!$B$12:$B$1250=$H$44,ROW('LP Tables'!$A$12:$A$1250)),ROW(31:31))-11,1),””),"")</f>
        <v/>
      </c>
      <c r="N50" s="122" t="str">
        <f>IFERROR(VLOOKUP($M50,'LP Tables'!$A$12:$G$1252,5,FALSE),"")</f>
        <v/>
      </c>
      <c r="O50" s="123" t="str">
        <f>IFERROR(VLOOKUP($M50,'LP Tables'!$A$12:$G$1252,6,FALSE),"")</f>
        <v/>
      </c>
      <c r="P50" s="124" t="str">
        <f>IFERROR(VLOOKUP($M50,'LP Tables'!$A$12:$G$1252,7,FALSE),"")</f>
        <v/>
      </c>
      <c r="Q50" s="110"/>
      <c r="R50" s="121" t="str" cm="1">
        <f t="array" ref="R50">IFERROR(IFERROR(INDEX('LP Tables'!$A$12:$A$1250,SMALL(IF('LP Tables'!$B$12:$B$1250=$H$44,ROW('LP Tables'!$A$12:$A$1250)),ROW(58:58))-11,1),””),"")</f>
        <v/>
      </c>
      <c r="S50" s="122" t="str">
        <f>IFERROR(VLOOKUP($R50,'LP Tables'!$A$12:$G$1252,5,FALSE),"")</f>
        <v/>
      </c>
      <c r="T50" s="123" t="str">
        <f>IFERROR(VLOOKUP($R50,'LP Tables'!$A$12:$G$1252,6,FALSE),"")</f>
        <v/>
      </c>
      <c r="U50" s="124" t="str">
        <f>IFERROR(VLOOKUP($R50,'LP Tables'!$A$12:$G$1252,7,FALSE),"")</f>
        <v/>
      </c>
      <c r="V50" s="110"/>
      <c r="W50" s="121" t="str" cm="1">
        <f t="array" ref="W50">IFERROR(IFERROR(INDEX('LP Tables'!$A$12:$A$1250,SMALL(IF('LP Tables'!$B$12:$B$1250=$H$44,ROW('LP Tables'!$A$12:$A$1250)),ROW(85:85))-11,1),””),"")</f>
        <v/>
      </c>
      <c r="X50" s="122" t="str">
        <f>IFERROR(VLOOKUP($W50,'LP Tables'!$A$12:$G$1252,5,FALSE),"")</f>
        <v/>
      </c>
      <c r="Y50" s="123" t="str">
        <f>IFERROR(VLOOKUP($W50,'LP Tables'!$A$12:$G$1252,6,FALSE),"")</f>
        <v/>
      </c>
      <c r="Z50" s="124" t="str">
        <f>IFERROR(VLOOKUP($W50,'LP Tables'!$A$12:$G$1252,7,FALSE),"")</f>
        <v/>
      </c>
    </row>
    <row r="51" spans="1:26" x14ac:dyDescent="0.3">
      <c r="B51" s="116" t="str">
        <f>VLOOKUP(C51,'General Lookups'!$A:$E,3,FALSE)</f>
        <v>DA</v>
      </c>
      <c r="C51" s="129" t="s">
        <v>159</v>
      </c>
      <c r="D51" s="129">
        <f>VLOOKUP(C51,'General Lookups'!$A:$E,5,FALSE)</f>
        <v>1</v>
      </c>
      <c r="E51" s="130">
        <f ca="1">VLOOKUP(C51,'LP Tables'!$AJ$4:$AM$150,4,FALSE)</f>
        <v>0.68550251052202793</v>
      </c>
      <c r="F51" s="130">
        <f ca="1">VLOOKUP(C51,'LP Tables'!$O$12:$R$123,4,FALSE)</f>
        <v>0.20662968574647655</v>
      </c>
      <c r="G51" s="110"/>
      <c r="H51" s="121" t="str" cm="1">
        <f t="array" ref="H51">IFERROR(IFERROR(INDEX('LP Tables'!$A$12:$A$1250,SMALL(IF('LP Tables'!$B$12:$B$1250=$H$44,ROW('LP Tables'!$A$12:$A$1250)),ROW(5:5))-11,1),””),"")</f>
        <v/>
      </c>
      <c r="I51" s="122" t="str">
        <f>IFERROR(VLOOKUP($H51,'LP Tables'!$A$12:$G$1252,5,FALSE),"")</f>
        <v/>
      </c>
      <c r="J51" s="123" t="str">
        <f>IFERROR(VLOOKUP($H51,'LP Tables'!$A$12:$G$1252,6,FALSE),"")</f>
        <v/>
      </c>
      <c r="K51" s="124" t="str">
        <f>IFERROR(VLOOKUP($H51,'LP Tables'!$A$12:$G$1252,7,FALSE),"")</f>
        <v/>
      </c>
      <c r="L51" s="110"/>
      <c r="M51" s="121" t="str" cm="1">
        <f t="array" ref="M51">IFERROR(IFERROR(INDEX('LP Tables'!$A$12:$A$1250,SMALL(IF('LP Tables'!$B$12:$B$1250=$H$44,ROW('LP Tables'!$A$12:$A$1250)),ROW(32:32))-11,1),””),"")</f>
        <v/>
      </c>
      <c r="N51" s="122" t="str">
        <f>IFERROR(VLOOKUP($M51,'LP Tables'!$A$12:$G$1252,5,FALSE),"")</f>
        <v/>
      </c>
      <c r="O51" s="123" t="str">
        <f>IFERROR(VLOOKUP($M51,'LP Tables'!$A$12:$G$1252,6,FALSE),"")</f>
        <v/>
      </c>
      <c r="P51" s="124" t="str">
        <f>IFERROR(VLOOKUP($M51,'LP Tables'!$A$12:$G$1252,7,FALSE),"")</f>
        <v/>
      </c>
      <c r="Q51" s="110"/>
      <c r="R51" s="121" t="str" cm="1">
        <f t="array" ref="R51">IFERROR(IFERROR(INDEX('LP Tables'!$A$12:$A$1250,SMALL(IF('LP Tables'!$B$12:$B$1250=$H$44,ROW('LP Tables'!$A$12:$A$1250)),ROW(59:59))-11,1),””),"")</f>
        <v/>
      </c>
      <c r="S51" s="122" t="str">
        <f>IFERROR(VLOOKUP($R51,'LP Tables'!$A$12:$G$1252,5,FALSE),"")</f>
        <v/>
      </c>
      <c r="T51" s="123" t="str">
        <f>IFERROR(VLOOKUP($R51,'LP Tables'!$A$12:$G$1252,6,FALSE),"")</f>
        <v/>
      </c>
      <c r="U51" s="124" t="str">
        <f>IFERROR(VLOOKUP($R51,'LP Tables'!$A$12:$G$1252,7,FALSE),"")</f>
        <v/>
      </c>
      <c r="V51" s="110"/>
      <c r="W51" s="121" t="str" cm="1">
        <f t="array" ref="W51">IFERROR(IFERROR(INDEX('LP Tables'!$A$12:$A$1250,SMALL(IF('LP Tables'!$B$12:$B$1250=$H$44,ROW('LP Tables'!$A$12:$A$1250)),ROW(86:86))-11,1),””),"")</f>
        <v/>
      </c>
      <c r="X51" s="122" t="str">
        <f>IFERROR(VLOOKUP($W51,'LP Tables'!$A$12:$G$1252,5,FALSE),"")</f>
        <v/>
      </c>
      <c r="Y51" s="123" t="str">
        <f>IFERROR(VLOOKUP($W51,'LP Tables'!$A$12:$G$1252,6,FALSE),"")</f>
        <v/>
      </c>
      <c r="Z51" s="124" t="str">
        <f>IFERROR(VLOOKUP($W51,'LP Tables'!$A$12:$G$1252,7,FALSE),"")</f>
        <v/>
      </c>
    </row>
    <row r="52" spans="1:26" x14ac:dyDescent="0.3">
      <c r="B52" s="121" t="str">
        <f>VLOOKUP(C52,'General Lookups'!$A:$E,3,FALSE)</f>
        <v>DA</v>
      </c>
      <c r="C52" s="110" t="s">
        <v>175</v>
      </c>
      <c r="D52" s="110">
        <f>VLOOKUP(C52,'General Lookups'!$A:$E,5,FALSE)</f>
        <v>2</v>
      </c>
      <c r="E52" s="131">
        <f ca="1">VLOOKUP(C52,'LP Tables'!$AJ$4:$AM$150,4,FALSE)</f>
        <v>0.42633245836965417</v>
      </c>
      <c r="F52" s="131">
        <f ca="1">VLOOKUP(C52,'LP Tables'!$O$12:$R$123,4,FALSE)</f>
        <v>0.57649665151335161</v>
      </c>
      <c r="G52" s="110"/>
      <c r="H52" s="121" t="str" cm="1">
        <f t="array" ref="H52">IFERROR(IFERROR(INDEX('LP Tables'!$A$12:$A$1250,SMALL(IF('LP Tables'!$B$12:$B$1250=$H$44,ROW('LP Tables'!$A$12:$A$1250)),ROW(6:6))-11,1),””),"")</f>
        <v/>
      </c>
      <c r="I52" s="122" t="str">
        <f>IFERROR(VLOOKUP($H52,'LP Tables'!$A$12:$G$1252,5,FALSE),"")</f>
        <v/>
      </c>
      <c r="J52" s="123" t="str">
        <f>IFERROR(VLOOKUP($H52,'LP Tables'!$A$12:$G$1252,6,FALSE),"")</f>
        <v/>
      </c>
      <c r="K52" s="124" t="str">
        <f>IFERROR(VLOOKUP($H52,'LP Tables'!$A$12:$G$1252,7,FALSE),"")</f>
        <v/>
      </c>
      <c r="L52" s="110"/>
      <c r="M52" s="121" t="str" cm="1">
        <f t="array" ref="M52">IFERROR(IFERROR(INDEX('LP Tables'!$A$12:$A$1250,SMALL(IF('LP Tables'!$B$12:$B$1250=$H$44,ROW('LP Tables'!$A$12:$A$1250)),ROW(33:33))-11,1),””),"")</f>
        <v/>
      </c>
      <c r="N52" s="122" t="str">
        <f>IFERROR(VLOOKUP($M52,'LP Tables'!$A$12:$G$1252,5,FALSE),"")</f>
        <v/>
      </c>
      <c r="O52" s="123" t="str">
        <f>IFERROR(VLOOKUP($M52,'LP Tables'!$A$12:$G$1252,6,FALSE),"")</f>
        <v/>
      </c>
      <c r="P52" s="124" t="str">
        <f>IFERROR(VLOOKUP($M52,'LP Tables'!$A$12:$G$1252,7,FALSE),"")</f>
        <v/>
      </c>
      <c r="Q52" s="110"/>
      <c r="R52" s="121" t="str" cm="1">
        <f t="array" ref="R52">IFERROR(IFERROR(INDEX('LP Tables'!$A$12:$A$1250,SMALL(IF('LP Tables'!$B$12:$B$1250=$H$44,ROW('LP Tables'!$A$12:$A$1250)),ROW(60:60))-11,1),””),"")</f>
        <v/>
      </c>
      <c r="S52" s="122" t="str">
        <f>IFERROR(VLOOKUP($R52,'LP Tables'!$A$12:$G$1252,5,FALSE),"")</f>
        <v/>
      </c>
      <c r="T52" s="123" t="str">
        <f>IFERROR(VLOOKUP($R52,'LP Tables'!$A$12:$G$1252,6,FALSE),"")</f>
        <v/>
      </c>
      <c r="U52" s="124" t="str">
        <f>IFERROR(VLOOKUP($R52,'LP Tables'!$A$12:$G$1252,7,FALSE),"")</f>
        <v/>
      </c>
      <c r="V52" s="110"/>
      <c r="W52" s="121" t="str" cm="1">
        <f t="array" ref="W52">IFERROR(IFERROR(INDEX('LP Tables'!$A$12:$A$1250,SMALL(IF('LP Tables'!$B$12:$B$1250=$H$44,ROW('LP Tables'!$A$12:$A$1250)),ROW(87:87))-11,1),””),"")</f>
        <v/>
      </c>
      <c r="X52" s="122" t="str">
        <f>IFERROR(VLOOKUP($W52,'LP Tables'!$A$12:$G$1252,5,FALSE),"")</f>
        <v/>
      </c>
      <c r="Y52" s="123" t="str">
        <f>IFERROR(VLOOKUP($W52,'LP Tables'!$A$12:$G$1252,6,FALSE),"")</f>
        <v/>
      </c>
      <c r="Z52" s="124" t="str">
        <f>IFERROR(VLOOKUP($W52,'LP Tables'!$A$12:$G$1252,7,FALSE),"")</f>
        <v/>
      </c>
    </row>
    <row r="53" spans="1:26" x14ac:dyDescent="0.3">
      <c r="B53" s="121" t="str">
        <f>VLOOKUP(C53,'General Lookups'!$A:$E,3,FALSE)</f>
        <v>DB</v>
      </c>
      <c r="C53" s="110" t="s">
        <v>160</v>
      </c>
      <c r="D53" s="110">
        <f>VLOOKUP(C53,'General Lookups'!$A:$E,5,FALSE)</f>
        <v>1</v>
      </c>
      <c r="E53" s="131">
        <f ca="1">VLOOKUP(C53,'LP Tables'!$AJ$4:$AM$150,4,FALSE)</f>
        <v>0.58471965700072537</v>
      </c>
      <c r="F53" s="131">
        <f ca="1">VLOOKUP(C53,'LP Tables'!$O$12:$R$123,4,FALSE)</f>
        <v>9.5324474045698548E-2</v>
      </c>
      <c r="G53" s="110"/>
      <c r="H53" s="121" t="str" cm="1">
        <f t="array" ref="H53">IFERROR(IFERROR(INDEX('LP Tables'!$A$12:$A$1250,SMALL(IF('LP Tables'!$B$12:$B$1250=$H$44,ROW('LP Tables'!$A$12:$A$1250)),ROW(7:7))-11,1),””),"")</f>
        <v/>
      </c>
      <c r="I53" s="122" t="str">
        <f>IFERROR(VLOOKUP($H53,'LP Tables'!$A$12:$G$1252,5,FALSE),"")</f>
        <v/>
      </c>
      <c r="J53" s="123" t="str">
        <f>IFERROR(VLOOKUP($H53,'LP Tables'!$A$12:$G$1252,6,FALSE),"")</f>
        <v/>
      </c>
      <c r="K53" s="124" t="str">
        <f>IFERROR(VLOOKUP($H53,'LP Tables'!$A$12:$G$1252,7,FALSE),"")</f>
        <v/>
      </c>
      <c r="L53" s="110"/>
      <c r="M53" s="121" t="str" cm="1">
        <f t="array" ref="M53">IFERROR(IFERROR(INDEX('LP Tables'!$A$12:$A$1250,SMALL(IF('LP Tables'!$B$12:$B$1250=$H$44,ROW('LP Tables'!$A$12:$A$1250)),ROW(34:34))-11,1),””),"")</f>
        <v/>
      </c>
      <c r="N53" s="122" t="str">
        <f>IFERROR(VLOOKUP($M53,'LP Tables'!$A$12:$G$1252,5,FALSE),"")</f>
        <v/>
      </c>
      <c r="O53" s="123" t="str">
        <f>IFERROR(VLOOKUP($M53,'LP Tables'!$A$12:$G$1252,6,FALSE),"")</f>
        <v/>
      </c>
      <c r="P53" s="124" t="str">
        <f>IFERROR(VLOOKUP($M53,'LP Tables'!$A$12:$G$1252,7,FALSE),"")</f>
        <v/>
      </c>
      <c r="Q53" s="110"/>
      <c r="R53" s="121" t="str" cm="1">
        <f t="array" ref="R53">IFERROR(IFERROR(INDEX('LP Tables'!$A$12:$A$1250,SMALL(IF('LP Tables'!$B$12:$B$1250=$H$44,ROW('LP Tables'!$A$12:$A$1250)),ROW(61:61))-11,1),””),"")</f>
        <v/>
      </c>
      <c r="S53" s="122" t="str">
        <f>IFERROR(VLOOKUP($R53,'LP Tables'!$A$12:$G$1252,5,FALSE),"")</f>
        <v/>
      </c>
      <c r="T53" s="123" t="str">
        <f>IFERROR(VLOOKUP($R53,'LP Tables'!$A$12:$G$1252,6,FALSE),"")</f>
        <v/>
      </c>
      <c r="U53" s="124" t="str">
        <f>IFERROR(VLOOKUP($R53,'LP Tables'!$A$12:$G$1252,7,FALSE),"")</f>
        <v/>
      </c>
      <c r="V53" s="110"/>
      <c r="W53" s="121" t="str" cm="1">
        <f t="array" ref="W53">IFERROR(IFERROR(INDEX('LP Tables'!$A$12:$A$1250,SMALL(IF('LP Tables'!$B$12:$B$1250=$H$44,ROW('LP Tables'!$A$12:$A$1250)),ROW(88:88))-11,1),””),"")</f>
        <v/>
      </c>
      <c r="X53" s="122" t="str">
        <f>IFERROR(VLOOKUP($W53,'LP Tables'!$A$12:$G$1252,5,FALSE),"")</f>
        <v/>
      </c>
      <c r="Y53" s="123" t="str">
        <f>IFERROR(VLOOKUP($W53,'LP Tables'!$A$12:$G$1252,6,FALSE),"")</f>
        <v/>
      </c>
      <c r="Z53" s="124" t="str">
        <f>IFERROR(VLOOKUP($W53,'LP Tables'!$A$12:$G$1252,7,FALSE),"")</f>
        <v/>
      </c>
    </row>
    <row r="54" spans="1:26" x14ac:dyDescent="0.3">
      <c r="B54" s="121" t="str">
        <f>VLOOKUP(C54,'General Lookups'!$A:$E,3,FALSE)</f>
        <v>DC</v>
      </c>
      <c r="C54" s="110" t="s">
        <v>176</v>
      </c>
      <c r="D54" s="110">
        <f>VLOOKUP(C54,'General Lookups'!$A:$E,5,FALSE)</f>
        <v>2</v>
      </c>
      <c r="E54" s="131">
        <f ca="1">VLOOKUP(C54,'LP Tables'!$AJ$4:$AM$150,4,FALSE)</f>
        <v>0.34414360246625608</v>
      </c>
      <c r="F54" s="131">
        <f ca="1">VLOOKUP(C54,'LP Tables'!$O$12:$R$123,4,FALSE)</f>
        <v>8.5415824586926758E-2</v>
      </c>
      <c r="G54" s="110"/>
      <c r="H54" s="121" t="str" cm="1">
        <f t="array" ref="H54">IFERROR(IFERROR(INDEX('LP Tables'!$A$12:$A$1250,SMALL(IF('LP Tables'!$B$12:$B$1250=$H$44,ROW('LP Tables'!$A$12:$A$1250)),ROW(8:8))-11,1),””),"")</f>
        <v/>
      </c>
      <c r="I54" s="122" t="str">
        <f>IFERROR(VLOOKUP($H54,'LP Tables'!$A$12:$G$1252,5,FALSE),"")</f>
        <v/>
      </c>
      <c r="J54" s="123" t="str">
        <f>IFERROR(VLOOKUP($H54,'LP Tables'!$A$12:$G$1252,6,FALSE),"")</f>
        <v/>
      </c>
      <c r="K54" s="124" t="str">
        <f>IFERROR(VLOOKUP($H54,'LP Tables'!$A$12:$G$1252,7,FALSE),"")</f>
        <v/>
      </c>
      <c r="L54" s="110"/>
      <c r="M54" s="121" t="str" cm="1">
        <f t="array" ref="M54">IFERROR(IFERROR(INDEX('LP Tables'!$A$12:$A$1250,SMALL(IF('LP Tables'!$B$12:$B$1250=$H$44,ROW('LP Tables'!$A$12:$A$1250)),ROW(35:35))-11,1),””),"")</f>
        <v/>
      </c>
      <c r="N54" s="122" t="str">
        <f>IFERROR(VLOOKUP($M54,'LP Tables'!$A$12:$G$1252,5,FALSE),"")</f>
        <v/>
      </c>
      <c r="O54" s="123" t="str">
        <f>IFERROR(VLOOKUP($M54,'LP Tables'!$A$12:$G$1252,6,FALSE),"")</f>
        <v/>
      </c>
      <c r="P54" s="124" t="str">
        <f>IFERROR(VLOOKUP($M54,'LP Tables'!$A$12:$G$1252,7,FALSE),"")</f>
        <v/>
      </c>
      <c r="Q54" s="110"/>
      <c r="R54" s="121" t="str" cm="1">
        <f t="array" ref="R54">IFERROR(IFERROR(INDEX('LP Tables'!$A$12:$A$1250,SMALL(IF('LP Tables'!$B$12:$B$1250=$H$44,ROW('LP Tables'!$A$12:$A$1250)),ROW(62:62))-11,1),””),"")</f>
        <v/>
      </c>
      <c r="S54" s="122" t="str">
        <f>IFERROR(VLOOKUP($R54,'LP Tables'!$A$12:$G$1252,5,FALSE),"")</f>
        <v/>
      </c>
      <c r="T54" s="123" t="str">
        <f>IFERROR(VLOOKUP($R54,'LP Tables'!$A$12:$G$1252,6,FALSE),"")</f>
        <v/>
      </c>
      <c r="U54" s="124" t="str">
        <f>IFERROR(VLOOKUP($R54,'LP Tables'!$A$12:$G$1252,7,FALSE),"")</f>
        <v/>
      </c>
      <c r="V54" s="110"/>
      <c r="W54" s="121" t="str" cm="1">
        <f t="array" ref="W54">IFERROR(IFERROR(INDEX('LP Tables'!$A$12:$A$1250,SMALL(IF('LP Tables'!$B$12:$B$1250=$H$44,ROW('LP Tables'!$A$12:$A$1250)),ROW(89:89))-11,1),””),"")</f>
        <v/>
      </c>
      <c r="X54" s="122" t="str">
        <f>IFERROR(VLOOKUP($W54,'LP Tables'!$A$12:$G$1252,5,FALSE),"")</f>
        <v/>
      </c>
      <c r="Y54" s="123" t="str">
        <f>IFERROR(VLOOKUP($W54,'LP Tables'!$A$12:$G$1252,6,FALSE),"")</f>
        <v/>
      </c>
      <c r="Z54" s="124" t="str">
        <f>IFERROR(VLOOKUP($W54,'LP Tables'!$A$12:$G$1252,7,FALSE),"")</f>
        <v/>
      </c>
    </row>
    <row r="55" spans="1:26" x14ac:dyDescent="0.3">
      <c r="B55" s="121" t="str">
        <f>VLOOKUP(C55,'General Lookups'!$A:$E,3,FALSE)</f>
        <v>DC</v>
      </c>
      <c r="C55" s="110" t="s">
        <v>177</v>
      </c>
      <c r="D55" s="110">
        <f>VLOOKUP(C55,'General Lookups'!$A:$E,5,FALSE)</f>
        <v>1</v>
      </c>
      <c r="E55" s="131">
        <f ca="1">VLOOKUP(C55,'LP Tables'!$AJ$4:$AM$150,4,FALSE)</f>
        <v>0.85914730142718754</v>
      </c>
      <c r="F55" s="131">
        <f ca="1">VLOOKUP(C55,'LP Tables'!$O$12:$R$123,4,FALSE)</f>
        <v>0.13467616444000452</v>
      </c>
      <c r="G55" s="110"/>
      <c r="H55" s="121" t="str" cm="1">
        <f t="array" ref="H55">IFERROR(IFERROR(INDEX('LP Tables'!$A$12:$A$1250,SMALL(IF('LP Tables'!$B$12:$B$1250=$H$44,ROW('LP Tables'!$A$12:$A$1250)),ROW(9:9))-11,1),””),"")</f>
        <v/>
      </c>
      <c r="I55" s="122" t="str">
        <f>IFERROR(VLOOKUP($H55,'LP Tables'!$A$12:$G$1252,5,FALSE),"")</f>
        <v/>
      </c>
      <c r="J55" s="123" t="str">
        <f>IFERROR(VLOOKUP($H55,'LP Tables'!$A$12:$G$1252,6,FALSE),"")</f>
        <v/>
      </c>
      <c r="K55" s="124" t="str">
        <f>IFERROR(VLOOKUP($H55,'LP Tables'!$A$12:$G$1252,7,FALSE),"")</f>
        <v/>
      </c>
      <c r="L55" s="110"/>
      <c r="M55" s="121" t="str" cm="1">
        <f t="array" ref="M55">IFERROR(IFERROR(INDEX('LP Tables'!$A$12:$A$1250,SMALL(IF('LP Tables'!$B$12:$B$1250=$H$44,ROW('LP Tables'!$A$12:$A$1250)),ROW(36:36))-11,1),””),"")</f>
        <v/>
      </c>
      <c r="N55" s="122" t="str">
        <f>IFERROR(VLOOKUP($M55,'LP Tables'!$A$12:$G$1252,5,FALSE),"")</f>
        <v/>
      </c>
      <c r="O55" s="123" t="str">
        <f>IFERROR(VLOOKUP($M55,'LP Tables'!$A$12:$G$1252,6,FALSE),"")</f>
        <v/>
      </c>
      <c r="P55" s="124" t="str">
        <f>IFERROR(VLOOKUP($M55,'LP Tables'!$A$12:$G$1252,7,FALSE),"")</f>
        <v/>
      </c>
      <c r="Q55" s="110"/>
      <c r="R55" s="121" t="str" cm="1">
        <f t="array" ref="R55">IFERROR(IFERROR(INDEX('LP Tables'!$A$12:$A$1250,SMALL(IF('LP Tables'!$B$12:$B$1250=$H$44,ROW('LP Tables'!$A$12:$A$1250)),ROW(63:63))-11,1),””),"")</f>
        <v/>
      </c>
      <c r="S55" s="122" t="str">
        <f>IFERROR(VLOOKUP($R55,'LP Tables'!$A$12:$G$1252,5,FALSE),"")</f>
        <v/>
      </c>
      <c r="T55" s="123" t="str">
        <f>IFERROR(VLOOKUP($R55,'LP Tables'!$A$12:$G$1252,6,FALSE),"")</f>
        <v/>
      </c>
      <c r="U55" s="124" t="str">
        <f>IFERROR(VLOOKUP($R55,'LP Tables'!$A$12:$G$1252,7,FALSE),"")</f>
        <v/>
      </c>
      <c r="V55" s="110"/>
      <c r="W55" s="121" t="str" cm="1">
        <f t="array" ref="W55">IFERROR(IFERROR(INDEX('LP Tables'!$A$12:$A$1250,SMALL(IF('LP Tables'!$B$12:$B$1250=$H$44,ROW('LP Tables'!$A$12:$A$1250)),ROW(90:90))-11,1),””),"")</f>
        <v/>
      </c>
      <c r="X55" s="122" t="str">
        <f>IFERROR(VLOOKUP($W55,'LP Tables'!$A$12:$G$1252,5,FALSE),"")</f>
        <v/>
      </c>
      <c r="Y55" s="123" t="str">
        <f>IFERROR(VLOOKUP($W55,'LP Tables'!$A$12:$G$1252,6,FALSE),"")</f>
        <v/>
      </c>
      <c r="Z55" s="124" t="str">
        <f>IFERROR(VLOOKUP($W55,'LP Tables'!$A$12:$G$1252,7,FALSE),"")</f>
        <v/>
      </c>
    </row>
    <row r="56" spans="1:26" x14ac:dyDescent="0.3">
      <c r="B56" s="121" t="str">
        <f>VLOOKUP(C56,'General Lookups'!$A:$E,3,FALSE)</f>
        <v>DC</v>
      </c>
      <c r="C56" s="110" t="s">
        <v>161</v>
      </c>
      <c r="D56" s="110">
        <f>VLOOKUP(C56,'General Lookups'!$A:$E,5,FALSE)</f>
        <v>1</v>
      </c>
      <c r="E56" s="131">
        <f ca="1">VLOOKUP(C56,'LP Tables'!$AJ$4:$AM$150,4,FALSE)</f>
        <v>0.33565045055159404</v>
      </c>
      <c r="F56" s="131">
        <f ca="1">VLOOKUP(C56,'LP Tables'!$O$12:$R$123,4,FALSE)</f>
        <v>0.28701906876889749</v>
      </c>
      <c r="G56" s="110"/>
      <c r="H56" s="121" t="str" cm="1">
        <f t="array" ref="H56">IFERROR(IFERROR(INDEX('LP Tables'!$A$12:$A$1250,SMALL(IF('LP Tables'!$B$12:$B$1250=$H$44,ROW('LP Tables'!$A$12:$A$1250)),ROW(10:10))-11,1),””),"")</f>
        <v/>
      </c>
      <c r="I56" s="122" t="str">
        <f>IFERROR(VLOOKUP($H56,'LP Tables'!$A$12:$G$1252,5,FALSE),"")</f>
        <v/>
      </c>
      <c r="J56" s="123" t="str">
        <f>IFERROR(VLOOKUP($H56,'LP Tables'!$A$12:$G$1252,6,FALSE),"")</f>
        <v/>
      </c>
      <c r="K56" s="124" t="str">
        <f>IFERROR(VLOOKUP($H56,'LP Tables'!$A$12:$G$1252,7,FALSE),"")</f>
        <v/>
      </c>
      <c r="L56" s="110"/>
      <c r="M56" s="121" t="str" cm="1">
        <f t="array" ref="M56">IFERROR(IFERROR(INDEX('LP Tables'!$A$12:$A$1250,SMALL(IF('LP Tables'!$B$12:$B$1250=$H$44,ROW('LP Tables'!$A$12:$A$1250)),ROW(37:37))-11,1),””),"")</f>
        <v/>
      </c>
      <c r="N56" s="122" t="str">
        <f>IFERROR(VLOOKUP($M56,'LP Tables'!$A$12:$G$1252,5,FALSE),"")</f>
        <v/>
      </c>
      <c r="O56" s="123" t="str">
        <f>IFERROR(VLOOKUP($M56,'LP Tables'!$A$12:$G$1252,6,FALSE),"")</f>
        <v/>
      </c>
      <c r="P56" s="124" t="str">
        <f>IFERROR(VLOOKUP($M56,'LP Tables'!$A$12:$G$1252,7,FALSE),"")</f>
        <v/>
      </c>
      <c r="Q56" s="110"/>
      <c r="R56" s="121" t="str" cm="1">
        <f t="array" ref="R56">IFERROR(IFERROR(INDEX('LP Tables'!$A$12:$A$1250,SMALL(IF('LP Tables'!$B$12:$B$1250=$H$44,ROW('LP Tables'!$A$12:$A$1250)),ROW(64:64))-11,1),””),"")</f>
        <v/>
      </c>
      <c r="S56" s="122" t="str">
        <f>IFERROR(VLOOKUP($R56,'LP Tables'!$A$12:$G$1252,5,FALSE),"")</f>
        <v/>
      </c>
      <c r="T56" s="123" t="str">
        <f>IFERROR(VLOOKUP($R56,'LP Tables'!$A$12:$G$1252,6,FALSE),"")</f>
        <v/>
      </c>
      <c r="U56" s="124" t="str">
        <f>IFERROR(VLOOKUP($R56,'LP Tables'!$A$12:$G$1252,7,FALSE),"")</f>
        <v/>
      </c>
      <c r="V56" s="110"/>
      <c r="W56" s="121" t="str" cm="1">
        <f t="array" ref="W56">IFERROR(IFERROR(INDEX('LP Tables'!$A$12:$A$1250,SMALL(IF('LP Tables'!$B$12:$B$1250=$H$44,ROW('LP Tables'!$A$12:$A$1250)),ROW(91:91))-11,1),””),"")</f>
        <v/>
      </c>
      <c r="X56" s="122" t="str">
        <f>IFERROR(VLOOKUP($W56,'LP Tables'!$A$12:$G$1252,5,FALSE),"")</f>
        <v/>
      </c>
      <c r="Y56" s="123" t="str">
        <f>IFERROR(VLOOKUP($W56,'LP Tables'!$A$12:$G$1252,6,FALSE),"")</f>
        <v/>
      </c>
      <c r="Z56" s="124" t="str">
        <f>IFERROR(VLOOKUP($W56,'LP Tables'!$A$12:$G$1252,7,FALSE),"")</f>
        <v/>
      </c>
    </row>
    <row r="57" spans="1:26" x14ac:dyDescent="0.3">
      <c r="B57" s="121" t="str">
        <f>VLOOKUP(C57,'General Lookups'!$A:$E,3,FALSE)</f>
        <v>DD</v>
      </c>
      <c r="C57" s="110" t="s">
        <v>162</v>
      </c>
      <c r="D57" s="110">
        <f>VLOOKUP(C57,'General Lookups'!$A:$E,5,FALSE)</f>
        <v>4</v>
      </c>
      <c r="E57" s="131">
        <f ca="1">VLOOKUP(C57,'LP Tables'!$AJ$4:$AM$150,4,FALSE)</f>
        <v>0.73661960166781126</v>
      </c>
      <c r="F57" s="131">
        <f ca="1">VLOOKUP(C57,'LP Tables'!$O$12:$R$123,4,FALSE)</f>
        <v>0.84710738185719436</v>
      </c>
      <c r="G57" s="110"/>
      <c r="H57" s="121" t="str" cm="1">
        <f t="array" ref="H57">IFERROR(IFERROR(INDEX('LP Tables'!$A$12:$A$1250,SMALL(IF('LP Tables'!$B$12:$B$1250=$H$44,ROW('LP Tables'!$A$12:$A$1250)),ROW(11:11))-11,1),””),"")</f>
        <v/>
      </c>
      <c r="I57" s="122" t="str">
        <f>IFERROR(VLOOKUP($H57,'LP Tables'!$A$12:$G$1252,5,FALSE),"")</f>
        <v/>
      </c>
      <c r="J57" s="123" t="str">
        <f>IFERROR(VLOOKUP($H57,'LP Tables'!$A$12:$G$1252,6,FALSE),"")</f>
        <v/>
      </c>
      <c r="K57" s="124" t="str">
        <f>IFERROR(VLOOKUP($H57,'LP Tables'!$A$12:$G$1252,7,FALSE),"")</f>
        <v/>
      </c>
      <c r="L57" s="110"/>
      <c r="M57" s="121" t="str" cm="1">
        <f t="array" ref="M57">IFERROR(IFERROR(INDEX('LP Tables'!$A$12:$A$1250,SMALL(IF('LP Tables'!$B$12:$B$1250=$H$44,ROW('LP Tables'!$A$12:$A$1250)),ROW(38:38))-11,1),””),"")</f>
        <v/>
      </c>
      <c r="N57" s="122" t="str">
        <f>IFERROR(VLOOKUP($M57,'LP Tables'!$A$12:$G$1252,5,FALSE),"")</f>
        <v/>
      </c>
      <c r="O57" s="123" t="str">
        <f>IFERROR(VLOOKUP($M57,'LP Tables'!$A$12:$G$1252,6,FALSE),"")</f>
        <v/>
      </c>
      <c r="P57" s="124" t="str">
        <f>IFERROR(VLOOKUP($M57,'LP Tables'!$A$12:$G$1252,7,FALSE),"")</f>
        <v/>
      </c>
      <c r="Q57" s="110"/>
      <c r="R57" s="121" t="str" cm="1">
        <f t="array" ref="R57">IFERROR(IFERROR(INDEX('LP Tables'!$A$12:$A$1250,SMALL(IF('LP Tables'!$B$12:$B$1250=$H$44,ROW('LP Tables'!$A$12:$A$1250)),ROW(65:65))-11,1),””),"")</f>
        <v/>
      </c>
      <c r="S57" s="122" t="str">
        <f>IFERROR(VLOOKUP($R57,'LP Tables'!$A$12:$G$1252,5,FALSE),"")</f>
        <v/>
      </c>
      <c r="T57" s="123" t="str">
        <f>IFERROR(VLOOKUP($R57,'LP Tables'!$A$12:$G$1252,6,FALSE),"")</f>
        <v/>
      </c>
      <c r="U57" s="124" t="str">
        <f>IFERROR(VLOOKUP($R57,'LP Tables'!$A$12:$G$1252,7,FALSE),"")</f>
        <v/>
      </c>
      <c r="V57" s="110"/>
      <c r="W57" s="121" t="str" cm="1">
        <f t="array" ref="W57">IFERROR(IFERROR(INDEX('LP Tables'!$A$12:$A$1250,SMALL(IF('LP Tables'!$B$12:$B$1250=$H$44,ROW('LP Tables'!$A$12:$A$1250)),ROW(92:92))-11,1),””),"")</f>
        <v/>
      </c>
      <c r="X57" s="122" t="str">
        <f>IFERROR(VLOOKUP($W57,'LP Tables'!$A$12:$G$1252,5,FALSE),"")</f>
        <v/>
      </c>
      <c r="Y57" s="123" t="str">
        <f>IFERROR(VLOOKUP($W57,'LP Tables'!$A$12:$G$1252,6,FALSE),"")</f>
        <v/>
      </c>
      <c r="Z57" s="124" t="str">
        <f>IFERROR(VLOOKUP($W57,'LP Tables'!$A$12:$G$1252,7,FALSE),"")</f>
        <v/>
      </c>
    </row>
    <row r="58" spans="1:26" x14ac:dyDescent="0.3">
      <c r="B58" s="121" t="str">
        <f>VLOOKUP(C58,'General Lookups'!$A:$E,3,FALSE)</f>
        <v>DD</v>
      </c>
      <c r="C58" s="110" t="s">
        <v>163</v>
      </c>
      <c r="D58" s="110">
        <f>VLOOKUP(C58,'General Lookups'!$A:$E,5,FALSE)</f>
        <v>1</v>
      </c>
      <c r="E58" s="131">
        <f ca="1">VLOOKUP(C58,'LP Tables'!$AJ$4:$AM$150,4,FALSE)</f>
        <v>0.48374925735745933</v>
      </c>
      <c r="F58" s="131">
        <f ca="1">VLOOKUP(C58,'LP Tables'!$O$12:$R$123,4,FALSE)</f>
        <v>0.44530474751829074</v>
      </c>
      <c r="G58" s="110"/>
      <c r="H58" s="121" t="str" cm="1">
        <f t="array" ref="H58">IFERROR(IFERROR(INDEX('LP Tables'!$A$12:$A$1250,SMALL(IF('LP Tables'!$B$12:$B$1250=$H$44,ROW('LP Tables'!$A$12:$A$1250)),ROW(12:12))-11,1),””),"")</f>
        <v/>
      </c>
      <c r="I58" s="122" t="str">
        <f>IFERROR(VLOOKUP($H58,'LP Tables'!$A$12:$G$1252,5,FALSE),"")</f>
        <v/>
      </c>
      <c r="J58" s="123" t="str">
        <f>IFERROR(VLOOKUP($H58,'LP Tables'!$A$12:$G$1252,6,FALSE),"")</f>
        <v/>
      </c>
      <c r="K58" s="124" t="str">
        <f>IFERROR(VLOOKUP($H58,'LP Tables'!$A$12:$G$1252,7,FALSE),"")</f>
        <v/>
      </c>
      <c r="L58" s="110"/>
      <c r="M58" s="121" t="str" cm="1">
        <f t="array" ref="M58">IFERROR(IFERROR(INDEX('LP Tables'!$A$12:$A$1250,SMALL(IF('LP Tables'!$B$12:$B$1250=$H$44,ROW('LP Tables'!$A$12:$A$1250)),ROW(39:39))-11,1),””),"")</f>
        <v/>
      </c>
      <c r="N58" s="122" t="str">
        <f>IFERROR(VLOOKUP($M58,'LP Tables'!$A$12:$G$1252,5,FALSE),"")</f>
        <v/>
      </c>
      <c r="O58" s="123" t="str">
        <f>IFERROR(VLOOKUP($M58,'LP Tables'!$A$12:$G$1252,6,FALSE),"")</f>
        <v/>
      </c>
      <c r="P58" s="124" t="str">
        <f>IFERROR(VLOOKUP($M58,'LP Tables'!$A$12:$G$1252,7,FALSE),"")</f>
        <v/>
      </c>
      <c r="Q58" s="110"/>
      <c r="R58" s="121" t="str" cm="1">
        <f t="array" ref="R58">IFERROR(IFERROR(INDEX('LP Tables'!$A$12:$A$1250,SMALL(IF('LP Tables'!$B$12:$B$1250=$H$44,ROW('LP Tables'!$A$12:$A$1250)),ROW(66:66))-11,1),””),"")</f>
        <v/>
      </c>
      <c r="S58" s="122" t="str">
        <f>IFERROR(VLOOKUP($R58,'LP Tables'!$A$12:$G$1252,5,FALSE),"")</f>
        <v/>
      </c>
      <c r="T58" s="123" t="str">
        <f>IFERROR(VLOOKUP($R58,'LP Tables'!$A$12:$G$1252,6,FALSE),"")</f>
        <v/>
      </c>
      <c r="U58" s="124" t="str">
        <f>IFERROR(VLOOKUP($R58,'LP Tables'!$A$12:$G$1252,7,FALSE),"")</f>
        <v/>
      </c>
      <c r="V58" s="110"/>
      <c r="W58" s="121" t="str" cm="1">
        <f t="array" ref="W58">IFERROR(IFERROR(INDEX('LP Tables'!$A$12:$A$1250,SMALL(IF('LP Tables'!$B$12:$B$1250=$H$44,ROW('LP Tables'!$A$12:$A$1250)),ROW(93:93))-11,1),””),"")</f>
        <v/>
      </c>
      <c r="X58" s="122" t="str">
        <f>IFERROR(VLOOKUP($W58,'LP Tables'!$A$12:$G$1252,5,FALSE),"")</f>
        <v/>
      </c>
      <c r="Y58" s="123" t="str">
        <f>IFERROR(VLOOKUP($W58,'LP Tables'!$A$12:$G$1252,6,FALSE),"")</f>
        <v/>
      </c>
      <c r="Z58" s="124" t="str">
        <f>IFERROR(VLOOKUP($W58,'LP Tables'!$A$12:$G$1252,7,FALSE),"")</f>
        <v/>
      </c>
    </row>
    <row r="59" spans="1:26" x14ac:dyDescent="0.3">
      <c r="B59" s="121" t="str">
        <f>VLOOKUP(C59,'General Lookups'!$A:$E,3,FALSE)</f>
        <v>DD</v>
      </c>
      <c r="C59" s="110" t="s">
        <v>164</v>
      </c>
      <c r="D59" s="110">
        <f>VLOOKUP(C59,'General Lookups'!$A:$E,5,FALSE)</f>
        <v>2</v>
      </c>
      <c r="E59" s="131">
        <f ca="1">VLOOKUP(C59,'LP Tables'!$AJ$4:$AM$150,4,FALSE)</f>
        <v>0.55612104392988371</v>
      </c>
      <c r="F59" s="131">
        <f ca="1">VLOOKUP(C59,'LP Tables'!$O$12:$R$123,4,FALSE)</f>
        <v>0.61010229491746115</v>
      </c>
      <c r="G59" s="110"/>
      <c r="H59" s="121" t="str" cm="1">
        <f t="array" ref="H59">IFERROR(IFERROR(INDEX('LP Tables'!$A$12:$A$1250,SMALL(IF('LP Tables'!$B$12:$B$1250=$H$44,ROW('LP Tables'!$A$12:$A$1250)),ROW(13:13))-11,1),””),"")</f>
        <v/>
      </c>
      <c r="I59" s="122" t="str">
        <f>IFERROR(VLOOKUP($H59,'LP Tables'!$A$12:$G$1252,5,FALSE),"")</f>
        <v/>
      </c>
      <c r="J59" s="123" t="str">
        <f>IFERROR(VLOOKUP($H59,'LP Tables'!$A$12:$G$1252,6,FALSE),"")</f>
        <v/>
      </c>
      <c r="K59" s="124" t="str">
        <f>IFERROR(VLOOKUP($H59,'LP Tables'!$A$12:$G$1252,7,FALSE),"")</f>
        <v/>
      </c>
      <c r="L59" s="110"/>
      <c r="M59" s="121" t="str" cm="1">
        <f t="array" ref="M59">IFERROR(IFERROR(INDEX('LP Tables'!$A$12:$A$1250,SMALL(IF('LP Tables'!$B$12:$B$1250=$H$44,ROW('LP Tables'!$A$12:$A$1250)),ROW(40:40))-11,1),””),"")</f>
        <v/>
      </c>
      <c r="N59" s="122" t="str">
        <f>IFERROR(VLOOKUP($M59,'LP Tables'!$A$12:$G$1252,5,FALSE),"")</f>
        <v/>
      </c>
      <c r="O59" s="123" t="str">
        <f>IFERROR(VLOOKUP($M59,'LP Tables'!$A$12:$G$1252,6,FALSE),"")</f>
        <v/>
      </c>
      <c r="P59" s="124" t="str">
        <f>IFERROR(VLOOKUP($M59,'LP Tables'!$A$12:$G$1252,7,FALSE),"")</f>
        <v/>
      </c>
      <c r="Q59" s="110"/>
      <c r="R59" s="121" t="str" cm="1">
        <f t="array" ref="R59">IFERROR(IFERROR(INDEX('LP Tables'!$A$12:$A$1250,SMALL(IF('LP Tables'!$B$12:$B$1250=$H$44,ROW('LP Tables'!$A$12:$A$1250)),ROW(67:67))-11,1),””),"")</f>
        <v/>
      </c>
      <c r="S59" s="122" t="str">
        <f>IFERROR(VLOOKUP($R59,'LP Tables'!$A$12:$G$1252,5,FALSE),"")</f>
        <v/>
      </c>
      <c r="T59" s="123" t="str">
        <f>IFERROR(VLOOKUP($R59,'LP Tables'!$A$12:$G$1252,6,FALSE),"")</f>
        <v/>
      </c>
      <c r="U59" s="124" t="str">
        <f>IFERROR(VLOOKUP($R59,'LP Tables'!$A$12:$G$1252,7,FALSE),"")</f>
        <v/>
      </c>
      <c r="V59" s="110"/>
      <c r="W59" s="121" t="str" cm="1">
        <f t="array" ref="W59">IFERROR(IFERROR(INDEX('LP Tables'!$A$12:$A$1250,SMALL(IF('LP Tables'!$B$12:$B$1250=$H$44,ROW('LP Tables'!$A$12:$A$1250)),ROW(94:94))-11,1),””),"")</f>
        <v/>
      </c>
      <c r="X59" s="122" t="str">
        <f>IFERROR(VLOOKUP($W59,'LP Tables'!$A$12:$G$1252,5,FALSE),"")</f>
        <v/>
      </c>
      <c r="Y59" s="123" t="str">
        <f>IFERROR(VLOOKUP($W59,'LP Tables'!$A$12:$G$1252,6,FALSE),"")</f>
        <v/>
      </c>
      <c r="Z59" s="124" t="str">
        <f>IFERROR(VLOOKUP($W59,'LP Tables'!$A$12:$G$1252,7,FALSE),"")</f>
        <v/>
      </c>
    </row>
    <row r="60" spans="1:26" ht="16.2" thickBot="1" x14ac:dyDescent="0.35">
      <c r="B60" s="132" t="str">
        <f>VLOOKUP(C60,'General Lookups'!$A:$E,3,FALSE)</f>
        <v>DB</v>
      </c>
      <c r="C60" s="133" t="s">
        <v>178</v>
      </c>
      <c r="D60" s="133">
        <f>VLOOKUP(C60,'General Lookups'!$A:$E,5,FALSE)</f>
        <v>2</v>
      </c>
      <c r="E60" s="134">
        <f ca="1">VLOOKUP(C60,'LP Tables'!$AJ$4:$AM$150,4,FALSE)</f>
        <v>0.66735258679038367</v>
      </c>
      <c r="F60" s="134">
        <f ca="1">VLOOKUP(C60,'LP Tables'!$O$12:$R$123,4,FALSE)</f>
        <v>0.70637163169073525</v>
      </c>
      <c r="G60" s="110"/>
      <c r="H60" s="121" t="str" cm="1">
        <f t="array" ref="H60">IFERROR(IFERROR(INDEX('LP Tables'!$A$12:$A$1250,SMALL(IF('LP Tables'!$B$12:$B$1250=$H$44,ROW('LP Tables'!$A$12:$A$1250)),ROW(14:14))-11,1),””),"")</f>
        <v/>
      </c>
      <c r="I60" s="122" t="str">
        <f>IFERROR(VLOOKUP($H60,'LP Tables'!$A$12:$G$1252,5,FALSE),"")</f>
        <v/>
      </c>
      <c r="J60" s="123" t="str">
        <f>IFERROR(VLOOKUP($H60,'LP Tables'!$A$12:$G$1252,6,FALSE),"")</f>
        <v/>
      </c>
      <c r="K60" s="124" t="str">
        <f>IFERROR(VLOOKUP($H60,'LP Tables'!$A$12:$G$1252,7,FALSE),"")</f>
        <v/>
      </c>
      <c r="L60" s="110"/>
      <c r="M60" s="121" t="str" cm="1">
        <f t="array" ref="M60">IFERROR(IFERROR(INDEX('LP Tables'!$A$12:$A$1250,SMALL(IF('LP Tables'!$B$12:$B$1250=$H$44,ROW('LP Tables'!$A$12:$A$1250)),ROW(41:41))-11,1),””),"")</f>
        <v/>
      </c>
      <c r="N60" s="122" t="str">
        <f>IFERROR(VLOOKUP($M60,'LP Tables'!$A$12:$G$1252,5,FALSE),"")</f>
        <v/>
      </c>
      <c r="O60" s="123" t="str">
        <f>IFERROR(VLOOKUP($M60,'LP Tables'!$A$12:$G$1252,6,FALSE),"")</f>
        <v/>
      </c>
      <c r="P60" s="124" t="str">
        <f>IFERROR(VLOOKUP($M60,'LP Tables'!$A$12:$G$1252,7,FALSE),"")</f>
        <v/>
      </c>
      <c r="Q60" s="110"/>
      <c r="R60" s="121" t="str" cm="1">
        <f t="array" ref="R60">IFERROR(IFERROR(INDEX('LP Tables'!$A$12:$A$1250,SMALL(IF('LP Tables'!$B$12:$B$1250=$H$44,ROW('LP Tables'!$A$12:$A$1250)),ROW(68:68))-11,1),””),"")</f>
        <v/>
      </c>
      <c r="S60" s="122" t="str">
        <f>IFERROR(VLOOKUP($R60,'LP Tables'!$A$12:$G$1252,5,FALSE),"")</f>
        <v/>
      </c>
      <c r="T60" s="123" t="str">
        <f>IFERROR(VLOOKUP($R60,'LP Tables'!$A$12:$G$1252,6,FALSE),"")</f>
        <v/>
      </c>
      <c r="U60" s="124" t="str">
        <f>IFERROR(VLOOKUP($R60,'LP Tables'!$A$12:$G$1252,7,FALSE),"")</f>
        <v/>
      </c>
      <c r="V60" s="110"/>
      <c r="W60" s="121" t="str" cm="1">
        <f t="array" ref="W60">IFERROR(IFERROR(INDEX('LP Tables'!$A$12:$A$1250,SMALL(IF('LP Tables'!$B$12:$B$1250=$H$44,ROW('LP Tables'!$A$12:$A$1250)),ROW(95:95))-11,1),””),"")</f>
        <v/>
      </c>
      <c r="X60" s="122" t="str">
        <f>IFERROR(VLOOKUP($W60,'LP Tables'!$A$12:$G$1252,5,FALSE),"")</f>
        <v/>
      </c>
      <c r="Y60" s="123" t="str">
        <f>IFERROR(VLOOKUP($W60,'LP Tables'!$A$12:$G$1252,6,FALSE),"")</f>
        <v/>
      </c>
      <c r="Z60" s="124" t="str">
        <f>IFERROR(VLOOKUP($W60,'LP Tables'!$A$12:$G$1252,7,FALSE),"")</f>
        <v/>
      </c>
    </row>
    <row r="61" spans="1:26" ht="16.2" thickBot="1" x14ac:dyDescent="0.35">
      <c r="G61" s="110"/>
      <c r="H61" s="121" t="str" cm="1">
        <f t="array" ref="H61">IFERROR(IFERROR(INDEX('LP Tables'!$A$12:$A$1250,SMALL(IF('LP Tables'!$B$12:$B$1250=$H$44,ROW('LP Tables'!$A$12:$A$1250)),ROW(15:15))-11,1),””),"")</f>
        <v/>
      </c>
      <c r="I61" s="122" t="str">
        <f>IFERROR(VLOOKUP($H61,'LP Tables'!$A$12:$G$1252,5,FALSE),"")</f>
        <v/>
      </c>
      <c r="J61" s="123" t="str">
        <f>IFERROR(VLOOKUP($H61,'LP Tables'!$A$12:$G$1252,6,FALSE),"")</f>
        <v/>
      </c>
      <c r="K61" s="124" t="str">
        <f>IFERROR(VLOOKUP($H61,'LP Tables'!$A$12:$G$1252,7,FALSE),"")</f>
        <v/>
      </c>
      <c r="L61" s="110"/>
      <c r="M61" s="121" t="str" cm="1">
        <f t="array" ref="M61">IFERROR(IFERROR(INDEX('LP Tables'!$A$12:$A$1250,SMALL(IF('LP Tables'!$B$12:$B$1250=$H$44,ROW('LP Tables'!$A$12:$A$1250)),ROW(42:42))-11,1),””),"")</f>
        <v/>
      </c>
      <c r="N61" s="122" t="str">
        <f>IFERROR(VLOOKUP($M61,'LP Tables'!$A$12:$G$1252,5,FALSE),"")</f>
        <v/>
      </c>
      <c r="O61" s="123" t="str">
        <f>IFERROR(VLOOKUP($M61,'LP Tables'!$A$12:$G$1252,6,FALSE),"")</f>
        <v/>
      </c>
      <c r="P61" s="124" t="str">
        <f>IFERROR(VLOOKUP($M61,'LP Tables'!$A$12:$G$1252,7,FALSE),"")</f>
        <v/>
      </c>
      <c r="Q61" s="110"/>
      <c r="R61" s="121" t="str" cm="1">
        <f t="array" ref="R61">IFERROR(IFERROR(INDEX('LP Tables'!$A$12:$A$1250,SMALL(IF('LP Tables'!$B$12:$B$1250=$H$44,ROW('LP Tables'!$A$12:$A$1250)),ROW(69:69))-11,1),””),"")</f>
        <v/>
      </c>
      <c r="S61" s="122" t="str">
        <f>IFERROR(VLOOKUP($R61,'LP Tables'!$A$12:$G$1252,5,FALSE),"")</f>
        <v/>
      </c>
      <c r="T61" s="123" t="str">
        <f>IFERROR(VLOOKUP($R61,'LP Tables'!$A$12:$G$1252,6,FALSE),"")</f>
        <v/>
      </c>
      <c r="U61" s="124" t="str">
        <f>IFERROR(VLOOKUP($R61,'LP Tables'!$A$12:$G$1252,7,FALSE),"")</f>
        <v/>
      </c>
      <c r="V61" s="110"/>
      <c r="W61" s="121" t="str" cm="1">
        <f t="array" ref="W61">IFERROR(IFERROR(INDEX('LP Tables'!$A$12:$A$1250,SMALL(IF('LP Tables'!$B$12:$B$1250=$H$44,ROW('LP Tables'!$A$12:$A$1250)),ROW(96:96))-11,1),””),"")</f>
        <v/>
      </c>
      <c r="X61" s="122" t="str">
        <f>IFERROR(VLOOKUP($W61,'LP Tables'!$A$12:$G$1252,5,FALSE),"")</f>
        <v/>
      </c>
      <c r="Y61" s="123" t="str">
        <f>IFERROR(VLOOKUP($W61,'LP Tables'!$A$12:$G$1252,6,FALSE),"")</f>
        <v/>
      </c>
      <c r="Z61" s="124" t="str">
        <f>IFERROR(VLOOKUP($W61,'LP Tables'!$A$12:$G$1252,7,FALSE),"")</f>
        <v/>
      </c>
    </row>
    <row r="62" spans="1:26" ht="16.2" thickBot="1" x14ac:dyDescent="0.35">
      <c r="B62" s="192" t="s">
        <v>220</v>
      </c>
      <c r="C62" s="193"/>
      <c r="D62" s="194"/>
      <c r="E62" s="135">
        <f ca="1">VLOOKUP(B47,'LP Tables'!AE47:AF49,2,FALSE)</f>
        <v>0.59550509238739535</v>
      </c>
      <c r="F62" s="135">
        <f ca="1">VLOOKUP(B47,'LP Tables'!J47:K49,2,FALSE)</f>
        <v>0.90958997214991366</v>
      </c>
      <c r="G62" s="110"/>
      <c r="H62" s="121" t="str" cm="1">
        <f t="array" ref="H62">IFERROR(IFERROR(INDEX('LP Tables'!$A$12:$A$1250,SMALL(IF('LP Tables'!$B$12:$B$1250=$H$44,ROW('LP Tables'!$A$12:$A$1250)),ROW(16:16))-11,1),””),"")</f>
        <v/>
      </c>
      <c r="I62" s="122" t="str">
        <f>IFERROR(VLOOKUP($H62,'LP Tables'!$A$12:$G$1252,5,FALSE),"")</f>
        <v/>
      </c>
      <c r="J62" s="123" t="str">
        <f>IFERROR(VLOOKUP($H62,'LP Tables'!$A$12:$G$1252,6,FALSE),"")</f>
        <v/>
      </c>
      <c r="K62" s="124" t="str">
        <f>IFERROR(VLOOKUP($H62,'LP Tables'!$A$12:$G$1252,7,FALSE),"")</f>
        <v/>
      </c>
      <c r="L62" s="110"/>
      <c r="M62" s="121" t="str" cm="1">
        <f t="array" ref="M62">IFERROR(IFERROR(INDEX('LP Tables'!$A$12:$A$1250,SMALL(IF('LP Tables'!$B$12:$B$1250=$H$44,ROW('LP Tables'!$A$12:$A$1250)),ROW(43:43))-11,1),””),"")</f>
        <v/>
      </c>
      <c r="N62" s="122" t="str">
        <f>IFERROR(VLOOKUP($M62,'LP Tables'!$A$12:$G$1252,5,FALSE),"")</f>
        <v/>
      </c>
      <c r="O62" s="123" t="str">
        <f>IFERROR(VLOOKUP($M62,'LP Tables'!$A$12:$G$1252,6,FALSE),"")</f>
        <v/>
      </c>
      <c r="P62" s="124" t="str">
        <f>IFERROR(VLOOKUP($M62,'LP Tables'!$A$12:$G$1252,7,FALSE),"")</f>
        <v/>
      </c>
      <c r="Q62" s="110"/>
      <c r="R62" s="121" t="str" cm="1">
        <f t="array" ref="R62">IFERROR(IFERROR(INDEX('LP Tables'!$A$12:$A$1250,SMALL(IF('LP Tables'!$B$12:$B$1250=$H$44,ROW('LP Tables'!$A$12:$A$1250)),ROW(70:70))-11,1),””),"")</f>
        <v/>
      </c>
      <c r="S62" s="122" t="str">
        <f>IFERROR(VLOOKUP($R62,'LP Tables'!$A$12:$G$1252,5,FALSE),"")</f>
        <v/>
      </c>
      <c r="T62" s="123" t="str">
        <f>IFERROR(VLOOKUP($R62,'LP Tables'!$A$12:$G$1252,6,FALSE),"")</f>
        <v/>
      </c>
      <c r="U62" s="124" t="str">
        <f>IFERROR(VLOOKUP($R62,'LP Tables'!$A$12:$G$1252,7,FALSE),"")</f>
        <v/>
      </c>
      <c r="V62" s="110"/>
      <c r="W62" s="121" t="str" cm="1">
        <f t="array" ref="W62">IFERROR(IFERROR(INDEX('LP Tables'!$A$12:$A$1250,SMALL(IF('LP Tables'!$B$12:$B$1250=$H$44,ROW('LP Tables'!$A$12:$A$1250)),ROW(97:97))-11,1),””),"")</f>
        <v/>
      </c>
      <c r="X62" s="122" t="str">
        <f>IFERROR(VLOOKUP($W62,'LP Tables'!$A$12:$G$1252,5,FALSE),"")</f>
        <v/>
      </c>
      <c r="Y62" s="123" t="str">
        <f>IFERROR(VLOOKUP($W62,'LP Tables'!$A$12:$G$1252,6,FALSE),"")</f>
        <v/>
      </c>
      <c r="Z62" s="124" t="str">
        <f>IFERROR(VLOOKUP($W62,'LP Tables'!$A$12:$G$1252,7,FALSE),"")</f>
        <v/>
      </c>
    </row>
    <row r="63" spans="1:26" ht="16.2" thickBot="1" x14ac:dyDescent="0.35">
      <c r="B63" s="136" t="s">
        <v>10</v>
      </c>
      <c r="C63" s="137" t="s">
        <v>76</v>
      </c>
      <c r="D63" s="137" t="s">
        <v>48</v>
      </c>
      <c r="E63" s="138" t="s">
        <v>140</v>
      </c>
      <c r="F63" s="138" t="s">
        <v>141</v>
      </c>
      <c r="G63" s="110"/>
      <c r="H63" s="121" t="str" cm="1">
        <f t="array" ref="H63">IFERROR(IFERROR(INDEX('LP Tables'!$A$12:$A$1250,SMALL(IF('LP Tables'!$B$12:$B$1250=$H$44,ROW('LP Tables'!$A$12:$A$1250)),ROW(17:17))-11,1),””),"")</f>
        <v/>
      </c>
      <c r="I63" s="122" t="str">
        <f>IFERROR(VLOOKUP($H63,'LP Tables'!$A$12:$G$1252,5,FALSE),"")</f>
        <v/>
      </c>
      <c r="J63" s="123" t="str">
        <f>IFERROR(VLOOKUP($H63,'LP Tables'!$A$12:$G$1252,6,FALSE),"")</f>
        <v/>
      </c>
      <c r="K63" s="124" t="str">
        <f>IFERROR(VLOOKUP($H63,'LP Tables'!$A$12:$G$1252,7,FALSE),"")</f>
        <v/>
      </c>
      <c r="L63" s="110"/>
      <c r="M63" s="121" t="str" cm="1">
        <f t="array" ref="M63">IFERROR(IFERROR(INDEX('LP Tables'!$A$12:$A$1250,SMALL(IF('LP Tables'!$B$12:$B$1250=$H$44,ROW('LP Tables'!$A$12:$A$1250)),ROW(44:44))-11,1),””),"")</f>
        <v/>
      </c>
      <c r="N63" s="122" t="str">
        <f>IFERROR(VLOOKUP($M63,'LP Tables'!$A$12:$G$1252,5,FALSE),"")</f>
        <v/>
      </c>
      <c r="O63" s="123" t="str">
        <f>IFERROR(VLOOKUP($M63,'LP Tables'!$A$12:$G$1252,6,FALSE),"")</f>
        <v/>
      </c>
      <c r="P63" s="124" t="str">
        <f>IFERROR(VLOOKUP($M63,'LP Tables'!$A$12:$G$1252,7,FALSE),"")</f>
        <v/>
      </c>
      <c r="Q63" s="110"/>
      <c r="R63" s="121" t="str" cm="1">
        <f t="array" ref="R63">IFERROR(IFERROR(INDEX('LP Tables'!$A$12:$A$1250,SMALL(IF('LP Tables'!$B$12:$B$1250=$H$44,ROW('LP Tables'!$A$12:$A$1250)),ROW(71:71))-11,1),””),"")</f>
        <v/>
      </c>
      <c r="S63" s="122" t="str">
        <f>IFERROR(VLOOKUP($R63,'LP Tables'!$A$12:$G$1252,5,FALSE),"")</f>
        <v/>
      </c>
      <c r="T63" s="123" t="str">
        <f>IFERROR(VLOOKUP($R63,'LP Tables'!$A$12:$G$1252,6,FALSE),"")</f>
        <v/>
      </c>
      <c r="U63" s="124" t="str">
        <f>IFERROR(VLOOKUP($R63,'LP Tables'!$A$12:$G$1252,7,FALSE),"")</f>
        <v/>
      </c>
      <c r="V63" s="110"/>
      <c r="W63" s="121" t="str" cm="1">
        <f t="array" ref="W63">IFERROR(IFERROR(INDEX('LP Tables'!$A$12:$A$1250,SMALL(IF('LP Tables'!$B$12:$B$1250=$H$44,ROW('LP Tables'!$A$12:$A$1250)),ROW(98:98))-11,1),””),"")</f>
        <v/>
      </c>
      <c r="X63" s="122" t="str">
        <f>IFERROR(VLOOKUP($W63,'LP Tables'!$A$12:$G$1252,5,FALSE),"")</f>
        <v/>
      </c>
      <c r="Y63" s="123" t="str">
        <f>IFERROR(VLOOKUP($W63,'LP Tables'!$A$12:$G$1252,6,FALSE),"")</f>
        <v/>
      </c>
      <c r="Z63" s="124" t="str">
        <f>IFERROR(VLOOKUP($W63,'LP Tables'!$A$12:$G$1252,7,FALSE),"")</f>
        <v/>
      </c>
    </row>
    <row r="64" spans="1:26" x14ac:dyDescent="0.3">
      <c r="A64">
        <v>1</v>
      </c>
      <c r="B64" s="116" t="str">
        <f>B47</f>
        <v>RC</v>
      </c>
      <c r="C64" s="129" t="str">
        <f>VLOOKUP(B64&amp;A64,'LP Tables'!$I$12:$M$41,3,FALSE)</f>
        <v>U</v>
      </c>
      <c r="D64" s="129">
        <f>VLOOKUP(C64,'General Lookups'!$A:$E,5,FALSE)</f>
        <v>2</v>
      </c>
      <c r="E64" s="130">
        <f ca="1">VLOOKUP(C64,'LP Tables'!$AJ$4:$AM$150,4,FALSE)</f>
        <v>0.43138854507529489</v>
      </c>
      <c r="F64" s="130">
        <f ca="1">VLOOKUP(C64,'LP Tables'!$O$12:$R$123,4,FALSE)</f>
        <v>0.67806370023221252</v>
      </c>
      <c r="G64" s="110"/>
      <c r="H64" s="121" t="str" cm="1">
        <f t="array" ref="H64">IFERROR(IFERROR(INDEX('LP Tables'!$A$12:$A$1250,SMALL(IF('LP Tables'!$B$12:$B$1250=$H$44,ROW('LP Tables'!$A$12:$A$1250)),ROW(18:18))-11,1),””),"")</f>
        <v/>
      </c>
      <c r="I64" s="122" t="str">
        <f>IFERROR(VLOOKUP($H64,'LP Tables'!$A$12:$G$1252,5,FALSE),"")</f>
        <v/>
      </c>
      <c r="J64" s="123" t="str">
        <f>IFERROR(VLOOKUP($H64,'LP Tables'!$A$12:$G$1252,6,FALSE),"")</f>
        <v/>
      </c>
      <c r="K64" s="124" t="str">
        <f>IFERROR(VLOOKUP($H64,'LP Tables'!$A$12:$G$1252,7,FALSE),"")</f>
        <v/>
      </c>
      <c r="L64" s="110"/>
      <c r="M64" s="121" t="str" cm="1">
        <f t="array" ref="M64">IFERROR(IFERROR(INDEX('LP Tables'!$A$12:$A$1250,SMALL(IF('LP Tables'!$B$12:$B$1250=$H$44,ROW('LP Tables'!$A$12:$A$1250)),ROW(45:45))-11,1),””),"")</f>
        <v/>
      </c>
      <c r="N64" s="122" t="str">
        <f>IFERROR(VLOOKUP($M64,'LP Tables'!$A$12:$G$1252,5,FALSE),"")</f>
        <v/>
      </c>
      <c r="O64" s="123" t="str">
        <f>IFERROR(VLOOKUP($M64,'LP Tables'!$A$12:$G$1252,6,FALSE),"")</f>
        <v/>
      </c>
      <c r="P64" s="124" t="str">
        <f>IFERROR(VLOOKUP($M64,'LP Tables'!$A$12:$G$1252,7,FALSE),"")</f>
        <v/>
      </c>
      <c r="Q64" s="110"/>
      <c r="R64" s="121" t="str" cm="1">
        <f t="array" ref="R64">IFERROR(IFERROR(INDEX('LP Tables'!$A$12:$A$1250,SMALL(IF('LP Tables'!$B$12:$B$1250=$H$44,ROW('LP Tables'!$A$12:$A$1250)),ROW(72:72))-11,1),””),"")</f>
        <v/>
      </c>
      <c r="S64" s="122" t="str">
        <f>IFERROR(VLOOKUP($R64,'LP Tables'!$A$12:$G$1252,5,FALSE),"")</f>
        <v/>
      </c>
      <c r="T64" s="123" t="str">
        <f>IFERROR(VLOOKUP($R64,'LP Tables'!$A$12:$G$1252,6,FALSE),"")</f>
        <v/>
      </c>
      <c r="U64" s="124" t="str">
        <f>IFERROR(VLOOKUP($R64,'LP Tables'!$A$12:$G$1252,7,FALSE),"")</f>
        <v/>
      </c>
      <c r="V64" s="110"/>
      <c r="W64" s="121" t="str" cm="1">
        <f t="array" ref="W64">IFERROR(IFERROR(INDEX('LP Tables'!$A$12:$A$1250,SMALL(IF('LP Tables'!$B$12:$B$1250=$H$44,ROW('LP Tables'!$A$12:$A$1250)),ROW(99:99))-11,1),””),"")</f>
        <v/>
      </c>
      <c r="X64" s="122" t="str">
        <f>IFERROR(VLOOKUP($W64,'LP Tables'!$A$12:$G$1252,5,FALSE),"")</f>
        <v/>
      </c>
      <c r="Y64" s="123" t="str">
        <f>IFERROR(VLOOKUP($W64,'LP Tables'!$A$12:$G$1252,6,FALSE),"")</f>
        <v/>
      </c>
      <c r="Z64" s="124" t="str">
        <f>IFERROR(VLOOKUP($W64,'LP Tables'!$A$12:$G$1252,7,FALSE),"")</f>
        <v/>
      </c>
    </row>
    <row r="65" spans="1:32" x14ac:dyDescent="0.3">
      <c r="A65">
        <v>2</v>
      </c>
      <c r="B65" s="121" t="str">
        <f t="shared" ref="B65:B73" si="10">B64</f>
        <v>RC</v>
      </c>
      <c r="C65" s="110" t="str">
        <f>VLOOKUP(B65&amp;A65,'LP Tables'!$I$12:$M$41,3,FALSE)</f>
        <v>V</v>
      </c>
      <c r="D65" s="110">
        <f>VLOOKUP(C65,'General Lookups'!$A:$E,5,FALSE)</f>
        <v>2</v>
      </c>
      <c r="E65" s="131">
        <f ca="1">VLOOKUP(C65,'LP Tables'!$AJ$4:$AM$150,4,FALSE)</f>
        <v>0.31492997973786241</v>
      </c>
      <c r="F65" s="131">
        <f ca="1">VLOOKUP(C65,'LP Tables'!$O$12:$R$123,4,FALSE)</f>
        <v>0.87666959393277966</v>
      </c>
      <c r="G65" s="110"/>
      <c r="H65" s="121" t="str" cm="1">
        <f t="array" ref="H65">IFERROR(IFERROR(INDEX('LP Tables'!$A$12:$A$1250,SMALL(IF('LP Tables'!$B$12:$B$1250=$H$44,ROW('LP Tables'!$A$12:$A$1250)),ROW(19:19))-11,1),””),"")</f>
        <v/>
      </c>
      <c r="I65" s="122" t="str">
        <f>IFERROR(VLOOKUP($H65,'LP Tables'!$A$12:$G$1252,5,FALSE),"")</f>
        <v/>
      </c>
      <c r="J65" s="123" t="str">
        <f>IFERROR(VLOOKUP($H65,'LP Tables'!$A$12:$G$1252,6,FALSE),"")</f>
        <v/>
      </c>
      <c r="K65" s="124" t="str">
        <f>IFERROR(VLOOKUP($H65,'LP Tables'!$A$12:$G$1252,7,FALSE),"")</f>
        <v/>
      </c>
      <c r="L65" s="110"/>
      <c r="M65" s="121" t="str" cm="1">
        <f t="array" ref="M65">IFERROR(IFERROR(INDEX('LP Tables'!$A$12:$A$1250,SMALL(IF('LP Tables'!$B$12:$B$1250=$H$44,ROW('LP Tables'!$A$12:$A$1250)),ROW(46:46))-11,1),””),"")</f>
        <v/>
      </c>
      <c r="N65" s="122" t="str">
        <f>IFERROR(VLOOKUP($M65,'LP Tables'!$A$12:$G$1252,5,FALSE),"")</f>
        <v/>
      </c>
      <c r="O65" s="123" t="str">
        <f>IFERROR(VLOOKUP($M65,'LP Tables'!$A$12:$G$1252,6,FALSE),"")</f>
        <v/>
      </c>
      <c r="P65" s="124" t="str">
        <f>IFERROR(VLOOKUP($M65,'LP Tables'!$A$12:$G$1252,7,FALSE),"")</f>
        <v/>
      </c>
      <c r="Q65" s="110"/>
      <c r="R65" s="121" t="str" cm="1">
        <f t="array" ref="R65">IFERROR(IFERROR(INDEX('LP Tables'!$A$12:$A$1250,SMALL(IF('LP Tables'!$B$12:$B$1250=$H$44,ROW('LP Tables'!$A$12:$A$1250)),ROW(73:73))-11,1),””),"")</f>
        <v/>
      </c>
      <c r="S65" s="122" t="str">
        <f>IFERROR(VLOOKUP($R65,'LP Tables'!$A$12:$G$1252,5,FALSE),"")</f>
        <v/>
      </c>
      <c r="T65" s="123" t="str">
        <f>IFERROR(VLOOKUP($R65,'LP Tables'!$A$12:$G$1252,6,FALSE),"")</f>
        <v/>
      </c>
      <c r="U65" s="124" t="str">
        <f>IFERROR(VLOOKUP($R65,'LP Tables'!$A$12:$G$1252,7,FALSE),"")</f>
        <v/>
      </c>
      <c r="V65" s="110"/>
      <c r="W65" s="121" t="str" cm="1">
        <f t="array" ref="W65">IFERROR(IFERROR(INDEX('LP Tables'!$A$12:$A$1250,SMALL(IF('LP Tables'!$B$12:$B$1250=$H$44,ROW('LP Tables'!$A$12:$A$1250)),ROW(100:100))-11,1),””),"")</f>
        <v/>
      </c>
      <c r="X65" s="122" t="str">
        <f>IFERROR(VLOOKUP($W65,'LP Tables'!$A$12:$G$1252,5,FALSE),"")</f>
        <v/>
      </c>
      <c r="Y65" s="123" t="str">
        <f>IFERROR(VLOOKUP($W65,'LP Tables'!$A$12:$G$1252,6,FALSE),"")</f>
        <v/>
      </c>
      <c r="Z65" s="124" t="str">
        <f>IFERROR(VLOOKUP($W65,'LP Tables'!$A$12:$G$1252,7,FALSE),"")</f>
        <v/>
      </c>
    </row>
    <row r="66" spans="1:32" x14ac:dyDescent="0.3">
      <c r="A66">
        <v>3</v>
      </c>
      <c r="B66" s="121" t="str">
        <f t="shared" si="10"/>
        <v>RC</v>
      </c>
      <c r="C66" s="110" t="str">
        <f>VLOOKUP(B66&amp;A66,'LP Tables'!$I$12:$M$41,3,FALSE)</f>
        <v>W</v>
      </c>
      <c r="D66" s="110">
        <f>VLOOKUP(C66,'General Lookups'!$A:$E,5,FALSE)</f>
        <v>3</v>
      </c>
      <c r="E66" s="131">
        <f ca="1">VLOOKUP(C66,'LP Tables'!$AJ$4:$AM$150,4,FALSE)</f>
        <v>0.11265315177168345</v>
      </c>
      <c r="F66" s="131">
        <f ca="1">VLOOKUP(C66,'LP Tables'!$O$12:$R$123,4,FALSE)</f>
        <v>0.18582689899358407</v>
      </c>
      <c r="G66" s="110"/>
      <c r="H66" s="121" t="str" cm="1">
        <f t="array" ref="H66">IFERROR(IFERROR(INDEX('LP Tables'!$A$12:$A$1250,SMALL(IF('LP Tables'!$B$12:$B$1250=$H$44,ROW('LP Tables'!$A$12:$A$1250)),ROW(20:20))-11,1),””),"")</f>
        <v/>
      </c>
      <c r="I66" s="122" t="str">
        <f>IFERROR(VLOOKUP($H66,'LP Tables'!$A$12:$G$1252,5,FALSE),"")</f>
        <v/>
      </c>
      <c r="J66" s="123" t="str">
        <f>IFERROR(VLOOKUP($H66,'LP Tables'!$A$12:$G$1252,6,FALSE),"")</f>
        <v/>
      </c>
      <c r="K66" s="124" t="str">
        <f>IFERROR(VLOOKUP($H66,'LP Tables'!$A$12:$G$1252,7,FALSE),"")</f>
        <v/>
      </c>
      <c r="L66" s="110"/>
      <c r="M66" s="121" t="str" cm="1">
        <f t="array" ref="M66">IFERROR(IFERROR(INDEX('LP Tables'!$A$12:$A$1250,SMALL(IF('LP Tables'!$B$12:$B$1250=$H$44,ROW('LP Tables'!$A$12:$A$1250)),ROW(47:47))-11,1),””),"")</f>
        <v/>
      </c>
      <c r="N66" s="122" t="str">
        <f>IFERROR(VLOOKUP($M66,'LP Tables'!$A$12:$G$1252,5,FALSE),"")</f>
        <v/>
      </c>
      <c r="O66" s="123" t="str">
        <f>IFERROR(VLOOKUP($M66,'LP Tables'!$A$12:$G$1252,6,FALSE),"")</f>
        <v/>
      </c>
      <c r="P66" s="124" t="str">
        <f>IFERROR(VLOOKUP($M66,'LP Tables'!$A$12:$G$1252,7,FALSE),"")</f>
        <v/>
      </c>
      <c r="Q66" s="110"/>
      <c r="R66" s="121" t="str" cm="1">
        <f t="array" ref="R66">IFERROR(IFERROR(INDEX('LP Tables'!$A$12:$A$1250,SMALL(IF('LP Tables'!$B$12:$B$1250=$H$44,ROW('LP Tables'!$A$12:$A$1250)),ROW(74:74))-11,1),””),"")</f>
        <v/>
      </c>
      <c r="S66" s="122" t="str">
        <f>IFERROR(VLOOKUP($R66,'LP Tables'!$A$12:$G$1252,5,FALSE),"")</f>
        <v/>
      </c>
      <c r="T66" s="123" t="str">
        <f>IFERROR(VLOOKUP($R66,'LP Tables'!$A$12:$G$1252,6,FALSE),"")</f>
        <v/>
      </c>
      <c r="U66" s="124" t="str">
        <f>IFERROR(VLOOKUP($R66,'LP Tables'!$A$12:$G$1252,7,FALSE),"")</f>
        <v/>
      </c>
      <c r="V66" s="110"/>
      <c r="W66" s="121" t="str" cm="1">
        <f t="array" ref="W66">IFERROR(IFERROR(INDEX('LP Tables'!$A$12:$A$1250,SMALL(IF('LP Tables'!$B$12:$B$1250=$H$44,ROW('LP Tables'!$A$12:$A$1250)),ROW(101:101))-11,1),””),"")</f>
        <v/>
      </c>
      <c r="X66" s="122" t="str">
        <f>IFERROR(VLOOKUP($W66,'LP Tables'!$A$12:$G$1252,5,FALSE),"")</f>
        <v/>
      </c>
      <c r="Y66" s="123" t="str">
        <f>IFERROR(VLOOKUP($W66,'LP Tables'!$A$12:$G$1252,6,FALSE),"")</f>
        <v/>
      </c>
      <c r="Z66" s="124" t="str">
        <f>IFERROR(VLOOKUP($W66,'LP Tables'!$A$12:$G$1252,7,FALSE),"")</f>
        <v/>
      </c>
    </row>
    <row r="67" spans="1:32" x14ac:dyDescent="0.3">
      <c r="A67">
        <v>4</v>
      </c>
      <c r="B67" s="121" t="str">
        <f t="shared" si="10"/>
        <v>RC</v>
      </c>
      <c r="C67" s="110" t="str">
        <f>VLOOKUP(B67&amp;A67,'LP Tables'!$I$12:$M$41,3,FALSE)</f>
        <v>X</v>
      </c>
      <c r="D67" s="110">
        <f>VLOOKUP(C67,'General Lookups'!$A:$E,5,FALSE)</f>
        <v>3</v>
      </c>
      <c r="E67" s="131">
        <f ca="1">VLOOKUP(C67,'LP Tables'!$AJ$4:$AM$150,4,FALSE)</f>
        <v>0.26654500466864861</v>
      </c>
      <c r="F67" s="131">
        <f ca="1">VLOOKUP(C67,'LP Tables'!$O$12:$R$123,4,FALSE)</f>
        <v>0.43982107698021022</v>
      </c>
      <c r="G67" s="110"/>
      <c r="H67" s="121" t="str" cm="1">
        <f t="array" ref="H67">IFERROR(IFERROR(INDEX('LP Tables'!$A$12:$A$1250,SMALL(IF('LP Tables'!$B$12:$B$1250=$H$44,ROW('LP Tables'!$A$12:$A$1250)),ROW(21:21))-11,1),””),"")</f>
        <v/>
      </c>
      <c r="I67" s="122" t="str">
        <f>IFERROR(VLOOKUP($H67,'LP Tables'!$A$12:$G$1252,5,FALSE),"")</f>
        <v/>
      </c>
      <c r="J67" s="123" t="str">
        <f>IFERROR(VLOOKUP($H67,'LP Tables'!$A$12:$G$1252,6,FALSE),"")</f>
        <v/>
      </c>
      <c r="K67" s="124" t="str">
        <f>IFERROR(VLOOKUP($H67,'LP Tables'!$A$12:$G$1252,7,FALSE),"")</f>
        <v/>
      </c>
      <c r="L67" s="110"/>
      <c r="M67" s="121" t="str" cm="1">
        <f t="array" ref="M67">IFERROR(IFERROR(INDEX('LP Tables'!$A$12:$A$1250,SMALL(IF('LP Tables'!$B$12:$B$1250=$H$44,ROW('LP Tables'!$A$12:$A$1250)),ROW(48:48))-11,1),””),"")</f>
        <v/>
      </c>
      <c r="N67" s="122" t="str">
        <f>IFERROR(VLOOKUP($M67,'LP Tables'!$A$12:$G$1252,5,FALSE),"")</f>
        <v/>
      </c>
      <c r="O67" s="123" t="str">
        <f>IFERROR(VLOOKUP($M67,'LP Tables'!$A$12:$G$1252,6,FALSE),"")</f>
        <v/>
      </c>
      <c r="P67" s="124" t="str">
        <f>IFERROR(VLOOKUP($M67,'LP Tables'!$A$12:$G$1252,7,FALSE),"")</f>
        <v/>
      </c>
      <c r="Q67" s="110"/>
      <c r="R67" s="121" t="str" cm="1">
        <f t="array" ref="R67">IFERROR(IFERROR(INDEX('LP Tables'!$A$12:$A$1250,SMALL(IF('LP Tables'!$B$12:$B$1250=$H$44,ROW('LP Tables'!$A$12:$A$1250)),ROW(75:75))-11,1),””),"")</f>
        <v/>
      </c>
      <c r="S67" s="122" t="str">
        <f>IFERROR(VLOOKUP($R67,'LP Tables'!$A$12:$G$1252,5,FALSE),"")</f>
        <v/>
      </c>
      <c r="T67" s="123" t="str">
        <f>IFERROR(VLOOKUP($R67,'LP Tables'!$A$12:$G$1252,6,FALSE),"")</f>
        <v/>
      </c>
      <c r="U67" s="124" t="str">
        <f>IFERROR(VLOOKUP($R67,'LP Tables'!$A$12:$G$1252,7,FALSE),"")</f>
        <v/>
      </c>
      <c r="V67" s="110"/>
      <c r="W67" s="121" t="str" cm="1">
        <f t="array" ref="W67">IFERROR(IFERROR(INDEX('LP Tables'!$A$12:$A$1250,SMALL(IF('LP Tables'!$B$12:$B$1250=$H$44,ROW('LP Tables'!$A$12:$A$1250)),ROW(102:102))-11,1),””),"")</f>
        <v/>
      </c>
      <c r="X67" s="122" t="str">
        <f>IFERROR(VLOOKUP($W67,'LP Tables'!$A$12:$G$1252,5,FALSE),"")</f>
        <v/>
      </c>
      <c r="Y67" s="123" t="str">
        <f>IFERROR(VLOOKUP($W67,'LP Tables'!$A$12:$G$1252,6,FALSE),"")</f>
        <v/>
      </c>
      <c r="Z67" s="124" t="str">
        <f>IFERROR(VLOOKUP($W67,'LP Tables'!$A$12:$G$1252,7,FALSE),"")</f>
        <v/>
      </c>
    </row>
    <row r="68" spans="1:32" x14ac:dyDescent="0.3">
      <c r="A68">
        <v>5</v>
      </c>
      <c r="B68" s="121" t="str">
        <f t="shared" si="10"/>
        <v>RC</v>
      </c>
      <c r="C68" s="110" t="str">
        <f>VLOOKUP(B68&amp;A68,'LP Tables'!$I$12:$M$41,3,FALSE)</f>
        <v>Y</v>
      </c>
      <c r="D68" s="110">
        <f>VLOOKUP(C68,'General Lookups'!$A:$E,5,FALSE)</f>
        <v>2</v>
      </c>
      <c r="E68" s="131">
        <f ca="1">VLOOKUP(C68,'LP Tables'!$AJ$4:$AM$150,4,FALSE)</f>
        <v>0.99735886413710106</v>
      </c>
      <c r="F68" s="131">
        <f ca="1">VLOOKUP(C68,'LP Tables'!$O$12:$R$123,4,FALSE)</f>
        <v>0.36222803777945678</v>
      </c>
      <c r="G68" s="110"/>
      <c r="H68" s="121" t="str" cm="1">
        <f t="array" ref="H68">IFERROR(IFERROR(INDEX('LP Tables'!$A$12:$A$1250,SMALL(IF('LP Tables'!$B$12:$B$1250=$H$44,ROW('LP Tables'!$A$12:$A$1250)),ROW(22:22))-11,1),””),"")</f>
        <v/>
      </c>
      <c r="I68" s="122" t="str">
        <f>IFERROR(VLOOKUP($H68,'LP Tables'!$A$12:$G$1252,5,FALSE),"")</f>
        <v/>
      </c>
      <c r="J68" s="123" t="str">
        <f>IFERROR(VLOOKUP($H68,'LP Tables'!$A$12:$G$1252,6,FALSE),"")</f>
        <v/>
      </c>
      <c r="K68" s="124" t="str">
        <f>IFERROR(VLOOKUP($H68,'LP Tables'!$A$12:$G$1252,7,FALSE),"")</f>
        <v/>
      </c>
      <c r="L68" s="110"/>
      <c r="M68" s="121" t="str" cm="1">
        <f t="array" ref="M68">IFERROR(IFERROR(INDEX('LP Tables'!$A$12:$A$1250,SMALL(IF('LP Tables'!$B$12:$B$1250=$H$44,ROW('LP Tables'!$A$12:$A$1250)),ROW(49:49))-11,1),””),"")</f>
        <v/>
      </c>
      <c r="N68" s="122" t="str">
        <f>IFERROR(VLOOKUP($M68,'LP Tables'!$A$12:$G$1252,5,FALSE),"")</f>
        <v/>
      </c>
      <c r="O68" s="123" t="str">
        <f>IFERROR(VLOOKUP($M68,'LP Tables'!$A$12:$G$1252,6,FALSE),"")</f>
        <v/>
      </c>
      <c r="P68" s="124" t="str">
        <f>IFERROR(VLOOKUP($M68,'LP Tables'!$A$12:$G$1252,7,FALSE),"")</f>
        <v/>
      </c>
      <c r="Q68" s="110"/>
      <c r="R68" s="121" t="str" cm="1">
        <f t="array" ref="R68">IFERROR(IFERROR(INDEX('LP Tables'!$A$12:$A$1250,SMALL(IF('LP Tables'!$B$12:$B$1250=$H$44,ROW('LP Tables'!$A$12:$A$1250)),ROW(76:76))-11,1),””),"")</f>
        <v/>
      </c>
      <c r="S68" s="122" t="str">
        <f>IFERROR(VLOOKUP($R68,'LP Tables'!$A$12:$G$1252,5,FALSE),"")</f>
        <v/>
      </c>
      <c r="T68" s="123" t="str">
        <f>IFERROR(VLOOKUP($R68,'LP Tables'!$A$12:$G$1252,6,FALSE),"")</f>
        <v/>
      </c>
      <c r="U68" s="124" t="str">
        <f>IFERROR(VLOOKUP($R68,'LP Tables'!$A$12:$G$1252,7,FALSE),"")</f>
        <v/>
      </c>
      <c r="V68" s="110"/>
      <c r="W68" s="121" t="str" cm="1">
        <f t="array" ref="W68">IFERROR(IFERROR(INDEX('LP Tables'!$A$12:$A$1250,SMALL(IF('LP Tables'!$B$12:$B$1250=$H$44,ROW('LP Tables'!$A$12:$A$1250)),ROW(103:103))-11,1),””),"")</f>
        <v/>
      </c>
      <c r="X68" s="122" t="str">
        <f>IFERROR(VLOOKUP($W68,'LP Tables'!$A$12:$G$1252,5,FALSE),"")</f>
        <v/>
      </c>
      <c r="Y68" s="123" t="str">
        <f>IFERROR(VLOOKUP($W68,'LP Tables'!$A$12:$G$1252,6,FALSE),"")</f>
        <v/>
      </c>
      <c r="Z68" s="124" t="str">
        <f>IFERROR(VLOOKUP($W68,'LP Tables'!$A$12:$G$1252,7,FALSE),"")</f>
        <v/>
      </c>
    </row>
    <row r="69" spans="1:32" x14ac:dyDescent="0.3">
      <c r="A69">
        <v>6</v>
      </c>
      <c r="B69" s="121" t="str">
        <f t="shared" si="10"/>
        <v>RC</v>
      </c>
      <c r="C69" s="110" t="str">
        <f>VLOOKUP(B69&amp;A69,'LP Tables'!$I$12:$M$41,3,FALSE)</f>
        <v>Z</v>
      </c>
      <c r="D69" s="110">
        <f>VLOOKUP(C69,'General Lookups'!$A:$E,5,FALSE)</f>
        <v>3</v>
      </c>
      <c r="E69" s="131">
        <f ca="1">VLOOKUP(C69,'LP Tables'!$AJ$4:$AM$150,4,FALSE)</f>
        <v>0.72114296626987018</v>
      </c>
      <c r="F69" s="131">
        <f ca="1">VLOOKUP(C69,'LP Tables'!$O$12:$R$123,4,FALSE)</f>
        <v>0.21450835358404563</v>
      </c>
      <c r="G69" s="110"/>
      <c r="H69" s="121" t="str" cm="1">
        <f t="array" ref="H69">IFERROR(IFERROR(INDEX('LP Tables'!$A$12:$A$1250,SMALL(IF('LP Tables'!$B$12:$B$1250=$H$44,ROW('LP Tables'!$A$12:$A$1250)),ROW(23:23))-11,1),””),"")</f>
        <v/>
      </c>
      <c r="I69" s="122" t="str">
        <f>IFERROR(VLOOKUP($H69,'LP Tables'!$A$12:$G$1252,5,FALSE),"")</f>
        <v/>
      </c>
      <c r="J69" s="123" t="str">
        <f>IFERROR(VLOOKUP($H69,'LP Tables'!$A$12:$G$1252,6,FALSE),"")</f>
        <v/>
      </c>
      <c r="K69" s="124" t="str">
        <f>IFERROR(VLOOKUP($H69,'LP Tables'!$A$12:$G$1252,7,FALSE),"")</f>
        <v/>
      </c>
      <c r="L69" s="110"/>
      <c r="M69" s="121" t="str" cm="1">
        <f t="array" ref="M69">IFERROR(IFERROR(INDEX('LP Tables'!$A$12:$A$1250,SMALL(IF('LP Tables'!$B$12:$B$1250=$H$44,ROW('LP Tables'!$A$12:$A$1250)),ROW(50:50))-11,1),””),"")</f>
        <v/>
      </c>
      <c r="N69" s="122" t="str">
        <f>IFERROR(VLOOKUP($M69,'LP Tables'!$A$12:$G$1252,5,FALSE),"")</f>
        <v/>
      </c>
      <c r="O69" s="123" t="str">
        <f>IFERROR(VLOOKUP($M69,'LP Tables'!$A$12:$G$1252,6,FALSE),"")</f>
        <v/>
      </c>
      <c r="P69" s="124" t="str">
        <f>IFERROR(VLOOKUP($M69,'LP Tables'!$A$12:$G$1252,7,FALSE),"")</f>
        <v/>
      </c>
      <c r="Q69" s="110"/>
      <c r="R69" s="121" t="str" cm="1">
        <f t="array" ref="R69">IFERROR(IFERROR(INDEX('LP Tables'!$A$12:$A$1250,SMALL(IF('LP Tables'!$B$12:$B$1250=$H$44,ROW('LP Tables'!$A$12:$A$1250)),ROW(77:77))-11,1),””),"")</f>
        <v/>
      </c>
      <c r="S69" s="122" t="str">
        <f>IFERROR(VLOOKUP($R69,'LP Tables'!$A$12:$G$1252,5,FALSE),"")</f>
        <v/>
      </c>
      <c r="T69" s="123" t="str">
        <f>IFERROR(VLOOKUP($R69,'LP Tables'!$A$12:$G$1252,6,FALSE),"")</f>
        <v/>
      </c>
      <c r="U69" s="124" t="str">
        <f>IFERROR(VLOOKUP($R69,'LP Tables'!$A$12:$G$1252,7,FALSE),"")</f>
        <v/>
      </c>
      <c r="V69" s="110"/>
      <c r="W69" s="121" t="str" cm="1">
        <f t="array" ref="W69">IFERROR(IFERROR(INDEX('LP Tables'!$A$12:$A$1250,SMALL(IF('LP Tables'!$B$12:$B$1250=$H$44,ROW('LP Tables'!$A$12:$A$1250)),ROW(104:104))-11,1),””),"")</f>
        <v/>
      </c>
      <c r="X69" s="122" t="str">
        <f>IFERROR(VLOOKUP($W69,'LP Tables'!$A$12:$G$1252,5,FALSE),"")</f>
        <v/>
      </c>
      <c r="Y69" s="123" t="str">
        <f>IFERROR(VLOOKUP($W69,'LP Tables'!$A$12:$G$1252,6,FALSE),"")</f>
        <v/>
      </c>
      <c r="Z69" s="124" t="str">
        <f>IFERROR(VLOOKUP($W69,'LP Tables'!$A$12:$G$1252,7,FALSE),"")</f>
        <v/>
      </c>
    </row>
    <row r="70" spans="1:32" x14ac:dyDescent="0.3">
      <c r="A70">
        <v>7</v>
      </c>
      <c r="B70" s="121" t="str">
        <f t="shared" si="10"/>
        <v>RC</v>
      </c>
      <c r="C70" s="110" t="str">
        <f>VLOOKUP(B70&amp;A70,'LP Tables'!$I$12:$M$41,3,FALSE)</f>
        <v>AA</v>
      </c>
      <c r="D70" s="110">
        <f>VLOOKUP(C70,'General Lookups'!$A:$E,5,FALSE)</f>
        <v>4</v>
      </c>
      <c r="E70" s="131">
        <f ca="1">VLOOKUP(C70,'LP Tables'!$AJ$4:$AM$150,4,FALSE)</f>
        <v>0.57031469588555317</v>
      </c>
      <c r="F70" s="131">
        <f ca="1">VLOOKUP(C70,'LP Tables'!$O$12:$R$123,4,FALSE)</f>
        <v>0.46538285212456654</v>
      </c>
      <c r="G70" s="110"/>
      <c r="H70" s="121" t="str" cm="1">
        <f t="array" ref="H70">IFERROR(IFERROR(INDEX('LP Tables'!$A$12:$A$1250,SMALL(IF('LP Tables'!$B$12:$B$1250=$H$44,ROW('LP Tables'!$A$12:$A$1250)),ROW(24:24))-11,1),””),"")</f>
        <v/>
      </c>
      <c r="I70" s="122" t="str">
        <f>IFERROR(VLOOKUP($H70,'LP Tables'!$A$12:$G$1252,5,FALSE),"")</f>
        <v/>
      </c>
      <c r="J70" s="123" t="str">
        <f>IFERROR(VLOOKUP($H70,'LP Tables'!$A$12:$G$1252,6,FALSE),"")</f>
        <v/>
      </c>
      <c r="K70" s="124" t="str">
        <f>IFERROR(VLOOKUP($H70,'LP Tables'!$A$12:$G$1252,7,FALSE),"")</f>
        <v/>
      </c>
      <c r="L70" s="110"/>
      <c r="M70" s="121" t="str" cm="1">
        <f t="array" ref="M70">IFERROR(IFERROR(INDEX('LP Tables'!$A$12:$A$1250,SMALL(IF('LP Tables'!$B$12:$B$1250=$H$44,ROW('LP Tables'!$A$12:$A$1250)),ROW(51:51))-11,1),””),"")</f>
        <v/>
      </c>
      <c r="N70" s="122" t="str">
        <f>IFERROR(VLOOKUP($M70,'LP Tables'!$A$12:$G$1252,5,FALSE),"")</f>
        <v/>
      </c>
      <c r="O70" s="123" t="str">
        <f>IFERROR(VLOOKUP($M70,'LP Tables'!$A$12:$G$1252,6,FALSE),"")</f>
        <v/>
      </c>
      <c r="P70" s="124" t="str">
        <f>IFERROR(VLOOKUP($M70,'LP Tables'!$A$12:$G$1252,7,FALSE),"")</f>
        <v/>
      </c>
      <c r="Q70" s="110"/>
      <c r="R70" s="121" t="str" cm="1">
        <f t="array" ref="R70">IFERROR(IFERROR(INDEX('LP Tables'!$A$12:$A$1250,SMALL(IF('LP Tables'!$B$12:$B$1250=$H$44,ROW('LP Tables'!$A$12:$A$1250)),ROW(78:78))-11,1),””),"")</f>
        <v/>
      </c>
      <c r="S70" s="122" t="str">
        <f>IFERROR(VLOOKUP($R70,'LP Tables'!$A$12:$G$1252,5,FALSE),"")</f>
        <v/>
      </c>
      <c r="T70" s="123" t="str">
        <f>IFERROR(VLOOKUP($R70,'LP Tables'!$A$12:$G$1252,6,FALSE),"")</f>
        <v/>
      </c>
      <c r="U70" s="124" t="str">
        <f>IFERROR(VLOOKUP($R70,'LP Tables'!$A$12:$G$1252,7,FALSE),"")</f>
        <v/>
      </c>
      <c r="V70" s="110"/>
      <c r="W70" s="121" t="str" cm="1">
        <f t="array" ref="W70">IFERROR(IFERROR(INDEX('LP Tables'!$A$12:$A$1250,SMALL(IF('LP Tables'!$B$12:$B$1250=$H$44,ROW('LP Tables'!$A$12:$A$1250)),ROW(105:105))-11,1),””),"")</f>
        <v/>
      </c>
      <c r="X70" s="122" t="str">
        <f>IFERROR(VLOOKUP($W70,'LP Tables'!$A$12:$G$1252,5,FALSE),"")</f>
        <v/>
      </c>
      <c r="Y70" s="123" t="str">
        <f>IFERROR(VLOOKUP($W70,'LP Tables'!$A$12:$G$1252,6,FALSE),"")</f>
        <v/>
      </c>
      <c r="Z70" s="124" t="str">
        <f>IFERROR(VLOOKUP($W70,'LP Tables'!$A$12:$G$1252,7,FALSE),"")</f>
        <v/>
      </c>
    </row>
    <row r="71" spans="1:32" x14ac:dyDescent="0.3">
      <c r="A71">
        <v>8</v>
      </c>
      <c r="B71" s="121" t="str">
        <f t="shared" si="10"/>
        <v>RC</v>
      </c>
      <c r="C71" s="110" t="str">
        <f>VLOOKUP(B71&amp;A71,'LP Tables'!$I$12:$M$41,3,FALSE)</f>
        <v>AB</v>
      </c>
      <c r="D71" s="110">
        <f>VLOOKUP(C71,'General Lookups'!$A:$E,5,FALSE)</f>
        <v>3</v>
      </c>
      <c r="E71" s="131">
        <f ca="1">VLOOKUP(C71,'LP Tables'!$AJ$4:$AM$150,4,FALSE)</f>
        <v>0.65336836390566611</v>
      </c>
      <c r="F71" s="131">
        <f ca="1">VLOOKUP(C71,'LP Tables'!$O$12:$R$123,4,FALSE)</f>
        <v>8.2539212400241313E-2</v>
      </c>
      <c r="G71" s="110"/>
      <c r="H71" s="121" t="str" cm="1">
        <f t="array" ref="H71">IFERROR(IFERROR(INDEX('LP Tables'!$A$12:$A$1250,SMALL(IF('LP Tables'!$B$12:$B$1250=$H$44,ROW('LP Tables'!$A$12:$A$1250)),ROW(25:25))-11,1),””),"")</f>
        <v/>
      </c>
      <c r="I71" s="122" t="str">
        <f>IFERROR(VLOOKUP($H71,'LP Tables'!$A$12:$G$1252,5,FALSE),"")</f>
        <v/>
      </c>
      <c r="J71" s="123" t="str">
        <f>IFERROR(VLOOKUP($H71,'LP Tables'!$A$12:$G$1252,6,FALSE),"")</f>
        <v/>
      </c>
      <c r="K71" s="124" t="str">
        <f>IFERROR(VLOOKUP($H71,'LP Tables'!$A$12:$G$1252,7,FALSE),"")</f>
        <v/>
      </c>
      <c r="L71" s="110"/>
      <c r="M71" s="121" t="str" cm="1">
        <f t="array" ref="M71">IFERROR(IFERROR(INDEX('LP Tables'!$A$12:$A$1250,SMALL(IF('LP Tables'!$B$12:$B$1250=$H$44,ROW('LP Tables'!$A$12:$A$1250)),ROW(52:52))-11,1),””),"")</f>
        <v/>
      </c>
      <c r="N71" s="122" t="str">
        <f>IFERROR(VLOOKUP($M71,'LP Tables'!$A$12:$G$1252,5,FALSE),"")</f>
        <v/>
      </c>
      <c r="O71" s="123" t="str">
        <f>IFERROR(VLOOKUP($M71,'LP Tables'!$A$12:$G$1252,6,FALSE),"")</f>
        <v/>
      </c>
      <c r="P71" s="124" t="str">
        <f>IFERROR(VLOOKUP($M71,'LP Tables'!$A$12:$G$1252,7,FALSE),"")</f>
        <v/>
      </c>
      <c r="Q71" s="110"/>
      <c r="R71" s="121" t="str" cm="1">
        <f t="array" ref="R71">IFERROR(IFERROR(INDEX('LP Tables'!$A$12:$A$1250,SMALL(IF('LP Tables'!$B$12:$B$1250=$H$44,ROW('LP Tables'!$A$12:$A$1250)),ROW(79:79))-11,1),””),"")</f>
        <v/>
      </c>
      <c r="S71" s="122" t="str">
        <f>IFERROR(VLOOKUP($R71,'LP Tables'!$A$12:$G$1252,5,FALSE),"")</f>
        <v/>
      </c>
      <c r="T71" s="123" t="str">
        <f>IFERROR(VLOOKUP($R71,'LP Tables'!$A$12:$G$1252,6,FALSE),"")</f>
        <v/>
      </c>
      <c r="U71" s="124" t="str">
        <f>IFERROR(VLOOKUP($R71,'LP Tables'!$A$12:$G$1252,7,FALSE),"")</f>
        <v/>
      </c>
      <c r="V71" s="110"/>
      <c r="W71" s="121" t="str" cm="1">
        <f t="array" ref="W71">IFERROR(IFERROR(INDEX('LP Tables'!$A$12:$A$1250,SMALL(IF('LP Tables'!$B$12:$B$1250=$H$44,ROW('LP Tables'!$A$12:$A$1250)),ROW(106:106))-11,1),””),"")</f>
        <v/>
      </c>
      <c r="X71" s="122" t="str">
        <f>IFERROR(VLOOKUP($W71,'LP Tables'!$A$12:$G$1252,5,FALSE),"")</f>
        <v/>
      </c>
      <c r="Y71" s="123" t="str">
        <f>IFERROR(VLOOKUP($W71,'LP Tables'!$A$12:$G$1252,6,FALSE),"")</f>
        <v/>
      </c>
      <c r="Z71" s="124" t="str">
        <f>IFERROR(VLOOKUP($W71,'LP Tables'!$A$12:$G$1252,7,FALSE),"")</f>
        <v/>
      </c>
    </row>
    <row r="72" spans="1:32" x14ac:dyDescent="0.3">
      <c r="A72">
        <v>9</v>
      </c>
      <c r="B72" s="121" t="str">
        <f t="shared" si="10"/>
        <v>RC</v>
      </c>
      <c r="C72" s="110" t="str">
        <f>VLOOKUP(B72&amp;A72,'LP Tables'!$I$12:$M$41,3,FALSE)</f>
        <v>AC</v>
      </c>
      <c r="D72" s="110">
        <f>VLOOKUP(C72,'General Lookups'!$A:$E,5,FALSE)</f>
        <v>2</v>
      </c>
      <c r="E72" s="131">
        <f ca="1">VLOOKUP(C72,'LP Tables'!$AJ$4:$AM$150,4,FALSE)</f>
        <v>0.75502330117809147</v>
      </c>
      <c r="F72" s="131">
        <f ca="1">VLOOKUP(C72,'LP Tables'!$O$12:$R$123,4,FALSE)</f>
        <v>0.94089462661457923</v>
      </c>
      <c r="G72" s="110"/>
      <c r="H72" s="121" t="str" cm="1">
        <f t="array" ref="H72">IFERROR(IFERROR(INDEX('LP Tables'!$A$12:$A$1250,SMALL(IF('LP Tables'!$B$12:$B$1250=$H$44,ROW('LP Tables'!$A$12:$A$1250)),ROW(26:26))-11,1),””),"")</f>
        <v/>
      </c>
      <c r="I72" s="122" t="str">
        <f>IFERROR(VLOOKUP($H72,'LP Tables'!$A$12:$G$1252,5,FALSE),"")</f>
        <v/>
      </c>
      <c r="J72" s="123" t="str">
        <f>IFERROR(VLOOKUP($H72,'LP Tables'!$A$12:$G$1252,6,FALSE),"")</f>
        <v/>
      </c>
      <c r="K72" s="124" t="str">
        <f>IFERROR(VLOOKUP($H72,'LP Tables'!$A$12:$G$1252,7,FALSE),"")</f>
        <v/>
      </c>
      <c r="L72" s="110"/>
      <c r="M72" s="121" t="str" cm="1">
        <f t="array" ref="M72">IFERROR(IFERROR(INDEX('LP Tables'!$A$12:$A$1250,SMALL(IF('LP Tables'!$B$12:$B$1250=$H$44,ROW('LP Tables'!$A$12:$A$1250)),ROW(53:53))-11,1),””),"")</f>
        <v/>
      </c>
      <c r="N72" s="122" t="str">
        <f>IFERROR(VLOOKUP($M72,'LP Tables'!$A$12:$G$1252,5,FALSE),"")</f>
        <v/>
      </c>
      <c r="O72" s="123" t="str">
        <f>IFERROR(VLOOKUP($M72,'LP Tables'!$A$12:$G$1252,6,FALSE),"")</f>
        <v/>
      </c>
      <c r="P72" s="124" t="str">
        <f>IFERROR(VLOOKUP($M72,'LP Tables'!$A$12:$G$1252,7,FALSE),"")</f>
        <v/>
      </c>
      <c r="Q72" s="110"/>
      <c r="R72" s="121" t="str" cm="1">
        <f t="array" ref="R72">IFERROR(IFERROR(INDEX('LP Tables'!$A$12:$A$1250,SMALL(IF('LP Tables'!$B$12:$B$1250=$H$44,ROW('LP Tables'!$A$12:$A$1250)),ROW(80:80))-11,1),””),"")</f>
        <v/>
      </c>
      <c r="S72" s="122" t="str">
        <f>IFERROR(VLOOKUP($R72,'LP Tables'!$A$12:$G$1252,5,FALSE),"")</f>
        <v/>
      </c>
      <c r="T72" s="123" t="str">
        <f>IFERROR(VLOOKUP($R72,'LP Tables'!$A$12:$G$1252,6,FALSE),"")</f>
        <v/>
      </c>
      <c r="U72" s="124" t="str">
        <f>IFERROR(VLOOKUP($R72,'LP Tables'!$A$12:$G$1252,7,FALSE),"")</f>
        <v/>
      </c>
      <c r="V72" s="110"/>
      <c r="W72" s="121" t="str" cm="1">
        <f t="array" ref="W72">IFERROR(IFERROR(INDEX('LP Tables'!$A$12:$A$1250,SMALL(IF('LP Tables'!$B$12:$B$1250=$H$44,ROW('LP Tables'!$A$12:$A$1250)),ROW(107:107))-11,1),””),"")</f>
        <v/>
      </c>
      <c r="X72" s="122" t="str">
        <f>IFERROR(VLOOKUP($W72,'LP Tables'!$A$12:$G$1252,5,FALSE),"")</f>
        <v/>
      </c>
      <c r="Y72" s="123" t="str">
        <f>IFERROR(VLOOKUP($W72,'LP Tables'!$A$12:$G$1252,6,FALSE),"")</f>
        <v/>
      </c>
      <c r="Z72" s="124" t="str">
        <f>IFERROR(VLOOKUP($W72,'LP Tables'!$A$12:$G$1252,7,FALSE),"")</f>
        <v/>
      </c>
    </row>
    <row r="73" spans="1:32" ht="16.2" thickBot="1" x14ac:dyDescent="0.35">
      <c r="A73">
        <v>10</v>
      </c>
      <c r="B73" s="132" t="str">
        <f t="shared" si="10"/>
        <v>RC</v>
      </c>
      <c r="C73" s="133" t="str">
        <f>VLOOKUP(B73&amp;A73,'LP Tables'!$I$12:$M$41,3,FALSE)</f>
        <v>AD</v>
      </c>
      <c r="D73" s="133">
        <f>VLOOKUP(C73,'General Lookups'!$A:$E,5,FALSE)</f>
        <v>2</v>
      </c>
      <c r="E73" s="134">
        <f ca="1">VLOOKUP(C73,'LP Tables'!$AJ$4:$AM$150,4,FALSE)</f>
        <v>0.28639275383238727</v>
      </c>
      <c r="F73" s="134">
        <f ca="1">VLOOKUP(C73,'LP Tables'!$O$12:$R$123,4,FALSE)</f>
        <v>0.43415479979373028</v>
      </c>
      <c r="G73" s="110"/>
      <c r="H73" s="132" t="str" cm="1">
        <f t="array" ref="H73">IFERROR(IFERROR(INDEX('LP Tables'!$A$12:$A$1250,SMALL(IF('LP Tables'!$B$12:$B$1250=$H$44,ROW('LP Tables'!$A$12:$A$1250)),ROW(27:27))-11,1),””),"")</f>
        <v/>
      </c>
      <c r="I73" s="139" t="str">
        <f>IFERROR(VLOOKUP($H73,'LP Tables'!$A$12:$G$1252,5,FALSE),"")</f>
        <v/>
      </c>
      <c r="J73" s="140" t="str">
        <f>IFERROR(VLOOKUP($H73,'LP Tables'!$A$12:$G$1252,6,FALSE),"")</f>
        <v/>
      </c>
      <c r="K73" s="141" t="str">
        <f>IFERROR(VLOOKUP($H73,'LP Tables'!$A$12:$G$1252,7,FALSE),"")</f>
        <v/>
      </c>
      <c r="L73" s="110"/>
      <c r="M73" s="132" t="str" cm="1">
        <f t="array" ref="M73">IFERROR(IFERROR(INDEX('LP Tables'!$A$12:$A$1250,SMALL(IF('LP Tables'!$B$12:$B$1250=$H$44,ROW('LP Tables'!$A$12:$A$1250)),ROW(54:54))-11,1),””),"")</f>
        <v/>
      </c>
      <c r="N73" s="139" t="str">
        <f>IFERROR(VLOOKUP($M73,'LP Tables'!$A$12:$G$1252,5,FALSE),"")</f>
        <v/>
      </c>
      <c r="O73" s="140" t="str">
        <f>IFERROR(VLOOKUP($M73,'LP Tables'!$A$12:$G$1252,6,FALSE),"")</f>
        <v/>
      </c>
      <c r="P73" s="141" t="str">
        <f>IFERROR(VLOOKUP($M73,'LP Tables'!$A$12:$G$1252,7,FALSE),"")</f>
        <v/>
      </c>
      <c r="Q73" s="110"/>
      <c r="R73" s="132" t="str" cm="1">
        <f t="array" ref="R73">IFERROR(IFERROR(INDEX('LP Tables'!$A$12:$A$1250,SMALL(IF('LP Tables'!$B$12:$B$1250=$H$44,ROW('LP Tables'!$A$12:$A$1250)),ROW(81:81))-11,1),””),"")</f>
        <v/>
      </c>
      <c r="S73" s="139" t="str">
        <f>IFERROR(VLOOKUP($R73,'LP Tables'!$A$12:$G$1252,5,FALSE),"")</f>
        <v/>
      </c>
      <c r="T73" s="140" t="str">
        <f>IFERROR(VLOOKUP($R73,'LP Tables'!$A$12:$G$1252,6,FALSE),"")</f>
        <v/>
      </c>
      <c r="U73" s="141" t="str">
        <f>IFERROR(VLOOKUP($R73,'LP Tables'!$A$12:$G$1252,7,FALSE),"")</f>
        <v/>
      </c>
      <c r="V73" s="110"/>
      <c r="W73" s="132" t="str" cm="1">
        <f t="array" ref="W73">IFERROR(IFERROR(INDEX('LP Tables'!$A$12:$A$1250,SMALL(IF('LP Tables'!$B$12:$B$1250=$H$44,ROW('LP Tables'!$A$12:$A$1250)),ROW(108:108))-11,1),””),"")</f>
        <v/>
      </c>
      <c r="X73" s="139" t="str">
        <f>IFERROR(VLOOKUP($W73,'LP Tables'!$A$12:$G$1252,5,FALSE),"")</f>
        <v/>
      </c>
      <c r="Y73" s="140" t="str">
        <f>IFERROR(VLOOKUP($W73,'LP Tables'!$A$12:$G$1252,6,FALSE),"")</f>
        <v/>
      </c>
      <c r="Z73" s="141" t="str">
        <f>IFERROR(VLOOKUP($W73,'LP Tables'!$A$12:$G$1252,7,FALSE),"")</f>
        <v/>
      </c>
    </row>
    <row r="74" spans="1:32" x14ac:dyDescent="0.3">
      <c r="AF74" s="110"/>
    </row>
    <row r="75" spans="1:32" x14ac:dyDescent="0.3">
      <c r="AF75" s="110"/>
    </row>
    <row r="76" spans="1:32" ht="16.2" thickBot="1" x14ac:dyDescent="0.35">
      <c r="AF76" s="110"/>
    </row>
    <row r="77" spans="1:32" ht="16.2" thickBot="1" x14ac:dyDescent="0.35">
      <c r="B77" s="110"/>
      <c r="C77" s="278" t="str">
        <f>Controls!H18</f>
        <v>P</v>
      </c>
      <c r="D77" s="279"/>
      <c r="E77" s="265"/>
      <c r="F77" s="266"/>
      <c r="G77" s="315" t="s">
        <v>135</v>
      </c>
      <c r="H77" s="312" t="s">
        <v>150</v>
      </c>
      <c r="I77" s="313" t="s">
        <v>148</v>
      </c>
      <c r="J77" s="314" t="s">
        <v>149</v>
      </c>
      <c r="K77" s="313" t="s">
        <v>132</v>
      </c>
      <c r="L77"/>
      <c r="M77"/>
      <c r="N77" s="66"/>
      <c r="O77" s="66"/>
      <c r="P77" s="66"/>
      <c r="Q77" s="66"/>
      <c r="R77" s="66"/>
      <c r="S77" s="66"/>
      <c r="T77" s="66"/>
      <c r="U77" s="66"/>
      <c r="V77" s="66"/>
      <c r="W77" s="259"/>
      <c r="X77" s="259"/>
      <c r="Y77" s="259"/>
      <c r="Z77" s="259"/>
      <c r="AA77" s="259"/>
      <c r="AB77" s="259"/>
      <c r="AC77" s="259"/>
      <c r="AD77" s="259"/>
      <c r="AE77" s="259"/>
      <c r="AF77" s="259"/>
    </row>
    <row r="78" spans="1:32" x14ac:dyDescent="0.3">
      <c r="B78" s="110"/>
      <c r="C78" s="280" t="s">
        <v>48</v>
      </c>
      <c r="D78" s="267">
        <f>VLOOKUP(C$77,'General Lookups'!$A:$F,5,FALSE)</f>
        <v>4</v>
      </c>
      <c r="E78" s="265"/>
      <c r="F78" s="266"/>
      <c r="G78" s="316" t="s">
        <v>399</v>
      </c>
      <c r="H78" s="317">
        <v>5164</v>
      </c>
      <c r="I78" s="318">
        <v>113031.10068428722</v>
      </c>
      <c r="J78" s="318">
        <v>21.888284408266308</v>
      </c>
      <c r="K78" s="319">
        <v>1.0208798638261192E-2</v>
      </c>
      <c r="L78"/>
      <c r="M78"/>
      <c r="N78" s="65"/>
      <c r="O78" s="65"/>
      <c r="P78" s="65"/>
      <c r="Q78" s="65"/>
      <c r="R78" s="65"/>
      <c r="S78" s="65"/>
      <c r="T78" s="65"/>
    </row>
    <row r="79" spans="1:32" x14ac:dyDescent="0.3">
      <c r="B79" s="110"/>
      <c r="C79" s="281" t="s">
        <v>135</v>
      </c>
      <c r="D79" s="268" t="str">
        <f>VLOOKUP(C77,'LTO Data'!AO12:AV124,8,FALSE)</f>
        <v>Unpriced</v>
      </c>
      <c r="E79" s="265"/>
      <c r="F79" s="266"/>
      <c r="G79" s="320">
        <v>1</v>
      </c>
      <c r="H79" s="317">
        <v>1348</v>
      </c>
      <c r="I79" s="318">
        <v>19307.086099727105</v>
      </c>
      <c r="J79" s="318">
        <v>14.322764168937022</v>
      </c>
      <c r="K79" s="319">
        <v>1.1013279483374411E-2</v>
      </c>
      <c r="L79"/>
      <c r="M79"/>
      <c r="N79"/>
      <c r="O79"/>
      <c r="P79"/>
      <c r="Q79"/>
      <c r="R79"/>
      <c r="S79"/>
      <c r="T79"/>
    </row>
    <row r="80" spans="1:32" x14ac:dyDescent="0.3">
      <c r="B80" s="110"/>
      <c r="C80" s="282" t="s">
        <v>142</v>
      </c>
      <c r="D80" s="261">
        <f ca="1">VLOOKUP(C$77,'LTO Data'!$AO$12:$AV$161,2,FALSE)</f>
        <v>100.49974909738224</v>
      </c>
      <c r="E80" s="265"/>
      <c r="F80" s="266"/>
      <c r="G80" s="320">
        <v>2</v>
      </c>
      <c r="H80" s="317">
        <v>923</v>
      </c>
      <c r="I80" s="318">
        <v>32238.695188601869</v>
      </c>
      <c r="J80" s="318">
        <v>34.928163801302134</v>
      </c>
      <c r="K80" s="319">
        <v>9.8395787355037255E-3</v>
      </c>
      <c r="L80"/>
      <c r="M80"/>
      <c r="N80"/>
      <c r="O80"/>
      <c r="P80"/>
      <c r="Q80"/>
      <c r="R80"/>
      <c r="S80"/>
      <c r="T80"/>
    </row>
    <row r="81" spans="2:20" x14ac:dyDescent="0.3">
      <c r="B81" s="110"/>
      <c r="C81" s="283" t="str">
        <f>_xlfn.CONCAT("Media - P", 'LTO Data'!A3)</f>
        <v>Media - P1</v>
      </c>
      <c r="D81" s="268" t="str">
        <f>IFERROR(VLOOKUP(_xlfn.CONCAT('LTO Data'!A3,C$77),'LTO Data'!$B$2:$AG$4000,30,FALSE), "")</f>
        <v/>
      </c>
      <c r="E81" s="265"/>
      <c r="F81" s="266"/>
      <c r="G81" s="320">
        <v>4</v>
      </c>
      <c r="H81" s="317">
        <v>1125</v>
      </c>
      <c r="I81" s="318">
        <v>23110.595630386884</v>
      </c>
      <c r="J81" s="318">
        <v>20.542751671455008</v>
      </c>
      <c r="K81" s="319">
        <v>1.134106183985803E-2</v>
      </c>
      <c r="L81"/>
      <c r="M81"/>
      <c r="N81"/>
      <c r="O81"/>
      <c r="P81"/>
      <c r="Q81"/>
      <c r="R81"/>
      <c r="S81"/>
      <c r="T81"/>
    </row>
    <row r="82" spans="2:20" x14ac:dyDescent="0.3">
      <c r="B82" s="110"/>
      <c r="C82" s="283" t="str">
        <f>_xlfn.CONCAT("Media - P", 'LTO Data'!A4)</f>
        <v>Media - P2</v>
      </c>
      <c r="D82" s="268" t="str">
        <f>IFERROR(VLOOKUP(_xlfn.CONCAT('LTO Data'!A4,C$77),'LTO Data'!$B$2:$AG$4000,31,FALSE), "")</f>
        <v/>
      </c>
      <c r="E82" s="265"/>
      <c r="F82" s="266"/>
      <c r="G82" s="320">
        <v>3</v>
      </c>
      <c r="H82" s="317">
        <v>1768</v>
      </c>
      <c r="I82" s="318">
        <v>38374.723765571456</v>
      </c>
      <c r="J82" s="318">
        <v>21.705160500888834</v>
      </c>
      <c r="K82" s="319">
        <v>9.5825522945323562E-3</v>
      </c>
      <c r="L82"/>
      <c r="M82"/>
      <c r="N82"/>
      <c r="O82"/>
      <c r="P82"/>
      <c r="Q82"/>
      <c r="R82"/>
      <c r="S82"/>
      <c r="T82"/>
    </row>
    <row r="83" spans="2:20" x14ac:dyDescent="0.3">
      <c r="B83" s="110"/>
      <c r="C83" s="283" t="str">
        <f>_xlfn.CONCAT("Media - P", 'LTO Data'!A5)</f>
        <v>Media - P3</v>
      </c>
      <c r="D83" s="268" t="str">
        <f>IFERROR(VLOOKUP(_xlfn.CONCAT('LTO Data'!A5,C$77),'LTO Data'!$B$2:$AG$4000,32,FALSE), "")</f>
        <v/>
      </c>
      <c r="E83" s="265"/>
      <c r="F83" s="266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2:20" x14ac:dyDescent="0.3">
      <c r="B84" s="110"/>
      <c r="C84" s="280" t="s">
        <v>134</v>
      </c>
      <c r="D84" s="270"/>
      <c r="E84" s="265"/>
      <c r="F84" s="266"/>
      <c r="G84" s="258" t="str">
        <f>IF('LTO Data'!AX40="","", 'LTO Data'!AX40)</f>
        <v/>
      </c>
      <c r="H84" s="265" t="str">
        <f>IF('LTO Data'!AY40="","", 'LTO Data'!AY40)</f>
        <v/>
      </c>
      <c r="I84" s="265" t="str">
        <f>IF('LTO Data'!AZ40="","", 'LTO Data'!AZ40)</f>
        <v/>
      </c>
      <c r="J84" s="265" t="str">
        <f>IF('LTO Data'!BA40="","", 'LTO Data'!BA40)</f>
        <v/>
      </c>
      <c r="K84" s="265" t="str">
        <f>IF('LTO Data'!BB40="","", 'LTO Data'!BB40)</f>
        <v/>
      </c>
      <c r="L84"/>
      <c r="M84"/>
      <c r="N84"/>
      <c r="O84"/>
      <c r="P84"/>
      <c r="Q84"/>
      <c r="R84" s="65"/>
      <c r="S84" s="65"/>
      <c r="T84" s="65"/>
    </row>
    <row r="85" spans="2:20" ht="16.2" thickBot="1" x14ac:dyDescent="0.35">
      <c r="B85" s="110"/>
      <c r="C85" s="284" t="s">
        <v>133</v>
      </c>
      <c r="D85" s="321">
        <f ca="1">VLOOKUP(C77,'LTO Data'!AO12:AV130,4,FALSE)</f>
        <v>5.4100189394586801E-4</v>
      </c>
      <c r="E85" s="265"/>
      <c r="F85" s="266"/>
      <c r="G85" s="265" t="str">
        <f>IF('LTO Data'!AX41="","", 'LTO Data'!AX41)</f>
        <v/>
      </c>
      <c r="H85" s="265" t="str">
        <f>IF('LTO Data'!AY41="","", 'LTO Data'!AY41)</f>
        <v/>
      </c>
      <c r="I85" s="265" t="str">
        <f>IF('LTO Data'!AZ41="","", 'LTO Data'!AZ41)</f>
        <v/>
      </c>
      <c r="J85" s="265" t="str">
        <f>IF('LTO Data'!BA41="","", 'LTO Data'!BA41)</f>
        <v/>
      </c>
      <c r="K85" s="265" t="str">
        <f>IF('LTO Data'!BB41="","", 'LTO Data'!BB41)</f>
        <v/>
      </c>
      <c r="L85"/>
      <c r="M85"/>
      <c r="N85"/>
      <c r="O85"/>
      <c r="P85"/>
      <c r="Q85"/>
      <c r="R85" s="65"/>
      <c r="S85" s="65"/>
      <c r="T85" s="65"/>
    </row>
    <row r="86" spans="2:20" ht="16.2" thickBot="1" x14ac:dyDescent="0.35">
      <c r="B86" s="110"/>
      <c r="C86" s="110"/>
      <c r="D86" s="110"/>
      <c r="E86" s="265"/>
      <c r="F86" s="266"/>
      <c r="G86" s="265" t="str">
        <f>IF('LTO Data'!AX42="","", 'LTO Data'!AX42)</f>
        <v/>
      </c>
      <c r="H86" s="265" t="str">
        <f>IF('LTO Data'!AY42="","", 'LTO Data'!AY42)</f>
        <v/>
      </c>
      <c r="I86" s="265" t="str">
        <f>IF('LTO Data'!AZ42="","", 'LTO Data'!AZ42)</f>
        <v/>
      </c>
      <c r="J86" s="265" t="str">
        <f>IF('LTO Data'!BA42="","", 'LTO Data'!BA42)</f>
        <v/>
      </c>
      <c r="K86" s="265" t="str">
        <f>IF('LTO Data'!BB42="","", 'LTO Data'!BB42)</f>
        <v/>
      </c>
      <c r="L86"/>
      <c r="M86"/>
      <c r="N86"/>
      <c r="O86"/>
      <c r="P86"/>
      <c r="Q86"/>
      <c r="R86" s="65"/>
      <c r="S86" s="65"/>
      <c r="T86" s="65"/>
    </row>
    <row r="87" spans="2:20" ht="16.2" thickBot="1" x14ac:dyDescent="0.35">
      <c r="B87" s="271" t="s">
        <v>10</v>
      </c>
      <c r="C87" s="272" t="s">
        <v>142</v>
      </c>
      <c r="D87" s="238" t="s">
        <v>155</v>
      </c>
      <c r="E87" s="273" t="s">
        <v>133</v>
      </c>
      <c r="F87" s="266"/>
      <c r="G87" s="265" t="str">
        <f>IF('LTO Data'!AX43="","", 'LTO Data'!AX43)</f>
        <v/>
      </c>
      <c r="H87" s="265" t="str">
        <f>IF('LTO Data'!AY43="","", 'LTO Data'!AY43)</f>
        <v/>
      </c>
      <c r="I87" s="265" t="str">
        <f>IF('LTO Data'!AZ43="","", 'LTO Data'!AZ43)</f>
        <v/>
      </c>
      <c r="J87" s="265" t="str">
        <f>IF('LTO Data'!BA43="","", 'LTO Data'!BA43)</f>
        <v/>
      </c>
      <c r="K87" s="265" t="str">
        <f>IF('LTO Data'!BB43="","", 'LTO Data'!BB43)</f>
        <v/>
      </c>
      <c r="L87"/>
      <c r="M87"/>
      <c r="N87"/>
      <c r="O87"/>
      <c r="P87"/>
      <c r="Q87"/>
      <c r="R87" s="65"/>
      <c r="S87" s="65"/>
      <c r="T87" s="65"/>
    </row>
    <row r="88" spans="2:20" x14ac:dyDescent="0.3">
      <c r="B88" s="274" t="s">
        <v>50</v>
      </c>
      <c r="C88" s="269">
        <f ca="1">'LTO Data'!AY10</f>
        <v>4738431.9908999465</v>
      </c>
      <c r="D88" s="269">
        <f ca="1">'LTO Data'!AZ10</f>
        <v>55849603.60529048</v>
      </c>
      <c r="E88" s="269">
        <f ca="1">'LTO Data'!BA10</f>
        <v>318.66110786522853</v>
      </c>
      <c r="F88" s="275"/>
      <c r="G88" s="265" t="str">
        <f>IF('LTO Data'!AX44="","", 'LTO Data'!AX44)</f>
        <v/>
      </c>
      <c r="H88" s="265" t="str">
        <f>IF('LTO Data'!AY44="","", 'LTO Data'!AY44)</f>
        <v/>
      </c>
      <c r="I88" s="265" t="str">
        <f>IF('LTO Data'!AZ44="","", 'LTO Data'!AZ44)</f>
        <v/>
      </c>
      <c r="J88" s="265" t="str">
        <f>IF('LTO Data'!BA44="","", 'LTO Data'!BA44)</f>
        <v/>
      </c>
      <c r="K88" s="265" t="str">
        <f>IF('LTO Data'!BB44="","", 'LTO Data'!BB44)</f>
        <v/>
      </c>
      <c r="L88"/>
      <c r="M88"/>
      <c r="N88"/>
      <c r="O88"/>
      <c r="P88"/>
      <c r="Q88"/>
      <c r="R88" s="65"/>
      <c r="S88" s="65"/>
      <c r="T88" s="65"/>
    </row>
    <row r="89" spans="2:20" x14ac:dyDescent="0.3">
      <c r="B89" s="276" t="str">
        <f>'LTO Data'!AX7</f>
        <v>RB</v>
      </c>
      <c r="C89" s="276">
        <f ca="1">'LTO Data'!AY7</f>
        <v>1163548.088586689</v>
      </c>
      <c r="D89" s="276">
        <f ca="1">'LTO Data'!AZ7</f>
        <v>18512751.400585145</v>
      </c>
      <c r="E89" s="311">
        <f ca="1">'LTO Data'!BB7</f>
        <v>6.2851170169654622E-2</v>
      </c>
      <c r="F89" s="277"/>
      <c r="G89" s="265" t="str">
        <f>IF('LTO Data'!AX45="","", 'LTO Data'!AX45)</f>
        <v/>
      </c>
      <c r="H89" s="265" t="str">
        <f>IF('LTO Data'!AY45="","", 'LTO Data'!AY45)</f>
        <v/>
      </c>
      <c r="I89" s="265" t="str">
        <f>IF('LTO Data'!AZ45="","", 'LTO Data'!AZ45)</f>
        <v/>
      </c>
      <c r="J89" s="265" t="str">
        <f>IF('LTO Data'!BA45="","", 'LTO Data'!BA45)</f>
        <v/>
      </c>
      <c r="K89" s="265" t="str">
        <f>IF('LTO Data'!BB45="","", 'LTO Data'!BB45)</f>
        <v/>
      </c>
      <c r="L89"/>
      <c r="M89"/>
      <c r="N89"/>
      <c r="O89"/>
      <c r="P89"/>
      <c r="Q89" s="65"/>
      <c r="R89" s="65"/>
      <c r="S89" s="65"/>
    </row>
    <row r="90" spans="2:20" x14ac:dyDescent="0.3">
      <c r="B90" s="276" t="str">
        <f>'LTO Data'!AX8</f>
        <v>RA</v>
      </c>
      <c r="C90" s="276">
        <f ca="1">'LTO Data'!AY8</f>
        <v>1960448.7573728145</v>
      </c>
      <c r="D90" s="276">
        <f ca="1">'LTO Data'!AZ8</f>
        <v>19800612.607321348</v>
      </c>
      <c r="E90" s="311">
        <f ca="1">'LTO Data'!BB8</f>
        <v>9.9009500173137643E-2</v>
      </c>
      <c r="F90" s="277"/>
      <c r="G90" s="258" t="str">
        <f>IF('LTO Data'!AX46="","", 'LTO Data'!AX46)</f>
        <v/>
      </c>
      <c r="H90" s="265" t="str">
        <f>IF('LTO Data'!AY46="","", 'LTO Data'!AY46)</f>
        <v/>
      </c>
      <c r="I90" s="265" t="str">
        <f>IF('LTO Data'!AZ46="","", 'LTO Data'!AZ46)</f>
        <v/>
      </c>
      <c r="J90" s="265" t="str">
        <f>IF('LTO Data'!BA46="","", 'LTO Data'!BA46)</f>
        <v/>
      </c>
      <c r="K90" s="265" t="str">
        <f>IF('LTO Data'!BB46="","", 'LTO Data'!BB46)</f>
        <v/>
      </c>
      <c r="L90"/>
      <c r="M90"/>
      <c r="N90"/>
      <c r="O90"/>
      <c r="P90"/>
      <c r="Q90" s="65"/>
      <c r="R90" s="65"/>
      <c r="S90" s="65"/>
    </row>
    <row r="91" spans="2:20" x14ac:dyDescent="0.3">
      <c r="B91" s="276" t="str">
        <f>'LTO Data'!AX9</f>
        <v>RC</v>
      </c>
      <c r="C91" s="276">
        <f ca="1">'LTO Data'!AY9</f>
        <v>1614435.1449404431</v>
      </c>
      <c r="D91" s="276">
        <f ca="1">'LTO Data'!AZ9</f>
        <v>17536239.597383983</v>
      </c>
      <c r="E91" s="311">
        <f ca="1">'LTO Data'!BB9</f>
        <v>9.2062790085354493E-2</v>
      </c>
      <c r="F91" s="277"/>
      <c r="G91" s="265" t="str">
        <f>IF('LTO Data'!AX47="","", 'LTO Data'!AX47)</f>
        <v/>
      </c>
      <c r="H91" s="265" t="str">
        <f>IF('LTO Data'!AY47="","", 'LTO Data'!AY47)</f>
        <v/>
      </c>
      <c r="I91" s="265" t="str">
        <f>IF('LTO Data'!AZ47="","", 'LTO Data'!AZ47)</f>
        <v/>
      </c>
      <c r="J91" s="265" t="str">
        <f>IF('LTO Data'!BA47="","", 'LTO Data'!BA47)</f>
        <v/>
      </c>
      <c r="K91" s="265" t="str">
        <f>IF('LTO Data'!BB47="","", 'LTO Data'!BB47)</f>
        <v/>
      </c>
      <c r="L91"/>
      <c r="M91"/>
      <c r="N91"/>
      <c r="O91"/>
      <c r="P91"/>
      <c r="Q91" s="65"/>
      <c r="R91" s="65"/>
      <c r="S91" s="65"/>
    </row>
    <row r="92" spans="2:20" x14ac:dyDescent="0.3">
      <c r="F92" s="275"/>
      <c r="G92" s="265" t="str">
        <f>IF('LTO Data'!AX48="","", 'LTO Data'!AX48)</f>
        <v/>
      </c>
      <c r="H92" s="265" t="str">
        <f>IF('LTO Data'!AY48="","", 'LTO Data'!AY48)</f>
        <v/>
      </c>
      <c r="I92" s="265" t="str">
        <f>IF('LTO Data'!AZ48="","", 'LTO Data'!AZ48)</f>
        <v/>
      </c>
      <c r="J92" s="265" t="str">
        <f>IF('LTO Data'!BA48="","", 'LTO Data'!BA48)</f>
        <v/>
      </c>
      <c r="K92" s="265" t="str">
        <f>IF('LTO Data'!BB48="","", 'LTO Data'!BB48)</f>
        <v/>
      </c>
      <c r="L92"/>
      <c r="M92"/>
      <c r="N92" s="65"/>
      <c r="O92" s="65"/>
      <c r="P92" s="65"/>
      <c r="Q92" s="65"/>
      <c r="R92" s="65"/>
      <c r="S92" s="65"/>
      <c r="T92" s="65"/>
    </row>
    <row r="93" spans="2:20" x14ac:dyDescent="0.3">
      <c r="F93" s="275"/>
      <c r="G93" s="265" t="str">
        <f>IF('LTO Data'!AX49="","", 'LTO Data'!AX49)</f>
        <v/>
      </c>
      <c r="H93" s="265" t="str">
        <f>IF('LTO Data'!AY49="","", 'LTO Data'!AY49)</f>
        <v/>
      </c>
      <c r="I93" s="265" t="str">
        <f>IF('LTO Data'!AZ49="","", 'LTO Data'!AZ49)</f>
        <v/>
      </c>
      <c r="J93" s="265" t="str">
        <f>IF('LTO Data'!BA49="","", 'LTO Data'!BA49)</f>
        <v/>
      </c>
      <c r="K93" s="265" t="str">
        <f>IF('LTO Data'!BB49="","", 'LTO Data'!BB49)</f>
        <v/>
      </c>
      <c r="L93"/>
      <c r="M93"/>
      <c r="N93" s="65"/>
      <c r="O93" s="65"/>
      <c r="P93" s="65"/>
      <c r="Q93" s="65"/>
      <c r="R93" s="65"/>
      <c r="S93" s="65"/>
      <c r="T93" s="65"/>
    </row>
    <row r="94" spans="2:20" x14ac:dyDescent="0.3">
      <c r="G94" s="265" t="str">
        <f>IF('LTO Data'!AX50="","", 'LTO Data'!AX50)</f>
        <v/>
      </c>
      <c r="H94" s="265" t="str">
        <f>IF('LTO Data'!AY50="","", 'LTO Data'!AY50)</f>
        <v/>
      </c>
      <c r="I94" s="265" t="str">
        <f>IF('LTO Data'!AZ50="","", 'LTO Data'!AZ50)</f>
        <v/>
      </c>
      <c r="J94" s="265" t="str">
        <f>IF('LTO Data'!BA50="","", 'LTO Data'!BA50)</f>
        <v/>
      </c>
      <c r="K94" s="265" t="str">
        <f>IF('LTO Data'!BB50="","", 'LTO Data'!BB50)</f>
        <v/>
      </c>
      <c r="L94"/>
      <c r="M94"/>
    </row>
    <row r="95" spans="2:20" x14ac:dyDescent="0.3">
      <c r="G95" s="265" t="str">
        <f>IF('LTO Data'!AX51="","", 'LTO Data'!AX51)</f>
        <v/>
      </c>
      <c r="H95" s="265" t="str">
        <f>IF('LTO Data'!AY51="","", 'LTO Data'!AY51)</f>
        <v/>
      </c>
      <c r="I95" s="265" t="str">
        <f>IF('LTO Data'!AZ51="","", 'LTO Data'!AZ51)</f>
        <v/>
      </c>
      <c r="J95" s="265" t="str">
        <f>IF('LTO Data'!BA51="","", 'LTO Data'!BA51)</f>
        <v/>
      </c>
      <c r="K95" s="265" t="str">
        <f>IF('LTO Data'!BB51="","", 'LTO Data'!BB51)</f>
        <v/>
      </c>
      <c r="L95"/>
      <c r="M95"/>
    </row>
    <row r="96" spans="2:20" x14ac:dyDescent="0.3">
      <c r="G96" s="260"/>
      <c r="L96"/>
      <c r="M96"/>
    </row>
  </sheetData>
  <mergeCells count="10">
    <mergeCell ref="E12:G12"/>
    <mergeCell ref="B12:D12"/>
    <mergeCell ref="Q12:R12"/>
    <mergeCell ref="Q22:R22"/>
    <mergeCell ref="Z22:AA22"/>
    <mergeCell ref="T12:U12"/>
    <mergeCell ref="Z12:AA12"/>
    <mergeCell ref="W22:X22"/>
    <mergeCell ref="W12:X12"/>
    <mergeCell ref="T22:U22"/>
  </mergeCells>
  <conditionalFormatting sqref="C24:D3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G3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:G30 C24:D30">
    <cfRule type="colorScale" priority="5">
      <colorScale>
        <cfvo type="min"/>
        <cfvo type="max"/>
        <color rgb="FFFFEF9C"/>
        <color rgb="FF63BE7B"/>
      </colorScale>
    </cfRule>
  </conditionalFormatting>
  <conditionalFormatting sqref="C24:D30">
    <cfRule type="colorScale" priority="4">
      <colorScale>
        <cfvo type="min"/>
        <cfvo type="max"/>
        <color rgb="FFFFEF9C"/>
        <color rgb="FF63BE7B"/>
      </colorScale>
    </cfRule>
  </conditionalFormatting>
  <conditionalFormatting sqref="D24:D30">
    <cfRule type="colorScale" priority="3">
      <colorScale>
        <cfvo type="min"/>
        <cfvo type="max"/>
        <color rgb="FF63BE7B"/>
        <color rgb="FFFFEF9C"/>
      </colorScale>
    </cfRule>
  </conditionalFormatting>
  <conditionalFormatting sqref="C5:C8">
    <cfRule type="colorScale" priority="2">
      <colorScale>
        <cfvo type="min"/>
        <cfvo type="max"/>
        <color rgb="FFFFEF9C"/>
        <color rgb="FF63BE7B"/>
      </colorScale>
    </cfRule>
  </conditionalFormatting>
  <conditionalFormatting sqref="D5:D8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3044-569B-4A76-9805-F536C4390B46}">
  <sheetPr codeName="Sheet5">
    <tabColor rgb="FFFF0000"/>
  </sheetPr>
  <dimension ref="A1:Y208"/>
  <sheetViews>
    <sheetView workbookViewId="0">
      <selection activeCell="B11" sqref="B11:B16"/>
    </sheetView>
  </sheetViews>
  <sheetFormatPr defaultRowHeight="14.4" x14ac:dyDescent="0.3"/>
  <cols>
    <col min="1" max="1" width="14.33203125" style="1" customWidth="1"/>
    <col min="2" max="2" width="22.109375" style="1" bestFit="1" customWidth="1"/>
    <col min="4" max="4" width="22.109375" bestFit="1" customWidth="1"/>
    <col min="5" max="5" width="23.5546875" style="170" customWidth="1"/>
    <col min="6" max="6" width="10.77734375" style="1" customWidth="1"/>
    <col min="7" max="7" width="19.5546875" style="1" bestFit="1" customWidth="1"/>
    <col min="8" max="8" width="14.6640625" style="1" bestFit="1" customWidth="1"/>
    <col min="9" max="11" width="10.77734375" style="1" customWidth="1"/>
    <col min="12" max="12" width="20.6640625" style="1" bestFit="1" customWidth="1"/>
    <col min="13" max="13" width="10.77734375" style="1" customWidth="1"/>
    <col min="14" max="14" width="20.33203125" bestFit="1" customWidth="1"/>
    <col min="16" max="16" width="24.44140625" bestFit="1" customWidth="1"/>
  </cols>
  <sheetData>
    <row r="1" spans="1:25" ht="15" thickBot="1" x14ac:dyDescent="0.35">
      <c r="A1" s="366" t="s">
        <v>113</v>
      </c>
      <c r="B1" s="367"/>
      <c r="C1" s="168"/>
      <c r="D1" s="366" t="s">
        <v>86</v>
      </c>
      <c r="E1" s="368"/>
      <c r="F1" s="368"/>
      <c r="G1" s="368"/>
      <c r="H1" s="368"/>
      <c r="I1" s="368"/>
      <c r="J1" s="368"/>
      <c r="K1" s="368"/>
      <c r="L1" s="368"/>
      <c r="M1" s="368"/>
      <c r="N1" s="367"/>
      <c r="P1" s="369" t="s">
        <v>108</v>
      </c>
      <c r="Q1" s="370"/>
      <c r="R1" s="370"/>
      <c r="S1" s="370"/>
      <c r="T1" s="370"/>
      <c r="U1" s="370"/>
      <c r="V1" s="370"/>
      <c r="W1" s="370"/>
      <c r="X1" s="370"/>
      <c r="Y1" s="371"/>
    </row>
    <row r="2" spans="1:25" ht="15" thickBot="1" x14ac:dyDescent="0.35">
      <c r="A2" s="171" t="s">
        <v>84</v>
      </c>
      <c r="B2" s="171" t="s">
        <v>85</v>
      </c>
      <c r="C2" s="168"/>
      <c r="D2" s="171" t="s">
        <v>103</v>
      </c>
      <c r="E2" s="172" t="s">
        <v>85</v>
      </c>
      <c r="F2" s="172" t="s">
        <v>44</v>
      </c>
      <c r="G2" s="172" t="s">
        <v>94</v>
      </c>
      <c r="H2" s="172" t="s">
        <v>93</v>
      </c>
      <c r="I2" s="172" t="s">
        <v>92</v>
      </c>
      <c r="J2" s="172" t="s">
        <v>81</v>
      </c>
      <c r="K2" s="172" t="s">
        <v>70</v>
      </c>
      <c r="L2" s="172" t="s">
        <v>95</v>
      </c>
      <c r="M2" s="172" t="s">
        <v>97</v>
      </c>
      <c r="N2" s="171" t="s">
        <v>107</v>
      </c>
      <c r="P2" s="172" t="s">
        <v>96</v>
      </c>
    </row>
    <row r="3" spans="1:25" x14ac:dyDescent="0.3">
      <c r="A3" s="1">
        <v>2</v>
      </c>
      <c r="B3" s="169" t="s">
        <v>43</v>
      </c>
      <c r="D3" s="169" t="s">
        <v>43</v>
      </c>
      <c r="E3" s="169" t="s">
        <v>43</v>
      </c>
      <c r="F3" s="1" t="s">
        <v>45</v>
      </c>
      <c r="G3" s="198">
        <v>2.0833333333333335</v>
      </c>
      <c r="H3" s="198">
        <v>1.6666666666666667</v>
      </c>
      <c r="I3" s="1">
        <v>24</v>
      </c>
      <c r="J3" s="1">
        <v>0.5</v>
      </c>
      <c r="K3" s="1">
        <v>3.3</v>
      </c>
      <c r="L3" s="1">
        <v>1</v>
      </c>
      <c r="M3" s="1" t="s">
        <v>98</v>
      </c>
      <c r="N3" s="1">
        <v>0</v>
      </c>
      <c r="P3" t="str">
        <f>IF(VLOOKUP(Controls!$H$18,'General Lookups'!$A:$F,6,FALSE)&lt;2,Parameters!E8,"")</f>
        <v>Loyalty Penetration 2</v>
      </c>
    </row>
    <row r="4" spans="1:25" x14ac:dyDescent="0.3">
      <c r="A4" s="1">
        <v>3</v>
      </c>
      <c r="B4" s="169" t="s">
        <v>42</v>
      </c>
      <c r="D4" s="169" t="s">
        <v>42</v>
      </c>
      <c r="E4" s="169" t="s">
        <v>42</v>
      </c>
      <c r="F4" s="1" t="s">
        <v>67</v>
      </c>
      <c r="G4" s="198">
        <v>1.5972222222222223</v>
      </c>
      <c r="H4" s="198">
        <v>6.9444444444444448E-2</v>
      </c>
      <c r="I4" s="1">
        <v>24</v>
      </c>
      <c r="J4" s="1">
        <v>0.45</v>
      </c>
      <c r="K4" s="1">
        <v>2.2000000000000002</v>
      </c>
      <c r="L4" s="1">
        <v>1</v>
      </c>
      <c r="M4" s="1" t="s">
        <v>98</v>
      </c>
      <c r="N4" s="1">
        <v>0</v>
      </c>
      <c r="P4" s="65" t="str">
        <f>IF(VLOOKUP(Controls!$H$18,'General Lookups'!$A:$F,6,FALSE) &lt;3, Parameters!E9, "")</f>
        <v>Loyalty Penetration 3</v>
      </c>
    </row>
    <row r="5" spans="1:25" x14ac:dyDescent="0.3">
      <c r="A5" s="1">
        <v>4</v>
      </c>
      <c r="B5" s="169" t="s">
        <v>66</v>
      </c>
      <c r="D5" s="169" t="s">
        <v>66</v>
      </c>
      <c r="E5" s="169" t="s">
        <v>66</v>
      </c>
      <c r="F5" s="1" t="s">
        <v>46</v>
      </c>
      <c r="G5" s="198">
        <v>1.5972222222222223</v>
      </c>
      <c r="H5" s="198">
        <v>0.18055555555555555</v>
      </c>
      <c r="I5" s="1">
        <v>22</v>
      </c>
      <c r="J5" s="1">
        <v>0.5</v>
      </c>
      <c r="K5" s="1">
        <v>1.85</v>
      </c>
      <c r="L5" s="1">
        <v>1</v>
      </c>
      <c r="M5" s="1" t="s">
        <v>98</v>
      </c>
      <c r="N5" s="1">
        <v>0</v>
      </c>
      <c r="P5" s="65" t="str">
        <f>IF(VLOOKUP(Controls!$H$18,'General Lookups'!$A:$F,6,FALSE) &lt; 4, Parameters!E10, "")</f>
        <v>Loyalty Penetration 4</v>
      </c>
    </row>
    <row r="6" spans="1:25" x14ac:dyDescent="0.3">
      <c r="A6" s="1">
        <v>5</v>
      </c>
      <c r="B6" s="1" t="s">
        <v>145</v>
      </c>
      <c r="D6" s="169" t="s">
        <v>96</v>
      </c>
      <c r="E6" s="169" t="s">
        <v>87</v>
      </c>
      <c r="F6" s="169" t="s">
        <v>71</v>
      </c>
      <c r="G6" s="198">
        <v>0.69444444444444442</v>
      </c>
      <c r="H6" s="198">
        <v>0.27777777777777779</v>
      </c>
      <c r="I6" s="1">
        <v>12</v>
      </c>
      <c r="J6" s="1">
        <v>0.2</v>
      </c>
      <c r="K6" s="1">
        <v>2.5</v>
      </c>
      <c r="L6" s="1">
        <v>1</v>
      </c>
      <c r="M6" s="1" t="s">
        <v>98</v>
      </c>
      <c r="N6" s="176">
        <v>0</v>
      </c>
    </row>
    <row r="7" spans="1:25" x14ac:dyDescent="0.3">
      <c r="A7" s="1">
        <v>6</v>
      </c>
      <c r="B7" s="1" t="s">
        <v>146</v>
      </c>
      <c r="D7" s="169" t="s">
        <v>96</v>
      </c>
      <c r="E7" s="169" t="s">
        <v>88</v>
      </c>
      <c r="F7" s="1" t="s">
        <v>72</v>
      </c>
      <c r="G7" s="198">
        <v>0.69444444444444442</v>
      </c>
      <c r="H7" s="198">
        <v>0.27777777777777779</v>
      </c>
      <c r="I7" s="1">
        <v>12</v>
      </c>
      <c r="J7" s="1">
        <v>0.2</v>
      </c>
      <c r="K7" s="1">
        <v>3</v>
      </c>
      <c r="L7" s="1">
        <v>1</v>
      </c>
      <c r="M7" s="1" t="s">
        <v>99</v>
      </c>
      <c r="N7" s="176">
        <v>0</v>
      </c>
    </row>
    <row r="8" spans="1:25" x14ac:dyDescent="0.3">
      <c r="A8" s="1">
        <v>8</v>
      </c>
      <c r="B8" s="169" t="s">
        <v>87</v>
      </c>
      <c r="D8" s="169" t="s">
        <v>96</v>
      </c>
      <c r="E8" s="169" t="s">
        <v>89</v>
      </c>
      <c r="F8" s="1" t="s">
        <v>73</v>
      </c>
      <c r="G8" s="198">
        <v>0.69444444444444442</v>
      </c>
      <c r="H8" s="198">
        <v>0.27777777777777779</v>
      </c>
      <c r="I8" s="1">
        <v>12</v>
      </c>
      <c r="J8" s="1">
        <v>0.2</v>
      </c>
      <c r="K8" s="1">
        <v>3</v>
      </c>
      <c r="L8" s="1">
        <v>1</v>
      </c>
      <c r="M8" s="1" t="s">
        <v>100</v>
      </c>
      <c r="N8" s="176">
        <v>1</v>
      </c>
    </row>
    <row r="9" spans="1:25" x14ac:dyDescent="0.3">
      <c r="A9" s="1">
        <v>9</v>
      </c>
      <c r="B9" s="169" t="s">
        <v>88</v>
      </c>
      <c r="D9" s="169" t="s">
        <v>96</v>
      </c>
      <c r="E9" s="169" t="s">
        <v>90</v>
      </c>
      <c r="F9" s="1" t="s">
        <v>74</v>
      </c>
      <c r="G9" s="198">
        <v>0.69444444444444442</v>
      </c>
      <c r="H9" s="198">
        <v>0.27777777777777779</v>
      </c>
      <c r="I9" s="1">
        <v>12</v>
      </c>
      <c r="J9" s="1">
        <v>0.2</v>
      </c>
      <c r="K9" s="1">
        <v>3</v>
      </c>
      <c r="L9" s="1">
        <v>1</v>
      </c>
      <c r="M9" s="1" t="s">
        <v>101</v>
      </c>
      <c r="N9" s="176">
        <v>1</v>
      </c>
    </row>
    <row r="10" spans="1:25" x14ac:dyDescent="0.3">
      <c r="A10" s="1">
        <v>10</v>
      </c>
      <c r="B10" s="169" t="s">
        <v>89</v>
      </c>
      <c r="D10" s="169" t="s">
        <v>96</v>
      </c>
      <c r="E10" s="169" t="s">
        <v>91</v>
      </c>
      <c r="F10" s="1" t="s">
        <v>75</v>
      </c>
      <c r="G10" s="198">
        <v>0.69444444444444442</v>
      </c>
      <c r="H10" s="198">
        <v>0.27777777777777779</v>
      </c>
      <c r="I10" s="1">
        <v>12</v>
      </c>
      <c r="J10" s="1">
        <v>0.2</v>
      </c>
      <c r="K10" s="1">
        <v>3</v>
      </c>
      <c r="L10" s="1">
        <v>1</v>
      </c>
      <c r="M10" s="1" t="s">
        <v>102</v>
      </c>
      <c r="N10" s="176">
        <v>1</v>
      </c>
    </row>
    <row r="11" spans="1:25" x14ac:dyDescent="0.3">
      <c r="A11" s="1">
        <v>11</v>
      </c>
      <c r="B11" s="169" t="s">
        <v>90</v>
      </c>
      <c r="D11" s="169" t="s">
        <v>138</v>
      </c>
      <c r="E11" s="169" t="s">
        <v>145</v>
      </c>
      <c r="F11" s="1" t="s">
        <v>154</v>
      </c>
      <c r="G11" s="198">
        <v>0.7</v>
      </c>
      <c r="H11" s="198">
        <v>0.2</v>
      </c>
      <c r="I11" s="1">
        <v>14</v>
      </c>
      <c r="J11" s="1">
        <v>0.2</v>
      </c>
      <c r="K11" s="1">
        <v>2.2999999999999998</v>
      </c>
      <c r="L11" s="1">
        <v>1</v>
      </c>
      <c r="M11" s="1" t="s">
        <v>147</v>
      </c>
      <c r="N11" s="176">
        <v>0</v>
      </c>
    </row>
    <row r="12" spans="1:25" x14ac:dyDescent="0.3">
      <c r="A12" s="1">
        <v>12</v>
      </c>
      <c r="B12" s="169" t="s">
        <v>91</v>
      </c>
      <c r="D12" s="169" t="s">
        <v>138</v>
      </c>
      <c r="E12" s="169" t="s">
        <v>146</v>
      </c>
      <c r="F12" s="1" t="s">
        <v>156</v>
      </c>
      <c r="G12" s="198">
        <v>1.6</v>
      </c>
      <c r="H12" s="198">
        <v>0.2</v>
      </c>
      <c r="I12" s="1">
        <v>18</v>
      </c>
      <c r="J12" s="1">
        <v>0.3</v>
      </c>
      <c r="K12" s="1">
        <v>3</v>
      </c>
      <c r="L12" s="1">
        <v>1</v>
      </c>
      <c r="M12" s="1" t="s">
        <v>98</v>
      </c>
      <c r="N12" s="176">
        <v>0</v>
      </c>
    </row>
    <row r="14" spans="1:25" x14ac:dyDescent="0.3">
      <c r="E14"/>
      <c r="G14" s="198"/>
      <c r="H14" s="198"/>
    </row>
    <row r="15" spans="1:25" x14ac:dyDescent="0.3">
      <c r="E15"/>
      <c r="G15" s="198"/>
      <c r="H15" s="198"/>
    </row>
    <row r="16" spans="1:25" x14ac:dyDescent="0.3">
      <c r="E16"/>
      <c r="G16" s="198"/>
      <c r="H16" s="198"/>
    </row>
    <row r="17" spans="5:8" x14ac:dyDescent="0.3">
      <c r="E17"/>
      <c r="G17" s="198"/>
      <c r="H17" s="198"/>
    </row>
    <row r="18" spans="5:8" x14ac:dyDescent="0.3">
      <c r="E18"/>
      <c r="G18" s="198"/>
      <c r="H18" s="198"/>
    </row>
    <row r="19" spans="5:8" x14ac:dyDescent="0.3">
      <c r="E19"/>
      <c r="G19" s="198"/>
    </row>
    <row r="20" spans="5:8" x14ac:dyDescent="0.3">
      <c r="E20"/>
      <c r="G20" s="198"/>
    </row>
    <row r="21" spans="5:8" x14ac:dyDescent="0.3">
      <c r="E21"/>
      <c r="G21" s="198"/>
    </row>
    <row r="22" spans="5:8" x14ac:dyDescent="0.3">
      <c r="E22"/>
      <c r="G22" s="198"/>
    </row>
    <row r="23" spans="5:8" x14ac:dyDescent="0.3">
      <c r="E23"/>
      <c r="G23" s="198"/>
    </row>
    <row r="24" spans="5:8" x14ac:dyDescent="0.3">
      <c r="E24"/>
      <c r="G24" s="198"/>
    </row>
    <row r="25" spans="5:8" x14ac:dyDescent="0.3">
      <c r="E25"/>
    </row>
    <row r="26" spans="5:8" x14ac:dyDescent="0.3">
      <c r="E26"/>
    </row>
    <row r="27" spans="5:8" x14ac:dyDescent="0.3">
      <c r="E27"/>
    </row>
    <row r="28" spans="5:8" x14ac:dyDescent="0.3">
      <c r="E28"/>
    </row>
    <row r="29" spans="5:8" x14ac:dyDescent="0.3">
      <c r="E29"/>
    </row>
    <row r="30" spans="5:8" x14ac:dyDescent="0.3">
      <c r="E30"/>
    </row>
    <row r="31" spans="5:8" x14ac:dyDescent="0.3">
      <c r="E31"/>
    </row>
    <row r="32" spans="5:8" x14ac:dyDescent="0.3">
      <c r="E32"/>
    </row>
    <row r="33" spans="5:5" x14ac:dyDescent="0.3">
      <c r="E33"/>
    </row>
    <row r="34" spans="5:5" x14ac:dyDescent="0.3">
      <c r="E34"/>
    </row>
    <row r="35" spans="5:5" x14ac:dyDescent="0.3">
      <c r="E35"/>
    </row>
    <row r="36" spans="5:5" x14ac:dyDescent="0.3">
      <c r="E36"/>
    </row>
    <row r="37" spans="5:5" x14ac:dyDescent="0.3">
      <c r="E37"/>
    </row>
    <row r="38" spans="5:5" x14ac:dyDescent="0.3">
      <c r="E38"/>
    </row>
    <row r="39" spans="5:5" x14ac:dyDescent="0.3">
      <c r="E39"/>
    </row>
    <row r="40" spans="5:5" x14ac:dyDescent="0.3">
      <c r="E40"/>
    </row>
    <row r="41" spans="5:5" x14ac:dyDescent="0.3">
      <c r="E41"/>
    </row>
    <row r="42" spans="5:5" x14ac:dyDescent="0.3">
      <c r="E42"/>
    </row>
    <row r="43" spans="5:5" x14ac:dyDescent="0.3">
      <c r="E43"/>
    </row>
    <row r="44" spans="5:5" x14ac:dyDescent="0.3">
      <c r="E44"/>
    </row>
    <row r="45" spans="5:5" x14ac:dyDescent="0.3">
      <c r="E45"/>
    </row>
    <row r="46" spans="5:5" x14ac:dyDescent="0.3">
      <c r="E46"/>
    </row>
    <row r="47" spans="5:5" x14ac:dyDescent="0.3">
      <c r="E47"/>
    </row>
    <row r="48" spans="5:5" x14ac:dyDescent="0.3">
      <c r="E48"/>
    </row>
    <row r="49" spans="5:5" x14ac:dyDescent="0.3">
      <c r="E49"/>
    </row>
    <row r="50" spans="5:5" x14ac:dyDescent="0.3">
      <c r="E50"/>
    </row>
    <row r="51" spans="5:5" x14ac:dyDescent="0.3">
      <c r="E51"/>
    </row>
    <row r="52" spans="5:5" x14ac:dyDescent="0.3">
      <c r="E52"/>
    </row>
    <row r="53" spans="5:5" x14ac:dyDescent="0.3">
      <c r="E53"/>
    </row>
    <row r="54" spans="5:5" x14ac:dyDescent="0.3">
      <c r="E54"/>
    </row>
    <row r="55" spans="5:5" x14ac:dyDescent="0.3">
      <c r="E55"/>
    </row>
    <row r="56" spans="5:5" x14ac:dyDescent="0.3">
      <c r="E56"/>
    </row>
    <row r="57" spans="5:5" x14ac:dyDescent="0.3">
      <c r="E57"/>
    </row>
    <row r="58" spans="5:5" x14ac:dyDescent="0.3">
      <c r="E58"/>
    </row>
    <row r="59" spans="5:5" x14ac:dyDescent="0.3">
      <c r="E59"/>
    </row>
    <row r="60" spans="5:5" x14ac:dyDescent="0.3">
      <c r="E60"/>
    </row>
    <row r="61" spans="5:5" x14ac:dyDescent="0.3">
      <c r="E61"/>
    </row>
    <row r="62" spans="5:5" x14ac:dyDescent="0.3">
      <c r="E62"/>
    </row>
    <row r="63" spans="5:5" x14ac:dyDescent="0.3">
      <c r="E63"/>
    </row>
    <row r="64" spans="5:5" x14ac:dyDescent="0.3">
      <c r="E64"/>
    </row>
    <row r="65" spans="5:5" x14ac:dyDescent="0.3">
      <c r="E65"/>
    </row>
    <row r="66" spans="5:5" x14ac:dyDescent="0.3">
      <c r="E66"/>
    </row>
    <row r="67" spans="5:5" x14ac:dyDescent="0.3">
      <c r="E67"/>
    </row>
    <row r="68" spans="5:5" x14ac:dyDescent="0.3">
      <c r="E68"/>
    </row>
    <row r="69" spans="5:5" x14ac:dyDescent="0.3">
      <c r="E69"/>
    </row>
    <row r="70" spans="5:5" x14ac:dyDescent="0.3">
      <c r="E70"/>
    </row>
    <row r="71" spans="5:5" x14ac:dyDescent="0.3">
      <c r="E71"/>
    </row>
    <row r="72" spans="5:5" x14ac:dyDescent="0.3">
      <c r="E72"/>
    </row>
    <row r="73" spans="5:5" x14ac:dyDescent="0.3">
      <c r="E73"/>
    </row>
    <row r="74" spans="5:5" x14ac:dyDescent="0.3">
      <c r="E74"/>
    </row>
    <row r="75" spans="5:5" x14ac:dyDescent="0.3">
      <c r="E75"/>
    </row>
    <row r="76" spans="5:5" x14ac:dyDescent="0.3">
      <c r="E76"/>
    </row>
    <row r="77" spans="5:5" x14ac:dyDescent="0.3">
      <c r="E77"/>
    </row>
    <row r="78" spans="5:5" x14ac:dyDescent="0.3">
      <c r="E78"/>
    </row>
    <row r="79" spans="5:5" x14ac:dyDescent="0.3">
      <c r="E79"/>
    </row>
    <row r="80" spans="5:5" x14ac:dyDescent="0.3">
      <c r="E80"/>
    </row>
    <row r="81" spans="5:5" x14ac:dyDescent="0.3">
      <c r="E81"/>
    </row>
    <row r="82" spans="5:5" x14ac:dyDescent="0.3">
      <c r="E82"/>
    </row>
    <row r="83" spans="5:5" x14ac:dyDescent="0.3">
      <c r="E83"/>
    </row>
    <row r="84" spans="5:5" x14ac:dyDescent="0.3">
      <c r="E84"/>
    </row>
    <row r="85" spans="5:5" x14ac:dyDescent="0.3">
      <c r="E85"/>
    </row>
    <row r="86" spans="5:5" x14ac:dyDescent="0.3">
      <c r="E86"/>
    </row>
    <row r="87" spans="5:5" x14ac:dyDescent="0.3">
      <c r="E87"/>
    </row>
    <row r="88" spans="5:5" x14ac:dyDescent="0.3">
      <c r="E88"/>
    </row>
    <row r="89" spans="5:5" x14ac:dyDescent="0.3">
      <c r="E89"/>
    </row>
    <row r="90" spans="5:5" x14ac:dyDescent="0.3">
      <c r="E90"/>
    </row>
    <row r="91" spans="5:5" x14ac:dyDescent="0.3">
      <c r="E91"/>
    </row>
    <row r="92" spans="5:5" x14ac:dyDescent="0.3">
      <c r="E92"/>
    </row>
    <row r="93" spans="5:5" x14ac:dyDescent="0.3">
      <c r="E93"/>
    </row>
    <row r="94" spans="5:5" x14ac:dyDescent="0.3">
      <c r="E94"/>
    </row>
    <row r="95" spans="5:5" x14ac:dyDescent="0.3">
      <c r="E95"/>
    </row>
    <row r="96" spans="5:5" x14ac:dyDescent="0.3">
      <c r="E96"/>
    </row>
    <row r="97" spans="5:5" x14ac:dyDescent="0.3">
      <c r="E97"/>
    </row>
    <row r="98" spans="5:5" x14ac:dyDescent="0.3">
      <c r="E98"/>
    </row>
    <row r="99" spans="5:5" x14ac:dyDescent="0.3">
      <c r="E99"/>
    </row>
    <row r="100" spans="5:5" x14ac:dyDescent="0.3">
      <c r="E100"/>
    </row>
    <row r="101" spans="5:5" x14ac:dyDescent="0.3">
      <c r="E101"/>
    </row>
    <row r="102" spans="5:5" x14ac:dyDescent="0.3">
      <c r="E102"/>
    </row>
    <row r="103" spans="5:5" x14ac:dyDescent="0.3">
      <c r="E103"/>
    </row>
    <row r="104" spans="5:5" x14ac:dyDescent="0.3">
      <c r="E104"/>
    </row>
    <row r="105" spans="5:5" x14ac:dyDescent="0.3">
      <c r="E105"/>
    </row>
    <row r="106" spans="5:5" x14ac:dyDescent="0.3">
      <c r="E106"/>
    </row>
    <row r="107" spans="5:5" x14ac:dyDescent="0.3">
      <c r="E107"/>
    </row>
    <row r="108" spans="5:5" x14ac:dyDescent="0.3">
      <c r="E108"/>
    </row>
    <row r="109" spans="5:5" x14ac:dyDescent="0.3">
      <c r="E109"/>
    </row>
    <row r="110" spans="5:5" x14ac:dyDescent="0.3">
      <c r="E110"/>
    </row>
    <row r="111" spans="5:5" x14ac:dyDescent="0.3">
      <c r="E111"/>
    </row>
    <row r="112" spans="5:5" x14ac:dyDescent="0.3">
      <c r="E112"/>
    </row>
    <row r="113" spans="5:5" x14ac:dyDescent="0.3">
      <c r="E113"/>
    </row>
    <row r="114" spans="5:5" x14ac:dyDescent="0.3">
      <c r="E114"/>
    </row>
    <row r="115" spans="5:5" x14ac:dyDescent="0.3">
      <c r="E115"/>
    </row>
    <row r="116" spans="5:5" x14ac:dyDescent="0.3">
      <c r="E116"/>
    </row>
    <row r="117" spans="5:5" x14ac:dyDescent="0.3">
      <c r="E117"/>
    </row>
    <row r="118" spans="5:5" x14ac:dyDescent="0.3">
      <c r="E118"/>
    </row>
    <row r="119" spans="5:5" x14ac:dyDescent="0.3">
      <c r="E119"/>
    </row>
    <row r="120" spans="5:5" x14ac:dyDescent="0.3">
      <c r="E120"/>
    </row>
    <row r="121" spans="5:5" x14ac:dyDescent="0.3">
      <c r="E121"/>
    </row>
    <row r="122" spans="5:5" x14ac:dyDescent="0.3">
      <c r="E122"/>
    </row>
    <row r="123" spans="5:5" x14ac:dyDescent="0.3">
      <c r="E123"/>
    </row>
    <row r="124" spans="5:5" x14ac:dyDescent="0.3">
      <c r="E124"/>
    </row>
    <row r="125" spans="5:5" x14ac:dyDescent="0.3">
      <c r="E125"/>
    </row>
    <row r="126" spans="5:5" x14ac:dyDescent="0.3">
      <c r="E126"/>
    </row>
    <row r="127" spans="5:5" x14ac:dyDescent="0.3">
      <c r="E127"/>
    </row>
    <row r="128" spans="5:5" x14ac:dyDescent="0.3">
      <c r="E128"/>
    </row>
    <row r="129" spans="5:5" x14ac:dyDescent="0.3">
      <c r="E129"/>
    </row>
    <row r="130" spans="5:5" x14ac:dyDescent="0.3">
      <c r="E130"/>
    </row>
    <row r="131" spans="5:5" x14ac:dyDescent="0.3">
      <c r="E131"/>
    </row>
    <row r="132" spans="5:5" x14ac:dyDescent="0.3">
      <c r="E132"/>
    </row>
    <row r="133" spans="5:5" x14ac:dyDescent="0.3">
      <c r="E133"/>
    </row>
    <row r="134" spans="5:5" x14ac:dyDescent="0.3">
      <c r="E134"/>
    </row>
    <row r="135" spans="5:5" x14ac:dyDescent="0.3">
      <c r="E135"/>
    </row>
    <row r="136" spans="5:5" x14ac:dyDescent="0.3">
      <c r="E136"/>
    </row>
    <row r="137" spans="5:5" x14ac:dyDescent="0.3">
      <c r="E137"/>
    </row>
    <row r="138" spans="5:5" x14ac:dyDescent="0.3">
      <c r="E138"/>
    </row>
    <row r="139" spans="5:5" x14ac:dyDescent="0.3">
      <c r="E139"/>
    </row>
    <row r="140" spans="5:5" x14ac:dyDescent="0.3">
      <c r="E140"/>
    </row>
    <row r="141" spans="5:5" x14ac:dyDescent="0.3">
      <c r="E141"/>
    </row>
    <row r="142" spans="5:5" x14ac:dyDescent="0.3">
      <c r="E142"/>
    </row>
    <row r="143" spans="5:5" x14ac:dyDescent="0.3">
      <c r="E143"/>
    </row>
    <row r="144" spans="5:5" x14ac:dyDescent="0.3">
      <c r="E144"/>
    </row>
    <row r="145" spans="5:5" x14ac:dyDescent="0.3">
      <c r="E145"/>
    </row>
    <row r="146" spans="5:5" x14ac:dyDescent="0.3">
      <c r="E146"/>
    </row>
    <row r="147" spans="5:5" x14ac:dyDescent="0.3">
      <c r="E147"/>
    </row>
    <row r="148" spans="5:5" x14ac:dyDescent="0.3">
      <c r="E148"/>
    </row>
    <row r="149" spans="5:5" x14ac:dyDescent="0.3">
      <c r="E149"/>
    </row>
    <row r="150" spans="5:5" x14ac:dyDescent="0.3">
      <c r="E150"/>
    </row>
    <row r="151" spans="5:5" x14ac:dyDescent="0.3">
      <c r="E151"/>
    </row>
    <row r="152" spans="5:5" x14ac:dyDescent="0.3">
      <c r="E152"/>
    </row>
    <row r="153" spans="5:5" x14ac:dyDescent="0.3">
      <c r="E153"/>
    </row>
    <row r="154" spans="5:5" x14ac:dyDescent="0.3">
      <c r="E154"/>
    </row>
    <row r="155" spans="5:5" x14ac:dyDescent="0.3">
      <c r="E155"/>
    </row>
    <row r="156" spans="5:5" x14ac:dyDescent="0.3">
      <c r="E156"/>
    </row>
    <row r="157" spans="5:5" x14ac:dyDescent="0.3">
      <c r="E157"/>
    </row>
    <row r="158" spans="5:5" x14ac:dyDescent="0.3">
      <c r="E158"/>
    </row>
    <row r="159" spans="5:5" x14ac:dyDescent="0.3">
      <c r="E159"/>
    </row>
    <row r="160" spans="5:5" x14ac:dyDescent="0.3">
      <c r="E160"/>
    </row>
    <row r="161" spans="5:5" x14ac:dyDescent="0.3">
      <c r="E161"/>
    </row>
    <row r="162" spans="5:5" x14ac:dyDescent="0.3">
      <c r="E162"/>
    </row>
    <row r="163" spans="5:5" x14ac:dyDescent="0.3">
      <c r="E163"/>
    </row>
    <row r="164" spans="5:5" x14ac:dyDescent="0.3">
      <c r="E164"/>
    </row>
    <row r="165" spans="5:5" x14ac:dyDescent="0.3">
      <c r="E165"/>
    </row>
    <row r="166" spans="5:5" x14ac:dyDescent="0.3">
      <c r="E166"/>
    </row>
    <row r="167" spans="5:5" x14ac:dyDescent="0.3">
      <c r="E167"/>
    </row>
    <row r="168" spans="5:5" x14ac:dyDescent="0.3">
      <c r="E168"/>
    </row>
    <row r="169" spans="5:5" x14ac:dyDescent="0.3">
      <c r="E169"/>
    </row>
    <row r="170" spans="5:5" x14ac:dyDescent="0.3">
      <c r="E170"/>
    </row>
    <row r="171" spans="5:5" x14ac:dyDescent="0.3">
      <c r="E171"/>
    </row>
    <row r="172" spans="5:5" x14ac:dyDescent="0.3">
      <c r="E172"/>
    </row>
    <row r="173" spans="5:5" x14ac:dyDescent="0.3">
      <c r="E173"/>
    </row>
    <row r="174" spans="5:5" x14ac:dyDescent="0.3">
      <c r="E174"/>
    </row>
    <row r="175" spans="5:5" x14ac:dyDescent="0.3">
      <c r="E175"/>
    </row>
    <row r="176" spans="5:5" x14ac:dyDescent="0.3">
      <c r="E176"/>
    </row>
    <row r="177" spans="5:5" x14ac:dyDescent="0.3">
      <c r="E177"/>
    </row>
    <row r="178" spans="5:5" x14ac:dyDescent="0.3">
      <c r="E178"/>
    </row>
    <row r="179" spans="5:5" x14ac:dyDescent="0.3">
      <c r="E179"/>
    </row>
    <row r="180" spans="5:5" x14ac:dyDescent="0.3">
      <c r="E180"/>
    </row>
    <row r="181" spans="5:5" x14ac:dyDescent="0.3">
      <c r="E181"/>
    </row>
    <row r="182" spans="5:5" x14ac:dyDescent="0.3">
      <c r="E182"/>
    </row>
    <row r="183" spans="5:5" x14ac:dyDescent="0.3">
      <c r="E183"/>
    </row>
    <row r="184" spans="5:5" x14ac:dyDescent="0.3">
      <c r="E184"/>
    </row>
    <row r="185" spans="5:5" x14ac:dyDescent="0.3">
      <c r="E185"/>
    </row>
    <row r="186" spans="5:5" x14ac:dyDescent="0.3">
      <c r="E186"/>
    </row>
    <row r="187" spans="5:5" x14ac:dyDescent="0.3">
      <c r="E187"/>
    </row>
    <row r="188" spans="5:5" x14ac:dyDescent="0.3">
      <c r="E188"/>
    </row>
    <row r="189" spans="5:5" x14ac:dyDescent="0.3">
      <c r="E189"/>
    </row>
    <row r="190" spans="5:5" x14ac:dyDescent="0.3">
      <c r="E190"/>
    </row>
    <row r="191" spans="5:5" x14ac:dyDescent="0.3">
      <c r="E191"/>
    </row>
    <row r="192" spans="5:5" x14ac:dyDescent="0.3">
      <c r="E192"/>
    </row>
    <row r="193" spans="5:5" x14ac:dyDescent="0.3">
      <c r="E193"/>
    </row>
    <row r="194" spans="5:5" x14ac:dyDescent="0.3">
      <c r="E194"/>
    </row>
    <row r="195" spans="5:5" x14ac:dyDescent="0.3">
      <c r="E195"/>
    </row>
    <row r="196" spans="5:5" x14ac:dyDescent="0.3">
      <c r="E196"/>
    </row>
    <row r="197" spans="5:5" x14ac:dyDescent="0.3">
      <c r="E197"/>
    </row>
    <row r="198" spans="5:5" x14ac:dyDescent="0.3">
      <c r="E198"/>
    </row>
    <row r="199" spans="5:5" x14ac:dyDescent="0.3">
      <c r="E199"/>
    </row>
    <row r="200" spans="5:5" x14ac:dyDescent="0.3">
      <c r="E200"/>
    </row>
    <row r="201" spans="5:5" x14ac:dyDescent="0.3">
      <c r="E201"/>
    </row>
    <row r="202" spans="5:5" x14ac:dyDescent="0.3">
      <c r="E202"/>
    </row>
    <row r="203" spans="5:5" x14ac:dyDescent="0.3">
      <c r="E203"/>
    </row>
    <row r="204" spans="5:5" x14ac:dyDescent="0.3">
      <c r="E204"/>
    </row>
    <row r="205" spans="5:5" x14ac:dyDescent="0.3">
      <c r="E205"/>
    </row>
    <row r="206" spans="5:5" x14ac:dyDescent="0.3">
      <c r="E206"/>
    </row>
    <row r="207" spans="5:5" x14ac:dyDescent="0.3">
      <c r="E207"/>
    </row>
    <row r="208" spans="5:5" x14ac:dyDescent="0.3">
      <c r="E208"/>
    </row>
  </sheetData>
  <mergeCells count="3">
    <mergeCell ref="A1:B1"/>
    <mergeCell ref="D1:N1"/>
    <mergeCell ref="P1:Y1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8DA04-FD56-4F52-B287-206862C715F4}">
  <sheetPr codeName="Sheet2">
    <tabColor rgb="FFFF0000"/>
  </sheetPr>
  <dimension ref="A1:Q200"/>
  <sheetViews>
    <sheetView zoomScale="70" zoomScaleNormal="70" workbookViewId="0">
      <selection activeCell="O13" sqref="O13"/>
    </sheetView>
  </sheetViews>
  <sheetFormatPr defaultRowHeight="14.4" x14ac:dyDescent="0.3"/>
  <cols>
    <col min="1" max="1" width="5.33203125" style="175" bestFit="1" customWidth="1"/>
    <col min="2" max="2" width="7" style="175" bestFit="1" customWidth="1"/>
    <col min="3" max="3" width="12.77734375" style="175" customWidth="1"/>
    <col min="4" max="4" width="16.88671875" style="175" bestFit="1" customWidth="1"/>
    <col min="5" max="5" width="11.88671875" style="175" bestFit="1" customWidth="1"/>
    <col min="6" max="6" width="7.6640625" style="175" bestFit="1" customWidth="1"/>
    <col min="7" max="7" width="7.6640625" style="175" customWidth="1"/>
    <col min="8" max="8" width="47.77734375" style="67" bestFit="1" customWidth="1"/>
    <col min="9" max="9" width="5.33203125" style="67" bestFit="1" customWidth="1"/>
    <col min="10" max="11" width="7.6640625" style="67" customWidth="1"/>
    <col min="12" max="12" width="11.88671875" style="67" bestFit="1" customWidth="1"/>
    <col min="13" max="13" width="22.88671875" style="67" bestFit="1" customWidth="1"/>
    <col min="14" max="15" width="8.88671875" style="67"/>
    <col min="16" max="16" width="29.109375" style="175" customWidth="1"/>
    <col min="17" max="17" width="29.21875" style="175" customWidth="1"/>
    <col min="18" max="24" width="8.88671875" style="41"/>
    <col min="25" max="25" width="19.44140625" style="41" bestFit="1" customWidth="1"/>
    <col min="26" max="16384" width="8.88671875" style="41"/>
  </cols>
  <sheetData>
    <row r="1" spans="1:17" s="45" customFormat="1" ht="15" thickBot="1" x14ac:dyDescent="0.35">
      <c r="A1" s="173" t="s">
        <v>28</v>
      </c>
      <c r="B1" s="173" t="s">
        <v>10</v>
      </c>
      <c r="C1" s="173" t="s">
        <v>51</v>
      </c>
      <c r="D1" s="173" t="s">
        <v>52</v>
      </c>
      <c r="E1" s="173" t="s">
        <v>53</v>
      </c>
      <c r="F1" s="173" t="s">
        <v>106</v>
      </c>
      <c r="G1" s="173"/>
      <c r="H1" s="67"/>
      <c r="I1" s="67"/>
      <c r="O1" s="67"/>
      <c r="P1" s="182" t="s">
        <v>115</v>
      </c>
      <c r="Q1" s="182" t="s">
        <v>114</v>
      </c>
    </row>
    <row r="2" spans="1:17" s="45" customFormat="1" x14ac:dyDescent="0.3">
      <c r="A2" s="8" t="s">
        <v>159</v>
      </c>
      <c r="B2" s="174" t="s">
        <v>219</v>
      </c>
      <c r="C2" s="174" t="s">
        <v>253</v>
      </c>
      <c r="D2" s="174">
        <v>37</v>
      </c>
      <c r="E2" s="174">
        <v>1</v>
      </c>
      <c r="F2" s="174">
        <v>3</v>
      </c>
      <c r="G2" s="174"/>
      <c r="H2" s="67"/>
      <c r="I2" s="67"/>
      <c r="O2" s="67"/>
      <c r="P2" s="174" t="s">
        <v>109</v>
      </c>
      <c r="Q2" s="174" t="s">
        <v>117</v>
      </c>
    </row>
    <row r="3" spans="1:17" s="45" customFormat="1" x14ac:dyDescent="0.3">
      <c r="A3" s="8" t="s">
        <v>175</v>
      </c>
      <c r="B3" s="174" t="s">
        <v>219</v>
      </c>
      <c r="C3" s="174" t="s">
        <v>253</v>
      </c>
      <c r="D3" s="174">
        <v>27</v>
      </c>
      <c r="E3" s="174">
        <v>2</v>
      </c>
      <c r="F3" s="174">
        <v>2</v>
      </c>
      <c r="G3" s="174"/>
      <c r="H3" s="67"/>
      <c r="I3" s="67"/>
      <c r="J3" s="387" t="s">
        <v>402</v>
      </c>
      <c r="K3" s="387"/>
      <c r="L3" s="387"/>
      <c r="M3" s="387"/>
      <c r="N3" s="387"/>
      <c r="O3" s="67"/>
      <c r="P3" s="174" t="s">
        <v>116</v>
      </c>
      <c r="Q3" s="174" t="s">
        <v>1</v>
      </c>
    </row>
    <row r="4" spans="1:17" s="45" customFormat="1" x14ac:dyDescent="0.3">
      <c r="A4" s="8" t="s">
        <v>160</v>
      </c>
      <c r="B4" s="174" t="s">
        <v>219</v>
      </c>
      <c r="C4" s="174" t="s">
        <v>254</v>
      </c>
      <c r="D4" s="174">
        <v>27</v>
      </c>
      <c r="E4" s="174">
        <v>1</v>
      </c>
      <c r="F4" s="174">
        <v>1</v>
      </c>
      <c r="G4" s="174"/>
      <c r="H4" s="67"/>
      <c r="I4" s="67"/>
      <c r="J4" s="387"/>
      <c r="K4" s="387"/>
      <c r="L4" s="387"/>
      <c r="M4" s="387"/>
      <c r="N4" s="387"/>
      <c r="O4" s="67"/>
      <c r="P4" s="174"/>
      <c r="Q4" s="174" t="str">
        <f>Parameters!E3</f>
        <v xml:space="preserve">Check By Channel </v>
      </c>
    </row>
    <row r="5" spans="1:17" s="45" customFormat="1" x14ac:dyDescent="0.3">
      <c r="A5" s="8" t="s">
        <v>176</v>
      </c>
      <c r="B5" s="174" t="s">
        <v>231</v>
      </c>
      <c r="C5" s="174" t="s">
        <v>51</v>
      </c>
      <c r="D5" s="174">
        <v>77</v>
      </c>
      <c r="E5" s="174">
        <v>2</v>
      </c>
      <c r="F5" s="174">
        <v>3</v>
      </c>
      <c r="G5" s="174"/>
      <c r="H5" s="67"/>
      <c r="I5" s="67"/>
      <c r="J5" s="387"/>
      <c r="K5" s="387"/>
      <c r="L5" s="387"/>
      <c r="M5" s="387"/>
      <c r="N5" s="387"/>
      <c r="O5" s="67"/>
      <c r="P5" s="174"/>
      <c r="Q5" s="174" t="str">
        <f>Parameters!E4</f>
        <v>Day of the Week</v>
      </c>
    </row>
    <row r="6" spans="1:17" s="45" customFormat="1" x14ac:dyDescent="0.3">
      <c r="A6" s="8" t="s">
        <v>177</v>
      </c>
      <c r="B6" s="174" t="s">
        <v>231</v>
      </c>
      <c r="C6" s="174" t="s">
        <v>51</v>
      </c>
      <c r="D6" s="174">
        <v>10</v>
      </c>
      <c r="E6" s="174">
        <v>1</v>
      </c>
      <c r="F6" s="174">
        <v>3</v>
      </c>
      <c r="G6" s="174"/>
      <c r="H6" s="67"/>
      <c r="I6" s="67"/>
      <c r="J6" s="387"/>
      <c r="K6" s="387"/>
      <c r="L6" s="387"/>
      <c r="M6" s="387"/>
      <c r="N6" s="387"/>
      <c r="O6" s="67"/>
      <c r="P6" s="174"/>
      <c r="Q6" s="174" t="str">
        <f>Parameters!E5</f>
        <v>EBT Quarter over Quarter</v>
      </c>
    </row>
    <row r="7" spans="1:17" s="45" customFormat="1" x14ac:dyDescent="0.3">
      <c r="A7" s="8" t="s">
        <v>161</v>
      </c>
      <c r="B7" s="174" t="s">
        <v>231</v>
      </c>
      <c r="C7" s="174" t="s">
        <v>51</v>
      </c>
      <c r="D7" s="174">
        <v>0</v>
      </c>
      <c r="E7" s="174">
        <v>1</v>
      </c>
      <c r="F7" s="174">
        <v>3</v>
      </c>
      <c r="G7" s="174"/>
      <c r="H7" s="67"/>
      <c r="I7" s="67"/>
      <c r="O7" s="67"/>
      <c r="P7" s="174"/>
      <c r="Q7" s="174" t="str">
        <f>Parameters!E6</f>
        <v>Loyalty Penetration Main</v>
      </c>
    </row>
    <row r="8" spans="1:17" s="45" customFormat="1" x14ac:dyDescent="0.3">
      <c r="A8" s="8" t="s">
        <v>162</v>
      </c>
      <c r="B8" s="174" t="s">
        <v>242</v>
      </c>
      <c r="C8" s="174" t="s">
        <v>255</v>
      </c>
      <c r="D8" s="174">
        <v>319</v>
      </c>
      <c r="E8" s="174">
        <v>4</v>
      </c>
      <c r="F8" s="174">
        <v>3</v>
      </c>
      <c r="G8" s="174"/>
      <c r="H8" s="67"/>
      <c r="I8" s="67"/>
      <c r="O8" s="67"/>
      <c r="P8" s="174"/>
      <c r="Q8" s="174" t="str">
        <f>Parameters!E7</f>
        <v>Loyalty Penetration 1</v>
      </c>
    </row>
    <row r="9" spans="1:17" s="45" customFormat="1" x14ac:dyDescent="0.3">
      <c r="A9" s="8" t="s">
        <v>163</v>
      </c>
      <c r="B9" s="174" t="s">
        <v>242</v>
      </c>
      <c r="C9" s="174" t="s">
        <v>255</v>
      </c>
      <c r="D9" s="174">
        <v>107</v>
      </c>
      <c r="E9" s="174">
        <v>1</v>
      </c>
      <c r="F9" s="174">
        <v>1</v>
      </c>
      <c r="G9" s="174"/>
      <c r="H9" s="67"/>
      <c r="I9" s="67"/>
      <c r="J9" s="67"/>
      <c r="K9" s="67"/>
      <c r="L9" s="67"/>
      <c r="M9" s="67"/>
      <c r="N9" s="67"/>
      <c r="O9" s="67"/>
      <c r="P9" s="174"/>
      <c r="Q9" s="174" t="str">
        <f>Parameters!E8</f>
        <v>Loyalty Penetration 2</v>
      </c>
    </row>
    <row r="10" spans="1:17" s="45" customFormat="1" x14ac:dyDescent="0.3">
      <c r="A10" s="8" t="s">
        <v>164</v>
      </c>
      <c r="B10" s="174" t="s">
        <v>242</v>
      </c>
      <c r="C10" s="174" t="s">
        <v>255</v>
      </c>
      <c r="D10" s="174">
        <v>8</v>
      </c>
      <c r="E10" s="174">
        <v>2</v>
      </c>
      <c r="F10" s="174">
        <v>1</v>
      </c>
      <c r="G10" s="174"/>
      <c r="H10" s="67"/>
      <c r="I10" s="67"/>
      <c r="O10" s="67"/>
      <c r="P10" s="174"/>
      <c r="Q10" s="174" t="str">
        <f>Parameters!E9</f>
        <v>Loyalty Penetration 3</v>
      </c>
    </row>
    <row r="11" spans="1:17" s="45" customFormat="1" x14ac:dyDescent="0.3">
      <c r="A11" s="8" t="s">
        <v>178</v>
      </c>
      <c r="B11" s="174" t="s">
        <v>219</v>
      </c>
      <c r="C11" s="174" t="s">
        <v>254</v>
      </c>
      <c r="D11" s="174">
        <v>19</v>
      </c>
      <c r="E11" s="174">
        <v>2</v>
      </c>
      <c r="F11" s="174">
        <v>2</v>
      </c>
      <c r="G11" s="174"/>
      <c r="H11" s="67"/>
      <c r="I11" s="67"/>
      <c r="O11" s="67"/>
      <c r="P11" s="174"/>
      <c r="Q11" s="174" t="str">
        <f>Parameters!E10</f>
        <v>Loyalty Penetration 4</v>
      </c>
    </row>
    <row r="12" spans="1:17" s="45" customFormat="1" x14ac:dyDescent="0.3">
      <c r="A12" s="8" t="s">
        <v>165</v>
      </c>
      <c r="B12" s="174" t="s">
        <v>219</v>
      </c>
      <c r="C12" s="174" t="s">
        <v>254</v>
      </c>
      <c r="D12" s="174">
        <v>18</v>
      </c>
      <c r="E12" s="174">
        <v>4</v>
      </c>
      <c r="F12" s="174">
        <v>3</v>
      </c>
      <c r="G12" s="174"/>
      <c r="H12" s="67"/>
      <c r="I12" s="67"/>
      <c r="O12" s="67"/>
      <c r="P12" s="174"/>
      <c r="Q12" s="174" t="str">
        <f>IF(Parameters!E12=0,"",Parameters!E12)</f>
        <v>LTO 2</v>
      </c>
    </row>
    <row r="13" spans="1:17" s="45" customFormat="1" x14ac:dyDescent="0.3">
      <c r="A13" s="8" t="s">
        <v>166</v>
      </c>
      <c r="B13" s="174" t="s">
        <v>231</v>
      </c>
      <c r="C13" s="174" t="s">
        <v>256</v>
      </c>
      <c r="D13" s="174">
        <v>30</v>
      </c>
      <c r="E13" s="174">
        <v>2</v>
      </c>
      <c r="F13" s="174">
        <v>3</v>
      </c>
      <c r="G13" s="174"/>
      <c r="H13" s="67"/>
      <c r="I13" s="67"/>
      <c r="O13" s="67"/>
      <c r="P13" s="174"/>
      <c r="Q13" s="174" t="str">
        <f>IF(Parameters!E11=0,"",Parameters!E11)</f>
        <v>LTO 1</v>
      </c>
    </row>
    <row r="14" spans="1:17" s="45" customFormat="1" x14ac:dyDescent="0.3">
      <c r="A14" s="8" t="s">
        <v>167</v>
      </c>
      <c r="B14" s="174" t="s">
        <v>231</v>
      </c>
      <c r="C14" s="174" t="s">
        <v>256</v>
      </c>
      <c r="D14" s="174">
        <v>62</v>
      </c>
      <c r="E14" s="174">
        <v>2</v>
      </c>
      <c r="F14" s="174">
        <v>3</v>
      </c>
      <c r="G14" s="174"/>
      <c r="H14" s="67"/>
      <c r="I14" s="67"/>
      <c r="J14" s="67"/>
      <c r="K14" s="67"/>
      <c r="L14" s="67"/>
      <c r="M14" s="67"/>
      <c r="N14" s="67"/>
      <c r="O14" s="67"/>
      <c r="P14" s="174"/>
      <c r="Q14" s="174" t="str">
        <f>IF(Parameters!E13=0,"",Parameters!E13)</f>
        <v/>
      </c>
    </row>
    <row r="15" spans="1:17" s="45" customFormat="1" x14ac:dyDescent="0.3">
      <c r="A15" s="8" t="s">
        <v>168</v>
      </c>
      <c r="B15" s="174" t="s">
        <v>231</v>
      </c>
      <c r="C15" s="174" t="s">
        <v>256</v>
      </c>
      <c r="D15" s="174">
        <v>10</v>
      </c>
      <c r="E15" s="174">
        <v>2</v>
      </c>
      <c r="F15" s="174">
        <v>1</v>
      </c>
      <c r="G15" s="174"/>
      <c r="H15" s="67"/>
      <c r="I15" s="67"/>
      <c r="J15" s="67"/>
      <c r="K15" s="67"/>
      <c r="L15" s="67"/>
      <c r="M15" s="67"/>
      <c r="N15" s="67"/>
      <c r="O15" s="67"/>
      <c r="P15" s="174"/>
      <c r="Q15" s="174" t="str">
        <f>IF(Parameters!E14=0,"",Parameters!E14)</f>
        <v/>
      </c>
    </row>
    <row r="16" spans="1:17" s="45" customFormat="1" x14ac:dyDescent="0.3">
      <c r="A16" s="8" t="s">
        <v>169</v>
      </c>
      <c r="B16" s="174" t="s">
        <v>231</v>
      </c>
      <c r="C16" s="174" t="s">
        <v>256</v>
      </c>
      <c r="D16" s="174">
        <v>53</v>
      </c>
      <c r="E16" s="174">
        <v>4</v>
      </c>
      <c r="F16" s="174">
        <v>1</v>
      </c>
      <c r="G16" s="174"/>
      <c r="H16" s="67"/>
      <c r="I16" s="67"/>
      <c r="J16" s="67"/>
      <c r="K16" s="67"/>
      <c r="L16" s="67"/>
      <c r="M16" s="67"/>
      <c r="N16" s="67"/>
      <c r="O16" s="67"/>
      <c r="P16" s="174"/>
      <c r="Q16" s="174" t="str">
        <f>IF(Parameters!E15=0,"",Parameters!E15)</f>
        <v/>
      </c>
    </row>
    <row r="17" spans="1:17" s="45" customFormat="1" x14ac:dyDescent="0.3">
      <c r="A17" s="8" t="s">
        <v>179</v>
      </c>
      <c r="B17" s="174" t="s">
        <v>231</v>
      </c>
      <c r="C17" s="174" t="s">
        <v>256</v>
      </c>
      <c r="D17" s="174">
        <v>26</v>
      </c>
      <c r="E17" s="174">
        <v>4</v>
      </c>
      <c r="F17" s="174">
        <v>1</v>
      </c>
      <c r="G17" s="174"/>
      <c r="H17" s="67"/>
      <c r="I17" s="67"/>
      <c r="J17" s="67"/>
      <c r="K17" s="67"/>
      <c r="L17" s="67"/>
      <c r="M17" s="67"/>
      <c r="N17" s="67"/>
      <c r="O17" s="67"/>
      <c r="P17" s="174"/>
      <c r="Q17" s="174" t="str">
        <f>IF(Parameters!E16=0,"",Parameters!E16)</f>
        <v/>
      </c>
    </row>
    <row r="18" spans="1:17" s="45" customFormat="1" x14ac:dyDescent="0.3">
      <c r="A18" s="8" t="s">
        <v>180</v>
      </c>
      <c r="B18" s="174" t="s">
        <v>231</v>
      </c>
      <c r="C18" s="174" t="s">
        <v>256</v>
      </c>
      <c r="D18" s="174">
        <v>541</v>
      </c>
      <c r="E18" s="174">
        <v>3</v>
      </c>
      <c r="F18" s="174">
        <v>2</v>
      </c>
      <c r="G18" s="174"/>
      <c r="H18" s="67"/>
      <c r="I18" s="67"/>
      <c r="J18" s="67"/>
      <c r="K18" s="67"/>
      <c r="L18" s="67"/>
      <c r="M18" s="67"/>
      <c r="N18" s="67"/>
      <c r="O18" s="67"/>
      <c r="P18" s="174"/>
      <c r="Q18" s="174" t="str">
        <f>IF(Parameters!E17=0,"",Parameters!E17)</f>
        <v/>
      </c>
    </row>
    <row r="19" spans="1:17" s="45" customFormat="1" x14ac:dyDescent="0.3">
      <c r="A19" s="8" t="s">
        <v>181</v>
      </c>
      <c r="B19" s="174" t="s">
        <v>231</v>
      </c>
      <c r="C19" s="174" t="s">
        <v>256</v>
      </c>
      <c r="D19" s="174">
        <v>52</v>
      </c>
      <c r="E19" s="174">
        <v>3</v>
      </c>
      <c r="F19" s="174">
        <v>1</v>
      </c>
      <c r="G19" s="174"/>
      <c r="H19" s="67"/>
      <c r="I19" s="67"/>
      <c r="J19" s="67"/>
      <c r="K19" s="67"/>
      <c r="L19" s="67"/>
      <c r="M19" s="67"/>
      <c r="N19" s="67"/>
      <c r="O19" s="67"/>
      <c r="P19" s="174"/>
      <c r="Q19" s="174" t="str">
        <f>IF(Parameters!E18=0,"",Parameters!E18)</f>
        <v/>
      </c>
    </row>
    <row r="20" spans="1:17" s="45" customFormat="1" x14ac:dyDescent="0.3">
      <c r="A20" s="8" t="s">
        <v>170</v>
      </c>
      <c r="B20" s="174" t="s">
        <v>231</v>
      </c>
      <c r="C20" s="174" t="s">
        <v>256</v>
      </c>
      <c r="D20" s="174">
        <v>8</v>
      </c>
      <c r="E20" s="174">
        <v>1</v>
      </c>
      <c r="F20" s="174">
        <v>1</v>
      </c>
      <c r="G20" s="174"/>
      <c r="H20" s="67"/>
      <c r="I20" s="67"/>
      <c r="J20" s="67"/>
      <c r="K20" s="67"/>
      <c r="L20" s="67"/>
      <c r="M20" s="67"/>
      <c r="N20" s="67"/>
      <c r="O20" s="67"/>
      <c r="P20" s="174"/>
      <c r="Q20" s="174" t="str">
        <f>IF(Parameters!E19=0,"",Parameters!E19)</f>
        <v/>
      </c>
    </row>
    <row r="21" spans="1:17" s="45" customFormat="1" x14ac:dyDescent="0.3">
      <c r="A21" s="8" t="s">
        <v>171</v>
      </c>
      <c r="B21" s="174" t="s">
        <v>242</v>
      </c>
      <c r="C21" s="174" t="s">
        <v>257</v>
      </c>
      <c r="D21" s="174">
        <v>41</v>
      </c>
      <c r="E21" s="174">
        <v>2</v>
      </c>
      <c r="F21" s="174">
        <v>3</v>
      </c>
      <c r="G21" s="174"/>
      <c r="H21" s="67"/>
      <c r="I21" s="67"/>
      <c r="J21" s="67"/>
      <c r="K21" s="67"/>
      <c r="L21" s="67"/>
      <c r="M21" s="67"/>
      <c r="N21" s="67"/>
      <c r="O21" s="67"/>
      <c r="P21" s="174"/>
      <c r="Q21" s="174" t="str">
        <f>IF(Parameters!E20=0,"",Parameters!E20)</f>
        <v/>
      </c>
    </row>
    <row r="22" spans="1:17" s="45" customFormat="1" x14ac:dyDescent="0.3">
      <c r="A22" s="8" t="s">
        <v>172</v>
      </c>
      <c r="B22" s="174" t="s">
        <v>242</v>
      </c>
      <c r="C22" s="174" t="s">
        <v>257</v>
      </c>
      <c r="D22" s="174">
        <v>5</v>
      </c>
      <c r="E22" s="174">
        <v>2</v>
      </c>
      <c r="F22" s="174">
        <v>1</v>
      </c>
      <c r="G22" s="174"/>
      <c r="H22" s="67"/>
      <c r="I22" s="67"/>
      <c r="J22" s="67"/>
      <c r="K22" s="67"/>
      <c r="L22" s="67"/>
      <c r="M22" s="67"/>
      <c r="N22" s="67"/>
      <c r="O22" s="67"/>
      <c r="P22" s="174"/>
      <c r="Q22" s="174" t="str">
        <f>IF(Parameters!E21=0,"",Parameters!E21)</f>
        <v/>
      </c>
    </row>
    <row r="23" spans="1:17" s="45" customFormat="1" x14ac:dyDescent="0.3">
      <c r="A23" s="8" t="s">
        <v>173</v>
      </c>
      <c r="B23" s="174" t="s">
        <v>242</v>
      </c>
      <c r="C23" s="174" t="s">
        <v>258</v>
      </c>
      <c r="D23" s="174">
        <v>16</v>
      </c>
      <c r="E23" s="174">
        <v>2</v>
      </c>
      <c r="F23" s="174">
        <v>3</v>
      </c>
      <c r="G23" s="174"/>
      <c r="H23" s="67"/>
      <c r="I23" s="67"/>
      <c r="J23" s="67"/>
      <c r="K23" s="67"/>
      <c r="L23" s="67"/>
      <c r="M23" s="67"/>
      <c r="N23" s="67"/>
      <c r="O23" s="67"/>
      <c r="P23" s="174"/>
      <c r="Q23" s="174" t="str">
        <f>IF(Parameters!E22=0,"",Parameters!E22)</f>
        <v/>
      </c>
    </row>
    <row r="24" spans="1:17" s="45" customFormat="1" x14ac:dyDescent="0.3">
      <c r="A24" s="8" t="s">
        <v>174</v>
      </c>
      <c r="B24" s="174" t="s">
        <v>219</v>
      </c>
      <c r="C24" s="174" t="s">
        <v>254</v>
      </c>
      <c r="D24" s="174">
        <v>11</v>
      </c>
      <c r="E24" s="174">
        <v>3</v>
      </c>
      <c r="F24" s="174">
        <v>2</v>
      </c>
      <c r="G24" s="174"/>
      <c r="H24" s="67"/>
      <c r="I24" s="67"/>
      <c r="J24" s="67"/>
      <c r="K24" s="67"/>
      <c r="L24" s="67"/>
      <c r="M24" s="67"/>
      <c r="N24" s="67"/>
      <c r="O24" s="67"/>
      <c r="P24" s="174"/>
      <c r="Q24" s="174" t="str">
        <f>IF(Parameters!E23=0,"",Parameters!E23)</f>
        <v/>
      </c>
    </row>
    <row r="25" spans="1:17" s="45" customFormat="1" x14ac:dyDescent="0.3">
      <c r="A25" s="8" t="s">
        <v>182</v>
      </c>
      <c r="B25" s="174" t="s">
        <v>219</v>
      </c>
      <c r="C25" s="174" t="s">
        <v>259</v>
      </c>
      <c r="D25" s="174">
        <v>47</v>
      </c>
      <c r="E25" s="174">
        <v>3</v>
      </c>
      <c r="F25" s="174">
        <v>3</v>
      </c>
      <c r="G25" s="174"/>
      <c r="H25" s="67"/>
      <c r="I25" s="67"/>
      <c r="J25" s="67"/>
      <c r="K25" s="67"/>
      <c r="L25" s="67"/>
      <c r="M25" s="67"/>
      <c r="N25" s="67"/>
      <c r="O25" s="67"/>
      <c r="P25" s="174"/>
      <c r="Q25" s="174" t="str">
        <f>IF(Parameters!E24=0,"",Parameters!E24)</f>
        <v/>
      </c>
    </row>
    <row r="26" spans="1:17" s="45" customFormat="1" x14ac:dyDescent="0.3">
      <c r="A26" s="8" t="s">
        <v>183</v>
      </c>
      <c r="B26" s="174" t="s">
        <v>219</v>
      </c>
      <c r="C26" s="174" t="s">
        <v>259</v>
      </c>
      <c r="D26" s="174">
        <v>15</v>
      </c>
      <c r="E26" s="174">
        <v>2</v>
      </c>
      <c r="F26" s="174">
        <v>2</v>
      </c>
      <c r="G26" s="174"/>
      <c r="H26" s="67"/>
      <c r="I26" s="67"/>
      <c r="J26" s="67"/>
      <c r="K26" s="67"/>
      <c r="L26" s="67"/>
      <c r="M26" s="67"/>
      <c r="N26" s="67"/>
      <c r="O26" s="67"/>
      <c r="P26" s="174"/>
      <c r="Q26" s="174" t="str">
        <f>IF(Parameters!E25=0,"",Parameters!E25)</f>
        <v/>
      </c>
    </row>
    <row r="27" spans="1:17" s="45" customFormat="1" x14ac:dyDescent="0.3">
      <c r="A27" s="8" t="s">
        <v>184</v>
      </c>
      <c r="B27" s="174" t="s">
        <v>219</v>
      </c>
      <c r="C27" s="174" t="s">
        <v>254</v>
      </c>
      <c r="D27" s="174">
        <v>3</v>
      </c>
      <c r="E27" s="174">
        <v>3</v>
      </c>
      <c r="F27" s="174">
        <v>2</v>
      </c>
      <c r="G27" s="174"/>
      <c r="H27" s="67"/>
      <c r="I27" s="67"/>
      <c r="J27" s="67"/>
      <c r="K27" s="67"/>
      <c r="L27" s="67"/>
      <c r="M27" s="67"/>
      <c r="N27" s="67"/>
      <c r="O27" s="67"/>
      <c r="P27" s="174"/>
      <c r="Q27" s="174" t="str">
        <f>IF(Parameters!E26=0,"",Parameters!E26)</f>
        <v/>
      </c>
    </row>
    <row r="28" spans="1:17" s="45" customFormat="1" x14ac:dyDescent="0.3">
      <c r="A28" s="8" t="s">
        <v>269</v>
      </c>
      <c r="B28" s="174" t="s">
        <v>219</v>
      </c>
      <c r="C28" s="174" t="s">
        <v>259</v>
      </c>
      <c r="D28" s="174">
        <v>25</v>
      </c>
      <c r="E28" s="174">
        <v>2</v>
      </c>
      <c r="F28" s="174">
        <v>1</v>
      </c>
      <c r="G28" s="174"/>
      <c r="H28" s="67"/>
      <c r="I28" s="67"/>
      <c r="J28" s="67"/>
      <c r="K28" s="67"/>
      <c r="L28" s="67"/>
      <c r="M28" s="67"/>
      <c r="N28" s="67"/>
      <c r="O28" s="67"/>
      <c r="P28" s="174"/>
      <c r="Q28" s="174" t="str">
        <f>IF(Parameters!E27=0,"",Parameters!E27)</f>
        <v/>
      </c>
    </row>
    <row r="29" spans="1:17" s="45" customFormat="1" x14ac:dyDescent="0.3">
      <c r="A29" s="8" t="s">
        <v>270</v>
      </c>
      <c r="B29" s="174" t="s">
        <v>231</v>
      </c>
      <c r="C29" s="174" t="s">
        <v>260</v>
      </c>
      <c r="D29" s="174">
        <v>4</v>
      </c>
      <c r="E29" s="174">
        <v>3</v>
      </c>
      <c r="F29" s="174">
        <v>3</v>
      </c>
      <c r="G29" s="174"/>
      <c r="H29" s="67"/>
      <c r="I29" s="67"/>
      <c r="J29" s="67"/>
      <c r="K29" s="67"/>
      <c r="L29" s="67"/>
      <c r="M29" s="67"/>
      <c r="N29" s="67"/>
      <c r="O29" s="67"/>
      <c r="P29" s="174"/>
      <c r="Q29" s="174" t="str">
        <f>IF(Parameters!E28=0,"",Parameters!E28)</f>
        <v/>
      </c>
    </row>
    <row r="30" spans="1:17" s="45" customFormat="1" x14ac:dyDescent="0.3">
      <c r="A30" s="8" t="s">
        <v>271</v>
      </c>
      <c r="B30" s="174" t="s">
        <v>231</v>
      </c>
      <c r="C30" s="174" t="s">
        <v>258</v>
      </c>
      <c r="D30" s="174">
        <v>26</v>
      </c>
      <c r="E30" s="174">
        <v>2</v>
      </c>
      <c r="F30" s="174">
        <v>3</v>
      </c>
      <c r="G30" s="174"/>
      <c r="H30" s="67"/>
      <c r="I30" s="67"/>
      <c r="J30" s="67"/>
      <c r="K30" s="67"/>
      <c r="L30" s="67"/>
      <c r="M30" s="67"/>
      <c r="N30" s="67"/>
      <c r="O30" s="67"/>
      <c r="P30" s="174"/>
      <c r="Q30" s="174" t="str">
        <f>IF(Parameters!E29=0,"",Parameters!E29)</f>
        <v/>
      </c>
    </row>
    <row r="31" spans="1:17" s="45" customFormat="1" x14ac:dyDescent="0.3">
      <c r="A31" s="8" t="s">
        <v>272</v>
      </c>
      <c r="B31" s="174" t="s">
        <v>242</v>
      </c>
      <c r="C31" s="174" t="s">
        <v>258</v>
      </c>
      <c r="D31" s="174">
        <v>3</v>
      </c>
      <c r="E31" s="174">
        <v>3</v>
      </c>
      <c r="F31" s="174">
        <v>2</v>
      </c>
      <c r="G31" s="174"/>
      <c r="H31" s="67"/>
      <c r="I31" s="67"/>
      <c r="J31" s="67"/>
      <c r="K31" s="67"/>
      <c r="L31" s="67"/>
      <c r="M31" s="67"/>
      <c r="N31" s="67"/>
      <c r="O31" s="67"/>
      <c r="P31" s="174"/>
      <c r="Q31" s="174" t="str">
        <f>IF(Parameters!E30=0,"",Parameters!E30)</f>
        <v/>
      </c>
    </row>
    <row r="32" spans="1:17" s="45" customFormat="1" x14ac:dyDescent="0.3">
      <c r="A32" s="8" t="s">
        <v>273</v>
      </c>
      <c r="B32" s="174" t="s">
        <v>231</v>
      </c>
      <c r="C32" s="174" t="s">
        <v>258</v>
      </c>
      <c r="D32" s="174">
        <v>3</v>
      </c>
      <c r="E32" s="174">
        <v>2</v>
      </c>
      <c r="F32" s="174">
        <v>2</v>
      </c>
      <c r="G32" s="174"/>
      <c r="H32" s="67"/>
      <c r="I32" s="67"/>
      <c r="J32" s="67"/>
      <c r="K32" s="67"/>
      <c r="L32" s="67"/>
      <c r="M32" s="67"/>
      <c r="N32" s="67"/>
      <c r="O32" s="67"/>
      <c r="P32" s="174"/>
      <c r="Q32" s="174" t="str">
        <f>IF(Parameters!E31=0,"",Parameters!E31)</f>
        <v/>
      </c>
    </row>
    <row r="33" spans="1:17" s="45" customFormat="1" x14ac:dyDescent="0.3">
      <c r="A33" s="8" t="s">
        <v>274</v>
      </c>
      <c r="B33" s="174" t="s">
        <v>219</v>
      </c>
      <c r="C33" s="174" t="s">
        <v>261</v>
      </c>
      <c r="D33" s="174">
        <v>32</v>
      </c>
      <c r="E33" s="174">
        <v>2</v>
      </c>
      <c r="F33" s="174">
        <v>2</v>
      </c>
      <c r="G33" s="174"/>
      <c r="H33" s="67"/>
      <c r="I33" s="67"/>
      <c r="J33" s="67"/>
      <c r="K33" s="67"/>
      <c r="L33" s="67"/>
      <c r="M33" s="67"/>
      <c r="N33" s="67"/>
      <c r="O33" s="67"/>
      <c r="P33" s="174"/>
      <c r="Q33" s="174" t="str">
        <f>IF(Parameters!E32=0,"",Parameters!E32)</f>
        <v/>
      </c>
    </row>
    <row r="34" spans="1:17" s="45" customFormat="1" x14ac:dyDescent="0.3">
      <c r="A34" s="8" t="s">
        <v>275</v>
      </c>
      <c r="B34" s="174" t="s">
        <v>219</v>
      </c>
      <c r="C34" s="174" t="s">
        <v>261</v>
      </c>
      <c r="D34" s="174">
        <v>3</v>
      </c>
      <c r="E34" s="174">
        <v>3</v>
      </c>
      <c r="F34" s="174">
        <v>2</v>
      </c>
      <c r="G34" s="174"/>
      <c r="H34" s="67"/>
      <c r="I34" s="67"/>
      <c r="J34" s="67"/>
      <c r="K34" s="67"/>
      <c r="L34" s="67"/>
      <c r="M34" s="67"/>
      <c r="N34" s="67"/>
      <c r="O34" s="67"/>
      <c r="P34" s="174"/>
      <c r="Q34" s="174" t="str">
        <f>IF(Parameters!E33=0,"",Parameters!E33)</f>
        <v/>
      </c>
    </row>
    <row r="35" spans="1:17" s="45" customFormat="1" x14ac:dyDescent="0.3">
      <c r="A35" s="8" t="s">
        <v>276</v>
      </c>
      <c r="B35" s="174" t="s">
        <v>219</v>
      </c>
      <c r="C35" s="174" t="s">
        <v>261</v>
      </c>
      <c r="D35" s="174">
        <v>27</v>
      </c>
      <c r="E35" s="174">
        <v>2</v>
      </c>
      <c r="F35" s="174">
        <v>2</v>
      </c>
      <c r="G35" s="174"/>
      <c r="H35" s="67"/>
      <c r="I35" s="67"/>
      <c r="J35" s="67"/>
      <c r="K35" s="67"/>
      <c r="L35" s="67"/>
      <c r="M35" s="67"/>
      <c r="N35" s="67"/>
      <c r="O35" s="67"/>
      <c r="P35" s="174"/>
      <c r="Q35" s="174" t="str">
        <f>IF(Parameters!E34=0,"",Parameters!E34)</f>
        <v/>
      </c>
    </row>
    <row r="36" spans="1:17" s="45" customFormat="1" x14ac:dyDescent="0.3">
      <c r="A36" s="8" t="s">
        <v>277</v>
      </c>
      <c r="B36" s="174" t="s">
        <v>219</v>
      </c>
      <c r="C36" s="174" t="s">
        <v>261</v>
      </c>
      <c r="D36" s="174">
        <v>9</v>
      </c>
      <c r="E36" s="174">
        <v>2</v>
      </c>
      <c r="F36" s="174">
        <v>3</v>
      </c>
      <c r="G36" s="174"/>
      <c r="H36" s="67"/>
      <c r="I36" s="67"/>
      <c r="J36" s="67"/>
      <c r="K36" s="67"/>
      <c r="L36" s="67"/>
      <c r="M36" s="67"/>
      <c r="N36" s="67"/>
      <c r="O36" s="67"/>
      <c r="P36" s="174"/>
      <c r="Q36" s="174" t="str">
        <f>IF(Parameters!E35=0,"",Parameters!E35)</f>
        <v/>
      </c>
    </row>
    <row r="37" spans="1:17" s="45" customFormat="1" x14ac:dyDescent="0.3">
      <c r="A37" s="8" t="s">
        <v>278</v>
      </c>
      <c r="B37" s="174" t="s">
        <v>219</v>
      </c>
      <c r="C37" s="174" t="s">
        <v>262</v>
      </c>
      <c r="D37" s="174">
        <v>0</v>
      </c>
      <c r="E37" s="174">
        <v>3</v>
      </c>
      <c r="F37" s="174">
        <v>3</v>
      </c>
      <c r="G37" s="174"/>
      <c r="H37" s="67"/>
      <c r="I37" s="67"/>
      <c r="J37" s="67"/>
      <c r="K37" s="67"/>
      <c r="L37" s="67"/>
      <c r="M37" s="67"/>
      <c r="N37" s="67"/>
      <c r="O37" s="67"/>
      <c r="P37" s="174"/>
      <c r="Q37" s="174" t="str">
        <f>IF(Parameters!E36=0,"",Parameters!E36)</f>
        <v/>
      </c>
    </row>
    <row r="38" spans="1:17" s="45" customFormat="1" x14ac:dyDescent="0.3">
      <c r="A38" s="8" t="s">
        <v>279</v>
      </c>
      <c r="B38" s="174" t="s">
        <v>219</v>
      </c>
      <c r="C38" s="174" t="s">
        <v>263</v>
      </c>
      <c r="D38" s="174">
        <v>3</v>
      </c>
      <c r="E38" s="174">
        <v>3</v>
      </c>
      <c r="F38" s="174">
        <v>3</v>
      </c>
      <c r="G38" s="174"/>
      <c r="H38" s="67"/>
      <c r="I38" s="67"/>
      <c r="J38" s="67"/>
      <c r="K38" s="67"/>
      <c r="L38" s="67"/>
      <c r="M38" s="67"/>
      <c r="N38" s="67"/>
      <c r="O38" s="67"/>
      <c r="P38" s="174"/>
      <c r="Q38" s="174" t="str">
        <f>IF(Parameters!E37=0,"",Parameters!E37)</f>
        <v/>
      </c>
    </row>
    <row r="39" spans="1:17" s="45" customFormat="1" x14ac:dyDescent="0.3">
      <c r="A39" s="8" t="s">
        <v>280</v>
      </c>
      <c r="B39" s="174" t="s">
        <v>219</v>
      </c>
      <c r="C39" s="174" t="s">
        <v>263</v>
      </c>
      <c r="D39" s="174">
        <v>108</v>
      </c>
      <c r="E39" s="174">
        <v>4</v>
      </c>
      <c r="F39" s="174">
        <v>1</v>
      </c>
      <c r="G39" s="174"/>
      <c r="H39" s="67"/>
      <c r="I39" s="67"/>
      <c r="J39" s="67"/>
      <c r="K39" s="67"/>
      <c r="L39" s="67"/>
      <c r="M39" s="67"/>
      <c r="N39" s="67"/>
      <c r="O39" s="67"/>
      <c r="P39" s="174"/>
      <c r="Q39" s="174" t="str">
        <f>IF(Parameters!E38=0,"",Parameters!E38)</f>
        <v/>
      </c>
    </row>
    <row r="40" spans="1:17" s="45" customFormat="1" x14ac:dyDescent="0.3">
      <c r="A40" s="8" t="s">
        <v>281</v>
      </c>
      <c r="B40" s="174" t="s">
        <v>242</v>
      </c>
      <c r="C40" s="174" t="s">
        <v>262</v>
      </c>
      <c r="D40" s="174">
        <v>88</v>
      </c>
      <c r="E40" s="174">
        <v>3</v>
      </c>
      <c r="F40" s="174">
        <v>2</v>
      </c>
      <c r="G40" s="174"/>
      <c r="H40" s="67"/>
      <c r="I40" s="67"/>
      <c r="J40" s="67"/>
      <c r="K40" s="67"/>
      <c r="L40" s="67"/>
      <c r="M40" s="67"/>
      <c r="N40" s="67"/>
      <c r="O40" s="67"/>
      <c r="P40" s="174"/>
      <c r="Q40" s="174" t="str">
        <f>IF(Parameters!E39=0,"",Parameters!E39)</f>
        <v/>
      </c>
    </row>
    <row r="41" spans="1:17" s="45" customFormat="1" x14ac:dyDescent="0.3">
      <c r="A41" s="8" t="s">
        <v>282</v>
      </c>
      <c r="B41" s="174" t="s">
        <v>242</v>
      </c>
      <c r="C41" s="174" t="s">
        <v>262</v>
      </c>
      <c r="D41" s="174">
        <v>2</v>
      </c>
      <c r="E41" s="174">
        <v>3</v>
      </c>
      <c r="F41" s="174">
        <v>1</v>
      </c>
      <c r="G41" s="174"/>
      <c r="H41" s="67"/>
      <c r="I41" s="67"/>
      <c r="J41" s="67"/>
      <c r="K41" s="67"/>
      <c r="L41" s="67"/>
      <c r="M41" s="67"/>
      <c r="N41" s="67"/>
      <c r="O41" s="67"/>
      <c r="P41" s="174"/>
      <c r="Q41" s="174" t="str">
        <f>IF(Parameters!E40=0,"",Parameters!E40)</f>
        <v/>
      </c>
    </row>
    <row r="42" spans="1:17" s="45" customFormat="1" x14ac:dyDescent="0.3">
      <c r="A42" s="8" t="s">
        <v>283</v>
      </c>
      <c r="B42" s="174" t="s">
        <v>242</v>
      </c>
      <c r="C42" s="174" t="s">
        <v>261</v>
      </c>
      <c r="D42" s="174">
        <v>55</v>
      </c>
      <c r="E42" s="174">
        <v>3</v>
      </c>
      <c r="F42" s="174">
        <v>1</v>
      </c>
      <c r="G42" s="174"/>
      <c r="H42" s="67"/>
      <c r="I42" s="67"/>
      <c r="J42" s="67"/>
      <c r="K42" s="67"/>
      <c r="L42" s="67"/>
      <c r="M42" s="67"/>
      <c r="N42" s="67"/>
      <c r="O42" s="67"/>
      <c r="P42" s="174"/>
      <c r="Q42" s="174" t="str">
        <f>IF(Parameters!E41=0,"",Parameters!E41)</f>
        <v/>
      </c>
    </row>
    <row r="43" spans="1:17" s="45" customFormat="1" x14ac:dyDescent="0.3">
      <c r="A43" s="8" t="s">
        <v>284</v>
      </c>
      <c r="B43" s="174" t="s">
        <v>242</v>
      </c>
      <c r="C43" s="174" t="s">
        <v>261</v>
      </c>
      <c r="D43" s="174">
        <v>14</v>
      </c>
      <c r="E43" s="174">
        <v>4</v>
      </c>
      <c r="F43" s="174">
        <v>3</v>
      </c>
      <c r="G43" s="174"/>
      <c r="H43" s="67"/>
      <c r="I43" s="67"/>
      <c r="J43" s="67"/>
      <c r="K43" s="67"/>
      <c r="L43" s="67"/>
      <c r="M43" s="67"/>
      <c r="N43" s="67"/>
      <c r="O43" s="67"/>
      <c r="P43" s="174"/>
      <c r="Q43" s="174" t="str">
        <f>IF(Parameters!E42=0,"",Parameters!E42)</f>
        <v/>
      </c>
    </row>
    <row r="44" spans="1:17" s="45" customFormat="1" x14ac:dyDescent="0.3">
      <c r="A44" s="8" t="s">
        <v>285</v>
      </c>
      <c r="B44" s="174" t="s">
        <v>242</v>
      </c>
      <c r="C44" s="174" t="s">
        <v>261</v>
      </c>
      <c r="D44" s="174">
        <v>10</v>
      </c>
      <c r="E44" s="174">
        <v>4</v>
      </c>
      <c r="F44" s="174">
        <v>2</v>
      </c>
      <c r="G44" s="174"/>
      <c r="H44" s="67"/>
      <c r="I44" s="67"/>
      <c r="J44" s="67"/>
      <c r="K44" s="67"/>
      <c r="L44" s="67"/>
      <c r="M44" s="67"/>
      <c r="N44" s="67"/>
      <c r="O44" s="67"/>
      <c r="P44" s="174"/>
      <c r="Q44" s="174" t="str">
        <f>IF(Parameters!E43=0,"",Parameters!E43)</f>
        <v/>
      </c>
    </row>
    <row r="45" spans="1:17" s="45" customFormat="1" x14ac:dyDescent="0.3">
      <c r="A45" s="8" t="s">
        <v>286</v>
      </c>
      <c r="B45" s="174" t="s">
        <v>242</v>
      </c>
      <c r="C45" s="174" t="s">
        <v>261</v>
      </c>
      <c r="D45" s="174">
        <v>113</v>
      </c>
      <c r="E45" s="174">
        <v>2</v>
      </c>
      <c r="F45" s="174">
        <v>1</v>
      </c>
      <c r="G45" s="174"/>
      <c r="H45" s="67"/>
      <c r="I45" s="67"/>
      <c r="J45" s="67"/>
      <c r="K45" s="67"/>
      <c r="L45" s="67"/>
      <c r="M45" s="67"/>
      <c r="N45" s="67"/>
      <c r="O45" s="67"/>
      <c r="P45" s="174"/>
      <c r="Q45" s="174" t="str">
        <f>IF(Parameters!E44=0,"",Parameters!E44)</f>
        <v/>
      </c>
    </row>
    <row r="46" spans="1:17" s="45" customFormat="1" x14ac:dyDescent="0.3">
      <c r="A46" s="8" t="s">
        <v>287</v>
      </c>
      <c r="B46" s="174" t="s">
        <v>219</v>
      </c>
      <c r="C46" s="174" t="s">
        <v>263</v>
      </c>
      <c r="D46" s="174">
        <v>18</v>
      </c>
      <c r="E46" s="174">
        <v>3</v>
      </c>
      <c r="F46" s="174">
        <v>2</v>
      </c>
      <c r="G46" s="174"/>
      <c r="H46" s="67"/>
      <c r="I46" s="67"/>
      <c r="J46" s="67"/>
      <c r="K46" s="67"/>
      <c r="L46" s="67"/>
      <c r="M46" s="67"/>
      <c r="N46" s="67"/>
      <c r="O46" s="67"/>
      <c r="P46" s="174"/>
      <c r="Q46" s="174" t="str">
        <f>IF(Parameters!E45=0,"",Parameters!E45)</f>
        <v/>
      </c>
    </row>
    <row r="47" spans="1:17" s="45" customFormat="1" x14ac:dyDescent="0.3">
      <c r="A47" s="8" t="s">
        <v>288</v>
      </c>
      <c r="B47" s="174" t="s">
        <v>219</v>
      </c>
      <c r="C47" s="174" t="s">
        <v>263</v>
      </c>
      <c r="D47" s="174">
        <v>93</v>
      </c>
      <c r="E47" s="174">
        <v>2</v>
      </c>
      <c r="F47" s="174">
        <v>3</v>
      </c>
      <c r="G47" s="174"/>
      <c r="H47" s="67"/>
      <c r="I47" s="67"/>
      <c r="J47" s="67"/>
      <c r="K47" s="67"/>
      <c r="L47" s="67"/>
      <c r="M47" s="67"/>
      <c r="N47" s="67"/>
      <c r="O47" s="67"/>
      <c r="P47" s="174"/>
      <c r="Q47" s="174" t="str">
        <f>IF(Parameters!E46=0,"",Parameters!E46)</f>
        <v/>
      </c>
    </row>
    <row r="48" spans="1:17" s="45" customFormat="1" x14ac:dyDescent="0.3">
      <c r="A48" s="8" t="s">
        <v>289</v>
      </c>
      <c r="B48" s="174" t="s">
        <v>219</v>
      </c>
      <c r="C48" s="174" t="s">
        <v>254</v>
      </c>
      <c r="D48" s="174">
        <v>10</v>
      </c>
      <c r="E48" s="174">
        <v>3</v>
      </c>
      <c r="F48" s="174">
        <v>1</v>
      </c>
      <c r="G48" s="174"/>
      <c r="H48" s="67"/>
      <c r="I48" s="67"/>
      <c r="J48" s="67"/>
      <c r="K48" s="67"/>
      <c r="L48" s="67"/>
      <c r="M48" s="67"/>
      <c r="N48" s="67"/>
      <c r="O48" s="67"/>
      <c r="P48" s="174"/>
      <c r="Q48" s="174" t="str">
        <f>IF(Parameters!E47=0,"",Parameters!E47)</f>
        <v/>
      </c>
    </row>
    <row r="49" spans="1:17" s="45" customFormat="1" x14ac:dyDescent="0.3">
      <c r="A49" s="8" t="s">
        <v>290</v>
      </c>
      <c r="B49" s="174" t="s">
        <v>219</v>
      </c>
      <c r="C49" s="174" t="s">
        <v>264</v>
      </c>
      <c r="D49" s="174">
        <v>33</v>
      </c>
      <c r="E49" s="174">
        <v>3</v>
      </c>
      <c r="F49" s="174">
        <v>2</v>
      </c>
      <c r="G49" s="174"/>
      <c r="H49" s="67"/>
      <c r="I49" s="67"/>
      <c r="J49" s="67"/>
      <c r="K49" s="67"/>
      <c r="L49" s="67"/>
      <c r="M49" s="67"/>
      <c r="N49" s="67"/>
      <c r="O49" s="67"/>
      <c r="P49" s="174"/>
      <c r="Q49" s="174" t="str">
        <f>IF(Parameters!E48=0,"",Parameters!E48)</f>
        <v/>
      </c>
    </row>
    <row r="50" spans="1:17" s="45" customFormat="1" x14ac:dyDescent="0.3">
      <c r="A50" s="8" t="s">
        <v>291</v>
      </c>
      <c r="B50" s="174" t="s">
        <v>219</v>
      </c>
      <c r="C50" s="174" t="s">
        <v>262</v>
      </c>
      <c r="D50" s="174">
        <v>4</v>
      </c>
      <c r="E50" s="174">
        <v>3</v>
      </c>
      <c r="F50" s="174">
        <v>1</v>
      </c>
      <c r="G50" s="174"/>
      <c r="H50" s="67"/>
      <c r="I50" s="67"/>
      <c r="J50" s="67"/>
      <c r="K50" s="67"/>
      <c r="L50" s="67"/>
      <c r="M50" s="67"/>
      <c r="N50" s="67"/>
      <c r="O50" s="67"/>
      <c r="P50" s="174"/>
      <c r="Q50" s="174" t="str">
        <f>IF(Parameters!E49=0,"",Parameters!E49)</f>
        <v/>
      </c>
    </row>
    <row r="51" spans="1:17" s="45" customFormat="1" x14ac:dyDescent="0.3">
      <c r="A51" s="8" t="s">
        <v>292</v>
      </c>
      <c r="B51" s="174" t="s">
        <v>242</v>
      </c>
      <c r="C51" s="174" t="s">
        <v>265</v>
      </c>
      <c r="D51" s="174">
        <v>43</v>
      </c>
      <c r="E51" s="174">
        <v>4</v>
      </c>
      <c r="F51" s="174">
        <v>3</v>
      </c>
      <c r="G51" s="174"/>
      <c r="H51" s="67"/>
      <c r="I51" s="67"/>
      <c r="J51" s="67"/>
      <c r="K51" s="67"/>
      <c r="L51" s="67"/>
      <c r="M51" s="67"/>
      <c r="N51" s="67"/>
      <c r="O51" s="67"/>
      <c r="P51" s="174"/>
      <c r="Q51" s="174" t="str">
        <f>IF(Parameters!E50=0,"",Parameters!E50)</f>
        <v/>
      </c>
    </row>
    <row r="52" spans="1:17" s="45" customFormat="1" x14ac:dyDescent="0.3">
      <c r="A52" s="8" t="s">
        <v>293</v>
      </c>
      <c r="B52" s="174" t="s">
        <v>242</v>
      </c>
      <c r="C52" s="174" t="s">
        <v>265</v>
      </c>
      <c r="D52" s="174">
        <v>19</v>
      </c>
      <c r="E52" s="174">
        <v>4</v>
      </c>
      <c r="F52" s="174">
        <v>2</v>
      </c>
      <c r="G52" s="174"/>
      <c r="H52" s="67"/>
      <c r="I52" s="67"/>
      <c r="J52" s="67"/>
      <c r="K52" s="67"/>
      <c r="L52" s="67"/>
      <c r="M52" s="67"/>
      <c r="N52" s="67"/>
      <c r="O52" s="67"/>
      <c r="P52" s="174"/>
      <c r="Q52" s="174" t="str">
        <f>IF(Parameters!E51=0,"",Parameters!E51)</f>
        <v/>
      </c>
    </row>
    <row r="53" spans="1:17" s="45" customFormat="1" x14ac:dyDescent="0.3">
      <c r="A53" s="8" t="s">
        <v>294</v>
      </c>
      <c r="B53" s="174" t="s">
        <v>242</v>
      </c>
      <c r="C53" s="174" t="s">
        <v>262</v>
      </c>
      <c r="D53" s="174">
        <v>113</v>
      </c>
      <c r="E53" s="174">
        <v>4</v>
      </c>
      <c r="F53" s="174">
        <v>2</v>
      </c>
      <c r="G53" s="174"/>
      <c r="H53" s="67"/>
      <c r="I53" s="67"/>
      <c r="J53" s="67"/>
      <c r="K53" s="67"/>
      <c r="L53" s="67"/>
      <c r="M53" s="67"/>
      <c r="N53" s="67"/>
      <c r="O53" s="67"/>
      <c r="P53" s="174"/>
      <c r="Q53" s="174" t="str">
        <f>IF(Parameters!E52=0,"",Parameters!E52)</f>
        <v/>
      </c>
    </row>
    <row r="54" spans="1:17" s="45" customFormat="1" x14ac:dyDescent="0.3">
      <c r="A54" s="8" t="s">
        <v>185</v>
      </c>
      <c r="B54" s="174" t="s">
        <v>242</v>
      </c>
      <c r="C54" s="174" t="s">
        <v>265</v>
      </c>
      <c r="D54" s="174">
        <v>2</v>
      </c>
      <c r="E54" s="174">
        <v>4</v>
      </c>
      <c r="F54" s="174">
        <v>1</v>
      </c>
      <c r="G54" s="174"/>
      <c r="H54" s="67"/>
      <c r="I54" s="67"/>
      <c r="J54" s="67"/>
      <c r="K54" s="67"/>
      <c r="L54" s="67"/>
      <c r="M54" s="67"/>
      <c r="N54" s="67"/>
      <c r="O54" s="67"/>
      <c r="P54" s="174"/>
      <c r="Q54" s="174" t="str">
        <f>IF(Parameters!E53=0,"",Parameters!E53)</f>
        <v/>
      </c>
    </row>
    <row r="55" spans="1:17" s="45" customFormat="1" x14ac:dyDescent="0.3">
      <c r="A55" s="8" t="s">
        <v>186</v>
      </c>
      <c r="B55" s="174" t="s">
        <v>219</v>
      </c>
      <c r="C55" s="174" t="s">
        <v>261</v>
      </c>
      <c r="D55" s="174">
        <v>9</v>
      </c>
      <c r="E55" s="174">
        <v>3</v>
      </c>
      <c r="F55" s="174">
        <v>1</v>
      </c>
      <c r="G55" s="174"/>
      <c r="H55" s="67"/>
      <c r="I55" s="67"/>
      <c r="J55" s="67"/>
      <c r="K55" s="67"/>
      <c r="L55" s="67"/>
      <c r="M55" s="67"/>
      <c r="N55" s="67"/>
      <c r="O55" s="67"/>
      <c r="P55" s="174"/>
      <c r="Q55" s="174" t="str">
        <f>IF(Parameters!E54=0,"",Parameters!E54)</f>
        <v/>
      </c>
    </row>
    <row r="56" spans="1:17" s="45" customFormat="1" x14ac:dyDescent="0.3">
      <c r="A56" s="8" t="s">
        <v>187</v>
      </c>
      <c r="B56" s="174" t="s">
        <v>219</v>
      </c>
      <c r="C56" s="174" t="s">
        <v>261</v>
      </c>
      <c r="D56" s="174">
        <v>10</v>
      </c>
      <c r="E56" s="174">
        <v>2</v>
      </c>
      <c r="F56" s="174">
        <v>1</v>
      </c>
      <c r="G56" s="174"/>
      <c r="H56" s="67"/>
      <c r="I56" s="67"/>
      <c r="J56" s="67"/>
      <c r="K56" s="67"/>
      <c r="L56" s="67"/>
      <c r="M56" s="67"/>
      <c r="N56" s="67"/>
      <c r="O56" s="67"/>
      <c r="P56" s="174"/>
      <c r="Q56" s="174" t="str">
        <f>IF(Parameters!E55=0,"",Parameters!E55)</f>
        <v/>
      </c>
    </row>
    <row r="57" spans="1:17" s="45" customFormat="1" x14ac:dyDescent="0.3">
      <c r="A57" s="8" t="s">
        <v>188</v>
      </c>
      <c r="B57" s="174" t="s">
        <v>219</v>
      </c>
      <c r="C57" s="174" t="s">
        <v>261</v>
      </c>
      <c r="D57" s="174">
        <v>9</v>
      </c>
      <c r="E57" s="174">
        <v>2</v>
      </c>
      <c r="F57" s="174">
        <v>1</v>
      </c>
      <c r="G57" s="174"/>
      <c r="H57" s="67"/>
      <c r="I57" s="67"/>
      <c r="J57" s="67"/>
      <c r="K57" s="67"/>
      <c r="L57" s="67"/>
      <c r="M57" s="67"/>
      <c r="N57" s="67"/>
      <c r="O57" s="67"/>
      <c r="P57" s="174"/>
      <c r="Q57" s="174" t="str">
        <f>IF(Parameters!E56=0,"",Parameters!E56)</f>
        <v/>
      </c>
    </row>
    <row r="58" spans="1:17" s="45" customFormat="1" x14ac:dyDescent="0.3">
      <c r="A58" s="8" t="s">
        <v>189</v>
      </c>
      <c r="B58" s="174" t="s">
        <v>219</v>
      </c>
      <c r="C58" s="174" t="s">
        <v>261</v>
      </c>
      <c r="D58" s="174">
        <v>337</v>
      </c>
      <c r="E58" s="174">
        <v>1</v>
      </c>
      <c r="F58" s="174">
        <v>1</v>
      </c>
      <c r="G58" s="174"/>
      <c r="H58" s="67"/>
      <c r="I58" s="67"/>
      <c r="J58" s="67"/>
      <c r="K58" s="67"/>
      <c r="L58" s="67"/>
      <c r="M58" s="67"/>
      <c r="N58" s="67"/>
      <c r="O58" s="67"/>
      <c r="P58" s="174"/>
      <c r="Q58" s="174" t="str">
        <f>IF(Parameters!E57=0,"",Parameters!E57)</f>
        <v/>
      </c>
    </row>
    <row r="59" spans="1:17" s="45" customFormat="1" x14ac:dyDescent="0.3">
      <c r="A59" s="8" t="s">
        <v>190</v>
      </c>
      <c r="B59" s="174" t="s">
        <v>219</v>
      </c>
      <c r="C59" s="174" t="s">
        <v>261</v>
      </c>
      <c r="D59" s="174">
        <v>109</v>
      </c>
      <c r="E59" s="174">
        <v>4</v>
      </c>
      <c r="F59" s="174">
        <v>2</v>
      </c>
      <c r="G59" s="174"/>
      <c r="H59" s="67"/>
      <c r="I59" s="67"/>
      <c r="J59" s="67"/>
      <c r="K59" s="67"/>
      <c r="L59" s="67"/>
      <c r="M59" s="67"/>
      <c r="N59" s="67"/>
      <c r="O59" s="67"/>
      <c r="P59" s="174"/>
      <c r="Q59" s="174" t="str">
        <f>IF(Parameters!E58=0,"",Parameters!E58)</f>
        <v/>
      </c>
    </row>
    <row r="60" spans="1:17" s="45" customFormat="1" x14ac:dyDescent="0.3">
      <c r="A60" s="8" t="s">
        <v>191</v>
      </c>
      <c r="B60" s="174" t="s">
        <v>219</v>
      </c>
      <c r="C60" s="174" t="s">
        <v>261</v>
      </c>
      <c r="D60" s="174">
        <v>0</v>
      </c>
      <c r="E60" s="174">
        <v>2</v>
      </c>
      <c r="F60" s="174">
        <v>1</v>
      </c>
      <c r="G60" s="174"/>
      <c r="H60" s="67"/>
      <c r="I60" s="67"/>
      <c r="J60" s="67"/>
      <c r="K60" s="67"/>
      <c r="L60" s="67"/>
      <c r="M60" s="67"/>
      <c r="N60" s="67"/>
      <c r="O60" s="67"/>
      <c r="P60" s="174"/>
      <c r="Q60" s="174" t="str">
        <f>IF(Parameters!E59=0,"",Parameters!E59)</f>
        <v/>
      </c>
    </row>
    <row r="61" spans="1:17" s="45" customFormat="1" x14ac:dyDescent="0.3">
      <c r="A61" s="8" t="s">
        <v>192</v>
      </c>
      <c r="B61" s="174" t="s">
        <v>219</v>
      </c>
      <c r="C61" s="174" t="s">
        <v>261</v>
      </c>
      <c r="D61" s="174">
        <v>68</v>
      </c>
      <c r="E61" s="174">
        <v>1</v>
      </c>
      <c r="F61" s="174">
        <v>1</v>
      </c>
      <c r="G61" s="174"/>
      <c r="H61" s="67"/>
      <c r="I61" s="67"/>
      <c r="J61" s="67"/>
      <c r="K61" s="67"/>
      <c r="L61" s="67"/>
      <c r="M61" s="67"/>
      <c r="N61" s="67"/>
      <c r="O61" s="67"/>
      <c r="P61" s="174"/>
      <c r="Q61" s="174" t="str">
        <f>IF(Parameters!E60=0,"",Parameters!E60)</f>
        <v/>
      </c>
    </row>
    <row r="62" spans="1:17" s="45" customFormat="1" x14ac:dyDescent="0.3">
      <c r="A62" s="8" t="s">
        <v>193</v>
      </c>
      <c r="B62" s="174" t="s">
        <v>231</v>
      </c>
      <c r="C62" s="174" t="s">
        <v>266</v>
      </c>
      <c r="D62" s="174">
        <v>2</v>
      </c>
      <c r="E62" s="174">
        <v>4</v>
      </c>
      <c r="F62" s="174">
        <v>1</v>
      </c>
      <c r="G62" s="174"/>
      <c r="H62" s="67"/>
      <c r="I62" s="67"/>
      <c r="J62" s="67"/>
      <c r="K62" s="67"/>
      <c r="L62" s="67"/>
      <c r="M62" s="67"/>
      <c r="N62" s="67"/>
      <c r="O62" s="67"/>
      <c r="P62" s="174"/>
      <c r="Q62" s="174" t="str">
        <f>IF(Parameters!E61=0,"",Parameters!E61)</f>
        <v/>
      </c>
    </row>
    <row r="63" spans="1:17" s="45" customFormat="1" x14ac:dyDescent="0.3">
      <c r="A63" s="8" t="s">
        <v>194</v>
      </c>
      <c r="B63" s="174" t="s">
        <v>231</v>
      </c>
      <c r="C63" s="174" t="s">
        <v>266</v>
      </c>
      <c r="D63" s="174">
        <v>9</v>
      </c>
      <c r="E63" s="174">
        <v>3</v>
      </c>
      <c r="F63" s="174">
        <v>2</v>
      </c>
      <c r="G63" s="174"/>
      <c r="H63" s="67"/>
      <c r="I63" s="67"/>
      <c r="J63" s="67"/>
      <c r="K63" s="67"/>
      <c r="L63" s="67"/>
      <c r="M63" s="67"/>
      <c r="N63" s="67"/>
      <c r="O63" s="67"/>
      <c r="P63" s="174"/>
      <c r="Q63" s="174" t="str">
        <f>IF(Parameters!E62=0,"",Parameters!E62)</f>
        <v/>
      </c>
    </row>
    <row r="64" spans="1:17" s="45" customFormat="1" x14ac:dyDescent="0.3">
      <c r="A64" s="8" t="s">
        <v>195</v>
      </c>
      <c r="B64" s="174" t="s">
        <v>231</v>
      </c>
      <c r="C64" s="174" t="s">
        <v>266</v>
      </c>
      <c r="D64" s="174">
        <v>9</v>
      </c>
      <c r="E64" s="174">
        <v>1</v>
      </c>
      <c r="F64" s="174">
        <v>3</v>
      </c>
      <c r="G64" s="174"/>
      <c r="H64" s="67"/>
      <c r="I64" s="67"/>
      <c r="J64" s="67"/>
      <c r="K64" s="67"/>
      <c r="L64" s="67"/>
      <c r="M64" s="67"/>
      <c r="N64" s="67"/>
      <c r="O64" s="67"/>
      <c r="P64" s="174"/>
      <c r="Q64" s="174" t="str">
        <f>IF(Parameters!E63=0,"",Parameters!E63)</f>
        <v/>
      </c>
    </row>
    <row r="65" spans="1:17" s="45" customFormat="1" x14ac:dyDescent="0.3">
      <c r="A65" s="8" t="s">
        <v>196</v>
      </c>
      <c r="B65" s="174" t="s">
        <v>231</v>
      </c>
      <c r="C65" s="174" t="s">
        <v>266</v>
      </c>
      <c r="D65" s="174">
        <v>3</v>
      </c>
      <c r="E65" s="174">
        <v>1</v>
      </c>
      <c r="F65" s="174">
        <v>1</v>
      </c>
      <c r="G65" s="174"/>
      <c r="H65" s="67"/>
      <c r="I65" s="67"/>
      <c r="J65" s="67"/>
      <c r="K65" s="67"/>
      <c r="L65" s="67"/>
      <c r="M65" s="67"/>
      <c r="N65" s="67"/>
      <c r="O65" s="67"/>
      <c r="P65" s="174"/>
      <c r="Q65" s="174" t="str">
        <f>IF(Parameters!E64=0,"",Parameters!E64)</f>
        <v/>
      </c>
    </row>
    <row r="66" spans="1:17" s="45" customFormat="1" x14ac:dyDescent="0.3">
      <c r="A66" s="8" t="s">
        <v>197</v>
      </c>
      <c r="B66" s="174" t="s">
        <v>231</v>
      </c>
      <c r="C66" s="174" t="s">
        <v>266</v>
      </c>
      <c r="D66" s="174">
        <v>6</v>
      </c>
      <c r="E66" s="174">
        <v>2</v>
      </c>
      <c r="F66" s="174">
        <v>3</v>
      </c>
      <c r="G66" s="174"/>
      <c r="H66" s="67"/>
      <c r="I66" s="67"/>
      <c r="J66" s="67"/>
      <c r="K66" s="67"/>
      <c r="L66" s="67"/>
      <c r="M66" s="67"/>
      <c r="N66" s="67"/>
      <c r="O66" s="67"/>
      <c r="P66" s="174"/>
      <c r="Q66" s="174" t="str">
        <f>IF(Parameters!E65=0,"",Parameters!E65)</f>
        <v/>
      </c>
    </row>
    <row r="67" spans="1:17" s="45" customFormat="1" x14ac:dyDescent="0.3">
      <c r="A67" s="8" t="s">
        <v>198</v>
      </c>
      <c r="B67" s="174" t="s">
        <v>242</v>
      </c>
      <c r="C67" s="174" t="s">
        <v>261</v>
      </c>
      <c r="D67" s="174">
        <v>4</v>
      </c>
      <c r="E67" s="174">
        <v>4</v>
      </c>
      <c r="F67" s="174">
        <v>3</v>
      </c>
      <c r="G67" s="174"/>
      <c r="H67" s="67"/>
      <c r="I67" s="67"/>
      <c r="J67" s="67"/>
      <c r="K67" s="67"/>
      <c r="L67" s="67"/>
      <c r="M67" s="67"/>
      <c r="N67" s="67"/>
      <c r="O67" s="67"/>
      <c r="P67" s="174"/>
      <c r="Q67" s="174" t="str">
        <f>IF(Parameters!E66=0,"",Parameters!E66)</f>
        <v/>
      </c>
    </row>
    <row r="68" spans="1:17" s="45" customFormat="1" x14ac:dyDescent="0.3">
      <c r="A68" s="8" t="s">
        <v>199</v>
      </c>
      <c r="B68" s="174" t="s">
        <v>242</v>
      </c>
      <c r="C68" s="174" t="s">
        <v>261</v>
      </c>
      <c r="D68" s="174">
        <v>64</v>
      </c>
      <c r="E68" s="174">
        <v>3</v>
      </c>
      <c r="F68" s="174">
        <v>3</v>
      </c>
      <c r="G68" s="174"/>
      <c r="H68" s="67"/>
      <c r="I68" s="67"/>
      <c r="J68" s="67"/>
      <c r="K68" s="67"/>
      <c r="L68" s="67"/>
      <c r="M68" s="67"/>
      <c r="N68" s="67"/>
      <c r="O68" s="67"/>
      <c r="P68" s="174"/>
      <c r="Q68" s="174" t="str">
        <f>IF(Parameters!E67=0,"",Parameters!E67)</f>
        <v/>
      </c>
    </row>
    <row r="69" spans="1:17" s="45" customFormat="1" x14ac:dyDescent="0.3">
      <c r="A69" s="8" t="s">
        <v>200</v>
      </c>
      <c r="B69" s="174" t="s">
        <v>242</v>
      </c>
      <c r="C69" s="174" t="s">
        <v>267</v>
      </c>
      <c r="D69" s="174">
        <v>27</v>
      </c>
      <c r="E69" s="174">
        <v>1</v>
      </c>
      <c r="F69" s="174">
        <v>1</v>
      </c>
      <c r="G69" s="174"/>
      <c r="H69" s="67"/>
      <c r="I69" s="67"/>
      <c r="J69" s="67"/>
      <c r="K69" s="67"/>
      <c r="L69" s="67"/>
      <c r="M69" s="67"/>
      <c r="N69" s="67"/>
      <c r="O69" s="67"/>
      <c r="P69" s="174"/>
      <c r="Q69" s="174" t="str">
        <f>IF(Parameters!E68=0,"",Parameters!E68)</f>
        <v/>
      </c>
    </row>
    <row r="70" spans="1:17" s="45" customFormat="1" x14ac:dyDescent="0.3">
      <c r="A70" s="8" t="s">
        <v>201</v>
      </c>
      <c r="B70" s="174" t="s">
        <v>242</v>
      </c>
      <c r="C70" s="174" t="s">
        <v>258</v>
      </c>
      <c r="D70" s="174">
        <v>29</v>
      </c>
      <c r="E70" s="174">
        <v>3</v>
      </c>
      <c r="F70" s="174">
        <v>2</v>
      </c>
      <c r="G70" s="174"/>
      <c r="H70" s="67"/>
      <c r="I70" s="67"/>
      <c r="J70" s="67"/>
      <c r="K70" s="67"/>
      <c r="L70" s="67"/>
      <c r="M70" s="67"/>
      <c r="N70" s="67"/>
      <c r="O70" s="67"/>
      <c r="P70" s="174"/>
      <c r="Q70" s="174" t="str">
        <f>IF(Parameters!E69=0,"",Parameters!E69)</f>
        <v/>
      </c>
    </row>
    <row r="71" spans="1:17" s="45" customFormat="1" x14ac:dyDescent="0.3">
      <c r="A71" s="8" t="s">
        <v>202</v>
      </c>
      <c r="B71" s="174" t="s">
        <v>242</v>
      </c>
      <c r="C71" s="174" t="s">
        <v>254</v>
      </c>
      <c r="D71" s="174">
        <v>92</v>
      </c>
      <c r="E71" s="174">
        <v>1</v>
      </c>
      <c r="F71" s="174">
        <v>1</v>
      </c>
      <c r="G71" s="174"/>
      <c r="H71" s="67"/>
      <c r="I71" s="67"/>
      <c r="J71" s="67"/>
      <c r="K71" s="67"/>
      <c r="L71" s="67"/>
      <c r="M71" s="67"/>
      <c r="N71" s="67"/>
      <c r="O71" s="67"/>
      <c r="P71" s="174"/>
      <c r="Q71" s="174" t="str">
        <f>IF(Parameters!E70=0,"",Parameters!E70)</f>
        <v/>
      </c>
    </row>
    <row r="72" spans="1:17" s="45" customFormat="1" x14ac:dyDescent="0.3">
      <c r="A72" s="8" t="s">
        <v>203</v>
      </c>
      <c r="B72" s="174" t="s">
        <v>219</v>
      </c>
      <c r="C72" s="174" t="s">
        <v>259</v>
      </c>
      <c r="D72" s="174">
        <v>7</v>
      </c>
      <c r="E72" s="174">
        <v>3</v>
      </c>
      <c r="F72" s="174">
        <v>1</v>
      </c>
      <c r="G72" s="174"/>
      <c r="H72" s="67"/>
      <c r="I72" s="67"/>
      <c r="J72" s="67"/>
      <c r="K72" s="67"/>
      <c r="L72" s="67"/>
      <c r="M72" s="67"/>
      <c r="N72" s="67"/>
      <c r="O72" s="67"/>
      <c r="P72" s="174"/>
      <c r="Q72" s="174" t="str">
        <f>IF(Parameters!E71=0,"",Parameters!E71)</f>
        <v/>
      </c>
    </row>
    <row r="73" spans="1:17" s="45" customFormat="1" x14ac:dyDescent="0.3">
      <c r="A73" s="8" t="s">
        <v>204</v>
      </c>
      <c r="B73" s="174" t="s">
        <v>219</v>
      </c>
      <c r="C73" s="174" t="s">
        <v>259</v>
      </c>
      <c r="D73" s="174">
        <v>8</v>
      </c>
      <c r="E73" s="174">
        <v>3</v>
      </c>
      <c r="F73" s="174">
        <v>2</v>
      </c>
      <c r="G73" s="174"/>
      <c r="H73" s="67"/>
      <c r="I73" s="67"/>
      <c r="J73" s="67"/>
      <c r="K73" s="67"/>
      <c r="L73" s="67"/>
      <c r="M73" s="67"/>
      <c r="N73" s="67"/>
      <c r="O73" s="67"/>
      <c r="P73" s="174"/>
      <c r="Q73" s="174" t="str">
        <f>IF(Parameters!E72=0,"",Parameters!E72)</f>
        <v/>
      </c>
    </row>
    <row r="74" spans="1:17" s="45" customFormat="1" x14ac:dyDescent="0.3">
      <c r="A74" s="8" t="s">
        <v>205</v>
      </c>
      <c r="B74" s="174" t="s">
        <v>219</v>
      </c>
      <c r="C74" s="174" t="s">
        <v>259</v>
      </c>
      <c r="D74" s="174">
        <v>52</v>
      </c>
      <c r="E74" s="174">
        <v>2</v>
      </c>
      <c r="F74" s="174">
        <v>2</v>
      </c>
      <c r="G74" s="174"/>
      <c r="H74" s="67"/>
      <c r="I74" s="67"/>
      <c r="J74" s="67"/>
      <c r="K74" s="67"/>
      <c r="L74" s="67"/>
      <c r="M74" s="67"/>
      <c r="N74" s="67"/>
      <c r="O74" s="67"/>
      <c r="P74" s="174"/>
      <c r="Q74" s="174" t="str">
        <f>IF(Parameters!E73=0,"",Parameters!E73)</f>
        <v/>
      </c>
    </row>
    <row r="75" spans="1:17" s="45" customFormat="1" x14ac:dyDescent="0.3">
      <c r="A75" s="8" t="s">
        <v>206</v>
      </c>
      <c r="B75" s="174" t="s">
        <v>219</v>
      </c>
      <c r="C75" s="174" t="s">
        <v>259</v>
      </c>
      <c r="D75" s="174">
        <v>14</v>
      </c>
      <c r="E75" s="174">
        <v>2</v>
      </c>
      <c r="F75" s="174">
        <v>2</v>
      </c>
      <c r="G75" s="174"/>
      <c r="H75" s="67"/>
      <c r="I75" s="67"/>
      <c r="J75" s="67"/>
      <c r="K75" s="67"/>
      <c r="L75" s="67"/>
      <c r="M75" s="67"/>
      <c r="N75" s="67"/>
      <c r="O75" s="67"/>
      <c r="P75" s="174"/>
      <c r="Q75" s="174" t="str">
        <f>IF(Parameters!E74=0,"",Parameters!E74)</f>
        <v/>
      </c>
    </row>
    <row r="76" spans="1:17" s="45" customFormat="1" x14ac:dyDescent="0.3">
      <c r="A76" s="8" t="s">
        <v>207</v>
      </c>
      <c r="B76" s="174" t="s">
        <v>242</v>
      </c>
      <c r="C76" s="174" t="s">
        <v>268</v>
      </c>
      <c r="D76" s="174">
        <v>80</v>
      </c>
      <c r="E76" s="174">
        <v>3</v>
      </c>
      <c r="F76" s="174">
        <v>2</v>
      </c>
      <c r="G76" s="174"/>
      <c r="H76" s="67"/>
      <c r="I76" s="67"/>
      <c r="J76" s="67"/>
      <c r="K76" s="67"/>
      <c r="L76" s="67"/>
      <c r="M76" s="67"/>
      <c r="N76" s="67"/>
      <c r="O76" s="67"/>
      <c r="P76" s="174"/>
      <c r="Q76" s="174" t="str">
        <f>IF(Parameters!E75=0,"",Parameters!E75)</f>
        <v/>
      </c>
    </row>
    <row r="77" spans="1:17" s="45" customFormat="1" x14ac:dyDescent="0.3">
      <c r="A77" s="8" t="s">
        <v>208</v>
      </c>
      <c r="B77" s="174" t="s">
        <v>242</v>
      </c>
      <c r="C77" s="174" t="s">
        <v>268</v>
      </c>
      <c r="D77" s="174">
        <v>44</v>
      </c>
      <c r="E77" s="174">
        <v>3</v>
      </c>
      <c r="F77" s="174">
        <v>3</v>
      </c>
      <c r="G77" s="174"/>
      <c r="H77" s="67"/>
      <c r="I77" s="67"/>
      <c r="J77" s="67"/>
      <c r="K77" s="67"/>
      <c r="L77" s="67"/>
      <c r="M77" s="67"/>
      <c r="N77" s="67"/>
      <c r="O77" s="67"/>
      <c r="P77" s="174"/>
      <c r="Q77" s="174" t="str">
        <f>IF(Parameters!E76=0,"",Parameters!E76)</f>
        <v/>
      </c>
    </row>
    <row r="78" spans="1:17" s="45" customFormat="1" x14ac:dyDescent="0.3">
      <c r="A78" s="8" t="s">
        <v>209</v>
      </c>
      <c r="B78" s="174" t="s">
        <v>219</v>
      </c>
      <c r="C78" s="174" t="s">
        <v>254</v>
      </c>
      <c r="D78" s="174">
        <v>37</v>
      </c>
      <c r="E78" s="174">
        <v>4</v>
      </c>
      <c r="F78" s="174">
        <v>1</v>
      </c>
      <c r="G78" s="174"/>
      <c r="H78" s="67"/>
      <c r="I78" s="67"/>
      <c r="J78" s="67"/>
      <c r="K78" s="67"/>
      <c r="L78" s="67"/>
      <c r="M78" s="67"/>
      <c r="N78" s="67"/>
      <c r="O78" s="67"/>
      <c r="P78" s="174"/>
      <c r="Q78" s="174" t="str">
        <f>IF(Parameters!E77=0,"",Parameters!E77)</f>
        <v/>
      </c>
    </row>
    <row r="79" spans="1:17" s="45" customFormat="1" x14ac:dyDescent="0.3">
      <c r="A79" s="8" t="s">
        <v>210</v>
      </c>
      <c r="B79" s="174" t="s">
        <v>219</v>
      </c>
      <c r="C79" s="174" t="s">
        <v>261</v>
      </c>
      <c r="D79" s="174">
        <v>36</v>
      </c>
      <c r="E79" s="174">
        <v>3</v>
      </c>
      <c r="F79" s="174">
        <v>3</v>
      </c>
      <c r="G79" s="174"/>
      <c r="H79" s="67"/>
      <c r="I79" s="67"/>
      <c r="J79" s="67"/>
      <c r="K79" s="67"/>
      <c r="L79" s="67"/>
      <c r="M79" s="67"/>
      <c r="N79" s="67"/>
      <c r="O79" s="67"/>
      <c r="P79" s="174"/>
      <c r="Q79" s="174" t="str">
        <f>IF(Parameters!E78=0,"",Parameters!E78)</f>
        <v/>
      </c>
    </row>
    <row r="80" spans="1:17" s="45" customFormat="1" x14ac:dyDescent="0.3">
      <c r="A80" s="8" t="s">
        <v>185</v>
      </c>
      <c r="B80" s="174" t="s">
        <v>231</v>
      </c>
      <c r="C80" s="174" t="s">
        <v>51</v>
      </c>
      <c r="D80" s="174">
        <v>43</v>
      </c>
      <c r="E80" s="174">
        <v>4</v>
      </c>
      <c r="F80" s="174">
        <v>3</v>
      </c>
      <c r="G80" s="174"/>
      <c r="H80" s="67"/>
      <c r="I80" s="67"/>
      <c r="J80" s="67"/>
      <c r="K80" s="67"/>
      <c r="L80" s="67"/>
      <c r="M80" s="67"/>
      <c r="N80" s="67"/>
      <c r="O80" s="67"/>
      <c r="P80" s="174"/>
      <c r="Q80" s="174" t="str">
        <f>IF(Parameters!E79=0,"",Parameters!E79)</f>
        <v/>
      </c>
    </row>
    <row r="81" spans="1:17" s="45" customFormat="1" x14ac:dyDescent="0.3">
      <c r="A81" s="8" t="s">
        <v>186</v>
      </c>
      <c r="B81" s="174" t="s">
        <v>231</v>
      </c>
      <c r="C81" s="174" t="s">
        <v>51</v>
      </c>
      <c r="D81" s="174">
        <v>121</v>
      </c>
      <c r="E81" s="174">
        <v>2</v>
      </c>
      <c r="F81" s="174">
        <v>1</v>
      </c>
      <c r="G81" s="174"/>
      <c r="H81" s="67"/>
      <c r="I81" s="67"/>
      <c r="J81" s="67"/>
      <c r="K81" s="67"/>
      <c r="L81" s="67"/>
      <c r="M81" s="67"/>
      <c r="N81" s="67"/>
      <c r="O81" s="67"/>
      <c r="P81" s="174"/>
      <c r="Q81" s="174" t="str">
        <f>IF(Parameters!E80=0,"",Parameters!E80)</f>
        <v/>
      </c>
    </row>
    <row r="82" spans="1:17" s="45" customFormat="1" x14ac:dyDescent="0.3">
      <c r="A82" s="8" t="s">
        <v>187</v>
      </c>
      <c r="B82" s="174" t="s">
        <v>231</v>
      </c>
      <c r="C82" s="174" t="s">
        <v>51</v>
      </c>
      <c r="D82" s="174">
        <v>85</v>
      </c>
      <c r="E82" s="174">
        <v>2</v>
      </c>
      <c r="F82" s="174">
        <v>3</v>
      </c>
      <c r="G82" s="174"/>
      <c r="H82" s="67"/>
      <c r="I82" s="67"/>
      <c r="J82" s="67"/>
      <c r="K82" s="67"/>
      <c r="L82" s="67"/>
      <c r="M82" s="67"/>
      <c r="N82" s="67"/>
      <c r="O82" s="67"/>
      <c r="P82" s="174"/>
      <c r="Q82" s="174" t="str">
        <f>IF(Parameters!E81=0,"",Parameters!E81)</f>
        <v/>
      </c>
    </row>
    <row r="83" spans="1:17" s="45" customFormat="1" x14ac:dyDescent="0.3">
      <c r="A83" s="8" t="s">
        <v>188</v>
      </c>
      <c r="B83" s="174" t="s">
        <v>231</v>
      </c>
      <c r="C83" s="174" t="s">
        <v>51</v>
      </c>
      <c r="D83" s="174">
        <v>353</v>
      </c>
      <c r="E83" s="174">
        <v>1</v>
      </c>
      <c r="F83" s="174">
        <v>3</v>
      </c>
      <c r="G83" s="174"/>
      <c r="H83" s="67"/>
      <c r="I83" s="67"/>
      <c r="J83" s="67"/>
      <c r="K83" s="67"/>
      <c r="L83" s="67"/>
      <c r="M83" s="67"/>
      <c r="N83" s="67"/>
      <c r="O83" s="67"/>
      <c r="P83" s="174"/>
      <c r="Q83" s="174" t="str">
        <f>IF(Parameters!E82=0,"",Parameters!E82)</f>
        <v/>
      </c>
    </row>
    <row r="84" spans="1:17" s="45" customFormat="1" x14ac:dyDescent="0.3">
      <c r="A84" s="8" t="s">
        <v>189</v>
      </c>
      <c r="B84" s="174" t="s">
        <v>242</v>
      </c>
      <c r="C84" s="174" t="s">
        <v>266</v>
      </c>
      <c r="D84" s="174">
        <v>13</v>
      </c>
      <c r="E84" s="174">
        <v>3</v>
      </c>
      <c r="F84" s="174">
        <v>3</v>
      </c>
      <c r="G84" s="174"/>
      <c r="H84" s="67"/>
      <c r="I84" s="67"/>
      <c r="J84" s="67"/>
      <c r="K84" s="67"/>
      <c r="L84" s="67"/>
      <c r="M84" s="67"/>
      <c r="N84" s="67"/>
      <c r="O84" s="67"/>
      <c r="P84" s="174"/>
      <c r="Q84" s="174" t="str">
        <f>IF(Parameters!E83=0,"",Parameters!E83)</f>
        <v/>
      </c>
    </row>
    <row r="85" spans="1:17" s="45" customFormat="1" x14ac:dyDescent="0.3">
      <c r="A85" s="8" t="s">
        <v>190</v>
      </c>
      <c r="B85" s="174" t="s">
        <v>242</v>
      </c>
      <c r="C85" s="174" t="s">
        <v>268</v>
      </c>
      <c r="D85" s="174">
        <v>64</v>
      </c>
      <c r="E85" s="174">
        <v>2</v>
      </c>
      <c r="F85" s="174">
        <v>2</v>
      </c>
      <c r="G85" s="174"/>
      <c r="H85" s="67"/>
      <c r="I85" s="67"/>
      <c r="J85" s="67"/>
      <c r="K85" s="67"/>
      <c r="L85" s="67"/>
      <c r="M85" s="67"/>
      <c r="N85" s="67"/>
      <c r="O85" s="67"/>
      <c r="P85" s="174"/>
      <c r="Q85" s="174" t="str">
        <f>IF(Parameters!E84=0,"",Parameters!E84)</f>
        <v/>
      </c>
    </row>
    <row r="86" spans="1:17" s="45" customFormat="1" x14ac:dyDescent="0.3">
      <c r="A86" s="8" t="s">
        <v>191</v>
      </c>
      <c r="B86" s="174" t="s">
        <v>219</v>
      </c>
      <c r="C86" s="174" t="s">
        <v>253</v>
      </c>
      <c r="D86" s="174">
        <v>23</v>
      </c>
      <c r="E86" s="174">
        <v>1</v>
      </c>
      <c r="F86" s="174">
        <v>1</v>
      </c>
      <c r="G86" s="174"/>
      <c r="H86" s="67"/>
      <c r="I86" s="67"/>
      <c r="J86" s="67"/>
      <c r="K86" s="67"/>
      <c r="L86" s="67"/>
      <c r="M86" s="67"/>
      <c r="N86" s="67"/>
      <c r="O86" s="67"/>
      <c r="P86" s="174"/>
      <c r="Q86" s="174" t="str">
        <f>IF(Parameters!E85=0,"",Parameters!E85)</f>
        <v/>
      </c>
    </row>
    <row r="87" spans="1:17" s="45" customFormat="1" x14ac:dyDescent="0.3">
      <c r="A87" s="8" t="s">
        <v>192</v>
      </c>
      <c r="B87" s="174" t="s">
        <v>219</v>
      </c>
      <c r="C87" s="174" t="s">
        <v>253</v>
      </c>
      <c r="D87" s="174">
        <v>90</v>
      </c>
      <c r="E87" s="174">
        <v>4</v>
      </c>
      <c r="F87" s="174">
        <v>3</v>
      </c>
      <c r="G87" s="174"/>
      <c r="H87" s="67"/>
      <c r="I87" s="67"/>
      <c r="J87" s="67"/>
      <c r="K87" s="67"/>
      <c r="L87" s="67"/>
      <c r="M87" s="67"/>
      <c r="N87" s="67"/>
      <c r="O87" s="67"/>
      <c r="P87" s="174"/>
      <c r="Q87" s="174" t="str">
        <f>IF(Parameters!E86=0,"",Parameters!E86)</f>
        <v/>
      </c>
    </row>
    <row r="88" spans="1:17" s="45" customFormat="1" x14ac:dyDescent="0.3">
      <c r="A88" s="8" t="s">
        <v>193</v>
      </c>
      <c r="B88" s="174" t="s">
        <v>219</v>
      </c>
      <c r="C88" s="174" t="s">
        <v>253</v>
      </c>
      <c r="D88" s="174">
        <v>5</v>
      </c>
      <c r="E88" s="174">
        <v>4</v>
      </c>
      <c r="F88" s="174">
        <v>2</v>
      </c>
      <c r="G88" s="174"/>
      <c r="H88" s="67"/>
      <c r="I88" s="67"/>
      <c r="J88" s="67"/>
      <c r="K88" s="67"/>
      <c r="L88" s="67"/>
      <c r="M88" s="67"/>
      <c r="N88" s="67"/>
      <c r="O88" s="67"/>
      <c r="P88" s="174"/>
      <c r="Q88" s="174" t="str">
        <f>IF(Parameters!E87=0,"",Parameters!E87)</f>
        <v/>
      </c>
    </row>
    <row r="89" spans="1:17" s="45" customFormat="1" x14ac:dyDescent="0.3">
      <c r="A89" s="8" t="s">
        <v>194</v>
      </c>
      <c r="B89" s="174" t="s">
        <v>219</v>
      </c>
      <c r="C89" s="174" t="s">
        <v>253</v>
      </c>
      <c r="D89" s="174">
        <v>75</v>
      </c>
      <c r="E89" s="174">
        <v>3</v>
      </c>
      <c r="F89" s="174">
        <v>2</v>
      </c>
      <c r="G89" s="174"/>
      <c r="H89" s="67"/>
      <c r="I89" s="67"/>
      <c r="J89" s="67"/>
      <c r="K89" s="67"/>
      <c r="L89" s="67"/>
      <c r="M89" s="67"/>
      <c r="N89" s="67"/>
      <c r="O89" s="67"/>
      <c r="P89" s="174"/>
      <c r="Q89" s="174" t="str">
        <f>IF(Parameters!E88=0,"",Parameters!E88)</f>
        <v/>
      </c>
    </row>
    <row r="90" spans="1:17" s="45" customFormat="1" x14ac:dyDescent="0.3">
      <c r="A90" s="8" t="s">
        <v>195</v>
      </c>
      <c r="B90" s="174" t="s">
        <v>219</v>
      </c>
      <c r="C90" s="174" t="s">
        <v>254</v>
      </c>
      <c r="D90" s="174">
        <v>3</v>
      </c>
      <c r="E90" s="174">
        <v>4</v>
      </c>
      <c r="F90" s="174">
        <v>3</v>
      </c>
      <c r="G90" s="174"/>
      <c r="H90" s="67"/>
      <c r="I90" s="67"/>
      <c r="J90" s="67"/>
      <c r="K90" s="67"/>
      <c r="L90" s="67"/>
      <c r="M90" s="67"/>
      <c r="N90" s="67"/>
      <c r="O90" s="67"/>
      <c r="P90" s="174"/>
      <c r="Q90" s="174" t="str">
        <f>IF(Parameters!E89=0,"",Parameters!E89)</f>
        <v/>
      </c>
    </row>
    <row r="91" spans="1:17" s="45" customFormat="1" x14ac:dyDescent="0.3">
      <c r="A91" s="8" t="s">
        <v>196</v>
      </c>
      <c r="B91" s="174" t="s">
        <v>219</v>
      </c>
      <c r="C91" s="174" t="s">
        <v>254</v>
      </c>
      <c r="D91" s="174">
        <v>23</v>
      </c>
      <c r="E91" s="174">
        <v>4</v>
      </c>
      <c r="F91" s="174">
        <v>2</v>
      </c>
      <c r="G91" s="174"/>
      <c r="H91" s="67"/>
      <c r="I91" s="67"/>
      <c r="J91" s="67"/>
      <c r="K91" s="67"/>
      <c r="L91" s="67"/>
      <c r="M91" s="67"/>
      <c r="N91" s="67"/>
      <c r="O91" s="67"/>
      <c r="P91" s="174"/>
      <c r="Q91" s="174" t="str">
        <f>IF(Parameters!E90=0,"",Parameters!E90)</f>
        <v/>
      </c>
    </row>
    <row r="92" spans="1:17" s="45" customFormat="1" x14ac:dyDescent="0.3">
      <c r="A92" s="8" t="s">
        <v>197</v>
      </c>
      <c r="B92" s="174" t="s">
        <v>219</v>
      </c>
      <c r="C92" s="174" t="s">
        <v>254</v>
      </c>
      <c r="D92" s="174">
        <v>117</v>
      </c>
      <c r="E92" s="174">
        <v>1</v>
      </c>
      <c r="F92" s="174">
        <v>1</v>
      </c>
      <c r="G92" s="174"/>
      <c r="H92" s="67"/>
      <c r="I92" s="67"/>
      <c r="J92" s="67"/>
      <c r="K92" s="67"/>
      <c r="L92" s="67"/>
      <c r="M92" s="67"/>
      <c r="N92" s="67"/>
      <c r="O92" s="67"/>
      <c r="P92" s="174"/>
      <c r="Q92" s="174" t="str">
        <f>IF(Parameters!E91=0,"",Parameters!E91)</f>
        <v/>
      </c>
    </row>
    <row r="93" spans="1:17" s="45" customFormat="1" x14ac:dyDescent="0.3">
      <c r="A93" s="8" t="s">
        <v>198</v>
      </c>
      <c r="B93" s="174" t="s">
        <v>219</v>
      </c>
      <c r="C93" s="174" t="s">
        <v>254</v>
      </c>
      <c r="D93" s="174">
        <v>7</v>
      </c>
      <c r="E93" s="174">
        <v>2</v>
      </c>
      <c r="F93" s="174">
        <v>3</v>
      </c>
      <c r="G93" s="174"/>
      <c r="H93" s="67"/>
      <c r="I93" s="67"/>
      <c r="J93" s="67"/>
      <c r="K93" s="67"/>
      <c r="L93" s="67"/>
      <c r="M93" s="67"/>
      <c r="N93" s="67"/>
      <c r="O93" s="67"/>
      <c r="P93" s="174"/>
      <c r="Q93" s="174" t="str">
        <f>IF(Parameters!E92=0,"",Parameters!E92)</f>
        <v/>
      </c>
    </row>
    <row r="94" spans="1:17" s="45" customFormat="1" x14ac:dyDescent="0.3">
      <c r="A94" s="8" t="s">
        <v>199</v>
      </c>
      <c r="B94" s="174" t="s">
        <v>219</v>
      </c>
      <c r="C94" s="174" t="s">
        <v>254</v>
      </c>
      <c r="D94" s="174">
        <v>59</v>
      </c>
      <c r="E94" s="174">
        <v>4</v>
      </c>
      <c r="F94" s="174">
        <v>2</v>
      </c>
      <c r="G94" s="174"/>
      <c r="H94" s="67"/>
      <c r="I94" s="67"/>
      <c r="J94" s="67"/>
      <c r="K94" s="67"/>
      <c r="L94" s="67"/>
      <c r="M94" s="67"/>
      <c r="N94" s="67"/>
      <c r="O94" s="67"/>
      <c r="P94" s="174"/>
      <c r="Q94" s="174" t="str">
        <f>IF(Parameters!E93=0,"",Parameters!E93)</f>
        <v/>
      </c>
    </row>
    <row r="95" spans="1:17" s="45" customFormat="1" x14ac:dyDescent="0.3">
      <c r="A95" s="8" t="s">
        <v>200</v>
      </c>
      <c r="B95" s="174" t="s">
        <v>219</v>
      </c>
      <c r="C95" s="174" t="s">
        <v>254</v>
      </c>
      <c r="D95" s="174">
        <v>25</v>
      </c>
      <c r="E95" s="174">
        <v>4</v>
      </c>
      <c r="F95" s="174">
        <v>2</v>
      </c>
      <c r="G95" s="174"/>
      <c r="H95" s="67"/>
      <c r="I95" s="67"/>
      <c r="J95" s="67"/>
      <c r="K95" s="67"/>
      <c r="L95" s="67"/>
      <c r="M95" s="67"/>
      <c r="N95" s="67"/>
      <c r="O95" s="67"/>
      <c r="P95" s="174"/>
      <c r="Q95" s="174" t="str">
        <f>IF(Parameters!E94=0,"",Parameters!E94)</f>
        <v/>
      </c>
    </row>
    <row r="96" spans="1:17" s="45" customFormat="1" x14ac:dyDescent="0.3">
      <c r="A96" s="8" t="s">
        <v>201</v>
      </c>
      <c r="B96" s="174" t="s">
        <v>219</v>
      </c>
      <c r="C96" s="174" t="s">
        <v>254</v>
      </c>
      <c r="D96" s="174">
        <v>22</v>
      </c>
      <c r="E96" s="174">
        <v>4</v>
      </c>
      <c r="F96" s="174">
        <v>3</v>
      </c>
      <c r="G96" s="174"/>
      <c r="H96" s="67"/>
      <c r="I96" s="67"/>
      <c r="J96" s="67"/>
      <c r="K96" s="67"/>
      <c r="L96" s="67"/>
      <c r="M96" s="67"/>
      <c r="N96" s="67"/>
      <c r="O96" s="67"/>
      <c r="P96" s="174"/>
      <c r="Q96" s="174" t="str">
        <f>IF(Parameters!E95=0,"",Parameters!E95)</f>
        <v/>
      </c>
    </row>
    <row r="97" spans="1:17" s="45" customFormat="1" x14ac:dyDescent="0.3">
      <c r="A97" s="8" t="s">
        <v>202</v>
      </c>
      <c r="B97" s="174" t="s">
        <v>219</v>
      </c>
      <c r="C97" s="174" t="s">
        <v>254</v>
      </c>
      <c r="D97" s="174">
        <v>1</v>
      </c>
      <c r="E97" s="174">
        <v>3</v>
      </c>
      <c r="F97" s="174">
        <v>2</v>
      </c>
      <c r="G97" s="174"/>
      <c r="H97" s="67"/>
      <c r="I97" s="67"/>
      <c r="J97" s="67"/>
      <c r="K97" s="67"/>
      <c r="L97" s="67"/>
      <c r="M97" s="67"/>
      <c r="N97" s="67"/>
      <c r="O97" s="67"/>
      <c r="P97" s="174"/>
      <c r="Q97" s="174" t="str">
        <f>IF(Parameters!E96=0,"",Parameters!E96)</f>
        <v/>
      </c>
    </row>
    <row r="98" spans="1:17" s="45" customFormat="1" x14ac:dyDescent="0.3">
      <c r="A98" s="8" t="s">
        <v>203</v>
      </c>
      <c r="B98" s="174" t="s">
        <v>219</v>
      </c>
      <c r="C98" s="174" t="s">
        <v>254</v>
      </c>
      <c r="D98" s="174">
        <v>35</v>
      </c>
      <c r="E98" s="174">
        <v>3</v>
      </c>
      <c r="F98" s="174">
        <v>1</v>
      </c>
      <c r="G98" s="174"/>
      <c r="H98" s="67"/>
      <c r="I98" s="67"/>
      <c r="J98" s="67"/>
      <c r="K98" s="67"/>
      <c r="L98" s="67"/>
      <c r="M98" s="67"/>
      <c r="N98" s="67"/>
      <c r="O98" s="67"/>
      <c r="P98" s="174"/>
      <c r="Q98" s="174" t="str">
        <f>IF(Parameters!E97=0,"",Parameters!E97)</f>
        <v/>
      </c>
    </row>
    <row r="99" spans="1:17" s="45" customFormat="1" x14ac:dyDescent="0.3">
      <c r="A99" s="8" t="s">
        <v>204</v>
      </c>
      <c r="B99" s="174" t="s">
        <v>219</v>
      </c>
      <c r="C99" s="174" t="s">
        <v>254</v>
      </c>
      <c r="D99" s="174">
        <v>1</v>
      </c>
      <c r="E99" s="174">
        <v>3</v>
      </c>
      <c r="F99" s="174">
        <v>1</v>
      </c>
      <c r="G99" s="174"/>
      <c r="H99" s="67"/>
      <c r="I99" s="67"/>
      <c r="J99" s="67"/>
      <c r="K99" s="67"/>
      <c r="L99" s="67"/>
      <c r="M99" s="67"/>
      <c r="N99" s="67"/>
      <c r="O99" s="67"/>
      <c r="P99" s="174"/>
      <c r="Q99" s="174" t="str">
        <f>IF(Parameters!E98=0,"",Parameters!E98)</f>
        <v/>
      </c>
    </row>
    <row r="100" spans="1:17" s="45" customFormat="1" x14ac:dyDescent="0.3">
      <c r="A100" s="8" t="s">
        <v>205</v>
      </c>
      <c r="B100" s="174" t="s">
        <v>219</v>
      </c>
      <c r="C100" s="174" t="s">
        <v>254</v>
      </c>
      <c r="D100" s="174">
        <v>2</v>
      </c>
      <c r="E100" s="174">
        <v>4</v>
      </c>
      <c r="F100" s="174">
        <v>3</v>
      </c>
      <c r="G100" s="174"/>
      <c r="H100" s="67"/>
      <c r="I100" s="67"/>
      <c r="J100" s="67"/>
      <c r="K100" s="67"/>
      <c r="L100" s="67"/>
      <c r="M100" s="67"/>
      <c r="N100" s="67"/>
      <c r="O100" s="67"/>
      <c r="P100" s="174"/>
      <c r="Q100" s="174" t="str">
        <f>IF(Parameters!E99=0,"",Parameters!E99)</f>
        <v/>
      </c>
    </row>
    <row r="101" spans="1:17" s="45" customFormat="1" x14ac:dyDescent="0.3">
      <c r="A101" s="8" t="s">
        <v>206</v>
      </c>
      <c r="B101" s="174" t="s">
        <v>242</v>
      </c>
      <c r="C101" s="174" t="s">
        <v>258</v>
      </c>
      <c r="D101" s="174">
        <v>63</v>
      </c>
      <c r="E101" s="174">
        <v>1</v>
      </c>
      <c r="F101" s="174">
        <v>1</v>
      </c>
      <c r="G101" s="174"/>
      <c r="H101" s="67"/>
      <c r="I101" s="67"/>
      <c r="J101" s="67"/>
      <c r="K101" s="67"/>
      <c r="L101" s="67"/>
      <c r="M101" s="67"/>
      <c r="N101" s="67"/>
      <c r="O101" s="67"/>
      <c r="P101" s="174"/>
      <c r="Q101" s="174" t="str">
        <f>IF(Parameters!E100=0,"",Parameters!E100)</f>
        <v/>
      </c>
    </row>
    <row r="102" spans="1:17" s="45" customFormat="1" x14ac:dyDescent="0.3">
      <c r="A102" s="8" t="s">
        <v>207</v>
      </c>
      <c r="B102" s="174" t="s">
        <v>219</v>
      </c>
      <c r="C102" s="174" t="s">
        <v>259</v>
      </c>
      <c r="D102" s="174">
        <v>26</v>
      </c>
      <c r="E102" s="174">
        <v>3</v>
      </c>
      <c r="F102" s="174">
        <v>1</v>
      </c>
      <c r="G102" s="174"/>
      <c r="H102" s="67"/>
      <c r="I102" s="67"/>
      <c r="J102" s="67"/>
      <c r="K102" s="67"/>
      <c r="L102" s="67"/>
      <c r="M102" s="67"/>
      <c r="N102" s="67"/>
      <c r="O102" s="67"/>
      <c r="P102" s="174"/>
      <c r="Q102" s="174" t="str">
        <f>IF(Parameters!E101=0,"",Parameters!E101)</f>
        <v/>
      </c>
    </row>
    <row r="103" spans="1:17" s="45" customFormat="1" x14ac:dyDescent="0.3">
      <c r="A103" s="8" t="s">
        <v>208</v>
      </c>
      <c r="B103" s="174" t="s">
        <v>231</v>
      </c>
      <c r="C103" s="174" t="s">
        <v>51</v>
      </c>
      <c r="D103" s="174">
        <v>777</v>
      </c>
      <c r="E103" s="174">
        <v>3</v>
      </c>
      <c r="F103" s="174">
        <v>2</v>
      </c>
      <c r="G103" s="174"/>
      <c r="H103" s="67"/>
      <c r="I103" s="67"/>
      <c r="J103" s="67"/>
      <c r="K103" s="67"/>
      <c r="L103" s="67"/>
      <c r="M103" s="67"/>
      <c r="N103" s="67"/>
      <c r="O103" s="67"/>
      <c r="P103" s="174"/>
      <c r="Q103" s="174" t="str">
        <f>IF(Parameters!E102=0,"",Parameters!E102)</f>
        <v/>
      </c>
    </row>
    <row r="104" spans="1:17" s="45" customFormat="1" x14ac:dyDescent="0.3">
      <c r="A104" s="8" t="s">
        <v>209</v>
      </c>
      <c r="B104" s="174" t="s">
        <v>231</v>
      </c>
      <c r="C104" s="174" t="s">
        <v>51</v>
      </c>
      <c r="D104" s="174">
        <v>124</v>
      </c>
      <c r="E104" s="174">
        <v>2</v>
      </c>
      <c r="F104" s="174">
        <v>3</v>
      </c>
      <c r="G104" s="174"/>
      <c r="H104" s="67"/>
      <c r="I104" s="67"/>
      <c r="J104" s="67"/>
      <c r="K104" s="67"/>
      <c r="L104" s="67"/>
      <c r="M104" s="67"/>
      <c r="N104" s="67"/>
      <c r="O104" s="67"/>
      <c r="P104" s="174"/>
      <c r="Q104" s="174" t="str">
        <f>IF(Parameters!E103=0,"",Parameters!E103)</f>
        <v/>
      </c>
    </row>
    <row r="105" spans="1:17" s="45" customFormat="1" x14ac:dyDescent="0.3">
      <c r="A105" s="8" t="s">
        <v>210</v>
      </c>
      <c r="B105" s="174" t="s">
        <v>231</v>
      </c>
      <c r="C105" s="174" t="s">
        <v>51</v>
      </c>
      <c r="D105" s="174">
        <v>16</v>
      </c>
      <c r="E105" s="174">
        <v>3</v>
      </c>
      <c r="F105" s="174">
        <v>3</v>
      </c>
      <c r="G105" s="174"/>
      <c r="H105" s="67"/>
      <c r="I105" s="67"/>
      <c r="J105" s="67"/>
      <c r="K105" s="67"/>
      <c r="L105" s="67"/>
      <c r="M105" s="67"/>
      <c r="N105" s="67"/>
      <c r="O105" s="67"/>
      <c r="P105" s="174"/>
      <c r="Q105" s="174" t="str">
        <f>IF(Parameters!E104=0,"",Parameters!E104)</f>
        <v/>
      </c>
    </row>
    <row r="106" spans="1:17" s="45" customFormat="1" x14ac:dyDescent="0.3">
      <c r="A106" s="8" t="s">
        <v>211</v>
      </c>
      <c r="B106" s="174" t="s">
        <v>231</v>
      </c>
      <c r="C106" s="174" t="s">
        <v>51</v>
      </c>
      <c r="D106" s="174">
        <v>94</v>
      </c>
      <c r="E106" s="174">
        <v>4</v>
      </c>
      <c r="F106" s="174">
        <v>1</v>
      </c>
      <c r="G106" s="174"/>
      <c r="H106" s="67"/>
      <c r="I106" s="67"/>
      <c r="J106" s="67"/>
      <c r="K106" s="67"/>
      <c r="L106" s="67"/>
      <c r="M106" s="67"/>
      <c r="N106" s="67"/>
      <c r="O106" s="67"/>
      <c r="P106" s="174"/>
      <c r="Q106" s="174" t="str">
        <f>IF(Parameters!E105=0,"",Parameters!E105)</f>
        <v/>
      </c>
    </row>
    <row r="107" spans="1:17" s="45" customFormat="1" x14ac:dyDescent="0.3">
      <c r="A107" s="8" t="s">
        <v>212</v>
      </c>
      <c r="B107" s="174" t="s">
        <v>219</v>
      </c>
      <c r="C107" s="174" t="s">
        <v>262</v>
      </c>
      <c r="D107" s="174">
        <v>14</v>
      </c>
      <c r="E107" s="174">
        <v>3</v>
      </c>
      <c r="F107" s="174">
        <v>3</v>
      </c>
      <c r="G107" s="174"/>
      <c r="H107" s="67"/>
      <c r="I107" s="67"/>
      <c r="J107" s="67"/>
      <c r="K107" s="67"/>
      <c r="L107" s="67"/>
      <c r="M107" s="67"/>
      <c r="N107" s="67"/>
      <c r="O107" s="67"/>
      <c r="P107" s="174"/>
      <c r="Q107" s="174" t="str">
        <f>IF(Parameters!E106=0,"",Parameters!E106)</f>
        <v/>
      </c>
    </row>
    <row r="108" spans="1:17" s="45" customFormat="1" x14ac:dyDescent="0.3">
      <c r="A108" s="8" t="s">
        <v>213</v>
      </c>
      <c r="B108" s="174" t="s">
        <v>219</v>
      </c>
      <c r="C108" s="174" t="s">
        <v>262</v>
      </c>
      <c r="D108" s="174">
        <v>81</v>
      </c>
      <c r="E108" s="174">
        <v>2</v>
      </c>
      <c r="F108" s="174">
        <v>2</v>
      </c>
      <c r="G108" s="174"/>
      <c r="H108" s="67"/>
      <c r="I108" s="67"/>
      <c r="J108" s="67"/>
      <c r="K108" s="67"/>
      <c r="L108" s="67"/>
      <c r="M108" s="67"/>
      <c r="N108" s="67"/>
      <c r="O108" s="67"/>
      <c r="P108" s="174"/>
      <c r="Q108" s="174" t="str">
        <f>IF(Parameters!E107=0,"",Parameters!E107)</f>
        <v/>
      </c>
    </row>
    <row r="109" spans="1:17" s="45" customFormat="1" x14ac:dyDescent="0.3">
      <c r="A109" s="8" t="s">
        <v>214</v>
      </c>
      <c r="B109" s="174" t="s">
        <v>219</v>
      </c>
      <c r="C109" s="174" t="s">
        <v>262</v>
      </c>
      <c r="D109" s="174">
        <v>87</v>
      </c>
      <c r="E109" s="174">
        <v>1</v>
      </c>
      <c r="F109" s="174">
        <v>3</v>
      </c>
      <c r="G109" s="174"/>
      <c r="H109" s="67"/>
      <c r="I109" s="67"/>
      <c r="J109" s="67"/>
      <c r="K109" s="67"/>
      <c r="L109" s="67"/>
      <c r="M109" s="67"/>
      <c r="N109" s="67"/>
      <c r="O109" s="67"/>
      <c r="P109" s="174"/>
      <c r="Q109" s="174" t="str">
        <f>IF(Parameters!E108=0,"",Parameters!E108)</f>
        <v/>
      </c>
    </row>
    <row r="110" spans="1:17" s="45" customFormat="1" x14ac:dyDescent="0.3">
      <c r="A110" s="8" t="s">
        <v>215</v>
      </c>
      <c r="B110" s="174" t="s">
        <v>219</v>
      </c>
      <c r="C110" s="174" t="s">
        <v>262</v>
      </c>
      <c r="D110" s="174">
        <v>254</v>
      </c>
      <c r="E110" s="174">
        <v>3</v>
      </c>
      <c r="F110" s="174">
        <v>2</v>
      </c>
      <c r="G110" s="174"/>
      <c r="H110" s="67"/>
      <c r="I110" s="67"/>
      <c r="J110" s="67"/>
      <c r="K110" s="67"/>
      <c r="L110" s="67"/>
      <c r="M110" s="67"/>
      <c r="N110" s="67"/>
      <c r="O110" s="67"/>
      <c r="P110" s="174"/>
      <c r="Q110" s="174" t="str">
        <f>IF(Parameters!E109=0,"",Parameters!E109)</f>
        <v/>
      </c>
    </row>
    <row r="111" spans="1:17" s="45" customFormat="1" x14ac:dyDescent="0.3">
      <c r="A111" s="8" t="s">
        <v>216</v>
      </c>
      <c r="B111" s="174" t="s">
        <v>219</v>
      </c>
      <c r="C111" s="174" t="s">
        <v>262</v>
      </c>
      <c r="D111" s="174">
        <v>51</v>
      </c>
      <c r="E111" s="174">
        <v>3</v>
      </c>
      <c r="F111" s="174">
        <v>3</v>
      </c>
      <c r="G111" s="174"/>
      <c r="H111" s="67"/>
      <c r="I111" s="67"/>
      <c r="J111" s="67"/>
      <c r="K111" s="67"/>
      <c r="L111" s="67"/>
      <c r="M111" s="67"/>
      <c r="N111" s="67"/>
      <c r="O111" s="67"/>
      <c r="P111" s="174"/>
      <c r="Q111" s="174" t="str">
        <f>IF(Parameters!E110=0,"",Parameters!E110)</f>
        <v/>
      </c>
    </row>
    <row r="112" spans="1:17" s="45" customFormat="1" x14ac:dyDescent="0.3">
      <c r="A112" s="8" t="s">
        <v>217</v>
      </c>
      <c r="B112" s="174" t="s">
        <v>231</v>
      </c>
      <c r="C112" s="174" t="s">
        <v>266</v>
      </c>
      <c r="D112" s="174">
        <v>22</v>
      </c>
      <c r="E112" s="174">
        <v>2</v>
      </c>
      <c r="F112" s="174">
        <v>3</v>
      </c>
      <c r="G112" s="174"/>
      <c r="H112" s="67"/>
      <c r="I112" s="67"/>
      <c r="J112" s="67"/>
      <c r="K112" s="67"/>
      <c r="L112" s="67"/>
      <c r="M112" s="67"/>
      <c r="N112" s="67"/>
      <c r="O112" s="67"/>
      <c r="P112" s="174"/>
      <c r="Q112" s="174" t="str">
        <f>IF(Parameters!E111=0,"",Parameters!E111)</f>
        <v/>
      </c>
    </row>
    <row r="113" spans="1:17" s="45" customFormat="1" x14ac:dyDescent="0.3">
      <c r="A113" s="8" t="s">
        <v>218</v>
      </c>
      <c r="B113" s="174" t="s">
        <v>231</v>
      </c>
      <c r="C113" s="174" t="s">
        <v>257</v>
      </c>
      <c r="D113" s="174">
        <v>0</v>
      </c>
      <c r="E113" s="174">
        <v>1</v>
      </c>
      <c r="F113" s="174">
        <v>3</v>
      </c>
      <c r="G113" s="174"/>
      <c r="H113" s="67"/>
      <c r="I113" s="67"/>
      <c r="J113" s="67"/>
      <c r="K113" s="67"/>
      <c r="L113" s="67"/>
      <c r="M113" s="67"/>
      <c r="N113" s="67"/>
      <c r="O113" s="67"/>
      <c r="P113" s="174"/>
      <c r="Q113" s="174" t="str">
        <f>IF(Parameters!E112=0,"",Parameters!E112)</f>
        <v/>
      </c>
    </row>
    <row r="114" spans="1:17" x14ac:dyDescent="0.3">
      <c r="Q114" s="174" t="str">
        <f>IF(Parameters!E113=0,"",Parameters!E113)</f>
        <v/>
      </c>
    </row>
    <row r="115" spans="1:17" x14ac:dyDescent="0.3">
      <c r="Q115" s="174" t="str">
        <f>IF(Parameters!E114=0,"",Parameters!E114)</f>
        <v/>
      </c>
    </row>
    <row r="116" spans="1:17" x14ac:dyDescent="0.3">
      <c r="Q116" s="174" t="str">
        <f>IF(Parameters!E115=0,"",Parameters!E115)</f>
        <v/>
      </c>
    </row>
    <row r="117" spans="1:17" x14ac:dyDescent="0.3">
      <c r="Q117" s="174" t="str">
        <f>IF(Parameters!E116=0,"",Parameters!E116)</f>
        <v/>
      </c>
    </row>
    <row r="118" spans="1:17" x14ac:dyDescent="0.3">
      <c r="Q118" s="174" t="str">
        <f>IF(Parameters!E117=0,"",Parameters!E117)</f>
        <v/>
      </c>
    </row>
    <row r="119" spans="1:17" x14ac:dyDescent="0.3">
      <c r="Q119" s="174" t="str">
        <f>IF(Parameters!E118=0,"",Parameters!E118)</f>
        <v/>
      </c>
    </row>
    <row r="120" spans="1:17" x14ac:dyDescent="0.3">
      <c r="Q120" s="174" t="str">
        <f>IF(Parameters!E119=0,"",Parameters!E119)</f>
        <v/>
      </c>
    </row>
    <row r="121" spans="1:17" x14ac:dyDescent="0.3">
      <c r="Q121" s="174" t="str">
        <f>IF(Parameters!E120=0,"",Parameters!E120)</f>
        <v/>
      </c>
    </row>
    <row r="122" spans="1:17" x14ac:dyDescent="0.3">
      <c r="Q122" s="174" t="str">
        <f>IF(Parameters!E121=0,"",Parameters!E121)</f>
        <v/>
      </c>
    </row>
    <row r="123" spans="1:17" x14ac:dyDescent="0.3">
      <c r="Q123" s="174" t="str">
        <f>IF(Parameters!E122=0,"",Parameters!E122)</f>
        <v/>
      </c>
    </row>
    <row r="124" spans="1:17" x14ac:dyDescent="0.3">
      <c r="Q124" s="174" t="str">
        <f>IF(Parameters!E123=0,"",Parameters!E123)</f>
        <v/>
      </c>
    </row>
    <row r="125" spans="1:17" x14ac:dyDescent="0.3">
      <c r="Q125" s="174" t="str">
        <f>IF(Parameters!E124=0,"",Parameters!E124)</f>
        <v/>
      </c>
    </row>
    <row r="126" spans="1:17" x14ac:dyDescent="0.3">
      <c r="Q126" s="174" t="str">
        <f>IF(Parameters!E125=0,"",Parameters!E125)</f>
        <v/>
      </c>
    </row>
    <row r="127" spans="1:17" x14ac:dyDescent="0.3">
      <c r="Q127" s="174" t="str">
        <f>IF(Parameters!E126=0,"",Parameters!E126)</f>
        <v/>
      </c>
    </row>
    <row r="128" spans="1:17" x14ac:dyDescent="0.3">
      <c r="Q128" s="174" t="str">
        <f>IF(Parameters!E127=0,"",Parameters!E127)</f>
        <v/>
      </c>
    </row>
    <row r="129" spans="17:17" x14ac:dyDescent="0.3">
      <c r="Q129" s="174" t="str">
        <f>IF(Parameters!E128=0,"",Parameters!E128)</f>
        <v/>
      </c>
    </row>
    <row r="130" spans="17:17" x14ac:dyDescent="0.3">
      <c r="Q130" s="174" t="str">
        <f>IF(Parameters!E129=0,"",Parameters!E129)</f>
        <v/>
      </c>
    </row>
    <row r="131" spans="17:17" x14ac:dyDescent="0.3">
      <c r="Q131" s="174" t="str">
        <f>IF(Parameters!E130=0,"",Parameters!E130)</f>
        <v/>
      </c>
    </row>
    <row r="132" spans="17:17" x14ac:dyDescent="0.3">
      <c r="Q132" s="174" t="str">
        <f>IF(Parameters!E131=0,"",Parameters!E131)</f>
        <v/>
      </c>
    </row>
    <row r="133" spans="17:17" x14ac:dyDescent="0.3">
      <c r="Q133" s="174" t="str">
        <f>IF(Parameters!E132=0,"",Parameters!E132)</f>
        <v/>
      </c>
    </row>
    <row r="134" spans="17:17" x14ac:dyDescent="0.3">
      <c r="Q134" s="174" t="str">
        <f>IF(Parameters!E133=0,"",Parameters!E133)</f>
        <v/>
      </c>
    </row>
    <row r="135" spans="17:17" x14ac:dyDescent="0.3">
      <c r="Q135" s="174" t="str">
        <f>IF(Parameters!E134=0,"",Parameters!E134)</f>
        <v/>
      </c>
    </row>
    <row r="136" spans="17:17" x14ac:dyDescent="0.3">
      <c r="Q136" s="174" t="str">
        <f>IF(Parameters!E135=0,"",Parameters!E135)</f>
        <v/>
      </c>
    </row>
    <row r="137" spans="17:17" x14ac:dyDescent="0.3">
      <c r="Q137" s="174" t="str">
        <f>IF(Parameters!E136=0,"",Parameters!E136)</f>
        <v/>
      </c>
    </row>
    <row r="138" spans="17:17" x14ac:dyDescent="0.3">
      <c r="Q138" s="174" t="str">
        <f>IF(Parameters!E137=0,"",Parameters!E137)</f>
        <v/>
      </c>
    </row>
    <row r="139" spans="17:17" x14ac:dyDescent="0.3">
      <c r="Q139" s="174" t="str">
        <f>IF(Parameters!E138=0,"",Parameters!E138)</f>
        <v/>
      </c>
    </row>
    <row r="140" spans="17:17" x14ac:dyDescent="0.3">
      <c r="Q140" s="174" t="str">
        <f>IF(Parameters!E139=0,"",Parameters!E139)</f>
        <v/>
      </c>
    </row>
    <row r="141" spans="17:17" x14ac:dyDescent="0.3">
      <c r="Q141" s="174" t="str">
        <f>IF(Parameters!E140=0,"",Parameters!E140)</f>
        <v/>
      </c>
    </row>
    <row r="142" spans="17:17" x14ac:dyDescent="0.3">
      <c r="Q142" s="174" t="str">
        <f>IF(Parameters!E141=0,"",Parameters!E141)</f>
        <v/>
      </c>
    </row>
    <row r="143" spans="17:17" x14ac:dyDescent="0.3">
      <c r="Q143" s="174" t="str">
        <f>IF(Parameters!E142=0,"",Parameters!E142)</f>
        <v/>
      </c>
    </row>
    <row r="144" spans="17:17" x14ac:dyDescent="0.3">
      <c r="Q144" s="174" t="str">
        <f>IF(Parameters!E143=0,"",Parameters!E143)</f>
        <v/>
      </c>
    </row>
    <row r="145" spans="17:17" x14ac:dyDescent="0.3">
      <c r="Q145" s="174" t="str">
        <f>IF(Parameters!E144=0,"",Parameters!E144)</f>
        <v/>
      </c>
    </row>
    <row r="146" spans="17:17" x14ac:dyDescent="0.3">
      <c r="Q146" s="174" t="str">
        <f>IF(Parameters!E145=0,"",Parameters!E145)</f>
        <v/>
      </c>
    </row>
    <row r="147" spans="17:17" x14ac:dyDescent="0.3">
      <c r="Q147" s="174" t="str">
        <f>IF(Parameters!E146=0,"",Parameters!E146)</f>
        <v/>
      </c>
    </row>
    <row r="148" spans="17:17" x14ac:dyDescent="0.3">
      <c r="Q148" s="174" t="str">
        <f>IF(Parameters!E147=0,"",Parameters!E147)</f>
        <v/>
      </c>
    </row>
    <row r="149" spans="17:17" x14ac:dyDescent="0.3">
      <c r="Q149" s="174" t="str">
        <f>IF(Parameters!E148=0,"",Parameters!E148)</f>
        <v/>
      </c>
    </row>
    <row r="150" spans="17:17" x14ac:dyDescent="0.3">
      <c r="Q150" s="174" t="str">
        <f>IF(Parameters!E149=0,"",Parameters!E149)</f>
        <v/>
      </c>
    </row>
    <row r="151" spans="17:17" x14ac:dyDescent="0.3">
      <c r="Q151" s="174" t="str">
        <f>IF(Parameters!E150=0,"",Parameters!E150)</f>
        <v/>
      </c>
    </row>
    <row r="152" spans="17:17" x14ac:dyDescent="0.3">
      <c r="Q152" s="174" t="str">
        <f>IF(Parameters!E151=0,"",Parameters!E151)</f>
        <v/>
      </c>
    </row>
    <row r="153" spans="17:17" x14ac:dyDescent="0.3">
      <c r="Q153" s="174" t="str">
        <f>IF(Parameters!E152=0,"",Parameters!E152)</f>
        <v/>
      </c>
    </row>
    <row r="154" spans="17:17" x14ac:dyDescent="0.3">
      <c r="Q154" s="174" t="str">
        <f>IF(Parameters!E153=0,"",Parameters!E153)</f>
        <v/>
      </c>
    </row>
    <row r="155" spans="17:17" x14ac:dyDescent="0.3">
      <c r="Q155" s="174" t="str">
        <f>IF(Parameters!E154=0,"",Parameters!E154)</f>
        <v/>
      </c>
    </row>
    <row r="156" spans="17:17" x14ac:dyDescent="0.3">
      <c r="Q156" s="174" t="str">
        <f>IF(Parameters!E155=0,"",Parameters!E155)</f>
        <v/>
      </c>
    </row>
    <row r="157" spans="17:17" x14ac:dyDescent="0.3">
      <c r="Q157" s="174" t="str">
        <f>IF(Parameters!E156=0,"",Parameters!E156)</f>
        <v/>
      </c>
    </row>
    <row r="158" spans="17:17" x14ac:dyDescent="0.3">
      <c r="Q158" s="174" t="str">
        <f>IF(Parameters!E157=0,"",Parameters!E157)</f>
        <v/>
      </c>
    </row>
    <row r="159" spans="17:17" x14ac:dyDescent="0.3">
      <c r="Q159" s="174" t="str">
        <f>IF(Parameters!E158=0,"",Parameters!E158)</f>
        <v/>
      </c>
    </row>
    <row r="160" spans="17:17" x14ac:dyDescent="0.3">
      <c r="Q160" s="174" t="str">
        <f>IF(Parameters!E159=0,"",Parameters!E159)</f>
        <v/>
      </c>
    </row>
    <row r="161" spans="17:17" x14ac:dyDescent="0.3">
      <c r="Q161" s="174" t="str">
        <f>IF(Parameters!E160=0,"",Parameters!E160)</f>
        <v/>
      </c>
    </row>
    <row r="162" spans="17:17" x14ac:dyDescent="0.3">
      <c r="Q162" s="174" t="str">
        <f>IF(Parameters!E161=0,"",Parameters!E161)</f>
        <v/>
      </c>
    </row>
    <row r="163" spans="17:17" x14ac:dyDescent="0.3">
      <c r="Q163" s="174" t="str">
        <f>IF(Parameters!E162=0,"",Parameters!E162)</f>
        <v/>
      </c>
    </row>
    <row r="164" spans="17:17" x14ac:dyDescent="0.3">
      <c r="Q164" s="174" t="str">
        <f>IF(Parameters!E163=0,"",Parameters!E163)</f>
        <v/>
      </c>
    </row>
    <row r="165" spans="17:17" x14ac:dyDescent="0.3">
      <c r="Q165" s="174" t="str">
        <f>IF(Parameters!E164=0,"",Parameters!E164)</f>
        <v/>
      </c>
    </row>
    <row r="166" spans="17:17" x14ac:dyDescent="0.3">
      <c r="Q166" s="174" t="str">
        <f>IF(Parameters!E165=0,"",Parameters!E165)</f>
        <v/>
      </c>
    </row>
    <row r="167" spans="17:17" x14ac:dyDescent="0.3">
      <c r="Q167" s="174" t="str">
        <f>IF(Parameters!E166=0,"",Parameters!E166)</f>
        <v/>
      </c>
    </row>
    <row r="168" spans="17:17" x14ac:dyDescent="0.3">
      <c r="Q168" s="174" t="str">
        <f>IF(Parameters!E167=0,"",Parameters!E167)</f>
        <v/>
      </c>
    </row>
    <row r="169" spans="17:17" x14ac:dyDescent="0.3">
      <c r="Q169" s="174" t="str">
        <f>IF(Parameters!E168=0,"",Parameters!E168)</f>
        <v/>
      </c>
    </row>
    <row r="170" spans="17:17" x14ac:dyDescent="0.3">
      <c r="Q170" s="174" t="str">
        <f>IF(Parameters!E169=0,"",Parameters!E169)</f>
        <v/>
      </c>
    </row>
    <row r="171" spans="17:17" x14ac:dyDescent="0.3">
      <c r="Q171" s="174" t="str">
        <f>IF(Parameters!E170=0,"",Parameters!E170)</f>
        <v/>
      </c>
    </row>
    <row r="172" spans="17:17" x14ac:dyDescent="0.3">
      <c r="Q172" s="174" t="str">
        <f>IF(Parameters!E171=0,"",Parameters!E171)</f>
        <v/>
      </c>
    </row>
    <row r="173" spans="17:17" x14ac:dyDescent="0.3">
      <c r="Q173" s="174" t="str">
        <f>IF(Parameters!E172=0,"",Parameters!E172)</f>
        <v/>
      </c>
    </row>
    <row r="174" spans="17:17" x14ac:dyDescent="0.3">
      <c r="Q174" s="174" t="str">
        <f>IF(Parameters!E173=0,"",Parameters!E173)</f>
        <v/>
      </c>
    </row>
    <row r="175" spans="17:17" x14ac:dyDescent="0.3">
      <c r="Q175" s="174" t="str">
        <f>IF(Parameters!E174=0,"",Parameters!E174)</f>
        <v/>
      </c>
    </row>
    <row r="176" spans="17:17" x14ac:dyDescent="0.3">
      <c r="Q176" s="174" t="str">
        <f>IF(Parameters!E175=0,"",Parameters!E175)</f>
        <v/>
      </c>
    </row>
    <row r="177" spans="17:17" x14ac:dyDescent="0.3">
      <c r="Q177" s="174" t="str">
        <f>IF(Parameters!E176=0,"",Parameters!E176)</f>
        <v/>
      </c>
    </row>
    <row r="178" spans="17:17" x14ac:dyDescent="0.3">
      <c r="Q178" s="174" t="str">
        <f>IF(Parameters!E177=0,"",Parameters!E177)</f>
        <v/>
      </c>
    </row>
    <row r="179" spans="17:17" x14ac:dyDescent="0.3">
      <c r="Q179" s="174" t="str">
        <f>IF(Parameters!E178=0,"",Parameters!E178)</f>
        <v/>
      </c>
    </row>
    <row r="180" spans="17:17" x14ac:dyDescent="0.3">
      <c r="Q180" s="174" t="str">
        <f>IF(Parameters!E179=0,"",Parameters!E179)</f>
        <v/>
      </c>
    </row>
    <row r="181" spans="17:17" x14ac:dyDescent="0.3">
      <c r="Q181" s="174" t="str">
        <f>IF(Parameters!E180=0,"",Parameters!E180)</f>
        <v/>
      </c>
    </row>
    <row r="182" spans="17:17" x14ac:dyDescent="0.3">
      <c r="Q182" s="174" t="str">
        <f>IF(Parameters!E181=0,"",Parameters!E181)</f>
        <v/>
      </c>
    </row>
    <row r="183" spans="17:17" x14ac:dyDescent="0.3">
      <c r="Q183" s="174" t="str">
        <f>IF(Parameters!E182=0,"",Parameters!E182)</f>
        <v/>
      </c>
    </row>
    <row r="184" spans="17:17" x14ac:dyDescent="0.3">
      <c r="Q184" s="174" t="str">
        <f>IF(Parameters!E183=0,"",Parameters!E183)</f>
        <v/>
      </c>
    </row>
    <row r="185" spans="17:17" x14ac:dyDescent="0.3">
      <c r="Q185" s="174" t="str">
        <f>IF(Parameters!E184=0,"",Parameters!E184)</f>
        <v/>
      </c>
    </row>
    <row r="186" spans="17:17" x14ac:dyDescent="0.3">
      <c r="Q186" s="174" t="str">
        <f>IF(Parameters!E185=0,"",Parameters!E185)</f>
        <v/>
      </c>
    </row>
    <row r="187" spans="17:17" x14ac:dyDescent="0.3">
      <c r="Q187" s="174" t="str">
        <f>IF(Parameters!E186=0,"",Parameters!E186)</f>
        <v/>
      </c>
    </row>
    <row r="188" spans="17:17" x14ac:dyDescent="0.3">
      <c r="Q188" s="174" t="str">
        <f>IF(Parameters!E187=0,"",Parameters!E187)</f>
        <v/>
      </c>
    </row>
    <row r="189" spans="17:17" x14ac:dyDescent="0.3">
      <c r="Q189" s="174" t="str">
        <f>IF(Parameters!E188=0,"",Parameters!E188)</f>
        <v/>
      </c>
    </row>
    <row r="190" spans="17:17" x14ac:dyDescent="0.3">
      <c r="Q190" s="174" t="str">
        <f>IF(Parameters!E189=0,"",Parameters!E189)</f>
        <v/>
      </c>
    </row>
    <row r="191" spans="17:17" x14ac:dyDescent="0.3">
      <c r="Q191" s="174" t="str">
        <f>IF(Parameters!E190=0,"",Parameters!E190)</f>
        <v/>
      </c>
    </row>
    <row r="192" spans="17:17" x14ac:dyDescent="0.3">
      <c r="Q192" s="174" t="str">
        <f>IF(Parameters!E191=0,"",Parameters!E191)</f>
        <v/>
      </c>
    </row>
    <row r="193" spans="17:17" x14ac:dyDescent="0.3">
      <c r="Q193" s="174" t="str">
        <f>IF(Parameters!E192=0,"",Parameters!E192)</f>
        <v/>
      </c>
    </row>
    <row r="194" spans="17:17" x14ac:dyDescent="0.3">
      <c r="Q194" s="174" t="str">
        <f>IF(Parameters!E193=0,"",Parameters!E193)</f>
        <v/>
      </c>
    </row>
    <row r="195" spans="17:17" x14ac:dyDescent="0.3">
      <c r="Q195" s="174" t="str">
        <f>IF(Parameters!E194=0,"",Parameters!E194)</f>
        <v/>
      </c>
    </row>
    <row r="196" spans="17:17" x14ac:dyDescent="0.3">
      <c r="Q196" s="174" t="str">
        <f>IF(Parameters!E195=0,"",Parameters!E195)</f>
        <v/>
      </c>
    </row>
    <row r="197" spans="17:17" x14ac:dyDescent="0.3">
      <c r="Q197" s="174" t="str">
        <f>IF(Parameters!E196=0,"",Parameters!E196)</f>
        <v/>
      </c>
    </row>
    <row r="198" spans="17:17" x14ac:dyDescent="0.3">
      <c r="Q198" s="174" t="str">
        <f>IF(Parameters!E197=0,"",Parameters!E197)</f>
        <v/>
      </c>
    </row>
    <row r="199" spans="17:17" x14ac:dyDescent="0.3">
      <c r="Q199" s="174" t="str">
        <f>IF(Parameters!E198=0,"",Parameters!E198)</f>
        <v/>
      </c>
    </row>
    <row r="200" spans="17:17" x14ac:dyDescent="0.3">
      <c r="Q200" s="174" t="str">
        <f>IF(Parameters!E199=0,"",Parameters!E199)</f>
        <v/>
      </c>
    </row>
  </sheetData>
  <sortState xmlns:xlrd2="http://schemas.microsoft.com/office/spreadsheetml/2017/richdata2" ref="L2:M1048576">
    <sortCondition ref="L2:L1048576"/>
  </sortState>
  <mergeCells count="1">
    <mergeCell ref="J3:N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E4480-96F4-4602-87A6-9EDF5F089C1E}">
  <sheetPr codeName="Sheet8">
    <tabColor rgb="FFFF0000"/>
  </sheetPr>
  <dimension ref="A1:V58"/>
  <sheetViews>
    <sheetView topLeftCell="A48" workbookViewId="0">
      <selection activeCell="E46" sqref="E46:I49"/>
    </sheetView>
  </sheetViews>
  <sheetFormatPr defaultRowHeight="14.4" x14ac:dyDescent="0.3"/>
  <sheetData>
    <row r="1" spans="1:22" x14ac:dyDescent="0.3">
      <c r="A1" s="381" t="s">
        <v>136</v>
      </c>
      <c r="B1" s="382"/>
      <c r="C1" s="383"/>
      <c r="D1" s="381" t="s">
        <v>137</v>
      </c>
      <c r="E1" s="382"/>
      <c r="F1" s="382"/>
      <c r="G1" s="382"/>
      <c r="H1" s="382"/>
      <c r="I1" s="382"/>
      <c r="J1" s="382"/>
      <c r="K1" s="382"/>
      <c r="L1" s="382"/>
      <c r="M1" s="382"/>
      <c r="N1" s="382"/>
      <c r="O1" s="382"/>
      <c r="P1" s="382"/>
      <c r="Q1" s="382"/>
      <c r="R1" s="382"/>
      <c r="S1" s="382"/>
      <c r="T1" s="382"/>
      <c r="U1" s="382"/>
      <c r="V1" s="383"/>
    </row>
    <row r="2" spans="1:22" ht="15" thickBot="1" x14ac:dyDescent="0.35">
      <c r="A2" s="384"/>
      <c r="B2" s="385"/>
      <c r="C2" s="386"/>
      <c r="D2" s="384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  <c r="S2" s="385"/>
      <c r="T2" s="385"/>
      <c r="U2" s="385"/>
      <c r="V2" s="386"/>
    </row>
    <row r="3" spans="1:22" x14ac:dyDescent="0.3">
      <c r="A3" s="372" t="s">
        <v>139</v>
      </c>
      <c r="B3" s="373"/>
      <c r="C3" s="374"/>
      <c r="D3" s="219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1"/>
    </row>
    <row r="4" spans="1:22" ht="14.4" customHeight="1" x14ac:dyDescent="0.3">
      <c r="A4" s="375"/>
      <c r="B4" s="376"/>
      <c r="C4" s="377"/>
      <c r="D4" s="222"/>
      <c r="E4" s="387" t="s">
        <v>402</v>
      </c>
      <c r="F4" s="387"/>
      <c r="G4" s="387"/>
      <c r="H4" s="387"/>
      <c r="I4" s="387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223"/>
    </row>
    <row r="5" spans="1:22" ht="14.4" customHeight="1" x14ac:dyDescent="0.3">
      <c r="A5" s="375"/>
      <c r="B5" s="376"/>
      <c r="C5" s="377"/>
      <c r="D5" s="222"/>
      <c r="E5" s="387"/>
      <c r="F5" s="387"/>
      <c r="G5" s="387"/>
      <c r="H5" s="387"/>
      <c r="I5" s="387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223"/>
    </row>
    <row r="6" spans="1:22" ht="14.4" customHeight="1" x14ac:dyDescent="0.3">
      <c r="A6" s="375"/>
      <c r="B6" s="376"/>
      <c r="C6" s="377"/>
      <c r="D6" s="222"/>
      <c r="E6" s="387"/>
      <c r="F6" s="387"/>
      <c r="G6" s="387"/>
      <c r="H6" s="387"/>
      <c r="I6" s="387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223"/>
    </row>
    <row r="7" spans="1:22" ht="14.4" customHeight="1" x14ac:dyDescent="0.3">
      <c r="A7" s="375"/>
      <c r="B7" s="376"/>
      <c r="C7" s="377"/>
      <c r="D7" s="222"/>
      <c r="E7" s="387"/>
      <c r="F7" s="387"/>
      <c r="G7" s="387"/>
      <c r="H7" s="387"/>
      <c r="I7" s="387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223"/>
    </row>
    <row r="8" spans="1:22" ht="14.4" customHeight="1" x14ac:dyDescent="0.3">
      <c r="A8" s="375"/>
      <c r="B8" s="376"/>
      <c r="C8" s="377"/>
      <c r="D8" s="222"/>
      <c r="E8" s="388"/>
      <c r="F8" s="388"/>
      <c r="G8" s="38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223"/>
    </row>
    <row r="9" spans="1:22" ht="14.4" customHeight="1" x14ac:dyDescent="0.3">
      <c r="A9" s="375"/>
      <c r="B9" s="376"/>
      <c r="C9" s="377"/>
      <c r="D9" s="222"/>
      <c r="E9" s="388"/>
      <c r="F9" s="388"/>
      <c r="G9" s="38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223"/>
    </row>
    <row r="10" spans="1:22" ht="14.4" customHeight="1" x14ac:dyDescent="0.3">
      <c r="A10" s="375"/>
      <c r="B10" s="376"/>
      <c r="C10" s="377"/>
      <c r="D10" s="222"/>
      <c r="E10" s="388"/>
      <c r="F10" s="388"/>
      <c r="G10" s="38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223"/>
    </row>
    <row r="11" spans="1:22" ht="14.4" customHeight="1" x14ac:dyDescent="0.3">
      <c r="A11" s="375"/>
      <c r="B11" s="376"/>
      <c r="C11" s="377"/>
      <c r="D11" s="222"/>
      <c r="E11" s="388"/>
      <c r="F11" s="388"/>
      <c r="G11" s="38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223"/>
    </row>
    <row r="12" spans="1:22" ht="14.4" customHeight="1" x14ac:dyDescent="0.3">
      <c r="A12" s="375"/>
      <c r="B12" s="376"/>
      <c r="C12" s="377"/>
      <c r="D12" s="222"/>
      <c r="E12" s="388"/>
      <c r="F12" s="388"/>
      <c r="G12" s="38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223"/>
    </row>
    <row r="13" spans="1:22" ht="14.4" customHeight="1" x14ac:dyDescent="0.3">
      <c r="A13" s="375"/>
      <c r="B13" s="376"/>
      <c r="C13" s="377"/>
      <c r="D13" s="222"/>
      <c r="E13" s="388"/>
      <c r="F13" s="388"/>
      <c r="G13" s="38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223"/>
    </row>
    <row r="14" spans="1:22" ht="14.4" customHeight="1" x14ac:dyDescent="0.3">
      <c r="A14" s="375"/>
      <c r="B14" s="376"/>
      <c r="C14" s="377"/>
      <c r="D14" s="222"/>
      <c r="E14" s="388"/>
      <c r="F14" s="388"/>
      <c r="G14" s="38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223"/>
    </row>
    <row r="15" spans="1:22" x14ac:dyDescent="0.3">
      <c r="A15" s="375"/>
      <c r="B15" s="376"/>
      <c r="C15" s="377"/>
      <c r="D15" s="222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223"/>
    </row>
    <row r="16" spans="1:22" ht="15" thickBot="1" x14ac:dyDescent="0.35">
      <c r="A16" s="378"/>
      <c r="B16" s="379"/>
      <c r="C16" s="380"/>
      <c r="D16" s="224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6"/>
    </row>
    <row r="17" spans="1:22" x14ac:dyDescent="0.3">
      <c r="A17" s="372" t="s">
        <v>138</v>
      </c>
      <c r="B17" s="373"/>
      <c r="C17" s="374"/>
      <c r="D17" s="219"/>
      <c r="E17" s="220"/>
      <c r="F17" s="220"/>
      <c r="G17" s="220"/>
      <c r="H17" s="220"/>
      <c r="I17" s="220"/>
      <c r="J17" s="220"/>
      <c r="K17" s="220"/>
      <c r="L17" s="220"/>
      <c r="M17" s="220"/>
      <c r="N17" s="220"/>
      <c r="O17" s="220"/>
      <c r="P17" s="220"/>
      <c r="Q17" s="220"/>
      <c r="R17" s="220"/>
      <c r="S17" s="220"/>
      <c r="T17" s="220"/>
      <c r="U17" s="220"/>
      <c r="V17" s="221"/>
    </row>
    <row r="18" spans="1:22" x14ac:dyDescent="0.3">
      <c r="A18" s="375"/>
      <c r="B18" s="376"/>
      <c r="C18" s="377"/>
      <c r="D18" s="222"/>
      <c r="E18" s="387" t="s">
        <v>402</v>
      </c>
      <c r="F18" s="387"/>
      <c r="G18" s="387"/>
      <c r="H18" s="387"/>
      <c r="I18" s="387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223"/>
    </row>
    <row r="19" spans="1:22" x14ac:dyDescent="0.3">
      <c r="A19" s="375"/>
      <c r="B19" s="376"/>
      <c r="C19" s="377"/>
      <c r="D19" s="222"/>
      <c r="E19" s="387"/>
      <c r="F19" s="387"/>
      <c r="G19" s="387"/>
      <c r="H19" s="387"/>
      <c r="I19" s="387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223"/>
    </row>
    <row r="20" spans="1:22" x14ac:dyDescent="0.3">
      <c r="A20" s="375"/>
      <c r="B20" s="376"/>
      <c r="C20" s="377"/>
      <c r="D20" s="222"/>
      <c r="E20" s="387"/>
      <c r="F20" s="387"/>
      <c r="G20" s="387"/>
      <c r="H20" s="387"/>
      <c r="I20" s="387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223"/>
    </row>
    <row r="21" spans="1:22" x14ac:dyDescent="0.3">
      <c r="A21" s="375"/>
      <c r="B21" s="376"/>
      <c r="C21" s="377"/>
      <c r="D21" s="222"/>
      <c r="E21" s="387"/>
      <c r="F21" s="387"/>
      <c r="G21" s="387"/>
      <c r="H21" s="387"/>
      <c r="I21" s="387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223"/>
    </row>
    <row r="22" spans="1:22" x14ac:dyDescent="0.3">
      <c r="A22" s="375"/>
      <c r="B22" s="376"/>
      <c r="C22" s="377"/>
      <c r="D22" s="222"/>
      <c r="E22" s="67"/>
      <c r="F22" s="67"/>
      <c r="G22" s="67"/>
      <c r="H22" s="67"/>
      <c r="I22" s="67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223"/>
    </row>
    <row r="23" spans="1:22" x14ac:dyDescent="0.3">
      <c r="A23" s="375"/>
      <c r="B23" s="376"/>
      <c r="C23" s="377"/>
      <c r="D23" s="222"/>
      <c r="E23" s="67"/>
      <c r="F23" s="67"/>
      <c r="G23" s="67"/>
      <c r="H23" s="67"/>
      <c r="I23" s="67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223"/>
    </row>
    <row r="24" spans="1:22" x14ac:dyDescent="0.3">
      <c r="A24" s="375"/>
      <c r="B24" s="376"/>
      <c r="C24" s="377"/>
      <c r="D24" s="222"/>
      <c r="E24" s="67"/>
      <c r="F24" s="67"/>
      <c r="G24" s="67"/>
      <c r="H24" s="67"/>
      <c r="I24" s="67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223"/>
    </row>
    <row r="25" spans="1:22" x14ac:dyDescent="0.3">
      <c r="A25" s="375"/>
      <c r="B25" s="376"/>
      <c r="C25" s="377"/>
      <c r="D25" s="222"/>
      <c r="E25" s="67"/>
      <c r="F25" s="67"/>
      <c r="G25" s="67"/>
      <c r="H25" s="67"/>
      <c r="I25" s="67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223"/>
    </row>
    <row r="26" spans="1:22" x14ac:dyDescent="0.3">
      <c r="A26" s="375"/>
      <c r="B26" s="376"/>
      <c r="C26" s="377"/>
      <c r="D26" s="222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223"/>
    </row>
    <row r="27" spans="1:22" x14ac:dyDescent="0.3">
      <c r="A27" s="375"/>
      <c r="B27" s="376"/>
      <c r="C27" s="377"/>
      <c r="D27" s="222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223"/>
    </row>
    <row r="28" spans="1:22" x14ac:dyDescent="0.3">
      <c r="A28" s="375"/>
      <c r="B28" s="376"/>
      <c r="C28" s="377"/>
      <c r="D28" s="222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223"/>
    </row>
    <row r="29" spans="1:22" x14ac:dyDescent="0.3">
      <c r="A29" s="375"/>
      <c r="B29" s="376"/>
      <c r="C29" s="377"/>
      <c r="D29" s="222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223"/>
    </row>
    <row r="30" spans="1:22" ht="15" thickBot="1" x14ac:dyDescent="0.35">
      <c r="A30" s="378"/>
      <c r="B30" s="379"/>
      <c r="C30" s="380"/>
      <c r="D30" s="224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6"/>
    </row>
    <row r="31" spans="1:22" x14ac:dyDescent="0.3">
      <c r="A31" s="372" t="s">
        <v>2</v>
      </c>
      <c r="B31" s="373"/>
      <c r="C31" s="374"/>
      <c r="D31" s="219"/>
      <c r="E31" s="220"/>
      <c r="F31" s="220"/>
      <c r="G31" s="220"/>
      <c r="H31" s="220"/>
      <c r="I31" s="220"/>
      <c r="J31" s="220"/>
      <c r="K31" s="220"/>
      <c r="L31" s="220"/>
      <c r="M31" s="220"/>
      <c r="N31" s="220"/>
      <c r="O31" s="220"/>
      <c r="P31" s="220"/>
      <c r="Q31" s="220"/>
      <c r="R31" s="220"/>
      <c r="S31" s="220"/>
      <c r="T31" s="220"/>
      <c r="U31" s="220"/>
      <c r="V31" s="221"/>
    </row>
    <row r="32" spans="1:22" x14ac:dyDescent="0.3">
      <c r="A32" s="375"/>
      <c r="B32" s="376"/>
      <c r="C32" s="377"/>
      <c r="D32" s="222"/>
      <c r="E32" s="387" t="s">
        <v>402</v>
      </c>
      <c r="F32" s="387"/>
      <c r="G32" s="387"/>
      <c r="H32" s="387"/>
      <c r="I32" s="387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223"/>
    </row>
    <row r="33" spans="1:22" x14ac:dyDescent="0.3">
      <c r="A33" s="375"/>
      <c r="B33" s="376"/>
      <c r="C33" s="377"/>
      <c r="D33" s="222"/>
      <c r="E33" s="387"/>
      <c r="F33" s="387"/>
      <c r="G33" s="387"/>
      <c r="H33" s="387"/>
      <c r="I33" s="387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223"/>
    </row>
    <row r="34" spans="1:22" x14ac:dyDescent="0.3">
      <c r="A34" s="375"/>
      <c r="B34" s="376"/>
      <c r="C34" s="377"/>
      <c r="D34" s="222"/>
      <c r="E34" s="387"/>
      <c r="F34" s="387"/>
      <c r="G34" s="387"/>
      <c r="H34" s="387"/>
      <c r="I34" s="387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223"/>
    </row>
    <row r="35" spans="1:22" x14ac:dyDescent="0.3">
      <c r="A35" s="375"/>
      <c r="B35" s="376"/>
      <c r="C35" s="377"/>
      <c r="D35" s="222"/>
      <c r="E35" s="387"/>
      <c r="F35" s="387"/>
      <c r="G35" s="387"/>
      <c r="H35" s="387"/>
      <c r="I35" s="387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223"/>
    </row>
    <row r="36" spans="1:22" x14ac:dyDescent="0.3">
      <c r="A36" s="375"/>
      <c r="B36" s="376"/>
      <c r="C36" s="377"/>
      <c r="D36" s="222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223"/>
    </row>
    <row r="37" spans="1:22" x14ac:dyDescent="0.3">
      <c r="A37" s="375"/>
      <c r="B37" s="376"/>
      <c r="C37" s="377"/>
      <c r="D37" s="222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223"/>
    </row>
    <row r="38" spans="1:22" x14ac:dyDescent="0.3">
      <c r="A38" s="375"/>
      <c r="B38" s="376"/>
      <c r="C38" s="377"/>
      <c r="D38" s="222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223"/>
    </row>
    <row r="39" spans="1:22" x14ac:dyDescent="0.3">
      <c r="A39" s="375"/>
      <c r="B39" s="376"/>
      <c r="C39" s="377"/>
      <c r="D39" s="222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223"/>
    </row>
    <row r="40" spans="1:22" x14ac:dyDescent="0.3">
      <c r="A40" s="375"/>
      <c r="B40" s="376"/>
      <c r="C40" s="377"/>
      <c r="D40" s="222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223"/>
    </row>
    <row r="41" spans="1:22" x14ac:dyDescent="0.3">
      <c r="A41" s="375"/>
      <c r="B41" s="376"/>
      <c r="C41" s="377"/>
      <c r="D41" s="222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223"/>
    </row>
    <row r="42" spans="1:22" x14ac:dyDescent="0.3">
      <c r="A42" s="375"/>
      <c r="B42" s="376"/>
      <c r="C42" s="377"/>
      <c r="D42" s="222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223"/>
    </row>
    <row r="43" spans="1:22" x14ac:dyDescent="0.3">
      <c r="A43" s="375"/>
      <c r="B43" s="376"/>
      <c r="C43" s="377"/>
      <c r="D43" s="222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223"/>
    </row>
    <row r="44" spans="1:22" ht="15" thickBot="1" x14ac:dyDescent="0.35">
      <c r="A44" s="378"/>
      <c r="B44" s="379"/>
      <c r="C44" s="380"/>
      <c r="D44" s="224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6"/>
    </row>
    <row r="45" spans="1:22" x14ac:dyDescent="0.3">
      <c r="A45" s="372" t="s">
        <v>151</v>
      </c>
      <c r="B45" s="373"/>
      <c r="C45" s="374"/>
      <c r="D45" s="219"/>
      <c r="E45" s="220"/>
      <c r="F45" s="220"/>
      <c r="G45" s="220"/>
      <c r="H45" s="220"/>
      <c r="I45" s="220"/>
      <c r="J45" s="220"/>
      <c r="K45" s="220"/>
      <c r="L45" s="220"/>
      <c r="M45" s="220"/>
      <c r="N45" s="220"/>
      <c r="O45" s="220"/>
      <c r="P45" s="220"/>
      <c r="Q45" s="220"/>
      <c r="R45" s="220"/>
      <c r="S45" s="220"/>
      <c r="T45" s="220"/>
      <c r="U45" s="220"/>
      <c r="V45" s="221"/>
    </row>
    <row r="46" spans="1:22" x14ac:dyDescent="0.3">
      <c r="A46" s="375"/>
      <c r="B46" s="376"/>
      <c r="C46" s="377"/>
      <c r="D46" s="222"/>
      <c r="E46" s="387" t="s">
        <v>402</v>
      </c>
      <c r="F46" s="387"/>
      <c r="G46" s="387"/>
      <c r="H46" s="387"/>
      <c r="I46" s="387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223"/>
    </row>
    <row r="47" spans="1:22" x14ac:dyDescent="0.3">
      <c r="A47" s="375"/>
      <c r="B47" s="376"/>
      <c r="C47" s="377"/>
      <c r="D47" s="222"/>
      <c r="E47" s="387"/>
      <c r="F47" s="387"/>
      <c r="G47" s="387"/>
      <c r="H47" s="387"/>
      <c r="I47" s="387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223"/>
    </row>
    <row r="48" spans="1:22" x14ac:dyDescent="0.3">
      <c r="A48" s="375"/>
      <c r="B48" s="376"/>
      <c r="C48" s="377"/>
      <c r="D48" s="222"/>
      <c r="E48" s="387"/>
      <c r="F48" s="387"/>
      <c r="G48" s="387"/>
      <c r="H48" s="387"/>
      <c r="I48" s="387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223"/>
    </row>
    <row r="49" spans="1:22" x14ac:dyDescent="0.3">
      <c r="A49" s="375"/>
      <c r="B49" s="376"/>
      <c r="C49" s="377"/>
      <c r="D49" s="222"/>
      <c r="E49" s="387"/>
      <c r="F49" s="387"/>
      <c r="G49" s="387"/>
      <c r="H49" s="387"/>
      <c r="I49" s="387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223"/>
    </row>
    <row r="50" spans="1:22" x14ac:dyDescent="0.3">
      <c r="A50" s="375"/>
      <c r="B50" s="376"/>
      <c r="C50" s="377"/>
      <c r="D50" s="222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223"/>
    </row>
    <row r="51" spans="1:22" x14ac:dyDescent="0.3">
      <c r="A51" s="375"/>
      <c r="B51" s="376"/>
      <c r="C51" s="377"/>
      <c r="D51" s="222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223"/>
    </row>
    <row r="52" spans="1:22" x14ac:dyDescent="0.3">
      <c r="A52" s="375"/>
      <c r="B52" s="376"/>
      <c r="C52" s="377"/>
      <c r="D52" s="222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223"/>
    </row>
    <row r="53" spans="1:22" x14ac:dyDescent="0.3">
      <c r="A53" s="375"/>
      <c r="B53" s="376"/>
      <c r="C53" s="377"/>
      <c r="D53" s="222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223"/>
    </row>
    <row r="54" spans="1:22" x14ac:dyDescent="0.3">
      <c r="A54" s="375"/>
      <c r="B54" s="376"/>
      <c r="C54" s="377"/>
      <c r="D54" s="222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223"/>
    </row>
    <row r="55" spans="1:22" x14ac:dyDescent="0.3">
      <c r="A55" s="375"/>
      <c r="B55" s="376"/>
      <c r="C55" s="377"/>
      <c r="D55" s="222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223"/>
    </row>
    <row r="56" spans="1:22" x14ac:dyDescent="0.3">
      <c r="A56" s="375"/>
      <c r="B56" s="376"/>
      <c r="C56" s="377"/>
      <c r="D56" s="222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223"/>
    </row>
    <row r="57" spans="1:22" x14ac:dyDescent="0.3">
      <c r="A57" s="375"/>
      <c r="B57" s="376"/>
      <c r="C57" s="377"/>
      <c r="D57" s="222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223"/>
    </row>
    <row r="58" spans="1:22" ht="15" thickBot="1" x14ac:dyDescent="0.35">
      <c r="A58" s="378"/>
      <c r="B58" s="379"/>
      <c r="C58" s="380"/>
      <c r="D58" s="224"/>
      <c r="E58" s="225"/>
      <c r="F58" s="225"/>
      <c r="G58" s="225"/>
      <c r="H58" s="225"/>
      <c r="I58" s="225"/>
      <c r="J58" s="225"/>
      <c r="K58" s="225"/>
      <c r="L58" s="225"/>
      <c r="M58" s="225"/>
      <c r="N58" s="225"/>
      <c r="O58" s="225"/>
      <c r="P58" s="225"/>
      <c r="Q58" s="225"/>
      <c r="R58" s="225"/>
      <c r="S58" s="225"/>
      <c r="T58" s="225"/>
      <c r="U58" s="225"/>
      <c r="V58" s="226"/>
    </row>
  </sheetData>
  <mergeCells count="10">
    <mergeCell ref="A45:C58"/>
    <mergeCell ref="A1:C2"/>
    <mergeCell ref="D1:V2"/>
    <mergeCell ref="A3:C16"/>
    <mergeCell ref="A17:C30"/>
    <mergeCell ref="A31:C44"/>
    <mergeCell ref="E4:I7"/>
    <mergeCell ref="E18:I21"/>
    <mergeCell ref="E32:I35"/>
    <mergeCell ref="E46:I4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BEDD6-4B13-4ECC-B83C-35C1C81D70CE}">
  <sheetPr codeName="Sheet6">
    <tabColor rgb="FF7030A0"/>
  </sheetPr>
  <dimension ref="A1:CG435"/>
  <sheetViews>
    <sheetView showGridLines="0" zoomScale="49" zoomScaleNormal="85" workbookViewId="0">
      <selection sqref="A1:E4"/>
    </sheetView>
  </sheetViews>
  <sheetFormatPr defaultRowHeight="14.4" x14ac:dyDescent="0.3"/>
  <cols>
    <col min="1" max="1" width="10.77734375" customWidth="1"/>
    <col min="2" max="2" width="22.77734375" style="65" bestFit="1" customWidth="1"/>
    <col min="3" max="3" width="45.33203125" bestFit="1" customWidth="1"/>
    <col min="4" max="4" width="11.33203125" bestFit="1" customWidth="1"/>
    <col min="5" max="5" width="14.44140625" bestFit="1" customWidth="1"/>
    <col min="6" max="6" width="14" bestFit="1" customWidth="1"/>
    <col min="7" max="7" width="14.44140625" bestFit="1" customWidth="1"/>
    <col min="8" max="8" width="3.109375" customWidth="1"/>
    <col min="9" max="9" width="11" bestFit="1" customWidth="1"/>
    <col min="10" max="11" width="8.77734375" bestFit="1" customWidth="1"/>
    <col min="12" max="12" width="10.21875" bestFit="1" customWidth="1"/>
    <col min="13" max="13" width="3.109375" customWidth="1"/>
    <col min="14" max="17" width="9" bestFit="1" customWidth="1"/>
    <col min="21" max="21" width="54.77734375" bestFit="1" customWidth="1"/>
  </cols>
  <sheetData>
    <row r="1" spans="1:85" x14ac:dyDescent="0.3">
      <c r="A1" s="387" t="s">
        <v>402</v>
      </c>
      <c r="B1" s="387"/>
      <c r="C1" s="387"/>
      <c r="D1" s="387"/>
      <c r="E1" s="387"/>
    </row>
    <row r="2" spans="1:85" x14ac:dyDescent="0.3">
      <c r="A2" s="387"/>
      <c r="B2" s="387"/>
      <c r="C2" s="387"/>
      <c r="D2" s="387"/>
      <c r="E2" s="387"/>
    </row>
    <row r="3" spans="1:85" x14ac:dyDescent="0.3">
      <c r="A3" s="387"/>
      <c r="B3" s="387"/>
      <c r="C3" s="387"/>
      <c r="D3" s="387"/>
      <c r="E3" s="387"/>
    </row>
    <row r="4" spans="1:85" x14ac:dyDescent="0.3">
      <c r="A4" s="387"/>
      <c r="B4" s="387"/>
      <c r="C4" s="387"/>
      <c r="D4" s="387"/>
      <c r="E4" s="387"/>
    </row>
    <row r="9" spans="1:85" x14ac:dyDescent="0.3">
      <c r="B9"/>
    </row>
    <row r="10" spans="1:85" s="7" customFormat="1" x14ac:dyDescent="0.3">
      <c r="A10"/>
      <c r="B10" s="65"/>
      <c r="C10" s="14"/>
      <c r="D10" s="14"/>
      <c r="E10" s="14"/>
      <c r="F10" s="14"/>
      <c r="G10" s="14"/>
      <c r="I10" s="14"/>
      <c r="J10" s="14"/>
      <c r="K10" s="14"/>
      <c r="L10" s="14"/>
      <c r="N10" s="14"/>
      <c r="O10" s="14"/>
      <c r="P10" s="14"/>
      <c r="Q10" s="14"/>
      <c r="R10"/>
      <c r="S10"/>
      <c r="T10"/>
      <c r="U10" s="14"/>
      <c r="V10" s="14"/>
      <c r="W10" s="14"/>
      <c r="X10" s="14"/>
      <c r="Y10" s="14"/>
      <c r="AA10" s="14"/>
      <c r="AB10" s="14"/>
      <c r="AC10" s="14"/>
      <c r="AD10" s="14"/>
      <c r="AF10" s="14"/>
      <c r="AG10" s="14"/>
      <c r="AH10" s="14"/>
      <c r="AI10" s="14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</row>
    <row r="11" spans="1:85" x14ac:dyDescent="0.3">
      <c r="C11" s="8" t="s">
        <v>159</v>
      </c>
      <c r="D11" s="32">
        <v>5076.1947297636289</v>
      </c>
      <c r="E11" s="32">
        <v>5841.6350030356671</v>
      </c>
      <c r="F11" s="32">
        <v>8808.9440882587296</v>
      </c>
      <c r="G11" s="32">
        <v>1634.1917815448703</v>
      </c>
      <c r="I11" s="32">
        <v>4104.4381230396993</v>
      </c>
      <c r="J11" s="32">
        <v>9238.4315136331788</v>
      </c>
      <c r="K11" s="32">
        <v>4771.5370306810992</v>
      </c>
      <c r="L11" s="32">
        <v>8873.2682203434852</v>
      </c>
      <c r="N11" s="32">
        <v>24.420794225348686</v>
      </c>
      <c r="O11" s="32">
        <v>55.366088550165117</v>
      </c>
      <c r="P11" s="32">
        <v>85.125276460153657</v>
      </c>
      <c r="Q11" s="32">
        <v>82.265810774887427</v>
      </c>
      <c r="U11" s="8" t="s">
        <v>159</v>
      </c>
      <c r="V11" s="32">
        <v>2312.5876372219532</v>
      </c>
      <c r="W11" s="32">
        <v>8807.5787302964109</v>
      </c>
      <c r="X11" s="32">
        <v>5189.8001610609936</v>
      </c>
      <c r="Y11" s="32">
        <v>1321.3852860038478</v>
      </c>
      <c r="Z11" s="65"/>
      <c r="AA11" s="32">
        <v>6609.7353918452172</v>
      </c>
      <c r="AB11" s="32">
        <v>4784.1559730841655</v>
      </c>
      <c r="AC11" s="32">
        <v>6382.1473982263642</v>
      </c>
      <c r="AD11" s="32">
        <v>8681.2509589345191</v>
      </c>
      <c r="AE11" s="65"/>
      <c r="AF11" s="32">
        <v>21.698811252441374</v>
      </c>
      <c r="AG11" s="32">
        <v>37.711733989650142</v>
      </c>
      <c r="AH11" s="32">
        <v>30.087582646442634</v>
      </c>
      <c r="AI11" s="32">
        <v>10.788372487853792</v>
      </c>
    </row>
    <row r="12" spans="1:85" x14ac:dyDescent="0.3">
      <c r="C12" s="8" t="s">
        <v>175</v>
      </c>
      <c r="D12" s="32">
        <v>5319.7735990180418</v>
      </c>
      <c r="E12" s="32">
        <v>9479.4569526082378</v>
      </c>
      <c r="F12" s="32">
        <v>5701.1252798576261</v>
      </c>
      <c r="G12" s="32">
        <v>5285.2889477519302</v>
      </c>
      <c r="H12" s="65"/>
      <c r="I12" s="32">
        <v>191.0788893491322</v>
      </c>
      <c r="J12" s="32">
        <v>7990.8797484126817</v>
      </c>
      <c r="K12" s="32">
        <v>8697.0168429922051</v>
      </c>
      <c r="L12" s="32">
        <v>9139.8058773783268</v>
      </c>
      <c r="M12" s="65"/>
      <c r="N12" s="32">
        <v>31.124668082570338</v>
      </c>
      <c r="O12" s="32">
        <v>5.4197915854931944</v>
      </c>
      <c r="P12" s="32">
        <v>31.947256156792271</v>
      </c>
      <c r="Q12" s="32">
        <v>11.118290139412379</v>
      </c>
      <c r="U12" s="8" t="s">
        <v>175</v>
      </c>
      <c r="V12" s="32">
        <v>7073.2578459818205</v>
      </c>
      <c r="W12" s="32">
        <v>9240.2995076827137</v>
      </c>
      <c r="X12" s="32">
        <v>3716.5023703844113</v>
      </c>
      <c r="Y12" s="32">
        <v>5598.721257211756</v>
      </c>
      <c r="Z12" s="65"/>
      <c r="AA12" s="32">
        <v>5775.3654125048979</v>
      </c>
      <c r="AB12" s="32">
        <v>7947.7615797441595</v>
      </c>
      <c r="AC12" s="32">
        <v>640.67756008300387</v>
      </c>
      <c r="AD12" s="32">
        <v>8599.5851873691372</v>
      </c>
      <c r="AE12" s="65"/>
      <c r="AF12" s="32">
        <v>84.333468901458247</v>
      </c>
      <c r="AG12" s="32">
        <v>6.838375256759921</v>
      </c>
      <c r="AH12" s="32">
        <v>3.7561035674368859</v>
      </c>
      <c r="AI12" s="32">
        <v>8.9495125540795861</v>
      </c>
    </row>
    <row r="13" spans="1:85" x14ac:dyDescent="0.3">
      <c r="C13" s="8" t="s">
        <v>160</v>
      </c>
      <c r="D13" s="32">
        <v>1449.9979466049429</v>
      </c>
      <c r="E13" s="32">
        <v>5788.4035622804086</v>
      </c>
      <c r="F13" s="32">
        <v>6613.8775330331464</v>
      </c>
      <c r="G13" s="32">
        <v>1475.6969505726602</v>
      </c>
      <c r="H13" s="65"/>
      <c r="I13" s="32">
        <v>9292.204871971031</v>
      </c>
      <c r="J13" s="32">
        <v>680.92951794791691</v>
      </c>
      <c r="K13" s="32">
        <v>1964.0636634988973</v>
      </c>
      <c r="L13" s="32">
        <v>8624.494054824534</v>
      </c>
      <c r="M13" s="65"/>
      <c r="N13" s="32">
        <v>7.5258166822637413</v>
      </c>
      <c r="O13" s="32">
        <v>19.022021088660935</v>
      </c>
      <c r="P13" s="32">
        <v>92.24650377655648</v>
      </c>
      <c r="Q13" s="32">
        <v>32.488725218081846</v>
      </c>
      <c r="U13" s="8" t="s">
        <v>160</v>
      </c>
      <c r="V13" s="32">
        <v>6840.3362567114236</v>
      </c>
      <c r="W13" s="32">
        <v>8108.086841168516</v>
      </c>
      <c r="X13" s="32">
        <v>1555.3195402963227</v>
      </c>
      <c r="Y13" s="32">
        <v>769.30497894660107</v>
      </c>
      <c r="Z13" s="65"/>
      <c r="AA13" s="32">
        <v>5483.4067304947212</v>
      </c>
      <c r="AB13" s="32">
        <v>3358.2941879960381</v>
      </c>
      <c r="AC13" s="32">
        <v>468.52046847418615</v>
      </c>
      <c r="AD13" s="32">
        <v>6535.4869048790861</v>
      </c>
      <c r="AE13" s="65"/>
      <c r="AF13" s="32">
        <v>30.776480687730356</v>
      </c>
      <c r="AG13" s="32">
        <v>45.91542240287756</v>
      </c>
      <c r="AH13" s="32">
        <v>69.205432024857387</v>
      </c>
      <c r="AI13" s="32">
        <v>28.883208650074543</v>
      </c>
    </row>
    <row r="14" spans="1:85" x14ac:dyDescent="0.3">
      <c r="C14" s="8" t="s">
        <v>176</v>
      </c>
      <c r="D14" s="32">
        <v>9381.0256038622338</v>
      </c>
      <c r="E14" s="32">
        <v>7212.6760910639096</v>
      </c>
      <c r="F14" s="32">
        <v>4268.6785713480949</v>
      </c>
      <c r="G14" s="32">
        <v>1334.9485014179786</v>
      </c>
      <c r="H14" s="65"/>
      <c r="I14" s="32">
        <v>6720.3606955857913</v>
      </c>
      <c r="J14" s="32">
        <v>4940.5117222258523</v>
      </c>
      <c r="K14" s="32">
        <v>5009.1867690133477</v>
      </c>
      <c r="L14" s="32">
        <v>245.76784498708037</v>
      </c>
      <c r="M14" s="65"/>
      <c r="N14" s="32">
        <v>52.045072613923324</v>
      </c>
      <c r="O14" s="32">
        <v>9.8471401679469217</v>
      </c>
      <c r="P14" s="32">
        <v>89.960009158635913</v>
      </c>
      <c r="Q14" s="32">
        <v>19.923754906061241</v>
      </c>
      <c r="U14" s="8" t="s">
        <v>176</v>
      </c>
      <c r="V14" s="32">
        <v>4772.3191784133487</v>
      </c>
      <c r="W14" s="32">
        <v>9530.5051088868731</v>
      </c>
      <c r="X14" s="32">
        <v>9919.9097876716096</v>
      </c>
      <c r="Y14" s="32">
        <v>8853.3654923757658</v>
      </c>
      <c r="Z14" s="65"/>
      <c r="AA14" s="32">
        <v>5727.4455950178326</v>
      </c>
      <c r="AB14" s="32">
        <v>8121.5354306333884</v>
      </c>
      <c r="AC14" s="32">
        <v>334.65817859502755</v>
      </c>
      <c r="AD14" s="32">
        <v>1388.6662865408261</v>
      </c>
      <c r="AE14" s="65"/>
      <c r="AF14" s="32">
        <v>40.486220494543993</v>
      </c>
      <c r="AG14" s="32">
        <v>93.111913491252011</v>
      </c>
      <c r="AH14" s="32">
        <v>30.729705756339666</v>
      </c>
      <c r="AI14" s="32">
        <v>53.536379816644818</v>
      </c>
    </row>
    <row r="15" spans="1:85" x14ac:dyDescent="0.3">
      <c r="C15" s="8" t="s">
        <v>177</v>
      </c>
      <c r="D15" s="32">
        <v>7880.8284973757773</v>
      </c>
      <c r="E15" s="32">
        <v>2922.2782760897694</v>
      </c>
      <c r="F15" s="32">
        <v>9994.3690495313022</v>
      </c>
      <c r="G15" s="32">
        <v>9753.3614107722296</v>
      </c>
      <c r="H15" s="65"/>
      <c r="I15" s="32">
        <v>3710.6020326026855</v>
      </c>
      <c r="J15" s="32">
        <v>9016.8811830535415</v>
      </c>
      <c r="K15" s="32">
        <v>9087.0198763483859</v>
      </c>
      <c r="L15" s="32">
        <v>2774.4417366493999</v>
      </c>
      <c r="M15" s="65"/>
      <c r="N15" s="32">
        <v>59.281517057318645</v>
      </c>
      <c r="O15" s="32">
        <v>30.13267069060851</v>
      </c>
      <c r="P15" s="32">
        <v>14.320990375571229</v>
      </c>
      <c r="Q15" s="32">
        <v>39.216426373839084</v>
      </c>
      <c r="U15" s="8" t="s">
        <v>177</v>
      </c>
      <c r="V15" s="32">
        <v>1534.1978275899471</v>
      </c>
      <c r="W15" s="32">
        <v>7055.833745586564</v>
      </c>
      <c r="X15" s="32">
        <v>5965.8500284997708</v>
      </c>
      <c r="Y15" s="32">
        <v>621.85298358806813</v>
      </c>
      <c r="Z15" s="65"/>
      <c r="AA15" s="32">
        <v>8598.0457501428282</v>
      </c>
      <c r="AB15" s="32">
        <v>4203.0411404598108</v>
      </c>
      <c r="AC15" s="32">
        <v>3706.3470807251974</v>
      </c>
      <c r="AD15" s="32">
        <v>9924.3531473377516</v>
      </c>
      <c r="AE15" s="65"/>
      <c r="AF15" s="32">
        <v>76.927191250015909</v>
      </c>
      <c r="AG15" s="32">
        <v>27.147566839372693</v>
      </c>
      <c r="AH15" s="32">
        <v>66.183513133525864</v>
      </c>
      <c r="AI15" s="32">
        <v>34.352477868599749</v>
      </c>
    </row>
    <row r="16" spans="1:85" x14ac:dyDescent="0.3">
      <c r="C16" s="8" t="s">
        <v>161</v>
      </c>
      <c r="D16" s="32">
        <v>6897.2868383754003</v>
      </c>
      <c r="E16" s="32">
        <v>7581.4953846294029</v>
      </c>
      <c r="F16" s="32">
        <v>1563.277630874953</v>
      </c>
      <c r="G16" s="32">
        <v>7979.7024383932203</v>
      </c>
      <c r="H16" s="65"/>
      <c r="I16" s="32">
        <v>4402.6147829746897</v>
      </c>
      <c r="J16" s="32">
        <v>376.1169533721831</v>
      </c>
      <c r="K16" s="32">
        <v>3557.8561844407973</v>
      </c>
      <c r="L16" s="32">
        <v>6013.7759395089897</v>
      </c>
      <c r="M16" s="65"/>
      <c r="N16" s="32">
        <v>29.50020255439204</v>
      </c>
      <c r="O16" s="32">
        <v>18.073271613496878</v>
      </c>
      <c r="P16" s="32">
        <v>86.357921974201886</v>
      </c>
      <c r="Q16" s="32">
        <v>50.377346377903805</v>
      </c>
      <c r="U16" s="8" t="s">
        <v>161</v>
      </c>
      <c r="V16" s="32">
        <v>4432.9211296599206</v>
      </c>
      <c r="W16" s="32">
        <v>8332.7109169284704</v>
      </c>
      <c r="X16" s="32">
        <v>1553.403760130484</v>
      </c>
      <c r="Y16" s="32">
        <v>7237.6238616638666</v>
      </c>
      <c r="Z16" s="65"/>
      <c r="AA16" s="32">
        <v>5258.5661376425705</v>
      </c>
      <c r="AB16" s="32">
        <v>8060.3498745309653</v>
      </c>
      <c r="AC16" s="32">
        <v>660.43023255175854</v>
      </c>
      <c r="AD16" s="32">
        <v>8441.690805233</v>
      </c>
      <c r="AE16" s="65"/>
      <c r="AF16" s="32">
        <v>44.485536060303367</v>
      </c>
      <c r="AG16" s="32">
        <v>99.98013319006273</v>
      </c>
      <c r="AH16" s="32">
        <v>12.528496986424443</v>
      </c>
      <c r="AI16" s="32">
        <v>88.595827397569138</v>
      </c>
    </row>
    <row r="17" spans="3:35" x14ac:dyDescent="0.3">
      <c r="C17" s="8" t="s">
        <v>162</v>
      </c>
      <c r="D17" s="32">
        <v>7529.8735906538532</v>
      </c>
      <c r="E17" s="32">
        <v>7311.5619866022626</v>
      </c>
      <c r="F17" s="32">
        <v>152.23159341660298</v>
      </c>
      <c r="G17" s="32">
        <v>1775.6925207016882</v>
      </c>
      <c r="H17" s="65"/>
      <c r="I17" s="32">
        <v>246.55219497135116</v>
      </c>
      <c r="J17" s="32">
        <v>3608.6333971000317</v>
      </c>
      <c r="K17" s="32">
        <v>7299.8938208026566</v>
      </c>
      <c r="L17" s="32">
        <v>3970.1167289664008</v>
      </c>
      <c r="M17" s="65"/>
      <c r="N17" s="32">
        <v>55.500009511308754</v>
      </c>
      <c r="O17" s="32">
        <v>18.372284013257456</v>
      </c>
      <c r="P17" s="32">
        <v>12.864029227600449</v>
      </c>
      <c r="Q17" s="32">
        <v>36.013168469681602</v>
      </c>
      <c r="U17" s="8" t="s">
        <v>162</v>
      </c>
      <c r="V17" s="32">
        <v>6667.3441576105733</v>
      </c>
      <c r="W17" s="32">
        <v>4081.0343966494543</v>
      </c>
      <c r="X17" s="32">
        <v>673.65336998395196</v>
      </c>
      <c r="Y17" s="32">
        <v>2989.43311326602</v>
      </c>
      <c r="Z17" s="65"/>
      <c r="AA17" s="32">
        <v>8925.1866785201164</v>
      </c>
      <c r="AB17" s="32">
        <v>781.52364443439092</v>
      </c>
      <c r="AC17" s="32">
        <v>3797.6643113315745</v>
      </c>
      <c r="AD17" s="32">
        <v>9155.8307823590912</v>
      </c>
      <c r="AE17" s="65"/>
      <c r="AF17" s="32">
        <v>86.917468573506113</v>
      </c>
      <c r="AG17" s="32">
        <v>50.466774221584487</v>
      </c>
      <c r="AH17" s="32">
        <v>95.022846421024411</v>
      </c>
      <c r="AI17" s="32">
        <v>72.619451140787945</v>
      </c>
    </row>
    <row r="18" spans="3:35" x14ac:dyDescent="0.3">
      <c r="C18" s="8" t="s">
        <v>163</v>
      </c>
      <c r="D18" s="32">
        <v>8627.3036609628816</v>
      </c>
      <c r="E18" s="32">
        <v>8012.9143976494825</v>
      </c>
      <c r="F18" s="32">
        <v>4970.6464206038563</v>
      </c>
      <c r="G18" s="32">
        <v>4211.4553540377801</v>
      </c>
      <c r="H18" s="65"/>
      <c r="I18" s="32">
        <v>6457.1704368607143</v>
      </c>
      <c r="J18" s="32">
        <v>4436.1789236397553</v>
      </c>
      <c r="K18" s="32">
        <v>545.67275696018714</v>
      </c>
      <c r="L18" s="32">
        <v>3740.7798394406477</v>
      </c>
      <c r="M18" s="65"/>
      <c r="N18" s="32">
        <v>42.554812489171645</v>
      </c>
      <c r="O18" s="32">
        <v>21.960314938031132</v>
      </c>
      <c r="P18" s="32">
        <v>2.7138916405695435</v>
      </c>
      <c r="Q18" s="32">
        <v>40.52893506093497</v>
      </c>
      <c r="U18" s="8" t="s">
        <v>163</v>
      </c>
      <c r="V18" s="32">
        <v>5424.3401359925738</v>
      </c>
      <c r="W18" s="32">
        <v>5536.4052404372078</v>
      </c>
      <c r="X18" s="32">
        <v>7596.940674520215</v>
      </c>
      <c r="Y18" s="32">
        <v>7092.8824939309425</v>
      </c>
      <c r="Z18" s="65"/>
      <c r="AA18" s="32">
        <v>2286.9660265596303</v>
      </c>
      <c r="AB18" s="32">
        <v>7876.2347040921541</v>
      </c>
      <c r="AC18" s="32">
        <v>4548.527468069854</v>
      </c>
      <c r="AD18" s="32">
        <v>2346.3567537726572</v>
      </c>
      <c r="AE18" s="65"/>
      <c r="AF18" s="32">
        <v>2.177039179397533</v>
      </c>
      <c r="AG18" s="32">
        <v>11.669430941701986</v>
      </c>
      <c r="AH18" s="32">
        <v>32.427105704697802</v>
      </c>
      <c r="AI18" s="32">
        <v>96.010623558919946</v>
      </c>
    </row>
    <row r="19" spans="3:35" x14ac:dyDescent="0.3">
      <c r="C19" s="8" t="s">
        <v>164</v>
      </c>
      <c r="D19" s="32">
        <v>2567.8409089093125</v>
      </c>
      <c r="E19" s="32">
        <v>1314.9545751229487</v>
      </c>
      <c r="F19" s="32">
        <v>9293.7805287213178</v>
      </c>
      <c r="G19" s="32">
        <v>5823.5659474016329</v>
      </c>
      <c r="H19" s="65"/>
      <c r="I19" s="32">
        <v>4299.3757173002232</v>
      </c>
      <c r="J19" s="32">
        <v>5692.2626408942797</v>
      </c>
      <c r="K19" s="32">
        <v>4782.5648066203366</v>
      </c>
      <c r="L19" s="32">
        <v>9090.8352590982504</v>
      </c>
      <c r="M19" s="65"/>
      <c r="N19" s="32">
        <v>5.6737714399598183</v>
      </c>
      <c r="O19" s="32">
        <v>42.320151107055096</v>
      </c>
      <c r="P19" s="32">
        <v>11.961060675474988</v>
      </c>
      <c r="Q19" s="32">
        <v>38.785872269416409</v>
      </c>
      <c r="U19" s="8" t="s">
        <v>164</v>
      </c>
      <c r="V19" s="32">
        <v>7984.798943434017</v>
      </c>
      <c r="W19" s="32">
        <v>275.01662717976495</v>
      </c>
      <c r="X19" s="32">
        <v>4108.842393687918</v>
      </c>
      <c r="Y19" s="32">
        <v>960.71181444703609</v>
      </c>
      <c r="Z19" s="65"/>
      <c r="AA19" s="32">
        <v>3702.4114625880634</v>
      </c>
      <c r="AB19" s="32">
        <v>7940.1532311617739</v>
      </c>
      <c r="AC19" s="32">
        <v>3769.221474325529</v>
      </c>
      <c r="AD19" s="32">
        <v>7520.4879319587999</v>
      </c>
      <c r="AE19" s="65"/>
      <c r="AF19" s="32">
        <v>44.948377332842824</v>
      </c>
      <c r="AG19" s="32">
        <v>57.607524718327184</v>
      </c>
      <c r="AH19" s="32">
        <v>77.120629762815341</v>
      </c>
      <c r="AI19" s="32">
        <v>48.50318288547578</v>
      </c>
    </row>
    <row r="20" spans="3:35" x14ac:dyDescent="0.3">
      <c r="C20" s="8" t="s">
        <v>178</v>
      </c>
      <c r="D20" s="32">
        <v>8946.6428299740892</v>
      </c>
      <c r="E20" s="32">
        <v>1854.3636198254699</v>
      </c>
      <c r="F20" s="32">
        <v>2412.2380530874375</v>
      </c>
      <c r="G20" s="32">
        <v>7760.2430213024918</v>
      </c>
      <c r="H20" s="65"/>
      <c r="I20" s="32">
        <v>7431.2909225499561</v>
      </c>
      <c r="J20" s="32">
        <v>6923.6188290065784</v>
      </c>
      <c r="K20" s="32">
        <v>2117.6021345435956</v>
      </c>
      <c r="L20" s="32">
        <v>7793.4662409511366</v>
      </c>
      <c r="M20" s="65"/>
      <c r="N20" s="32">
        <v>97.836000273451617</v>
      </c>
      <c r="O20" s="32">
        <v>84.349217748173103</v>
      </c>
      <c r="P20" s="32">
        <v>93.056449522052901</v>
      </c>
      <c r="Q20" s="32">
        <v>30.609992002984633</v>
      </c>
      <c r="U20" s="8" t="s">
        <v>178</v>
      </c>
      <c r="V20" s="32">
        <v>917.83016296962285</v>
      </c>
      <c r="W20" s="32">
        <v>8606.5801394062855</v>
      </c>
      <c r="X20" s="32">
        <v>5750.0245487249158</v>
      </c>
      <c r="Y20" s="32">
        <v>7956.5673934156657</v>
      </c>
      <c r="Z20" s="65"/>
      <c r="AA20" s="32">
        <v>3795.4159555540436</v>
      </c>
      <c r="AB20" s="32">
        <v>5538.7696041592862</v>
      </c>
      <c r="AC20" s="32">
        <v>8708.62062781657</v>
      </c>
      <c r="AD20" s="32">
        <v>9098.4749617660527</v>
      </c>
      <c r="AE20" s="65"/>
      <c r="AF20" s="32">
        <v>15.719737364836062</v>
      </c>
      <c r="AG20" s="32">
        <v>31.509643689601241</v>
      </c>
      <c r="AH20" s="32">
        <v>60.216717537554828</v>
      </c>
      <c r="AI20" s="32">
        <v>59.955662987545466</v>
      </c>
    </row>
    <row r="21" spans="3:35" x14ac:dyDescent="0.3">
      <c r="C21" s="8" t="s">
        <v>165</v>
      </c>
      <c r="D21" s="32">
        <v>1087.3433655721753</v>
      </c>
      <c r="E21" s="32">
        <v>8302.0660024382414</v>
      </c>
      <c r="F21" s="32">
        <v>3629.5426511755036</v>
      </c>
      <c r="G21" s="32">
        <v>2149.9814854733113</v>
      </c>
      <c r="H21" s="65"/>
      <c r="I21" s="32">
        <v>8140.8291779189776</v>
      </c>
      <c r="J21" s="32">
        <v>4805.6693467907153</v>
      </c>
      <c r="K21" s="32">
        <v>8465.1461677518473</v>
      </c>
      <c r="L21" s="32">
        <v>8242.5149777901988</v>
      </c>
      <c r="M21" s="65"/>
      <c r="N21" s="32">
        <v>69.764757289758847</v>
      </c>
      <c r="O21" s="32">
        <v>18.67785593100556</v>
      </c>
      <c r="P21" s="32">
        <v>33.197336815474657</v>
      </c>
      <c r="Q21" s="32">
        <v>95.830282229895005</v>
      </c>
      <c r="U21" s="8" t="s">
        <v>165</v>
      </c>
      <c r="V21" s="32">
        <v>8127.0380228646845</v>
      </c>
      <c r="W21" s="32">
        <v>7033.5716952788762</v>
      </c>
      <c r="X21" s="32">
        <v>6699.3834861480527</v>
      </c>
      <c r="Y21" s="32">
        <v>4970.5539537471514</v>
      </c>
      <c r="Z21" s="65"/>
      <c r="AA21" s="32">
        <v>108.64155075655968</v>
      </c>
      <c r="AB21" s="32">
        <v>2469.8345542464185</v>
      </c>
      <c r="AC21" s="32">
        <v>5544.3769513100651</v>
      </c>
      <c r="AD21" s="32">
        <v>6227.0878941485989</v>
      </c>
      <c r="AE21" s="65"/>
      <c r="AF21" s="32">
        <v>57.0415622850212</v>
      </c>
      <c r="AG21" s="32">
        <v>81.822901444496864</v>
      </c>
      <c r="AH21" s="32">
        <v>86.363784640791323</v>
      </c>
      <c r="AI21" s="32">
        <v>72.101598194712238</v>
      </c>
    </row>
    <row r="22" spans="3:35" x14ac:dyDescent="0.3">
      <c r="C22" s="8" t="s">
        <v>166</v>
      </c>
      <c r="D22" s="32">
        <v>428.3525519388931</v>
      </c>
      <c r="E22" s="32">
        <v>956.90109661229371</v>
      </c>
      <c r="F22" s="32">
        <v>1465.0589531967728</v>
      </c>
      <c r="G22" s="32">
        <v>9152.8122323680618</v>
      </c>
      <c r="H22" s="65"/>
      <c r="I22" s="32">
        <v>9251.8258203549012</v>
      </c>
      <c r="J22" s="32">
        <v>8668.6469425025043</v>
      </c>
      <c r="K22" s="32">
        <v>9965.230192881676</v>
      </c>
      <c r="L22" s="32">
        <v>5534.589469101038</v>
      </c>
      <c r="M22" s="65"/>
      <c r="N22" s="32">
        <v>63.759388695455911</v>
      </c>
      <c r="O22" s="32">
        <v>31.713228792982118</v>
      </c>
      <c r="P22" s="32">
        <v>58.45143811084472</v>
      </c>
      <c r="Q22" s="32">
        <v>85.70996061635762</v>
      </c>
      <c r="U22" s="8" t="s">
        <v>166</v>
      </c>
      <c r="V22" s="32">
        <v>3592.1136040646315</v>
      </c>
      <c r="W22" s="32">
        <v>9622.5223409786195</v>
      </c>
      <c r="X22" s="32">
        <v>1533.0500203186625</v>
      </c>
      <c r="Y22" s="32">
        <v>9883.7769904687393</v>
      </c>
      <c r="Z22" s="65"/>
      <c r="AA22" s="32">
        <v>1874.8430092548374</v>
      </c>
      <c r="AB22" s="32">
        <v>9060.1484087372464</v>
      </c>
      <c r="AC22" s="32">
        <v>4158.6582027464192</v>
      </c>
      <c r="AD22" s="32">
        <v>3654.9440379438192</v>
      </c>
      <c r="AE22" s="65"/>
      <c r="AF22" s="32">
        <v>20.395552300539123</v>
      </c>
      <c r="AG22" s="32">
        <v>0.34323991394094033</v>
      </c>
      <c r="AH22" s="32">
        <v>38.641559732379527</v>
      </c>
      <c r="AI22" s="32">
        <v>39.612751862407826</v>
      </c>
    </row>
    <row r="23" spans="3:35" x14ac:dyDescent="0.3">
      <c r="C23" s="8" t="s">
        <v>167</v>
      </c>
      <c r="D23" s="32">
        <v>2270.6225912390619</v>
      </c>
      <c r="E23" s="32">
        <v>4332.8782322727247</v>
      </c>
      <c r="F23" s="32">
        <v>4059.4539787134345</v>
      </c>
      <c r="G23" s="32">
        <v>7982.1601564288503</v>
      </c>
      <c r="H23" s="65"/>
      <c r="I23" s="32">
        <v>864.72054968486975</v>
      </c>
      <c r="J23" s="32">
        <v>1611.8237877806196</v>
      </c>
      <c r="K23" s="32">
        <v>3057.2732795740044</v>
      </c>
      <c r="L23" s="32">
        <v>6801.739927394975</v>
      </c>
      <c r="M23" s="65"/>
      <c r="N23" s="32">
        <v>46.233048181265026</v>
      </c>
      <c r="O23" s="32">
        <v>16.873172222452769</v>
      </c>
      <c r="P23" s="32">
        <v>75.766734563349218</v>
      </c>
      <c r="Q23" s="32">
        <v>13.258386699355917</v>
      </c>
      <c r="U23" s="8" t="s">
        <v>167</v>
      </c>
      <c r="V23" s="32">
        <v>4986.3737915586744</v>
      </c>
      <c r="W23" s="32">
        <v>1365.6308796440176</v>
      </c>
      <c r="X23" s="32">
        <v>9496.2174522889927</v>
      </c>
      <c r="Y23" s="32">
        <v>2268.5961513969633</v>
      </c>
      <c r="Z23" s="65"/>
      <c r="AA23" s="32">
        <v>4282.1125492965284</v>
      </c>
      <c r="AB23" s="32">
        <v>5610.9190330550209</v>
      </c>
      <c r="AC23" s="32">
        <v>9877.7887163623382</v>
      </c>
      <c r="AD23" s="32">
        <v>894.74659926245818</v>
      </c>
      <c r="AE23" s="65"/>
      <c r="AF23" s="32">
        <v>41.446505366333888</v>
      </c>
      <c r="AG23" s="32">
        <v>44.635472972292298</v>
      </c>
      <c r="AH23" s="32">
        <v>88.685775229461143</v>
      </c>
      <c r="AI23" s="32">
        <v>21.416937278343774</v>
      </c>
    </row>
    <row r="24" spans="3:35" x14ac:dyDescent="0.3">
      <c r="C24" s="8" t="s">
        <v>168</v>
      </c>
      <c r="D24" s="32">
        <v>8904.267940844893</v>
      </c>
      <c r="E24" s="32">
        <v>9617.539592172925</v>
      </c>
      <c r="F24" s="32">
        <v>5755.0204910775747</v>
      </c>
      <c r="G24" s="32">
        <v>6798.5966131302866</v>
      </c>
      <c r="H24" s="65"/>
      <c r="I24" s="32">
        <v>7182.8709325263299</v>
      </c>
      <c r="J24" s="32">
        <v>9042.8977976380356</v>
      </c>
      <c r="K24" s="32">
        <v>9793.8347804887781</v>
      </c>
      <c r="L24" s="32">
        <v>7161.4181256174188</v>
      </c>
      <c r="M24" s="65"/>
      <c r="N24" s="32">
        <v>71.07922959777494</v>
      </c>
      <c r="O24" s="32">
        <v>6.4325519757899912</v>
      </c>
      <c r="P24" s="32">
        <v>50.904212006503094</v>
      </c>
      <c r="Q24" s="32">
        <v>15.864993769150615</v>
      </c>
      <c r="U24" s="8" t="s">
        <v>168</v>
      </c>
      <c r="V24" s="32">
        <v>8084.729061758454</v>
      </c>
      <c r="W24" s="32">
        <v>5135.461728045866</v>
      </c>
      <c r="X24" s="32">
        <v>1722.0059953728316</v>
      </c>
      <c r="Y24" s="32">
        <v>6976.620381041319</v>
      </c>
      <c r="Z24" s="65"/>
      <c r="AA24" s="32">
        <v>7318.0410222385035</v>
      </c>
      <c r="AB24" s="32">
        <v>807.57795567375945</v>
      </c>
      <c r="AC24" s="32">
        <v>7759.8823174375557</v>
      </c>
      <c r="AD24" s="32">
        <v>1256.9735366348311</v>
      </c>
      <c r="AE24" s="65"/>
      <c r="AF24" s="32">
        <v>14.015531318997699</v>
      </c>
      <c r="AG24" s="32">
        <v>46.876439537537472</v>
      </c>
      <c r="AH24" s="32">
        <v>80.518286328688475</v>
      </c>
      <c r="AI24" s="32">
        <v>55.107234279332133</v>
      </c>
    </row>
    <row r="25" spans="3:35" x14ac:dyDescent="0.3">
      <c r="C25" s="8" t="s">
        <v>169</v>
      </c>
      <c r="D25" s="32">
        <v>2964.2808608249047</v>
      </c>
      <c r="E25" s="32">
        <v>7519.8654559613442</v>
      </c>
      <c r="F25" s="32">
        <v>2209.5499116416595</v>
      </c>
      <c r="G25" s="32">
        <v>7364.1585280227946</v>
      </c>
      <c r="H25" s="65"/>
      <c r="I25" s="32">
        <v>6322.8774517746078</v>
      </c>
      <c r="J25" s="32">
        <v>1613.176871736134</v>
      </c>
      <c r="K25" s="32">
        <v>1154.1996082378137</v>
      </c>
      <c r="L25" s="32">
        <v>2117.4649654086775</v>
      </c>
      <c r="M25" s="65"/>
      <c r="N25" s="32">
        <v>54.28562678707376</v>
      </c>
      <c r="O25" s="32">
        <v>63.094243244798385</v>
      </c>
      <c r="P25" s="32">
        <v>47.420864685653981</v>
      </c>
      <c r="Q25" s="32">
        <v>99.604721560011114</v>
      </c>
      <c r="U25" s="8" t="s">
        <v>169</v>
      </c>
      <c r="V25" s="32">
        <v>2552.0794686847948</v>
      </c>
      <c r="W25" s="32">
        <v>2093.9603078914092</v>
      </c>
      <c r="X25" s="32">
        <v>6609.9692037112</v>
      </c>
      <c r="Y25" s="32">
        <v>2879.1541978451019</v>
      </c>
      <c r="Z25" s="65"/>
      <c r="AA25" s="32">
        <v>9844.6168960450686</v>
      </c>
      <c r="AB25" s="32">
        <v>4767.3500612193893</v>
      </c>
      <c r="AC25" s="32">
        <v>791.32643893263469</v>
      </c>
      <c r="AD25" s="32">
        <v>8399.1545250996296</v>
      </c>
      <c r="AE25" s="65"/>
      <c r="AF25" s="32">
        <v>43.555146068365836</v>
      </c>
      <c r="AG25" s="32">
        <v>49.415539724538327</v>
      </c>
      <c r="AH25" s="32">
        <v>10.924625871684002</v>
      </c>
      <c r="AI25" s="32">
        <v>5.2414752840063255</v>
      </c>
    </row>
    <row r="26" spans="3:35" x14ac:dyDescent="0.3">
      <c r="C26" s="8" t="s">
        <v>179</v>
      </c>
      <c r="D26" s="32">
        <v>3936.2795607243938</v>
      </c>
      <c r="E26" s="32">
        <v>371.30791284295969</v>
      </c>
      <c r="F26" s="32">
        <v>6833.7461588970891</v>
      </c>
      <c r="G26" s="32">
        <v>5045.22660339509</v>
      </c>
      <c r="H26" s="65"/>
      <c r="I26" s="32">
        <v>3548.7068008848455</v>
      </c>
      <c r="J26" s="32">
        <v>6531.8548094350463</v>
      </c>
      <c r="K26" s="32">
        <v>9332.066307389332</v>
      </c>
      <c r="L26" s="32">
        <v>2289.3032621708107</v>
      </c>
      <c r="M26" s="65"/>
      <c r="N26" s="32">
        <v>96.429250014695</v>
      </c>
      <c r="O26" s="32">
        <v>66.279872601273411</v>
      </c>
      <c r="P26" s="32">
        <v>89.77807306103854</v>
      </c>
      <c r="Q26" s="32">
        <v>87.647976590115988</v>
      </c>
      <c r="U26" s="8" t="s">
        <v>179</v>
      </c>
      <c r="V26" s="32">
        <v>6039.0778173539757</v>
      </c>
      <c r="W26" s="32">
        <v>6281.839710933943</v>
      </c>
      <c r="X26" s="32">
        <v>2696.6650439763439</v>
      </c>
      <c r="Y26" s="32">
        <v>9431.2486688416393</v>
      </c>
      <c r="Z26" s="65"/>
      <c r="AA26" s="32">
        <v>6526.3205149269925</v>
      </c>
      <c r="AB26" s="32">
        <v>9892.4741853655323</v>
      </c>
      <c r="AC26" s="32">
        <v>1271.6236260768533</v>
      </c>
      <c r="AD26" s="32">
        <v>7515.529119196689</v>
      </c>
      <c r="AE26" s="65"/>
      <c r="AF26" s="32">
        <v>91.238460629914925</v>
      </c>
      <c r="AG26" s="32">
        <v>59.481175021002485</v>
      </c>
      <c r="AH26" s="32">
        <v>79.131416082520516</v>
      </c>
      <c r="AI26" s="32">
        <v>26.83328586787588</v>
      </c>
    </row>
    <row r="27" spans="3:35" x14ac:dyDescent="0.3">
      <c r="C27" s="8" t="s">
        <v>180</v>
      </c>
      <c r="D27" s="32">
        <v>4560.3422291798888</v>
      </c>
      <c r="E27" s="32">
        <v>8731.6324994200513</v>
      </c>
      <c r="F27" s="32">
        <v>9654.7617557653866</v>
      </c>
      <c r="G27" s="32">
        <v>4367.430027241885</v>
      </c>
      <c r="H27" s="65"/>
      <c r="I27" s="32">
        <v>8681.7940192586921</v>
      </c>
      <c r="J27" s="32">
        <v>1529.1903529735462</v>
      </c>
      <c r="K27" s="32">
        <v>9434.2674630182773</v>
      </c>
      <c r="L27" s="32">
        <v>3874.8514569613467</v>
      </c>
      <c r="M27" s="65"/>
      <c r="N27" s="32">
        <v>89.170871994336025</v>
      </c>
      <c r="O27" s="32">
        <v>84.454689738233782</v>
      </c>
      <c r="P27" s="32">
        <v>55.874051827135176</v>
      </c>
      <c r="Q27" s="32">
        <v>80.520944079792898</v>
      </c>
      <c r="U27" s="8" t="s">
        <v>180</v>
      </c>
      <c r="V27" s="32">
        <v>5383.7749097760325</v>
      </c>
      <c r="W27" s="32">
        <v>1270.7889341848111</v>
      </c>
      <c r="X27" s="32">
        <v>295.21151873661779</v>
      </c>
      <c r="Y27" s="32">
        <v>5796.0965989337765</v>
      </c>
      <c r="Z27" s="65"/>
      <c r="AA27" s="32">
        <v>7381.8553182397509</v>
      </c>
      <c r="AB27" s="32">
        <v>7312.5388225129327</v>
      </c>
      <c r="AC27" s="32">
        <v>9420.5987956431363</v>
      </c>
      <c r="AD27" s="32">
        <v>4536.9555654728301</v>
      </c>
      <c r="AE27" s="65"/>
      <c r="AF27" s="32">
        <v>73.108086076634464</v>
      </c>
      <c r="AG27" s="32">
        <v>80.580186427267662</v>
      </c>
      <c r="AH27" s="32">
        <v>37.612541119829444</v>
      </c>
      <c r="AI27" s="32">
        <v>29.443011082808944</v>
      </c>
    </row>
    <row r="28" spans="3:35" x14ac:dyDescent="0.3">
      <c r="C28" s="8" t="s">
        <v>181</v>
      </c>
      <c r="D28" s="32">
        <v>1261.2638090719231</v>
      </c>
      <c r="E28" s="32">
        <v>4484.1107832000625</v>
      </c>
      <c r="F28" s="32">
        <v>3700.3522483276643</v>
      </c>
      <c r="G28" s="32">
        <v>9428.6401597230542</v>
      </c>
      <c r="H28" s="65"/>
      <c r="I28" s="32">
        <v>8116.5587103488842</v>
      </c>
      <c r="J28" s="32">
        <v>1261.6576598171914</v>
      </c>
      <c r="K28" s="32">
        <v>5075.71456937937</v>
      </c>
      <c r="L28" s="32">
        <v>4408.96685364314</v>
      </c>
      <c r="M28" s="65"/>
      <c r="N28" s="32">
        <v>9.7283835536641767</v>
      </c>
      <c r="O28" s="32">
        <v>19.691338044363082</v>
      </c>
      <c r="P28" s="32">
        <v>88.417747421006482</v>
      </c>
      <c r="Q28" s="32">
        <v>97.83160308688268</v>
      </c>
      <c r="U28" s="8" t="s">
        <v>181</v>
      </c>
      <c r="V28" s="32">
        <v>5656.0525867207025</v>
      </c>
      <c r="W28" s="32">
        <v>3447.816046665625</v>
      </c>
      <c r="X28" s="32">
        <v>5297.1524338616846</v>
      </c>
      <c r="Y28" s="32">
        <v>5408.8056953361074</v>
      </c>
      <c r="Z28" s="65"/>
      <c r="AA28" s="32">
        <v>3643.9525238327806</v>
      </c>
      <c r="AB28" s="32">
        <v>9737.519611543632</v>
      </c>
      <c r="AC28" s="32">
        <v>5912.1751320456324</v>
      </c>
      <c r="AD28" s="32">
        <v>4432.3059915635185</v>
      </c>
      <c r="AE28" s="65"/>
      <c r="AF28" s="32">
        <v>65.267249736690786</v>
      </c>
      <c r="AG28" s="32">
        <v>84.925485330404058</v>
      </c>
      <c r="AH28" s="32">
        <v>29.834186744331749</v>
      </c>
      <c r="AI28" s="32">
        <v>57.110516861860894</v>
      </c>
    </row>
    <row r="29" spans="3:35" x14ac:dyDescent="0.3">
      <c r="C29" s="8" t="s">
        <v>170</v>
      </c>
      <c r="D29" s="32">
        <v>9337.0325538685574</v>
      </c>
      <c r="E29" s="32">
        <v>4311.4319520004265</v>
      </c>
      <c r="F29" s="32">
        <v>4911.5322456874392</v>
      </c>
      <c r="G29" s="32">
        <v>4796.7833974013774</v>
      </c>
      <c r="H29" s="65"/>
      <c r="I29" s="32">
        <v>9435.4276206230243</v>
      </c>
      <c r="J29" s="32">
        <v>175.95334966369558</v>
      </c>
      <c r="K29" s="32">
        <v>4651.5775348796988</v>
      </c>
      <c r="L29" s="32">
        <v>3535.7454485537864</v>
      </c>
      <c r="M29" s="65"/>
      <c r="N29" s="32">
        <v>83.026368120025325</v>
      </c>
      <c r="O29" s="32">
        <v>37.560155652262395</v>
      </c>
      <c r="P29" s="32">
        <v>78.909001532806968</v>
      </c>
      <c r="Q29" s="32">
        <v>7.7864228533411017</v>
      </c>
      <c r="U29" s="8" t="s">
        <v>170</v>
      </c>
      <c r="V29" s="32">
        <v>5087.4338630809825</v>
      </c>
      <c r="W29" s="32">
        <v>5321.2946078028344</v>
      </c>
      <c r="X29" s="32">
        <v>7030.830779936583</v>
      </c>
      <c r="Y29" s="32">
        <v>4813.1494640255723</v>
      </c>
      <c r="Z29" s="65"/>
      <c r="AA29" s="32">
        <v>1540.3980846648735</v>
      </c>
      <c r="AB29" s="32">
        <v>6518.7118247553535</v>
      </c>
      <c r="AC29" s="32">
        <v>183.03898842338074</v>
      </c>
      <c r="AD29" s="32">
        <v>6219.7510681896993</v>
      </c>
      <c r="AE29" s="65"/>
      <c r="AF29" s="32">
        <v>91.231039790252993</v>
      </c>
      <c r="AG29" s="32">
        <v>97.944882609581498</v>
      </c>
      <c r="AH29" s="32">
        <v>22.078852584486697</v>
      </c>
      <c r="AI29" s="32">
        <v>89.713727856548758</v>
      </c>
    </row>
    <row r="30" spans="3:35" x14ac:dyDescent="0.3">
      <c r="C30" s="8" t="s">
        <v>171</v>
      </c>
      <c r="D30" s="32">
        <v>4288.3402439029487</v>
      </c>
      <c r="E30" s="32">
        <v>9871.0939721436898</v>
      </c>
      <c r="F30" s="32">
        <v>3938.9844943479379</v>
      </c>
      <c r="G30" s="32">
        <v>5731.453464579803</v>
      </c>
      <c r="H30" s="65"/>
      <c r="I30" s="32">
        <v>7269.9860029468045</v>
      </c>
      <c r="J30" s="32">
        <v>1125.7821950519776</v>
      </c>
      <c r="K30" s="32">
        <v>6818.9445390697592</v>
      </c>
      <c r="L30" s="32">
        <v>7338.366346247607</v>
      </c>
      <c r="M30" s="65"/>
      <c r="N30" s="32">
        <v>2.7491113064420425</v>
      </c>
      <c r="O30" s="32">
        <v>48.162868898685332</v>
      </c>
      <c r="P30" s="32">
        <v>23.900609701084974</v>
      </c>
      <c r="Q30" s="32">
        <v>52.546650933079064</v>
      </c>
      <c r="U30" s="8" t="s">
        <v>171</v>
      </c>
      <c r="V30" s="32">
        <v>7934.7900025662666</v>
      </c>
      <c r="W30" s="32">
        <v>4173.1164219414886</v>
      </c>
      <c r="X30" s="32">
        <v>6462.1283168957962</v>
      </c>
      <c r="Y30" s="32">
        <v>6530.8481827272944</v>
      </c>
      <c r="Z30" s="65"/>
      <c r="AA30" s="32">
        <v>8615.7001313698602</v>
      </c>
      <c r="AB30" s="32">
        <v>3722.3041570022797</v>
      </c>
      <c r="AC30" s="32">
        <v>925.63630801394288</v>
      </c>
      <c r="AD30" s="32">
        <v>7251.3537505771656</v>
      </c>
      <c r="AE30" s="65"/>
      <c r="AF30" s="32">
        <v>52.529410196753382</v>
      </c>
      <c r="AG30" s="32">
        <v>82.05572098403286</v>
      </c>
      <c r="AH30" s="32">
        <v>86.982778472652157</v>
      </c>
      <c r="AI30" s="32">
        <v>74.196005638459155</v>
      </c>
    </row>
    <row r="31" spans="3:35" x14ac:dyDescent="0.3">
      <c r="C31" s="8" t="s">
        <v>172</v>
      </c>
      <c r="D31" s="32">
        <v>9280.8798202709186</v>
      </c>
      <c r="E31" s="32">
        <v>9085.5448940943625</v>
      </c>
      <c r="F31" s="32">
        <v>8660.7624715689199</v>
      </c>
      <c r="G31" s="32">
        <v>1349.1253981969476</v>
      </c>
      <c r="H31" s="65"/>
      <c r="I31" s="32">
        <v>3741.5467417882141</v>
      </c>
      <c r="J31" s="32">
        <v>3558.0038573539609</v>
      </c>
      <c r="K31" s="32">
        <v>5968.5853603719315</v>
      </c>
      <c r="L31" s="32">
        <v>5725.0021080175284</v>
      </c>
      <c r="M31" s="65"/>
      <c r="N31" s="32">
        <v>49.796454015388569</v>
      </c>
      <c r="O31" s="32">
        <v>87.164029832443873</v>
      </c>
      <c r="P31" s="32">
        <v>32.201162166353058</v>
      </c>
      <c r="Q31" s="32">
        <v>96.604455599942099</v>
      </c>
      <c r="U31" s="8" t="s">
        <v>172</v>
      </c>
      <c r="V31" s="32">
        <v>9169.6059821325307</v>
      </c>
      <c r="W31" s="32">
        <v>8424.8606475249508</v>
      </c>
      <c r="X31" s="32">
        <v>5316.2108793974139</v>
      </c>
      <c r="Y31" s="32">
        <v>3568.6097331659339</v>
      </c>
      <c r="Z31" s="65"/>
      <c r="AA31" s="32">
        <v>7390.8927121942679</v>
      </c>
      <c r="AB31" s="32">
        <v>7820.0948954486048</v>
      </c>
      <c r="AC31" s="32">
        <v>2706.7921162397788</v>
      </c>
      <c r="AD31" s="32">
        <v>6177.1867393593684</v>
      </c>
      <c r="AE31" s="65"/>
      <c r="AF31" s="32">
        <v>55.829631739892235</v>
      </c>
      <c r="AG31" s="32">
        <v>77.966977679342421</v>
      </c>
      <c r="AH31" s="32">
        <v>42.22638727618655</v>
      </c>
      <c r="AI31" s="32">
        <v>81.603579637383262</v>
      </c>
    </row>
    <row r="32" spans="3:35" x14ac:dyDescent="0.3">
      <c r="C32" s="8" t="s">
        <v>173</v>
      </c>
      <c r="D32" s="32">
        <v>145.96983122576512</v>
      </c>
      <c r="E32" s="32">
        <v>6422.7091261889236</v>
      </c>
      <c r="F32" s="32">
        <v>3801.1045961932787</v>
      </c>
      <c r="G32" s="32">
        <v>6611.8689999075759</v>
      </c>
      <c r="H32" s="65"/>
      <c r="I32" s="32">
        <v>790.23589394144665</v>
      </c>
      <c r="J32" s="32">
        <v>518.79334753127227</v>
      </c>
      <c r="K32" s="32">
        <v>2940.5908602579125</v>
      </c>
      <c r="L32" s="32">
        <v>5356.7015587679653</v>
      </c>
      <c r="M32" s="65"/>
      <c r="N32" s="32">
        <v>91.779204113357878</v>
      </c>
      <c r="O32" s="32">
        <v>52.242855744935689</v>
      </c>
      <c r="P32" s="32">
        <v>86.553597816224695</v>
      </c>
      <c r="Q32" s="32">
        <v>28.619403686649402</v>
      </c>
      <c r="U32" s="8" t="s">
        <v>173</v>
      </c>
      <c r="V32" s="32">
        <v>4216.1080631648983</v>
      </c>
      <c r="W32" s="32">
        <v>5477.7668436154281</v>
      </c>
      <c r="X32" s="32">
        <v>2379.0633868311529</v>
      </c>
      <c r="Y32" s="32">
        <v>6436.5476711728652</v>
      </c>
      <c r="Z32" s="65"/>
      <c r="AA32" s="32">
        <v>7671.6545694926608</v>
      </c>
      <c r="AB32" s="32">
        <v>3205.6035797469549</v>
      </c>
      <c r="AC32" s="32">
        <v>4771.1932614521738</v>
      </c>
      <c r="AD32" s="32">
        <v>925.95547172492627</v>
      </c>
      <c r="AE32" s="65"/>
      <c r="AF32" s="32">
        <v>81.628931224829728</v>
      </c>
      <c r="AG32" s="32">
        <v>33.333400897431574</v>
      </c>
      <c r="AH32" s="32">
        <v>16.69725302674243</v>
      </c>
      <c r="AI32" s="32">
        <v>91.195280873809324</v>
      </c>
    </row>
    <row r="33" spans="3:35" x14ac:dyDescent="0.3">
      <c r="C33" s="8" t="s">
        <v>174</v>
      </c>
      <c r="D33" s="32">
        <v>158.65545523657821</v>
      </c>
      <c r="E33" s="32">
        <v>8869.9710950249118</v>
      </c>
      <c r="F33" s="32">
        <v>511.1857367955763</v>
      </c>
      <c r="G33" s="32">
        <v>1982.2596471751463</v>
      </c>
      <c r="H33" s="65"/>
      <c r="I33" s="32">
        <v>7035.4653592203667</v>
      </c>
      <c r="J33" s="32">
        <v>8783.3102408266477</v>
      </c>
      <c r="K33" s="32">
        <v>468.17541011520467</v>
      </c>
      <c r="L33" s="32">
        <v>903.8416882311684</v>
      </c>
      <c r="M33" s="65"/>
      <c r="N33" s="32">
        <v>8.6608687688009773</v>
      </c>
      <c r="O33" s="32">
        <v>62.649002508500665</v>
      </c>
      <c r="P33" s="32">
        <v>45.117826220758495</v>
      </c>
      <c r="Q33" s="32">
        <v>51.312110481601358</v>
      </c>
      <c r="U33" s="8" t="s">
        <v>174</v>
      </c>
      <c r="V33" s="32">
        <v>6235.8500975128518</v>
      </c>
      <c r="W33" s="32">
        <v>2296.5338069608333</v>
      </c>
      <c r="X33" s="32">
        <v>8032.4200262456325</v>
      </c>
      <c r="Y33" s="32">
        <v>2374.5891447032109</v>
      </c>
      <c r="Z33" s="65"/>
      <c r="AA33" s="32">
        <v>9950.6330005600503</v>
      </c>
      <c r="AB33" s="32">
        <v>4498.902410462978</v>
      </c>
      <c r="AC33" s="32">
        <v>3673.6689147127277</v>
      </c>
      <c r="AD33" s="32">
        <v>405.27171556319576</v>
      </c>
      <c r="AE33" s="65"/>
      <c r="AF33" s="32">
        <v>90.583312224240558</v>
      </c>
      <c r="AG33" s="32">
        <v>37.779869659152567</v>
      </c>
      <c r="AH33" s="32">
        <v>0.7830914003468803</v>
      </c>
      <c r="AI33" s="32">
        <v>27.09323055113564</v>
      </c>
    </row>
    <row r="34" spans="3:35" x14ac:dyDescent="0.3">
      <c r="C34" s="8" t="s">
        <v>182</v>
      </c>
      <c r="D34" s="32">
        <v>9728.6422624185343</v>
      </c>
      <c r="E34" s="32">
        <v>4088.1549791968332</v>
      </c>
      <c r="F34" s="32">
        <v>4555.2609489522793</v>
      </c>
      <c r="G34" s="32">
        <v>663.8856252586811</v>
      </c>
      <c r="H34" s="65"/>
      <c r="I34" s="32">
        <v>6583.3546140562739</v>
      </c>
      <c r="J34" s="32">
        <v>3024.5154587079192</v>
      </c>
      <c r="K34" s="32">
        <v>53.308677722798677</v>
      </c>
      <c r="L34" s="32">
        <v>9734.8635496949682</v>
      </c>
      <c r="M34" s="65"/>
      <c r="N34" s="32">
        <v>66.223151005182785</v>
      </c>
      <c r="O34" s="32">
        <v>57.196910286771853</v>
      </c>
      <c r="P34" s="32">
        <v>87.14755551370547</v>
      </c>
      <c r="Q34" s="32">
        <v>78.144234159518646</v>
      </c>
      <c r="U34" s="8" t="s">
        <v>182</v>
      </c>
      <c r="V34" s="32">
        <v>6918.1283474644442</v>
      </c>
      <c r="W34" s="32">
        <v>2443.7766715858979</v>
      </c>
      <c r="X34" s="32">
        <v>4770.2876410434255</v>
      </c>
      <c r="Y34" s="32">
        <v>2037.0060155153512</v>
      </c>
      <c r="Z34" s="65"/>
      <c r="AA34" s="32">
        <v>3939.878413192921</v>
      </c>
      <c r="AB34" s="32">
        <v>9107.5740932532663</v>
      </c>
      <c r="AC34" s="32">
        <v>8971.1829961227959</v>
      </c>
      <c r="AD34" s="32">
        <v>6264.0591935215907</v>
      </c>
      <c r="AE34" s="65"/>
      <c r="AF34" s="32">
        <v>39.034596008056198</v>
      </c>
      <c r="AG34" s="32">
        <v>39.749147835270257</v>
      </c>
      <c r="AH34" s="32">
        <v>35.955148204619704</v>
      </c>
      <c r="AI34" s="32">
        <v>72.501087937196729</v>
      </c>
    </row>
    <row r="35" spans="3:35" x14ac:dyDescent="0.3">
      <c r="C35" s="8" t="s">
        <v>183</v>
      </c>
      <c r="D35" s="32">
        <v>3465.5025558672583</v>
      </c>
      <c r="E35" s="32">
        <v>2183.5415913960287</v>
      </c>
      <c r="F35" s="32">
        <v>4057.9540822799963</v>
      </c>
      <c r="G35" s="32">
        <v>8507.6653748954177</v>
      </c>
      <c r="H35" s="65"/>
      <c r="I35" s="32">
        <v>2666.8288278072559</v>
      </c>
      <c r="J35" s="32">
        <v>3779.3744354503956</v>
      </c>
      <c r="K35" s="32">
        <v>9658.269967951961</v>
      </c>
      <c r="L35" s="32">
        <v>4055.1766948650493</v>
      </c>
      <c r="M35" s="65"/>
      <c r="N35" s="32">
        <v>67.067768893212104</v>
      </c>
      <c r="O35" s="32">
        <v>67.314405089644197</v>
      </c>
      <c r="P35" s="32">
        <v>55.469880735712998</v>
      </c>
      <c r="Q35" s="32">
        <v>65.001843822679632</v>
      </c>
      <c r="U35" s="8" t="s">
        <v>183</v>
      </c>
      <c r="V35" s="32">
        <v>7315.3927341693616</v>
      </c>
      <c r="W35" s="32">
        <v>248.37623965834331</v>
      </c>
      <c r="X35" s="32">
        <v>4457.969768794932</v>
      </c>
      <c r="Y35" s="32">
        <v>1887.8031528488902</v>
      </c>
      <c r="Z35" s="65"/>
      <c r="AA35" s="32">
        <v>7933.7096208643361</v>
      </c>
      <c r="AB35" s="32">
        <v>1346.9265376741823</v>
      </c>
      <c r="AC35" s="32">
        <v>3523.3423994535751</v>
      </c>
      <c r="AD35" s="32">
        <v>6876.3046517976964</v>
      </c>
      <c r="AE35" s="65"/>
      <c r="AF35" s="32">
        <v>14.964209918022176</v>
      </c>
      <c r="AG35" s="32">
        <v>42.757502324450193</v>
      </c>
      <c r="AH35" s="32">
        <v>1.5519520599661329</v>
      </c>
      <c r="AI35" s="32">
        <v>79.260540700980158</v>
      </c>
    </row>
    <row r="36" spans="3:35" x14ac:dyDescent="0.3">
      <c r="C36" s="8" t="s">
        <v>184</v>
      </c>
      <c r="D36" s="32">
        <v>2374.1014687838292</v>
      </c>
      <c r="E36" s="32">
        <v>5595.9481088845232</v>
      </c>
      <c r="F36" s="32">
        <v>3662.7857902851147</v>
      </c>
      <c r="G36" s="32">
        <v>6333.4327722146163</v>
      </c>
      <c r="H36" s="65"/>
      <c r="I36" s="32">
        <v>8774.5154505026439</v>
      </c>
      <c r="J36" s="32">
        <v>8466.411146989205</v>
      </c>
      <c r="K36" s="32">
        <v>9456.3905270323812</v>
      </c>
      <c r="L36" s="32">
        <v>210.43834392853955</v>
      </c>
      <c r="M36" s="65"/>
      <c r="N36" s="32">
        <v>2.0403339239822849</v>
      </c>
      <c r="O36" s="32">
        <v>93.031923968067829</v>
      </c>
      <c r="P36" s="32">
        <v>58.075838355031642</v>
      </c>
      <c r="Q36" s="32">
        <v>49.413267867330703</v>
      </c>
      <c r="U36" s="8" t="s">
        <v>184</v>
      </c>
      <c r="V36" s="32">
        <v>257.70136238554841</v>
      </c>
      <c r="W36" s="32">
        <v>7378.4856810585679</v>
      </c>
      <c r="X36" s="32">
        <v>3286.3985039005474</v>
      </c>
      <c r="Y36" s="32">
        <v>3363.0960434978151</v>
      </c>
      <c r="Z36" s="65"/>
      <c r="AA36" s="32">
        <v>1864.3562469032938</v>
      </c>
      <c r="AB36" s="32">
        <v>6129.9041662155414</v>
      </c>
      <c r="AC36" s="32">
        <v>1821.3863599593371</v>
      </c>
      <c r="AD36" s="32">
        <v>5674.647650539323</v>
      </c>
      <c r="AE36" s="65"/>
      <c r="AF36" s="32">
        <v>84.499740637866353</v>
      </c>
      <c r="AG36" s="32">
        <v>48.389424017285663</v>
      </c>
      <c r="AH36" s="32">
        <v>98.601983887733596</v>
      </c>
      <c r="AI36" s="32">
        <v>50.145696405389941</v>
      </c>
    </row>
    <row r="37" spans="3:35" x14ac:dyDescent="0.3">
      <c r="C37" s="8" t="s">
        <v>159</v>
      </c>
      <c r="D37" s="32">
        <v>5832.2692198737977</v>
      </c>
      <c r="E37" s="32">
        <v>2821.5763455850006</v>
      </c>
      <c r="F37" s="32">
        <v>2207.9408894192552</v>
      </c>
      <c r="G37" s="32">
        <v>4117.1713337728879</v>
      </c>
      <c r="H37" s="65"/>
      <c r="I37" s="32">
        <v>1352.838553465976</v>
      </c>
      <c r="J37" s="32">
        <v>8528.127563364269</v>
      </c>
      <c r="K37" s="32">
        <v>4501.7921546073221</v>
      </c>
      <c r="L37" s="32">
        <v>2613.2896026202579</v>
      </c>
      <c r="M37" s="65"/>
      <c r="N37" s="32">
        <v>15.013919035195899</v>
      </c>
      <c r="O37" s="32">
        <v>9.2986745460223457</v>
      </c>
      <c r="P37" s="32">
        <v>38.160670864212918</v>
      </c>
      <c r="Q37" s="32">
        <v>91.749275715808039</v>
      </c>
      <c r="U37" s="8" t="s">
        <v>159</v>
      </c>
      <c r="V37" s="32">
        <v>951.60223160042915</v>
      </c>
      <c r="W37" s="32">
        <v>6298.90866867143</v>
      </c>
      <c r="X37" s="32">
        <v>1370.9024554325033</v>
      </c>
      <c r="Y37" s="32">
        <v>2616.3479643284904</v>
      </c>
      <c r="Z37" s="65"/>
      <c r="AA37" s="32">
        <v>9440.2784626897228</v>
      </c>
      <c r="AB37" s="32">
        <v>4257.4059463236799</v>
      </c>
      <c r="AC37" s="32">
        <v>7813.0185399336469</v>
      </c>
      <c r="AD37" s="32">
        <v>5354.0745178292618</v>
      </c>
      <c r="AE37" s="65"/>
      <c r="AF37" s="32">
        <v>62.094483205720231</v>
      </c>
      <c r="AG37" s="32">
        <v>77.109879855478255</v>
      </c>
      <c r="AH37" s="32">
        <v>70.882893408001266</v>
      </c>
      <c r="AI37" s="32">
        <v>23.143060524892512</v>
      </c>
    </row>
    <row r="38" spans="3:35" x14ac:dyDescent="0.3">
      <c r="C38" s="8" t="s">
        <v>175</v>
      </c>
      <c r="D38" s="32">
        <v>5020.8774872866361</v>
      </c>
      <c r="E38" s="32">
        <v>8834.8606907123703</v>
      </c>
      <c r="F38" s="32">
        <v>1817.9777938332652</v>
      </c>
      <c r="G38" s="32">
        <v>5394.7725793664595</v>
      </c>
      <c r="H38" s="65"/>
      <c r="I38" s="32">
        <v>5232.4423482015727</v>
      </c>
      <c r="J38" s="32">
        <v>826.52370156591769</v>
      </c>
      <c r="K38" s="32">
        <v>7582.584939714091</v>
      </c>
      <c r="L38" s="32">
        <v>978.58167486300056</v>
      </c>
      <c r="M38" s="65"/>
      <c r="N38" s="32">
        <v>17.592660368199031</v>
      </c>
      <c r="O38" s="32">
        <v>47.172884590683793</v>
      </c>
      <c r="P38" s="32">
        <v>76.632162724631215</v>
      </c>
      <c r="Q38" s="32">
        <v>41.082653606482786</v>
      </c>
      <c r="U38" s="8" t="s">
        <v>175</v>
      </c>
      <c r="V38" s="32">
        <v>8546.4242517659186</v>
      </c>
      <c r="W38" s="32">
        <v>8894.5368623279082</v>
      </c>
      <c r="X38" s="32">
        <v>8297.6552298941369</v>
      </c>
      <c r="Y38" s="32">
        <v>4742.9779984716333</v>
      </c>
      <c r="Z38" s="65"/>
      <c r="AA38" s="32">
        <v>7195.9623663944885</v>
      </c>
      <c r="AB38" s="32">
        <v>9860.6662194029741</v>
      </c>
      <c r="AC38" s="32">
        <v>2660.2680939340471</v>
      </c>
      <c r="AD38" s="32">
        <v>6353.4780803820067</v>
      </c>
      <c r="AE38" s="65"/>
      <c r="AF38" s="32">
        <v>7.9025145189681067</v>
      </c>
      <c r="AG38" s="32">
        <v>4.4779539755435138E-2</v>
      </c>
      <c r="AH38" s="32">
        <v>32.612924071086915</v>
      </c>
      <c r="AI38" s="32">
        <v>74.31186340600415</v>
      </c>
    </row>
    <row r="39" spans="3:35" x14ac:dyDescent="0.3">
      <c r="C39" s="8" t="s">
        <v>160</v>
      </c>
      <c r="D39" s="32">
        <v>505.15476293344517</v>
      </c>
      <c r="E39" s="32">
        <v>1970.8394684825082</v>
      </c>
      <c r="F39" s="32">
        <v>9202.8409458532042</v>
      </c>
      <c r="G39" s="32">
        <v>5658.5523898688516</v>
      </c>
      <c r="H39" s="65"/>
      <c r="I39" s="32">
        <v>9254.1808339304025</v>
      </c>
      <c r="J39" s="32">
        <v>2988.112102673771</v>
      </c>
      <c r="K39" s="32">
        <v>6618.041379313293</v>
      </c>
      <c r="L39" s="32">
        <v>6659.0148772062839</v>
      </c>
      <c r="M39" s="65"/>
      <c r="N39" s="32">
        <v>73.131640101118023</v>
      </c>
      <c r="O39" s="32">
        <v>63.764334515386565</v>
      </c>
      <c r="P39" s="32">
        <v>93.375008974409511</v>
      </c>
      <c r="Q39" s="32">
        <v>47.655764755965166</v>
      </c>
      <c r="U39" s="8" t="s">
        <v>160</v>
      </c>
      <c r="V39" s="32">
        <v>8411.480728070419</v>
      </c>
      <c r="W39" s="32">
        <v>7843.3299499006025</v>
      </c>
      <c r="X39" s="32">
        <v>7851.9786528404848</v>
      </c>
      <c r="Y39" s="32">
        <v>6174.9856564508991</v>
      </c>
      <c r="Z39" s="65"/>
      <c r="AA39" s="32">
        <v>6245.3832739524005</v>
      </c>
      <c r="AB39" s="32">
        <v>7581.9070971599631</v>
      </c>
      <c r="AC39" s="32">
        <v>5950.7737338954921</v>
      </c>
      <c r="AD39" s="32">
        <v>9999.0976327345816</v>
      </c>
      <c r="AE39" s="65"/>
      <c r="AF39" s="32">
        <v>18.875525761319434</v>
      </c>
      <c r="AG39" s="32">
        <v>0.22447410378936272</v>
      </c>
      <c r="AH39" s="32">
        <v>12.668725691683747</v>
      </c>
      <c r="AI39" s="32">
        <v>64.701530019479037</v>
      </c>
    </row>
    <row r="40" spans="3:35" x14ac:dyDescent="0.3">
      <c r="C40" s="8" t="s">
        <v>176</v>
      </c>
      <c r="D40" s="32">
        <v>1519.6453845913304</v>
      </c>
      <c r="E40" s="32">
        <v>4509.5196110549232</v>
      </c>
      <c r="F40" s="32">
        <v>6949.8940393863586</v>
      </c>
      <c r="G40" s="32">
        <v>9146.7159286814767</v>
      </c>
      <c r="H40" s="65"/>
      <c r="I40" s="32">
        <v>8634.4656156109413</v>
      </c>
      <c r="J40" s="32">
        <v>7920.3818564318153</v>
      </c>
      <c r="K40" s="32">
        <v>7087.3667437567556</v>
      </c>
      <c r="L40" s="32">
        <v>33.292964796848288</v>
      </c>
      <c r="M40" s="65"/>
      <c r="N40" s="32">
        <v>45.637626108874827</v>
      </c>
      <c r="O40" s="32">
        <v>30.384732875528098</v>
      </c>
      <c r="P40" s="32">
        <v>29.198090198571013</v>
      </c>
      <c r="Q40" s="32">
        <v>60.94929995948619</v>
      </c>
      <c r="U40" s="8" t="s">
        <v>176</v>
      </c>
      <c r="V40" s="32">
        <v>6004.5276971227868</v>
      </c>
      <c r="W40" s="32">
        <v>7426.1945383450966</v>
      </c>
      <c r="X40" s="32">
        <v>4781.5972334134431</v>
      </c>
      <c r="Y40" s="32">
        <v>7487.7928190539651</v>
      </c>
      <c r="Z40" s="65"/>
      <c r="AA40" s="32">
        <v>4645.6030514809654</v>
      </c>
      <c r="AB40" s="32">
        <v>1024.6594945718457</v>
      </c>
      <c r="AC40" s="32">
        <v>8041.7743029357061</v>
      </c>
      <c r="AD40" s="32">
        <v>1005.8075740386207</v>
      </c>
      <c r="AE40" s="65"/>
      <c r="AF40" s="32">
        <v>3.1993129501784012</v>
      </c>
      <c r="AG40" s="32">
        <v>75.537954269628784</v>
      </c>
      <c r="AH40" s="32">
        <v>59.837520621458317</v>
      </c>
      <c r="AI40" s="32">
        <v>52.108674294155087</v>
      </c>
    </row>
    <row r="41" spans="3:35" x14ac:dyDescent="0.3">
      <c r="C41" s="8" t="s">
        <v>177</v>
      </c>
      <c r="D41" s="32">
        <v>3049.1364738703351</v>
      </c>
      <c r="E41" s="32">
        <v>9821.6339862368386</v>
      </c>
      <c r="F41" s="32">
        <v>1905.4649901491027</v>
      </c>
      <c r="G41" s="32">
        <v>2982.1667026157174</v>
      </c>
      <c r="H41" s="65"/>
      <c r="I41" s="32">
        <v>8770.1144352560714</v>
      </c>
      <c r="J41" s="32">
        <v>9884.7707266386915</v>
      </c>
      <c r="K41" s="32">
        <v>4798.6509999777127</v>
      </c>
      <c r="L41" s="32">
        <v>7598.2077479993959</v>
      </c>
      <c r="M41" s="65"/>
      <c r="N41" s="32">
        <v>95.889728951589106</v>
      </c>
      <c r="O41" s="32">
        <v>21.929664486845692</v>
      </c>
      <c r="P41" s="32">
        <v>38.546717851255188</v>
      </c>
      <c r="Q41" s="32">
        <v>82.73904626188407</v>
      </c>
      <c r="U41" s="8" t="s">
        <v>177</v>
      </c>
      <c r="V41" s="32">
        <v>7444.3186663329434</v>
      </c>
      <c r="W41" s="32">
        <v>1129.927130949402</v>
      </c>
      <c r="X41" s="32">
        <v>4276.0623797172848</v>
      </c>
      <c r="Y41" s="32">
        <v>8816.5173651485948</v>
      </c>
      <c r="Z41" s="65"/>
      <c r="AA41" s="32">
        <v>1223.6851302763673</v>
      </c>
      <c r="AB41" s="32">
        <v>3910.2968058222586</v>
      </c>
      <c r="AC41" s="32">
        <v>5222.742409738089</v>
      </c>
      <c r="AD41" s="32">
        <v>7600.7140547847166</v>
      </c>
      <c r="AE41" s="65"/>
      <c r="AF41" s="32">
        <v>0.80832117059133068</v>
      </c>
      <c r="AG41" s="32">
        <v>24.525278530169192</v>
      </c>
      <c r="AH41" s="32">
        <v>18.234409432036369</v>
      </c>
      <c r="AI41" s="32">
        <v>90.67987494013876</v>
      </c>
    </row>
    <row r="42" spans="3:35" x14ac:dyDescent="0.3">
      <c r="C42" s="8" t="s">
        <v>161</v>
      </c>
      <c r="D42" s="32">
        <v>5441.5774702172757</v>
      </c>
      <c r="E42" s="32">
        <v>235.60030549549248</v>
      </c>
      <c r="F42" s="32">
        <v>4883.8021890847886</v>
      </c>
      <c r="G42" s="32">
        <v>697.09808954587118</v>
      </c>
      <c r="H42" s="65"/>
      <c r="I42" s="32">
        <v>1624.5927562090544</v>
      </c>
      <c r="J42" s="32">
        <v>8706.2197618579885</v>
      </c>
      <c r="K42" s="32">
        <v>1040.5490480091828</v>
      </c>
      <c r="L42" s="32">
        <v>3448.1923146947856</v>
      </c>
      <c r="M42" s="65"/>
      <c r="N42" s="32">
        <v>5.2769116410384287</v>
      </c>
      <c r="O42" s="32">
        <v>36.473478160959537</v>
      </c>
      <c r="P42" s="32">
        <v>69.356325988061428</v>
      </c>
      <c r="Q42" s="32">
        <v>46.59038475576169</v>
      </c>
      <c r="U42" s="8" t="s">
        <v>161</v>
      </c>
      <c r="V42" s="32">
        <v>3455.3238349994062</v>
      </c>
      <c r="W42" s="32">
        <v>5801.7204131424369</v>
      </c>
      <c r="X42" s="32">
        <v>65.34170421263363</v>
      </c>
      <c r="Y42" s="32">
        <v>8465.0099208361607</v>
      </c>
      <c r="Z42" s="65"/>
      <c r="AA42" s="32">
        <v>9007.1769136619114</v>
      </c>
      <c r="AB42" s="32">
        <v>7521.3575937911883</v>
      </c>
      <c r="AC42" s="32">
        <v>1584.9957399510629</v>
      </c>
      <c r="AD42" s="32">
        <v>5842.4136053261846</v>
      </c>
      <c r="AE42" s="65"/>
      <c r="AF42" s="32">
        <v>87.190076628009521</v>
      </c>
      <c r="AG42" s="32">
        <v>78.031247818742571</v>
      </c>
      <c r="AH42" s="32">
        <v>46.281385203420712</v>
      </c>
      <c r="AI42" s="32">
        <v>26.677063667999278</v>
      </c>
    </row>
    <row r="43" spans="3:35" x14ac:dyDescent="0.3">
      <c r="C43" s="8" t="s">
        <v>162</v>
      </c>
      <c r="D43" s="32">
        <v>6535.0968119915005</v>
      </c>
      <c r="E43" s="32">
        <v>5306.2002336608221</v>
      </c>
      <c r="F43" s="32">
        <v>100.35436821157262</v>
      </c>
      <c r="G43" s="32">
        <v>543.10671717718856</v>
      </c>
      <c r="H43" s="65"/>
      <c r="I43" s="32">
        <v>9612.5025173673621</v>
      </c>
      <c r="J43" s="32">
        <v>7551.7281978533865</v>
      </c>
      <c r="K43" s="32">
        <v>386.78307477668648</v>
      </c>
      <c r="L43" s="32">
        <v>8396.0021313966699</v>
      </c>
      <c r="M43" s="65"/>
      <c r="N43" s="32">
        <v>91.169257578671221</v>
      </c>
      <c r="O43" s="32">
        <v>62.060239337128685</v>
      </c>
      <c r="P43" s="32">
        <v>15.278414620142467</v>
      </c>
      <c r="Q43" s="32">
        <v>27.515358240676534</v>
      </c>
      <c r="U43" s="8" t="s">
        <v>162</v>
      </c>
      <c r="V43" s="32">
        <v>413.15223575899785</v>
      </c>
      <c r="W43" s="32">
        <v>2763.3708836618907</v>
      </c>
      <c r="X43" s="32">
        <v>8864.0744343944589</v>
      </c>
      <c r="Y43" s="32">
        <v>1844.5159401097189</v>
      </c>
      <c r="Z43" s="65"/>
      <c r="AA43" s="32">
        <v>4403.5058850381902</v>
      </c>
      <c r="AB43" s="32">
        <v>3483.7474706484327</v>
      </c>
      <c r="AC43" s="32">
        <v>61.282889509189921</v>
      </c>
      <c r="AD43" s="32">
        <v>8974.4972275915043</v>
      </c>
      <c r="AE43" s="65"/>
      <c r="AF43" s="32">
        <v>40.503796486682297</v>
      </c>
      <c r="AG43" s="32">
        <v>85.668862433004932</v>
      </c>
      <c r="AH43" s="32">
        <v>98.25421476722326</v>
      </c>
      <c r="AI43" s="32">
        <v>44.24146669137631</v>
      </c>
    </row>
    <row r="44" spans="3:35" x14ac:dyDescent="0.3">
      <c r="C44" s="8" t="s">
        <v>163</v>
      </c>
      <c r="D44" s="32">
        <v>1904.293621935208</v>
      </c>
      <c r="E44" s="32">
        <v>7793.3110450699905</v>
      </c>
      <c r="F44" s="32">
        <v>7976.3291593325348</v>
      </c>
      <c r="G44" s="32">
        <v>150.44979370045453</v>
      </c>
      <c r="H44" s="65"/>
      <c r="I44" s="32">
        <v>8293.8571597311147</v>
      </c>
      <c r="J44" s="32">
        <v>5906.5199487315522</v>
      </c>
      <c r="K44" s="32">
        <v>798.40254852652561</v>
      </c>
      <c r="L44" s="32">
        <v>4928.3897416249438</v>
      </c>
      <c r="M44" s="65"/>
      <c r="N44" s="32">
        <v>76.576938619212854</v>
      </c>
      <c r="O44" s="32">
        <v>23.628703482152414</v>
      </c>
      <c r="P44" s="32">
        <v>56.426504048525828</v>
      </c>
      <c r="Q44" s="32">
        <v>97.017427913927349</v>
      </c>
      <c r="U44" s="8" t="s">
        <v>163</v>
      </c>
      <c r="V44" s="32">
        <v>7284.8829494220345</v>
      </c>
      <c r="W44" s="32">
        <v>4598.125664215615</v>
      </c>
      <c r="X44" s="32">
        <v>4650.6096810576792</v>
      </c>
      <c r="Y44" s="32">
        <v>977.14430992016707</v>
      </c>
      <c r="Z44" s="65"/>
      <c r="AA44" s="32">
        <v>7849.1258123198222</v>
      </c>
      <c r="AB44" s="32">
        <v>3709.6423602999162</v>
      </c>
      <c r="AC44" s="32">
        <v>1640.6114659742777</v>
      </c>
      <c r="AD44" s="32">
        <v>4621.85024604303</v>
      </c>
      <c r="AE44" s="65"/>
      <c r="AF44" s="32">
        <v>29.088549874915692</v>
      </c>
      <c r="AG44" s="32">
        <v>24.811183775765333</v>
      </c>
      <c r="AH44" s="32">
        <v>7.8580170140211454</v>
      </c>
      <c r="AI44" s="32">
        <v>84.018184269177794</v>
      </c>
    </row>
    <row r="45" spans="3:35" x14ac:dyDescent="0.3">
      <c r="C45" s="8" t="s">
        <v>164</v>
      </c>
      <c r="D45" s="32">
        <v>386.0779451421248</v>
      </c>
      <c r="E45" s="32">
        <v>1614.3381403878477</v>
      </c>
      <c r="F45" s="32">
        <v>8784.8199104884898</v>
      </c>
      <c r="G45" s="32">
        <v>5445.5486881348743</v>
      </c>
      <c r="H45" s="65"/>
      <c r="I45" s="32">
        <v>2469.6589560658067</v>
      </c>
      <c r="J45" s="32">
        <v>6465.5489005928694</v>
      </c>
      <c r="K45" s="32">
        <v>5634.1183173938043</v>
      </c>
      <c r="L45" s="32">
        <v>1014.125976132455</v>
      </c>
      <c r="M45" s="65"/>
      <c r="N45" s="32">
        <v>80.341485292392605</v>
      </c>
      <c r="O45" s="32">
        <v>98.428960279816607</v>
      </c>
      <c r="P45" s="32">
        <v>37.846087011041739</v>
      </c>
      <c r="Q45" s="32">
        <v>3.9543015250749547</v>
      </c>
      <c r="U45" s="8" t="s">
        <v>164</v>
      </c>
      <c r="V45" s="32">
        <v>1206.1787496702202</v>
      </c>
      <c r="W45" s="32">
        <v>1969.4618155440824</v>
      </c>
      <c r="X45" s="32">
        <v>8204.2354666641495</v>
      </c>
      <c r="Y45" s="32">
        <v>2394.1686860702894</v>
      </c>
      <c r="Z45" s="65"/>
      <c r="AA45" s="32">
        <v>3577.9927474069218</v>
      </c>
      <c r="AB45" s="32">
        <v>9796.6355772437473</v>
      </c>
      <c r="AC45" s="32">
        <v>6626.8987767709941</v>
      </c>
      <c r="AD45" s="32">
        <v>6253.2777413724225</v>
      </c>
      <c r="AE45" s="65"/>
      <c r="AF45" s="32">
        <v>45.737528698543393</v>
      </c>
      <c r="AG45" s="32">
        <v>84.26191042975988</v>
      </c>
      <c r="AH45" s="32">
        <v>10.223838030002874</v>
      </c>
      <c r="AI45" s="32">
        <v>86.465106518479786</v>
      </c>
    </row>
    <row r="46" spans="3:35" x14ac:dyDescent="0.3">
      <c r="C46" s="8" t="s">
        <v>178</v>
      </c>
      <c r="D46" s="32">
        <v>7616.8441977303637</v>
      </c>
      <c r="E46" s="32">
        <v>407.65096498618482</v>
      </c>
      <c r="F46" s="32">
        <v>6380.7555662422201</v>
      </c>
      <c r="G46" s="32">
        <v>69.148605927976675</v>
      </c>
      <c r="H46" s="65"/>
      <c r="I46" s="32">
        <v>2523.7540363084854</v>
      </c>
      <c r="J46" s="32">
        <v>6792.1329190166043</v>
      </c>
      <c r="K46" s="32">
        <v>473.85041860830921</v>
      </c>
      <c r="L46" s="32">
        <v>7329.3741060504717</v>
      </c>
      <c r="M46" s="65"/>
      <c r="N46" s="32">
        <v>71.985608629554505</v>
      </c>
      <c r="O46" s="32">
        <v>18.624552200422162</v>
      </c>
      <c r="P46" s="32">
        <v>78.36720832264173</v>
      </c>
      <c r="Q46" s="32">
        <v>63.291815839228413</v>
      </c>
      <c r="U46" s="8" t="s">
        <v>178</v>
      </c>
      <c r="V46" s="32">
        <v>9797.7968438822463</v>
      </c>
      <c r="W46" s="32">
        <v>5813.3681901228911</v>
      </c>
      <c r="X46" s="32">
        <v>8743.0078917056326</v>
      </c>
      <c r="Y46" s="32">
        <v>4801.9206301350068</v>
      </c>
      <c r="Z46" s="65"/>
      <c r="AA46" s="32">
        <v>4949.9786064133768</v>
      </c>
      <c r="AB46" s="32">
        <v>7093.4463131264156</v>
      </c>
      <c r="AC46" s="32">
        <v>1881.081533766863</v>
      </c>
      <c r="AD46" s="32">
        <v>9311.2430514851021</v>
      </c>
      <c r="AE46" s="65"/>
      <c r="AF46" s="32">
        <v>84.100178737005038</v>
      </c>
      <c r="AG46" s="32">
        <v>45.871496956021176</v>
      </c>
      <c r="AH46" s="32">
        <v>14.091306194949949</v>
      </c>
      <c r="AI46" s="32">
        <v>93.930255333798499</v>
      </c>
    </row>
    <row r="47" spans="3:35" x14ac:dyDescent="0.3">
      <c r="C47" s="8" t="s">
        <v>165</v>
      </c>
      <c r="D47" s="32">
        <v>6245.5194980159231</v>
      </c>
      <c r="E47" s="32">
        <v>2764.7423315992569</v>
      </c>
      <c r="F47" s="32">
        <v>9190.5043903195219</v>
      </c>
      <c r="G47" s="32">
        <v>6143.954334038357</v>
      </c>
      <c r="H47" s="65"/>
      <c r="I47" s="32">
        <v>2399.2090231068032</v>
      </c>
      <c r="J47" s="32">
        <v>8531.2350144634092</v>
      </c>
      <c r="K47" s="32">
        <v>2510.7592980515192</v>
      </c>
      <c r="L47" s="32">
        <v>3244.0447751769375</v>
      </c>
      <c r="M47" s="65"/>
      <c r="N47" s="32">
        <v>87.666131241881459</v>
      </c>
      <c r="O47" s="32">
        <v>15.866814885139291</v>
      </c>
      <c r="P47" s="32">
        <v>14.505351575106641</v>
      </c>
      <c r="Q47" s="32">
        <v>79.236606649730433</v>
      </c>
      <c r="U47" s="8" t="s">
        <v>165</v>
      </c>
      <c r="V47" s="32">
        <v>770.65071786159956</v>
      </c>
      <c r="W47" s="32">
        <v>5702.8794186625519</v>
      </c>
      <c r="X47" s="32">
        <v>3476.1266443965387</v>
      </c>
      <c r="Y47" s="32">
        <v>7870.3093223341739</v>
      </c>
      <c r="Z47" s="65"/>
      <c r="AA47" s="32">
        <v>8214.9640001767893</v>
      </c>
      <c r="AB47" s="32">
        <v>8144.2656323264027</v>
      </c>
      <c r="AC47" s="32">
        <v>8258.4633548013171</v>
      </c>
      <c r="AD47" s="32">
        <v>704.02908477041001</v>
      </c>
      <c r="AE47" s="65"/>
      <c r="AF47" s="32">
        <v>98.678920494277165</v>
      </c>
      <c r="AG47" s="32">
        <v>69.034960475609978</v>
      </c>
      <c r="AH47" s="32">
        <v>62.232350096335566</v>
      </c>
      <c r="AI47" s="32">
        <v>53.189710392567982</v>
      </c>
    </row>
    <row r="48" spans="3:35" x14ac:dyDescent="0.3">
      <c r="C48" s="8" t="s">
        <v>166</v>
      </c>
      <c r="D48" s="32">
        <v>4805.2883660342159</v>
      </c>
      <c r="E48" s="32">
        <v>5225.2672143156051</v>
      </c>
      <c r="F48" s="32">
        <v>2971.5765359483103</v>
      </c>
      <c r="G48" s="32">
        <v>3893.1767788550496</v>
      </c>
      <c r="H48" s="65"/>
      <c r="I48" s="32">
        <v>8745.4652100087278</v>
      </c>
      <c r="J48" s="32">
        <v>9682.6627362535291</v>
      </c>
      <c r="K48" s="32">
        <v>8872.2821675781342</v>
      </c>
      <c r="L48" s="32">
        <v>5937.6498357700511</v>
      </c>
      <c r="M48" s="65"/>
      <c r="N48" s="32">
        <v>68.489422313936217</v>
      </c>
      <c r="O48" s="32">
        <v>46.910952191861242</v>
      </c>
      <c r="P48" s="32">
        <v>66.533643791182257</v>
      </c>
      <c r="Q48" s="32">
        <v>6.1516677663656427</v>
      </c>
      <c r="U48" s="8" t="s">
        <v>166</v>
      </c>
      <c r="V48" s="32">
        <v>5644.8275706039649</v>
      </c>
      <c r="W48" s="32">
        <v>8657.6654365224495</v>
      </c>
      <c r="X48" s="32">
        <v>5177.663342864751</v>
      </c>
      <c r="Y48" s="32">
        <v>3323.0323896695036</v>
      </c>
      <c r="Z48" s="65"/>
      <c r="AA48" s="32">
        <v>7096.8186260997581</v>
      </c>
      <c r="AB48" s="32">
        <v>9865.6571494982163</v>
      </c>
      <c r="AC48" s="32">
        <v>5396.9839551810492</v>
      </c>
      <c r="AD48" s="32">
        <v>4699.3961670474664</v>
      </c>
      <c r="AE48" s="65"/>
      <c r="AF48" s="32">
        <v>15.726807991007163</v>
      </c>
      <c r="AG48" s="32">
        <v>12.232018837649839</v>
      </c>
      <c r="AH48" s="32">
        <v>90.496335879713939</v>
      </c>
      <c r="AI48" s="32">
        <v>23.117747893788511</v>
      </c>
    </row>
    <row r="49" spans="1:85" x14ac:dyDescent="0.3">
      <c r="C49" s="8" t="s">
        <v>167</v>
      </c>
      <c r="D49" s="32">
        <v>5565.186052048949</v>
      </c>
      <c r="E49" s="32">
        <v>9480.0758988070702</v>
      </c>
      <c r="F49" s="32">
        <v>4288.1857532124404</v>
      </c>
      <c r="G49" s="32">
        <v>9881.8162130952751</v>
      </c>
      <c r="H49" s="65"/>
      <c r="I49" s="32">
        <v>2065.6214015905084</v>
      </c>
      <c r="J49" s="32">
        <v>3347.7010705896514</v>
      </c>
      <c r="K49" s="32">
        <v>6357.9390131761056</v>
      </c>
      <c r="L49" s="32">
        <v>2184.9508114823047</v>
      </c>
      <c r="M49" s="65"/>
      <c r="N49" s="32">
        <v>52.13224558116989</v>
      </c>
      <c r="O49" s="32">
        <v>47.631266739080544</v>
      </c>
      <c r="P49" s="32">
        <v>67.132904337661344</v>
      </c>
      <c r="Q49" s="32">
        <v>75.387464741882667</v>
      </c>
      <c r="U49" s="8" t="s">
        <v>167</v>
      </c>
      <c r="V49" s="32">
        <v>6599.2509951139909</v>
      </c>
      <c r="W49" s="32">
        <v>2026.3897054266633</v>
      </c>
      <c r="X49" s="32">
        <v>6348.392558123136</v>
      </c>
      <c r="Y49" s="32">
        <v>3368.0002092939012</v>
      </c>
      <c r="Z49" s="65"/>
      <c r="AA49" s="32">
        <v>8508.726394176947</v>
      </c>
      <c r="AB49" s="32">
        <v>4752.768195089654</v>
      </c>
      <c r="AC49" s="32">
        <v>7355.5987603840958</v>
      </c>
      <c r="AD49" s="32">
        <v>6862.4225446994615</v>
      </c>
      <c r="AE49" s="65"/>
      <c r="AF49" s="32">
        <v>94.491665533894974</v>
      </c>
      <c r="AG49" s="32">
        <v>48.288159268472555</v>
      </c>
      <c r="AH49" s="32">
        <v>69.683265939668743</v>
      </c>
      <c r="AI49" s="32">
        <v>89.636998129625738</v>
      </c>
    </row>
    <row r="50" spans="1:85" x14ac:dyDescent="0.3">
      <c r="C50" s="8" t="s">
        <v>168</v>
      </c>
      <c r="D50" s="32">
        <v>1236.1590801250522</v>
      </c>
      <c r="E50" s="32">
        <v>3667.2491998748201</v>
      </c>
      <c r="F50" s="32">
        <v>3493.5717305517478</v>
      </c>
      <c r="G50" s="32">
        <v>2126.194593802476</v>
      </c>
      <c r="H50" s="65"/>
      <c r="I50" s="32">
        <v>3421.0233386862419</v>
      </c>
      <c r="J50" s="32">
        <v>5200.6227289145863</v>
      </c>
      <c r="K50" s="32">
        <v>9009.1439921819747</v>
      </c>
      <c r="L50" s="32">
        <v>9412.6043906377363</v>
      </c>
      <c r="M50" s="65"/>
      <c r="N50" s="32">
        <v>63.394487280320966</v>
      </c>
      <c r="O50" s="32">
        <v>89.428032715628476</v>
      </c>
      <c r="P50" s="32">
        <v>1.6814041976952909</v>
      </c>
      <c r="Q50" s="32">
        <v>11.632957408954059</v>
      </c>
      <c r="U50" s="8" t="s">
        <v>168</v>
      </c>
      <c r="V50" s="32">
        <v>5777.0353332861405</v>
      </c>
      <c r="W50" s="32">
        <v>6345.02781415153</v>
      </c>
      <c r="X50" s="32">
        <v>7979.6599433818265</v>
      </c>
      <c r="Y50" s="32">
        <v>8158.9352272063843</v>
      </c>
      <c r="Z50" s="65"/>
      <c r="AA50" s="32">
        <v>2369.4899683867297</v>
      </c>
      <c r="AB50" s="32">
        <v>6286.2779295476757</v>
      </c>
      <c r="AC50" s="32">
        <v>7451.0287654606018</v>
      </c>
      <c r="AD50" s="32">
        <v>4163.5305658782872</v>
      </c>
      <c r="AE50" s="65"/>
      <c r="AF50" s="32">
        <v>78.299748112036568</v>
      </c>
      <c r="AG50" s="32">
        <v>22.580419743847415</v>
      </c>
      <c r="AH50" s="32">
        <v>31.231563629096271</v>
      </c>
      <c r="AI50" s="32">
        <v>56.067380834850752</v>
      </c>
    </row>
    <row r="51" spans="1:85" x14ac:dyDescent="0.3">
      <c r="C51" s="8" t="s">
        <v>169</v>
      </c>
      <c r="D51" s="32">
        <v>5178.6455466332645</v>
      </c>
      <c r="E51" s="32">
        <v>9023.2866698405851</v>
      </c>
      <c r="F51" s="32">
        <v>711.03787751710888</v>
      </c>
      <c r="G51" s="32">
        <v>9034.0274729426037</v>
      </c>
      <c r="H51" s="65"/>
      <c r="I51" s="32">
        <v>8564.3153655310889</v>
      </c>
      <c r="J51" s="32">
        <v>4801.9297128431708</v>
      </c>
      <c r="K51" s="32">
        <v>3902.9133461550691</v>
      </c>
      <c r="L51" s="32">
        <v>5035.848035294257</v>
      </c>
      <c r="M51" s="65"/>
      <c r="N51" s="32">
        <v>43.622109635388398</v>
      </c>
      <c r="O51" s="32">
        <v>31.760318796685638</v>
      </c>
      <c r="P51" s="32">
        <v>97.813716287666196</v>
      </c>
      <c r="Q51" s="32">
        <v>37.873910493708472</v>
      </c>
      <c r="U51" s="8" t="s">
        <v>169</v>
      </c>
      <c r="V51" s="32">
        <v>2888.809940454159</v>
      </c>
      <c r="W51" s="32">
        <v>4637.4034377265671</v>
      </c>
      <c r="X51" s="32">
        <v>5945.7051550328042</v>
      </c>
      <c r="Y51" s="32">
        <v>7932.6747779689695</v>
      </c>
      <c r="Z51" s="65"/>
      <c r="AA51" s="32">
        <v>6509.2085137550093</v>
      </c>
      <c r="AB51" s="32">
        <v>5870.8451745475786</v>
      </c>
      <c r="AC51" s="32">
        <v>9827.6182470361782</v>
      </c>
      <c r="AD51" s="32">
        <v>2666.0969212520026</v>
      </c>
      <c r="AE51" s="65"/>
      <c r="AF51" s="32">
        <v>83.343977754406495</v>
      </c>
      <c r="AG51" s="32">
        <v>70.45153987248402</v>
      </c>
      <c r="AH51" s="32">
        <v>80.242129574088693</v>
      </c>
      <c r="AI51" s="32">
        <v>94.055049144500046</v>
      </c>
    </row>
    <row r="52" spans="1:85" x14ac:dyDescent="0.3">
      <c r="C52" s="8" t="s">
        <v>179</v>
      </c>
      <c r="D52" s="32">
        <v>8573.3534646184016</v>
      </c>
      <c r="E52" s="32">
        <v>1587.8279747013746</v>
      </c>
      <c r="F52" s="32">
        <v>6991.9893606965225</v>
      </c>
      <c r="G52" s="32">
        <v>9625.8022157669257</v>
      </c>
      <c r="H52" s="65"/>
      <c r="I52" s="32">
        <v>2512.7072911477435</v>
      </c>
      <c r="J52" s="32">
        <v>9135.6624361596168</v>
      </c>
      <c r="K52" s="32">
        <v>4160.1093742432204</v>
      </c>
      <c r="L52" s="32">
        <v>2665.0960558985225</v>
      </c>
      <c r="M52" s="65"/>
      <c r="N52" s="32">
        <v>63.980008096921956</v>
      </c>
      <c r="O52" s="32">
        <v>66.139392287240312</v>
      </c>
      <c r="P52" s="32">
        <v>38.569316513607419</v>
      </c>
      <c r="Q52" s="32">
        <v>36.766083388147372</v>
      </c>
      <c r="U52" s="8" t="s">
        <v>179</v>
      </c>
      <c r="V52" s="32">
        <v>3337.0434103849379</v>
      </c>
      <c r="W52" s="32">
        <v>7789.1577776792064</v>
      </c>
      <c r="X52" s="32">
        <v>7386.6305547853281</v>
      </c>
      <c r="Y52" s="32">
        <v>2622.8465813092348</v>
      </c>
      <c r="Z52" s="65"/>
      <c r="AA52" s="32">
        <v>4871.794698750391</v>
      </c>
      <c r="AB52" s="32">
        <v>9769.9300392195946</v>
      </c>
      <c r="AC52" s="32">
        <v>7772.7211768851776</v>
      </c>
      <c r="AD52" s="32">
        <v>6093.2079511533457</v>
      </c>
      <c r="AE52" s="65"/>
      <c r="AF52" s="32">
        <v>90.096403788338392</v>
      </c>
      <c r="AG52" s="32">
        <v>5.8329669732552265</v>
      </c>
      <c r="AH52" s="32">
        <v>78.615529319938005</v>
      </c>
      <c r="AI52" s="32">
        <v>33.53729792170811</v>
      </c>
    </row>
    <row r="53" spans="1:85" x14ac:dyDescent="0.3">
      <c r="C53" s="8" t="s">
        <v>180</v>
      </c>
      <c r="D53" s="32">
        <v>3105.992849787935</v>
      </c>
      <c r="E53" s="32">
        <v>7989.9603999580086</v>
      </c>
      <c r="F53" s="32">
        <v>9539.2649278991976</v>
      </c>
      <c r="G53" s="32">
        <v>5862.14067885434</v>
      </c>
      <c r="H53" s="65"/>
      <c r="I53" s="32">
        <v>445.32812330461468</v>
      </c>
      <c r="J53" s="32">
        <v>1054.5433052878238</v>
      </c>
      <c r="K53" s="32">
        <v>4930.1581427939655</v>
      </c>
      <c r="L53" s="32">
        <v>5755.3629520891782</v>
      </c>
      <c r="M53" s="65"/>
      <c r="N53" s="32">
        <v>27.824156836891923</v>
      </c>
      <c r="O53" s="32">
        <v>61.150378871750696</v>
      </c>
      <c r="P53" s="32">
        <v>82.786032454619559</v>
      </c>
      <c r="Q53" s="32">
        <v>41.203605549291581</v>
      </c>
      <c r="U53" s="8" t="s">
        <v>180</v>
      </c>
      <c r="V53" s="32">
        <v>3910.6154883716695</v>
      </c>
      <c r="W53" s="32">
        <v>9093.8791712574366</v>
      </c>
      <c r="X53" s="32">
        <v>1985.7738728817776</v>
      </c>
      <c r="Y53" s="32">
        <v>1464.8862047799062</v>
      </c>
      <c r="Z53" s="65"/>
      <c r="AA53" s="32">
        <v>1845.671594052214</v>
      </c>
      <c r="AB53" s="32">
        <v>7849.1575267020917</v>
      </c>
      <c r="AC53" s="32">
        <v>9351.3515459423907</v>
      </c>
      <c r="AD53" s="32">
        <v>7593.7712452920305</v>
      </c>
      <c r="AE53" s="65"/>
      <c r="AF53" s="32">
        <v>69.957243091730987</v>
      </c>
      <c r="AG53" s="32">
        <v>3.6613666968186909</v>
      </c>
      <c r="AH53" s="32">
        <v>16.684346764296553</v>
      </c>
      <c r="AI53" s="32">
        <v>27.103288591006191</v>
      </c>
    </row>
    <row r="54" spans="1:85" x14ac:dyDescent="0.3">
      <c r="C54" s="8" t="s">
        <v>181</v>
      </c>
      <c r="D54" s="32">
        <v>7837.2336785499137</v>
      </c>
      <c r="E54" s="32">
        <v>1967.3776074109971</v>
      </c>
      <c r="F54" s="32">
        <v>2225.3039492816361</v>
      </c>
      <c r="G54" s="32">
        <v>594.6398884266091</v>
      </c>
      <c r="H54" s="65"/>
      <c r="I54" s="32">
        <v>607.4681459544795</v>
      </c>
      <c r="J54" s="32">
        <v>3991.6157035236556</v>
      </c>
      <c r="K54" s="32">
        <v>5844.504824911889</v>
      </c>
      <c r="L54" s="32">
        <v>8662.4545190125027</v>
      </c>
      <c r="M54" s="65"/>
      <c r="N54" s="32">
        <v>53.01173348956987</v>
      </c>
      <c r="O54" s="32">
        <v>99.204995227120691</v>
      </c>
      <c r="P54" s="32">
        <v>61.323306141066261</v>
      </c>
      <c r="Q54" s="32">
        <v>16.913652206165995</v>
      </c>
      <c r="U54" s="8" t="s">
        <v>181</v>
      </c>
      <c r="V54" s="32">
        <v>2950.2342006402705</v>
      </c>
      <c r="W54" s="32">
        <v>4305.6808816987113</v>
      </c>
      <c r="X54" s="32">
        <v>2853.6467953218835</v>
      </c>
      <c r="Y54" s="32">
        <v>6548.8654206507099</v>
      </c>
      <c r="Z54" s="65"/>
      <c r="AA54" s="32">
        <v>5742.1702504230134</v>
      </c>
      <c r="AB54" s="32">
        <v>1153.8754580852285</v>
      </c>
      <c r="AC54" s="32">
        <v>4312.8340952620156</v>
      </c>
      <c r="AD54" s="32">
        <v>7768.8123929785024</v>
      </c>
      <c r="AE54" s="65"/>
      <c r="AF54" s="32">
        <v>17.651976425918537</v>
      </c>
      <c r="AG54" s="32">
        <v>56.53562762665527</v>
      </c>
      <c r="AH54" s="32">
        <v>21.868234034491973</v>
      </c>
      <c r="AI54" s="32">
        <v>57.130876858139892</v>
      </c>
    </row>
    <row r="55" spans="1:85" x14ac:dyDescent="0.3">
      <c r="C55" s="8" t="s">
        <v>170</v>
      </c>
      <c r="D55" s="32">
        <v>4291.8073769586381</v>
      </c>
      <c r="E55" s="32">
        <v>9841.2257450766865</v>
      </c>
      <c r="F55" s="32">
        <v>2061.4127255131953</v>
      </c>
      <c r="G55" s="32">
        <v>6319.0388264822141</v>
      </c>
      <c r="H55" s="65"/>
      <c r="I55" s="32">
        <v>285.14292863816684</v>
      </c>
      <c r="J55" s="32">
        <v>7542.1614474593671</v>
      </c>
      <c r="K55" s="32">
        <v>9686.6317306241435</v>
      </c>
      <c r="L55" s="32">
        <v>2156.1834973159753</v>
      </c>
      <c r="M55" s="65"/>
      <c r="N55" s="32">
        <v>76.99023127323396</v>
      </c>
      <c r="O55" s="32">
        <v>8.1592987646629584</v>
      </c>
      <c r="P55" s="32">
        <v>8.1952606438286288</v>
      </c>
      <c r="Q55" s="32">
        <v>27.044596000875242</v>
      </c>
      <c r="U55" s="8" t="s">
        <v>170</v>
      </c>
      <c r="V55" s="32">
        <v>7044.8735673044475</v>
      </c>
      <c r="W55" s="32">
        <v>3125.6696713981646</v>
      </c>
      <c r="X55" s="32">
        <v>9226.3766519512192</v>
      </c>
      <c r="Y55" s="32">
        <v>4167.8639866295734</v>
      </c>
      <c r="Z55" s="65"/>
      <c r="AA55" s="32">
        <v>2508.0058858215871</v>
      </c>
      <c r="AB55" s="32">
        <v>447.97382430274757</v>
      </c>
      <c r="AC55" s="32">
        <v>4197.9056040472151</v>
      </c>
      <c r="AD55" s="32">
        <v>2878.9122961291691</v>
      </c>
      <c r="AE55" s="65"/>
      <c r="AF55" s="32">
        <v>44.838463967637018</v>
      </c>
      <c r="AG55" s="32">
        <v>58.368145019317041</v>
      </c>
      <c r="AH55" s="32">
        <v>97.281997386882651</v>
      </c>
      <c r="AI55" s="32">
        <v>51.08574213634737</v>
      </c>
    </row>
    <row r="56" spans="1:85" x14ac:dyDescent="0.3">
      <c r="C56" s="8" t="s">
        <v>171</v>
      </c>
      <c r="D56" s="32">
        <v>2851.2509587617251</v>
      </c>
      <c r="E56" s="32">
        <v>2199.0649578105249</v>
      </c>
      <c r="F56" s="32">
        <v>3867.6470840910461</v>
      </c>
      <c r="G56" s="32">
        <v>4454.1268656718012</v>
      </c>
      <c r="H56" s="65"/>
      <c r="I56" s="32">
        <v>5812.9362080375313</v>
      </c>
      <c r="J56" s="32">
        <v>4388.2827811267898</v>
      </c>
      <c r="K56" s="32">
        <v>8556.8069968674154</v>
      </c>
      <c r="L56" s="32">
        <v>6325.3303852082763</v>
      </c>
      <c r="M56" s="65"/>
      <c r="N56" s="32">
        <v>21.153842940075485</v>
      </c>
      <c r="O56" s="32">
        <v>18.753178369867108</v>
      </c>
      <c r="P56" s="32">
        <v>60.88550436094495</v>
      </c>
      <c r="Q56" s="32">
        <v>87.236127386433182</v>
      </c>
      <c r="U56" s="8" t="s">
        <v>171</v>
      </c>
      <c r="V56" s="32">
        <v>9718.4666615425758</v>
      </c>
      <c r="W56" s="32">
        <v>4102.448952099543</v>
      </c>
      <c r="X56" s="32">
        <v>9137.0395599203839</v>
      </c>
      <c r="Y56" s="32">
        <v>4134.6613419714977</v>
      </c>
      <c r="Z56" s="65"/>
      <c r="AA56" s="32">
        <v>7566.0999696045492</v>
      </c>
      <c r="AB56" s="32">
        <v>5271.3706345847459</v>
      </c>
      <c r="AC56" s="32">
        <v>7658.1340748269331</v>
      </c>
      <c r="AD56" s="32">
        <v>2115.5535336265575</v>
      </c>
      <c r="AE56" s="65"/>
      <c r="AF56" s="32">
        <v>11.894253222750095</v>
      </c>
      <c r="AG56" s="32">
        <v>39.238431950712695</v>
      </c>
      <c r="AH56" s="32">
        <v>84.110573374771064</v>
      </c>
      <c r="AI56" s="32">
        <v>21.592373248633322</v>
      </c>
    </row>
    <row r="57" spans="1:85" x14ac:dyDescent="0.3">
      <c r="C57" s="8" t="s">
        <v>172</v>
      </c>
      <c r="D57" s="32">
        <v>9117.2090608707222</v>
      </c>
      <c r="E57" s="32">
        <v>4997.8641931774773</v>
      </c>
      <c r="F57" s="32">
        <v>5599.816359024434</v>
      </c>
      <c r="G57" s="32">
        <v>6131.6913867086841</v>
      </c>
      <c r="H57" s="65"/>
      <c r="I57" s="32">
        <v>1816.4658163604252</v>
      </c>
      <c r="J57" s="32">
        <v>5191.142131628214</v>
      </c>
      <c r="K57" s="32">
        <v>4122.2771976846698</v>
      </c>
      <c r="L57" s="32">
        <v>4381.8112192907629</v>
      </c>
      <c r="M57" s="65"/>
      <c r="N57" s="32">
        <v>23.649104252131814</v>
      </c>
      <c r="O57" s="32">
        <v>17.788239345434764</v>
      </c>
      <c r="P57" s="32">
        <v>81.951512471797088</v>
      </c>
      <c r="Q57" s="32">
        <v>87.659478575371949</v>
      </c>
      <c r="U57" s="8" t="s">
        <v>172</v>
      </c>
      <c r="V57" s="32">
        <v>2745.9176833742949</v>
      </c>
      <c r="W57" s="32">
        <v>5713.9927602224807</v>
      </c>
      <c r="X57" s="32">
        <v>1448.822727647615</v>
      </c>
      <c r="Y57" s="32">
        <v>3851.2938411357454</v>
      </c>
      <c r="Z57" s="65"/>
      <c r="AA57" s="32">
        <v>7758.0242673634857</v>
      </c>
      <c r="AB57" s="32">
        <v>5270.4183710234611</v>
      </c>
      <c r="AC57" s="32">
        <v>8775.3646031775243</v>
      </c>
      <c r="AD57" s="32">
        <v>1331.9012219045501</v>
      </c>
      <c r="AE57" s="65"/>
      <c r="AF57" s="32">
        <v>67.671784897066445</v>
      </c>
      <c r="AG57" s="32">
        <v>54.099049337477766</v>
      </c>
      <c r="AH57" s="32">
        <v>69.857167016998417</v>
      </c>
      <c r="AI57" s="32">
        <v>20.635882944118045</v>
      </c>
    </row>
    <row r="58" spans="1:85" x14ac:dyDescent="0.3">
      <c r="C58" s="8" t="s">
        <v>173</v>
      </c>
      <c r="D58" s="32">
        <v>4055.7014792891687</v>
      </c>
      <c r="E58" s="32">
        <v>1624.9704824982448</v>
      </c>
      <c r="F58" s="32">
        <v>4901.9142979318531</v>
      </c>
      <c r="G58" s="32">
        <v>9660.3944142800701</v>
      </c>
      <c r="H58" s="65"/>
      <c r="I58" s="32">
        <v>6963.2740553303847</v>
      </c>
      <c r="J58" s="32">
        <v>3342.1562821765106</v>
      </c>
      <c r="K58" s="32">
        <v>3301.3359574248648</v>
      </c>
      <c r="L58" s="32">
        <v>5951.300429716317</v>
      </c>
      <c r="M58" s="65"/>
      <c r="N58" s="32">
        <v>50.655023029432812</v>
      </c>
      <c r="O58" s="32">
        <v>99.319676265492575</v>
      </c>
      <c r="P58" s="32">
        <v>35.384559333917068</v>
      </c>
      <c r="Q58" s="32">
        <v>56.16280161533642</v>
      </c>
      <c r="U58" s="8" t="s">
        <v>173</v>
      </c>
      <c r="V58" s="32">
        <v>7182.469505046889</v>
      </c>
      <c r="W58" s="32">
        <v>509.52892270089478</v>
      </c>
      <c r="X58" s="32">
        <v>1363.6510213601382</v>
      </c>
      <c r="Y58" s="32">
        <v>3572.3661574936282</v>
      </c>
      <c r="Z58" s="65"/>
      <c r="AA58" s="32">
        <v>3678.4495436555753</v>
      </c>
      <c r="AB58" s="32">
        <v>2161.3750087070307</v>
      </c>
      <c r="AC58" s="32">
        <v>5293.5678580550348</v>
      </c>
      <c r="AD58" s="32">
        <v>8752.9021780904441</v>
      </c>
      <c r="AE58" s="65"/>
      <c r="AF58" s="32">
        <v>54.78626718569938</v>
      </c>
      <c r="AG58" s="32">
        <v>86.721525971692543</v>
      </c>
      <c r="AH58" s="32">
        <v>53.16511902052531</v>
      </c>
      <c r="AI58" s="32">
        <v>76.725456181530944</v>
      </c>
    </row>
    <row r="59" spans="1:85" x14ac:dyDescent="0.3">
      <c r="C59" s="8" t="s">
        <v>174</v>
      </c>
      <c r="D59" s="32">
        <v>6439.2166824783617</v>
      </c>
      <c r="E59" s="32">
        <v>2661.6144937057284</v>
      </c>
      <c r="F59" s="32">
        <v>7742.0060320610391</v>
      </c>
      <c r="G59" s="32">
        <v>7695.6738980704667</v>
      </c>
      <c r="H59" s="65"/>
      <c r="I59" s="32">
        <v>8617.5007233986071</v>
      </c>
      <c r="J59" s="32">
        <v>2888.9051539739298</v>
      </c>
      <c r="K59" s="32">
        <v>6283.6044493597601</v>
      </c>
      <c r="L59" s="32">
        <v>7542.9129346660802</v>
      </c>
      <c r="M59" s="65"/>
      <c r="N59" s="32">
        <v>56.408484214910992</v>
      </c>
      <c r="O59" s="32">
        <v>61.90928206965669</v>
      </c>
      <c r="P59" s="32">
        <v>6.6705368894813377</v>
      </c>
      <c r="Q59" s="32">
        <v>21.615652779410421</v>
      </c>
      <c r="U59" s="8" t="s">
        <v>174</v>
      </c>
      <c r="V59" s="32">
        <v>7832.0270196560186</v>
      </c>
      <c r="W59" s="32">
        <v>8529.5044795672056</v>
      </c>
      <c r="X59" s="32">
        <v>9698.658184693455</v>
      </c>
      <c r="Y59" s="32">
        <v>1525.6370327400004</v>
      </c>
      <c r="Z59" s="65"/>
      <c r="AA59" s="32">
        <v>3822.2262495901459</v>
      </c>
      <c r="AB59" s="32">
        <v>6480.9868167432123</v>
      </c>
      <c r="AC59" s="32">
        <v>9988.1051773430117</v>
      </c>
      <c r="AD59" s="32">
        <v>2066.7963758489127</v>
      </c>
      <c r="AE59" s="65"/>
      <c r="AF59" s="32">
        <v>31.537238910040209</v>
      </c>
      <c r="AG59" s="32">
        <v>37.504221206527568</v>
      </c>
      <c r="AH59" s="32">
        <v>30.544011469245714</v>
      </c>
      <c r="AI59" s="32">
        <v>50.938788790452186</v>
      </c>
    </row>
    <row r="60" spans="1:85" x14ac:dyDescent="0.3">
      <c r="C60" s="8" t="s">
        <v>182</v>
      </c>
      <c r="D60" s="32">
        <v>2111.3812725017942</v>
      </c>
      <c r="E60" s="32">
        <v>5245.2291807754473</v>
      </c>
      <c r="F60" s="32">
        <v>417.21601781961715</v>
      </c>
      <c r="G60" s="32">
        <v>5829.1721901857009</v>
      </c>
      <c r="H60" s="65"/>
      <c r="I60" s="32">
        <v>8168.5612985340085</v>
      </c>
      <c r="J60" s="32">
        <v>4193.3788779353736</v>
      </c>
      <c r="K60" s="32">
        <v>6096.0761973882845</v>
      </c>
      <c r="L60" s="32">
        <v>9840.8281798881144</v>
      </c>
      <c r="M60" s="65"/>
      <c r="N60" s="32">
        <v>40.847339714676266</v>
      </c>
      <c r="O60" s="32">
        <v>67.007925056667773</v>
      </c>
      <c r="P60" s="32">
        <v>66.178074707934016</v>
      </c>
      <c r="Q60" s="32">
        <v>24.889939254258152</v>
      </c>
      <c r="U60" s="8" t="s">
        <v>182</v>
      </c>
      <c r="V60" s="32">
        <v>1080.8221483127822</v>
      </c>
      <c r="W60" s="32">
        <v>8069.4331541013908</v>
      </c>
      <c r="X60" s="32">
        <v>3742.3027011232957</v>
      </c>
      <c r="Y60" s="32">
        <v>4064.8185586459317</v>
      </c>
      <c r="Z60" s="65"/>
      <c r="AA60" s="32">
        <v>9480.4912555001247</v>
      </c>
      <c r="AB60" s="32">
        <v>4830.9286305409851</v>
      </c>
      <c r="AC60" s="32">
        <v>1582.2330097746451</v>
      </c>
      <c r="AD60" s="32">
        <v>17.57592477144021</v>
      </c>
      <c r="AE60" s="65"/>
      <c r="AF60" s="32">
        <v>4.4907959351754068</v>
      </c>
      <c r="AG60" s="32">
        <v>77.035835841835762</v>
      </c>
      <c r="AH60" s="32">
        <v>82.510681911023966</v>
      </c>
      <c r="AI60" s="32">
        <v>88.771630551413878</v>
      </c>
    </row>
    <row r="61" spans="1:85" x14ac:dyDescent="0.3">
      <c r="C61" s="8" t="s">
        <v>183</v>
      </c>
      <c r="D61" s="32">
        <v>8922.6102739083599</v>
      </c>
      <c r="E61" s="32">
        <v>768.45070894094317</v>
      </c>
      <c r="F61" s="32">
        <v>7723.607365482655</v>
      </c>
      <c r="G61" s="32">
        <v>4173.0517747829899</v>
      </c>
      <c r="H61" s="65"/>
      <c r="I61" s="32">
        <v>4349.8572599652762</v>
      </c>
      <c r="J61" s="32">
        <v>963.87395362101392</v>
      </c>
      <c r="K61" s="32">
        <v>7313.4126978996519</v>
      </c>
      <c r="L61" s="32">
        <v>2417.8127007618687</v>
      </c>
      <c r="M61" s="65"/>
      <c r="N61" s="32">
        <v>50.084363760216341</v>
      </c>
      <c r="O61" s="32">
        <v>91.496565292424776</v>
      </c>
      <c r="P61" s="32">
        <v>81.424505588472769</v>
      </c>
      <c r="Q61" s="32">
        <v>23.827558067079092</v>
      </c>
      <c r="U61" s="8" t="s">
        <v>183</v>
      </c>
      <c r="V61" s="32">
        <v>5813.1707789333368</v>
      </c>
      <c r="W61" s="32">
        <v>8837.3059732417169</v>
      </c>
      <c r="X61" s="32">
        <v>6710.0397749452923</v>
      </c>
      <c r="Y61" s="32">
        <v>9059.2422397703776</v>
      </c>
      <c r="Z61" s="65"/>
      <c r="AA61" s="32">
        <v>9747.4307004209841</v>
      </c>
      <c r="AB61" s="32">
        <v>7456.4225216875566</v>
      </c>
      <c r="AC61" s="32">
        <v>5518.3426877421052</v>
      </c>
      <c r="AD61" s="32">
        <v>5605.3275829409076</v>
      </c>
      <c r="AE61" s="65"/>
      <c r="AF61" s="32">
        <v>5.4665295925722894</v>
      </c>
      <c r="AG61" s="32">
        <v>41.254999229028414</v>
      </c>
      <c r="AH61" s="32">
        <v>69.224705385661622</v>
      </c>
      <c r="AI61" s="32">
        <v>97.981780970741966</v>
      </c>
    </row>
    <row r="62" spans="1:85" x14ac:dyDescent="0.3">
      <c r="C62" s="8" t="s">
        <v>184</v>
      </c>
      <c r="D62" s="32">
        <v>9456.9478626397959</v>
      </c>
      <c r="E62" s="32">
        <v>6264.4743013195493</v>
      </c>
      <c r="F62" s="32">
        <v>2213.9105144848581</v>
      </c>
      <c r="G62" s="32">
        <v>3098.4970270802723</v>
      </c>
      <c r="H62" s="65"/>
      <c r="I62" s="32">
        <v>3888.2319110502904</v>
      </c>
      <c r="J62" s="32">
        <v>229.67045496358972</v>
      </c>
      <c r="K62" s="32">
        <v>9920.4093647145655</v>
      </c>
      <c r="L62" s="32">
        <v>1512.0196214717939</v>
      </c>
      <c r="M62" s="65"/>
      <c r="N62" s="32">
        <v>36.249091158851698</v>
      </c>
      <c r="O62" s="32">
        <v>80.14886510272494</v>
      </c>
      <c r="P62" s="32">
        <v>63.848788945455858</v>
      </c>
      <c r="Q62" s="32">
        <v>15.519253353452832</v>
      </c>
      <c r="U62" s="8" t="s">
        <v>184</v>
      </c>
      <c r="V62" s="32">
        <v>9476.3100608540426</v>
      </c>
      <c r="W62" s="32">
        <v>6367.9755827165727</v>
      </c>
      <c r="X62" s="32">
        <v>4685.7630072414377</v>
      </c>
      <c r="Y62" s="32">
        <v>8186.7917200489292</v>
      </c>
      <c r="Z62" s="65"/>
      <c r="AA62" s="32">
        <v>3479.7286048307028</v>
      </c>
      <c r="AB62" s="32">
        <v>9437.2014781294165</v>
      </c>
      <c r="AC62" s="32">
        <v>4711.8349229677369</v>
      </c>
      <c r="AD62" s="32">
        <v>6782.6008532194382</v>
      </c>
      <c r="AE62" s="65"/>
      <c r="AF62" s="32">
        <v>17.378950376418267</v>
      </c>
      <c r="AG62" s="32">
        <v>62.317816289550507</v>
      </c>
      <c r="AH62" s="32">
        <v>43.982608780635879</v>
      </c>
      <c r="AI62" s="32">
        <v>33.555720254694897</v>
      </c>
    </row>
    <row r="63" spans="1:85" s="33" customFormat="1" x14ac:dyDescent="0.3">
      <c r="A63"/>
      <c r="B63" s="65"/>
      <c r="C63" s="8" t="s">
        <v>185</v>
      </c>
      <c r="D63" s="32">
        <v>9222.4147969953137</v>
      </c>
      <c r="E63" s="32">
        <v>8988.3221622226683</v>
      </c>
      <c r="F63" s="32">
        <v>5915.4225336030922</v>
      </c>
      <c r="G63" s="32">
        <v>7584.0939188744851</v>
      </c>
      <c r="H63" s="65"/>
      <c r="I63" s="32">
        <v>4696.1740914931424</v>
      </c>
      <c r="J63" s="32">
        <v>2501.9578693581525</v>
      </c>
      <c r="K63" s="32">
        <v>3864.2325361510088</v>
      </c>
      <c r="L63" s="32">
        <v>2905.2359527290241</v>
      </c>
      <c r="M63" s="65"/>
      <c r="N63" s="32">
        <v>0.44938227660715757</v>
      </c>
      <c r="O63" s="32">
        <v>31.771136539909996</v>
      </c>
      <c r="P63" s="32">
        <v>22.131718244521458</v>
      </c>
      <c r="Q63" s="32">
        <v>59.548428735422185</v>
      </c>
      <c r="R63"/>
      <c r="S63"/>
      <c r="T63"/>
      <c r="U63" s="8" t="s">
        <v>185</v>
      </c>
      <c r="V63" s="32">
        <v>3763.5898580327489</v>
      </c>
      <c r="W63" s="32">
        <v>1216.1651541536999</v>
      </c>
      <c r="X63" s="32">
        <v>8207.7902899317614</v>
      </c>
      <c r="Y63" s="32">
        <v>3500.5155320506933</v>
      </c>
      <c r="Z63" s="65"/>
      <c r="AA63" s="32">
        <v>5049.2135865164682</v>
      </c>
      <c r="AB63" s="32">
        <v>8928.3149058581803</v>
      </c>
      <c r="AC63" s="32">
        <v>3236.4595402062268</v>
      </c>
      <c r="AD63" s="32">
        <v>2230.9536215128746</v>
      </c>
      <c r="AE63" s="65"/>
      <c r="AF63" s="32">
        <v>22.630732559398371</v>
      </c>
      <c r="AG63" s="32">
        <v>61.612562281154837</v>
      </c>
      <c r="AH63" s="32">
        <v>63.639588204448913</v>
      </c>
      <c r="AI63" s="32">
        <v>94.153460354431346</v>
      </c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</row>
    <row r="64" spans="1:85" x14ac:dyDescent="0.3">
      <c r="C64" s="8" t="s">
        <v>186</v>
      </c>
      <c r="D64" s="32">
        <v>8559.095076385991</v>
      </c>
      <c r="E64" s="32">
        <v>3906.4064318058677</v>
      </c>
      <c r="F64" s="32">
        <v>6568.7611761362832</v>
      </c>
      <c r="G64" s="32">
        <v>417.36201242062452</v>
      </c>
      <c r="H64" s="65"/>
      <c r="I64" s="32">
        <v>6915.6177328298318</v>
      </c>
      <c r="J64" s="32">
        <v>7065.2687581404298</v>
      </c>
      <c r="K64" s="32">
        <v>2957.4799211826639</v>
      </c>
      <c r="L64" s="32">
        <v>1671.4002460160439</v>
      </c>
      <c r="M64" s="65"/>
      <c r="N64" s="32">
        <v>11.678710164832907</v>
      </c>
      <c r="O64" s="32">
        <v>29.226693833452234</v>
      </c>
      <c r="P64" s="32">
        <v>79.424075924166416</v>
      </c>
      <c r="Q64" s="32">
        <v>58.312872855519394</v>
      </c>
      <c r="U64" s="8" t="s">
        <v>186</v>
      </c>
      <c r="V64" s="32">
        <v>9452.5719285433024</v>
      </c>
      <c r="W64" s="32">
        <v>380.88520679495639</v>
      </c>
      <c r="X64" s="32">
        <v>4460.809137867459</v>
      </c>
      <c r="Y64" s="32">
        <v>2003.0664534320231</v>
      </c>
      <c r="Z64" s="65"/>
      <c r="AA64" s="32">
        <v>8846.8012498083353</v>
      </c>
      <c r="AB64" s="32">
        <v>8142.5136829371559</v>
      </c>
      <c r="AC64" s="32">
        <v>1848.1611911077723</v>
      </c>
      <c r="AD64" s="32">
        <v>1906.4096265515939</v>
      </c>
      <c r="AE64" s="65"/>
      <c r="AF64" s="32">
        <v>37.136450320619915</v>
      </c>
      <c r="AG64" s="32">
        <v>5.6670352894114595</v>
      </c>
      <c r="AH64" s="32">
        <v>43.780938457636267</v>
      </c>
      <c r="AI64" s="32">
        <v>26.938134554494674</v>
      </c>
    </row>
    <row r="65" spans="1:85" x14ac:dyDescent="0.3">
      <c r="C65" s="8" t="s">
        <v>187</v>
      </c>
      <c r="D65" s="32">
        <v>795.86167198979149</v>
      </c>
      <c r="E65" s="32">
        <v>7406.6486040046811</v>
      </c>
      <c r="F65" s="32">
        <v>6275.9308899969656</v>
      </c>
      <c r="G65" s="32">
        <v>7327.8193758368434</v>
      </c>
      <c r="H65" s="65"/>
      <c r="I65" s="32">
        <v>1386.6364178825108</v>
      </c>
      <c r="J65" s="32">
        <v>8558.7377927231046</v>
      </c>
      <c r="K65" s="32">
        <v>3041.2137422896058</v>
      </c>
      <c r="L65" s="32">
        <v>9473.357017420296</v>
      </c>
      <c r="M65" s="65"/>
      <c r="N65" s="32">
        <v>72.416632006044978</v>
      </c>
      <c r="O65" s="32">
        <v>2.0740002208205044</v>
      </c>
      <c r="P65" s="32">
        <v>83.51736921800503</v>
      </c>
      <c r="Q65" s="32">
        <v>18.412430713440386</v>
      </c>
      <c r="U65" s="8" t="s">
        <v>187</v>
      </c>
      <c r="V65" s="32">
        <v>9686.4888546090915</v>
      </c>
      <c r="W65" s="32">
        <v>2671.2170056034224</v>
      </c>
      <c r="X65" s="32">
        <v>8033.0636186972661</v>
      </c>
      <c r="Y65" s="32">
        <v>1805.6773328630138</v>
      </c>
      <c r="Z65" s="65"/>
      <c r="AA65" s="32">
        <v>2876.9768431793409</v>
      </c>
      <c r="AB65" s="32">
        <v>4146.8187489798747</v>
      </c>
      <c r="AC65" s="32">
        <v>6469.7962886072646</v>
      </c>
      <c r="AD65" s="32">
        <v>6060.9766626449946</v>
      </c>
      <c r="AE65" s="65"/>
      <c r="AF65" s="32">
        <v>4.5477899641044761</v>
      </c>
      <c r="AG65" s="32">
        <v>77.777815952223932</v>
      </c>
      <c r="AH65" s="32">
        <v>87.0085498618418</v>
      </c>
      <c r="AI65" s="32">
        <v>24.669786292396655</v>
      </c>
    </row>
    <row r="66" spans="1:85" x14ac:dyDescent="0.3">
      <c r="C66" s="8" t="s">
        <v>188</v>
      </c>
      <c r="D66" s="32">
        <v>6192.1893102767199</v>
      </c>
      <c r="E66" s="32">
        <v>9358.7227740458329</v>
      </c>
      <c r="F66" s="32">
        <v>5944.4733523199202</v>
      </c>
      <c r="G66" s="32">
        <v>438.28100506776656</v>
      </c>
      <c r="H66" s="65"/>
      <c r="I66" s="32">
        <v>7750.5635352998515</v>
      </c>
      <c r="J66" s="32">
        <v>9155.8378858073975</v>
      </c>
      <c r="K66" s="32">
        <v>1498.9471450194981</v>
      </c>
      <c r="L66" s="32">
        <v>1852.1884119119591</v>
      </c>
      <c r="M66" s="65"/>
      <c r="N66" s="32">
        <v>31.99532437095235</v>
      </c>
      <c r="O66" s="32">
        <v>82.518829471743061</v>
      </c>
      <c r="P66" s="32">
        <v>90.11277514145371</v>
      </c>
      <c r="Q66" s="32">
        <v>26.564795627950708</v>
      </c>
      <c r="U66" s="8" t="s">
        <v>188</v>
      </c>
      <c r="V66" s="32">
        <v>1087.0575662107517</v>
      </c>
      <c r="W66" s="32">
        <v>8092.3700523913676</v>
      </c>
      <c r="X66" s="32">
        <v>8957.0301603658445</v>
      </c>
      <c r="Y66" s="32">
        <v>6768.9246712831582</v>
      </c>
      <c r="Z66" s="65"/>
      <c r="AA66" s="32">
        <v>1081.5366959513017</v>
      </c>
      <c r="AB66" s="32">
        <v>4485.8362920872132</v>
      </c>
      <c r="AC66" s="32">
        <v>2982.9580237201612</v>
      </c>
      <c r="AD66" s="32">
        <v>2940.352090049385</v>
      </c>
      <c r="AE66" s="65"/>
      <c r="AF66" s="32">
        <v>83.019280738009599</v>
      </c>
      <c r="AG66" s="32">
        <v>2.0486237902848869</v>
      </c>
      <c r="AH66" s="32">
        <v>57.145996705716129</v>
      </c>
      <c r="AI66" s="32">
        <v>1.7573850259455792</v>
      </c>
    </row>
    <row r="67" spans="1:85" x14ac:dyDescent="0.3">
      <c r="C67" s="8" t="s">
        <v>189</v>
      </c>
      <c r="D67" s="32">
        <v>2860.1776802123104</v>
      </c>
      <c r="E67" s="32">
        <v>3171.8634307669458</v>
      </c>
      <c r="F67" s="32">
        <v>5203.9738758118274</v>
      </c>
      <c r="G67" s="32">
        <v>2611.1654056769753</v>
      </c>
      <c r="H67" s="65"/>
      <c r="I67" s="32">
        <v>4964.1380781900325</v>
      </c>
      <c r="J67" s="32">
        <v>5690.8352352221837</v>
      </c>
      <c r="K67" s="32">
        <v>6147.6555215856597</v>
      </c>
      <c r="L67" s="32">
        <v>539.65892627106712</v>
      </c>
      <c r="M67" s="65"/>
      <c r="N67" s="32">
        <v>28.425595459401908</v>
      </c>
      <c r="O67" s="32">
        <v>93.723728721280963</v>
      </c>
      <c r="P67" s="32">
        <v>8.0696734516394031</v>
      </c>
      <c r="Q67" s="32">
        <v>41.781916435767272</v>
      </c>
      <c r="U67" s="8" t="s">
        <v>189</v>
      </c>
      <c r="V67" s="32">
        <v>5052.8355512038415</v>
      </c>
      <c r="W67" s="32">
        <v>1690.0824189503548</v>
      </c>
      <c r="X67" s="32">
        <v>1436.5188351394831</v>
      </c>
      <c r="Y67" s="32">
        <v>7884.5576895660888</v>
      </c>
      <c r="Z67" s="65"/>
      <c r="AA67" s="32">
        <v>3271.0308137528264</v>
      </c>
      <c r="AB67" s="32">
        <v>8442.4967749895641</v>
      </c>
      <c r="AC67" s="32">
        <v>3204.0438131855008</v>
      </c>
      <c r="AD67" s="32">
        <v>9666.4378152030167</v>
      </c>
      <c r="AE67" s="65"/>
      <c r="AF67" s="32">
        <v>83.520071912795117</v>
      </c>
      <c r="AG67" s="32">
        <v>66.434415029523635</v>
      </c>
      <c r="AH67" s="32">
        <v>14.783315406572184</v>
      </c>
      <c r="AI67" s="32">
        <v>52.869299172265194</v>
      </c>
    </row>
    <row r="68" spans="1:85" x14ac:dyDescent="0.3">
      <c r="C68" s="8" t="s">
        <v>190</v>
      </c>
      <c r="D68" s="32">
        <v>9603.7716922060754</v>
      </c>
      <c r="E68" s="32">
        <v>2818.2143516529522</v>
      </c>
      <c r="F68" s="32">
        <v>8854.1396734298287</v>
      </c>
      <c r="G68" s="32">
        <v>8318.7326900997996</v>
      </c>
      <c r="H68" s="65"/>
      <c r="I68" s="32">
        <v>1921.6102392181767</v>
      </c>
      <c r="J68" s="32">
        <v>1563.2594680724355</v>
      </c>
      <c r="K68" s="32">
        <v>4183.162732469511</v>
      </c>
      <c r="L68" s="32">
        <v>6970.2067560185069</v>
      </c>
      <c r="M68" s="65"/>
      <c r="N68" s="32">
        <v>90.092807223615381</v>
      </c>
      <c r="O68" s="32">
        <v>98.778577665507783</v>
      </c>
      <c r="P68" s="32">
        <v>52.95894564918251</v>
      </c>
      <c r="Q68" s="32">
        <v>34.489099040957768</v>
      </c>
      <c r="U68" s="8" t="s">
        <v>190</v>
      </c>
      <c r="V68" s="32">
        <v>9390.0445655463191</v>
      </c>
      <c r="W68" s="32">
        <v>7207.5160471987047</v>
      </c>
      <c r="X68" s="32">
        <v>6089.50041786571</v>
      </c>
      <c r="Y68" s="32">
        <v>2038.9502540716519</v>
      </c>
      <c r="Z68" s="65"/>
      <c r="AA68" s="32">
        <v>9231.6770490486906</v>
      </c>
      <c r="AB68" s="32">
        <v>7311.7621239797745</v>
      </c>
      <c r="AC68" s="32">
        <v>8561.6424857396942</v>
      </c>
      <c r="AD68" s="32">
        <v>3006.6682679077394</v>
      </c>
      <c r="AE68" s="65"/>
      <c r="AF68" s="32">
        <v>73.236766476365915</v>
      </c>
      <c r="AG68" s="32">
        <v>53.661540748772921</v>
      </c>
      <c r="AH68" s="32">
        <v>51.406087066741669</v>
      </c>
      <c r="AI68" s="32">
        <v>84.745704605733479</v>
      </c>
    </row>
    <row r="69" spans="1:85" x14ac:dyDescent="0.3">
      <c r="C69" s="8" t="s">
        <v>191</v>
      </c>
      <c r="D69" s="32">
        <v>6013.2710941787664</v>
      </c>
      <c r="E69" s="32">
        <v>3966.4573836780069</v>
      </c>
      <c r="F69" s="32">
        <v>7732.5669343705295</v>
      </c>
      <c r="G69" s="32">
        <v>4122.5907351881397</v>
      </c>
      <c r="H69" s="65"/>
      <c r="I69" s="32">
        <v>5883.8353257306917</v>
      </c>
      <c r="J69" s="32">
        <v>3619.6771608868748</v>
      </c>
      <c r="K69" s="32">
        <v>1876.0801489057999</v>
      </c>
      <c r="L69" s="32">
        <v>8962.2914856348871</v>
      </c>
      <c r="M69" s="65"/>
      <c r="N69" s="32">
        <v>8.1625960573348699</v>
      </c>
      <c r="O69" s="32">
        <v>24.35326505009122</v>
      </c>
      <c r="P69" s="32">
        <v>39.893546359768827</v>
      </c>
      <c r="Q69" s="32">
        <v>88.365303782323195</v>
      </c>
      <c r="U69" s="8" t="s">
        <v>191</v>
      </c>
      <c r="V69" s="32">
        <v>643.27965425048933</v>
      </c>
      <c r="W69" s="32">
        <v>107.71504699000567</v>
      </c>
      <c r="X69" s="32">
        <v>6147.6275286795744</v>
      </c>
      <c r="Y69" s="32">
        <v>7321.0644832429152</v>
      </c>
      <c r="Z69" s="65"/>
      <c r="AA69" s="32">
        <v>505.25845870209582</v>
      </c>
      <c r="AB69" s="32">
        <v>902.32098306171622</v>
      </c>
      <c r="AC69" s="32">
        <v>1313.8502921156548</v>
      </c>
      <c r="AD69" s="32">
        <v>6459.2811090825971</v>
      </c>
      <c r="AE69" s="65"/>
      <c r="AF69" s="32">
        <v>36.493884157648452</v>
      </c>
      <c r="AG69" s="32">
        <v>61.866756448145033</v>
      </c>
      <c r="AH69" s="32">
        <v>84.067977067216034</v>
      </c>
      <c r="AI69" s="32">
        <v>70.773065327421421</v>
      </c>
    </row>
    <row r="70" spans="1:85" x14ac:dyDescent="0.3">
      <c r="C70" s="8" t="s">
        <v>192</v>
      </c>
      <c r="D70" s="32">
        <v>8728.2818416666451</v>
      </c>
      <c r="E70" s="32">
        <v>6755.3628041671745</v>
      </c>
      <c r="F70" s="32">
        <v>9013.4284533328719</v>
      </c>
      <c r="G70" s="32">
        <v>8924.6230232043163</v>
      </c>
      <c r="H70" s="65"/>
      <c r="I70" s="32">
        <v>6971.11734137026</v>
      </c>
      <c r="J70" s="32">
        <v>440.78464092504043</v>
      </c>
      <c r="K70" s="32">
        <v>2052.6640394058682</v>
      </c>
      <c r="L70" s="32">
        <v>9129.1676978409923</v>
      </c>
      <c r="M70" s="65"/>
      <c r="N70" s="32">
        <v>47.639863797431737</v>
      </c>
      <c r="O70" s="32">
        <v>79.765070847753961</v>
      </c>
      <c r="P70" s="32">
        <v>99.054831064578323</v>
      </c>
      <c r="Q70" s="32">
        <v>70.857772721544677</v>
      </c>
      <c r="U70" s="8" t="s">
        <v>192</v>
      </c>
      <c r="V70" s="32">
        <v>5758.297819184374</v>
      </c>
      <c r="W70" s="32">
        <v>1105.9708058043527</v>
      </c>
      <c r="X70" s="32">
        <v>7777.4021089163343</v>
      </c>
      <c r="Y70" s="32">
        <v>2691.6241613342695</v>
      </c>
      <c r="Z70" s="65"/>
      <c r="AA70" s="32">
        <v>1756.356243979903</v>
      </c>
      <c r="AB70" s="32">
        <v>6072.7883691575644</v>
      </c>
      <c r="AC70" s="32">
        <v>8962.8838495100263</v>
      </c>
      <c r="AD70" s="32">
        <v>4157.7131976412211</v>
      </c>
      <c r="AE70" s="65"/>
      <c r="AF70" s="32">
        <v>73.591003981320583</v>
      </c>
      <c r="AG70" s="32">
        <v>63.795959925699734</v>
      </c>
      <c r="AH70" s="32">
        <v>41.319396718243318</v>
      </c>
      <c r="AI70" s="32">
        <v>51.96407247859792</v>
      </c>
    </row>
    <row r="71" spans="1:85" x14ac:dyDescent="0.3">
      <c r="C71" s="8" t="s">
        <v>193</v>
      </c>
      <c r="D71" s="32">
        <v>9792.6210348334189</v>
      </c>
      <c r="E71" s="32">
        <v>6894.6698459317049</v>
      </c>
      <c r="F71" s="32">
        <v>5369.907496950791</v>
      </c>
      <c r="G71" s="32">
        <v>2814.7503020051345</v>
      </c>
      <c r="H71" s="65"/>
      <c r="I71" s="32">
        <v>6283.8025732919614</v>
      </c>
      <c r="J71" s="32">
        <v>7155.3835941601992</v>
      </c>
      <c r="K71" s="32">
        <v>4042.3097944299834</v>
      </c>
      <c r="L71" s="32">
        <v>4271.670802816895</v>
      </c>
      <c r="M71" s="65"/>
      <c r="N71" s="32">
        <v>21.886636624477607</v>
      </c>
      <c r="O71" s="32">
        <v>28.058850433921869</v>
      </c>
      <c r="P71" s="32">
        <v>62.513435165804211</v>
      </c>
      <c r="Q71" s="32">
        <v>8.0997419532671024</v>
      </c>
      <c r="U71" s="8" t="s">
        <v>193</v>
      </c>
      <c r="V71" s="32">
        <v>7391.8537793238829</v>
      </c>
      <c r="W71" s="32">
        <v>7198.7961289044906</v>
      </c>
      <c r="X71" s="32">
        <v>9975.3170508423591</v>
      </c>
      <c r="Y71" s="32">
        <v>6950.2599906398073</v>
      </c>
      <c r="Z71" s="65"/>
      <c r="AA71" s="32">
        <v>7807.0205999513018</v>
      </c>
      <c r="AB71" s="32">
        <v>8072.2878788298594</v>
      </c>
      <c r="AC71" s="32">
        <v>5008.3921108039794</v>
      </c>
      <c r="AD71" s="32">
        <v>9680.1566093243582</v>
      </c>
      <c r="AE71" s="65"/>
      <c r="AF71" s="32">
        <v>10.712072307327325</v>
      </c>
      <c r="AG71" s="32">
        <v>23.875613079946501</v>
      </c>
      <c r="AH71" s="32">
        <v>39.369360235049378</v>
      </c>
      <c r="AI71" s="32">
        <v>85.20452002753413</v>
      </c>
    </row>
    <row r="72" spans="1:85" ht="15" thickBot="1" x14ac:dyDescent="0.35">
      <c r="C72" s="8" t="s">
        <v>194</v>
      </c>
      <c r="D72" s="32">
        <v>3740.475324215924</v>
      </c>
      <c r="E72" s="32">
        <v>6695.6001275107237</v>
      </c>
      <c r="F72" s="32">
        <v>2921.7967498018902</v>
      </c>
      <c r="G72" s="32">
        <v>3554.3843429750254</v>
      </c>
      <c r="H72" s="65"/>
      <c r="I72" s="32">
        <v>7499.2393259553428</v>
      </c>
      <c r="J72" s="32">
        <v>6135.8158922791972</v>
      </c>
      <c r="K72" s="32">
        <v>1058.4653036492375</v>
      </c>
      <c r="L72" s="32">
        <v>7830.9478205252917</v>
      </c>
      <c r="M72" s="65"/>
      <c r="N72" s="32">
        <v>66.14900219477731</v>
      </c>
      <c r="O72" s="32">
        <v>1.9292601621584637</v>
      </c>
      <c r="P72" s="32">
        <v>53.940160984022292</v>
      </c>
      <c r="Q72" s="32">
        <v>70.119256072901749</v>
      </c>
      <c r="U72" s="8" t="s">
        <v>194</v>
      </c>
      <c r="V72" s="32">
        <v>3723.2837288807364</v>
      </c>
      <c r="W72" s="32">
        <v>9116.306411656602</v>
      </c>
      <c r="X72" s="32">
        <v>2636.2718256309204</v>
      </c>
      <c r="Y72" s="32">
        <v>3828.0956263411213</v>
      </c>
      <c r="Z72" s="65"/>
      <c r="AA72" s="32">
        <v>7560.8205718515255</v>
      </c>
      <c r="AB72" s="32">
        <v>2805.1459516510822</v>
      </c>
      <c r="AC72" s="32">
        <v>1372.7403393975569</v>
      </c>
      <c r="AD72" s="32">
        <v>2253.3922288492604</v>
      </c>
      <c r="AE72" s="65"/>
      <c r="AF72" s="32">
        <v>16.809795507494339</v>
      </c>
      <c r="AG72" s="32">
        <v>88.026720437138493</v>
      </c>
      <c r="AH72" s="32">
        <v>19.929837349880408</v>
      </c>
      <c r="AI72" s="32">
        <v>73.616557924942683</v>
      </c>
    </row>
    <row r="73" spans="1:85" s="34" customFormat="1" ht="15" thickBot="1" x14ac:dyDescent="0.35">
      <c r="A73"/>
      <c r="B73" s="65"/>
      <c r="C73" s="8" t="s">
        <v>195</v>
      </c>
      <c r="D73" s="32">
        <v>739.2408616783697</v>
      </c>
      <c r="E73" s="32">
        <v>59.767269941397586</v>
      </c>
      <c r="F73" s="32">
        <v>1208.8108242737505</v>
      </c>
      <c r="G73" s="32">
        <v>3597.5646258406659</v>
      </c>
      <c r="H73" s="65"/>
      <c r="I73" s="32">
        <v>4834.4478140505789</v>
      </c>
      <c r="J73" s="32">
        <v>8148.0438511075135</v>
      </c>
      <c r="K73" s="32">
        <v>945.15920864527868</v>
      </c>
      <c r="L73" s="32">
        <v>7674.9217053510783</v>
      </c>
      <c r="M73" s="65"/>
      <c r="N73" s="32">
        <v>48.180979963650238</v>
      </c>
      <c r="O73" s="32">
        <v>17.959414934469599</v>
      </c>
      <c r="P73" s="32">
        <v>84.425841231284295</v>
      </c>
      <c r="Q73" s="32">
        <v>63.797724242967554</v>
      </c>
      <c r="R73"/>
      <c r="S73"/>
      <c r="T73"/>
      <c r="U73" s="8" t="s">
        <v>195</v>
      </c>
      <c r="V73" s="32">
        <v>3237.7883772836567</v>
      </c>
      <c r="W73" s="32">
        <v>3635.3497731478255</v>
      </c>
      <c r="X73" s="32">
        <v>8885.3707195791922</v>
      </c>
      <c r="Y73" s="32">
        <v>6729.7222865727899</v>
      </c>
      <c r="Z73" s="65"/>
      <c r="AA73" s="32">
        <v>2010.7824025944365</v>
      </c>
      <c r="AB73" s="32">
        <v>3537.5491398405234</v>
      </c>
      <c r="AC73" s="32">
        <v>9459.441880661383</v>
      </c>
      <c r="AD73" s="32">
        <v>1684.4668141465891</v>
      </c>
      <c r="AE73" s="65"/>
      <c r="AF73" s="32">
        <v>73.850807863208018</v>
      </c>
      <c r="AG73" s="32">
        <v>32.531280768398162</v>
      </c>
      <c r="AH73" s="32">
        <v>78.985229227893512</v>
      </c>
      <c r="AI73" s="32">
        <v>93.985858606477763</v>
      </c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</row>
    <row r="74" spans="1:85" x14ac:dyDescent="0.3">
      <c r="C74" s="8" t="s">
        <v>196</v>
      </c>
      <c r="D74" s="32">
        <v>3418.7370423283191</v>
      </c>
      <c r="E74" s="32">
        <v>3312.07856857345</v>
      </c>
      <c r="F74" s="32">
        <v>5458.2303313788052</v>
      </c>
      <c r="G74" s="32">
        <v>5339.8482520376447</v>
      </c>
      <c r="H74" s="65"/>
      <c r="I74" s="32">
        <v>963.79824265347077</v>
      </c>
      <c r="J74" s="32">
        <v>8454.8142109272358</v>
      </c>
      <c r="K74" s="32">
        <v>806.72184102668405</v>
      </c>
      <c r="L74" s="32">
        <v>8377.5515387124888</v>
      </c>
      <c r="M74" s="65"/>
      <c r="N74" s="32">
        <v>64.015337785490985</v>
      </c>
      <c r="O74" s="32">
        <v>82.008165535814399</v>
      </c>
      <c r="P74" s="32">
        <v>76.039345151131926</v>
      </c>
      <c r="Q74" s="32">
        <v>58.528237973994464</v>
      </c>
      <c r="U74" s="8" t="s">
        <v>196</v>
      </c>
      <c r="V74" s="32">
        <v>836.79643422068909</v>
      </c>
      <c r="W74" s="32">
        <v>7955.6413751196797</v>
      </c>
      <c r="X74" s="32">
        <v>7512.1706704373673</v>
      </c>
      <c r="Y74" s="32">
        <v>2192.9535192504545</v>
      </c>
      <c r="Z74" s="65"/>
      <c r="AA74" s="32">
        <v>3385.3283514411701</v>
      </c>
      <c r="AB74" s="32">
        <v>5523.4484023400655</v>
      </c>
      <c r="AC74" s="32">
        <v>6711.3675476841781</v>
      </c>
      <c r="AD74" s="32">
        <v>7707.8524926937889</v>
      </c>
      <c r="AE74" s="65"/>
      <c r="AF74" s="32">
        <v>70.209015297566751</v>
      </c>
      <c r="AG74" s="32">
        <v>19.595628429896117</v>
      </c>
      <c r="AH74" s="32">
        <v>36.138821339767127</v>
      </c>
      <c r="AI74" s="32">
        <v>32.372994851158296</v>
      </c>
    </row>
    <row r="75" spans="1:85" x14ac:dyDescent="0.3">
      <c r="C75" s="8" t="s">
        <v>197</v>
      </c>
      <c r="D75" s="32">
        <v>1552.7892322855919</v>
      </c>
      <c r="E75" s="32">
        <v>9958.1939312980667</v>
      </c>
      <c r="F75" s="32">
        <v>8526.8425132082484</v>
      </c>
      <c r="G75" s="32">
        <v>5266.8538762093422</v>
      </c>
      <c r="H75" s="65"/>
      <c r="I75" s="32">
        <v>9582.2540971243379</v>
      </c>
      <c r="J75" s="32">
        <v>7062.8134462891567</v>
      </c>
      <c r="K75" s="32">
        <v>3410.1328478389892</v>
      </c>
      <c r="L75" s="32">
        <v>9903.3846894612871</v>
      </c>
      <c r="M75" s="65"/>
      <c r="N75" s="32">
        <v>56.840499574171865</v>
      </c>
      <c r="O75" s="32">
        <v>11.556755877839242</v>
      </c>
      <c r="P75" s="32">
        <v>6.8241759112882221</v>
      </c>
      <c r="Q75" s="32">
        <v>98.351117820201765</v>
      </c>
      <c r="U75" s="8" t="s">
        <v>197</v>
      </c>
      <c r="V75" s="32">
        <v>8098.9121400452605</v>
      </c>
      <c r="W75" s="32">
        <v>9642.563542833559</v>
      </c>
      <c r="X75" s="32">
        <v>4693.5748831217015</v>
      </c>
      <c r="Y75" s="32">
        <v>9569.2108678654749</v>
      </c>
      <c r="Z75" s="65"/>
      <c r="AA75" s="32">
        <v>8890.66090625365</v>
      </c>
      <c r="AB75" s="32">
        <v>7797.586641291673</v>
      </c>
      <c r="AC75" s="32">
        <v>7217.2449769240202</v>
      </c>
      <c r="AD75" s="32">
        <v>2965.3357304750994</v>
      </c>
      <c r="AE75" s="65"/>
      <c r="AF75" s="32">
        <v>86.876744421492248</v>
      </c>
      <c r="AG75" s="32">
        <v>37.033033415586416</v>
      </c>
      <c r="AH75" s="32">
        <v>96.926269025104361</v>
      </c>
      <c r="AI75" s="32">
        <v>27.515794113310786</v>
      </c>
    </row>
    <row r="76" spans="1:85" ht="16.5" customHeight="1" x14ac:dyDescent="0.3">
      <c r="C76" s="8" t="s">
        <v>198</v>
      </c>
      <c r="D76" s="32">
        <v>2412.3671546785276</v>
      </c>
      <c r="E76" s="32">
        <v>365.74078981564838</v>
      </c>
      <c r="F76" s="32">
        <v>8807.2987985749442</v>
      </c>
      <c r="G76" s="32">
        <v>6052.9546050216613</v>
      </c>
      <c r="H76" s="65"/>
      <c r="I76" s="32">
        <v>8528.3523499061303</v>
      </c>
      <c r="J76" s="32">
        <v>139.22438986290865</v>
      </c>
      <c r="K76" s="32">
        <v>9715.3219965798016</v>
      </c>
      <c r="L76" s="32">
        <v>3793.280652722799</v>
      </c>
      <c r="M76" s="65"/>
      <c r="N76" s="32">
        <v>22.906158728001014</v>
      </c>
      <c r="O76" s="32">
        <v>91.878675263816064</v>
      </c>
      <c r="P76" s="32">
        <v>46.321036704505211</v>
      </c>
      <c r="Q76" s="32">
        <v>22.080439768001948</v>
      </c>
      <c r="U76" s="8" t="s">
        <v>198</v>
      </c>
      <c r="V76" s="32">
        <v>4172.5955020626652</v>
      </c>
      <c r="W76" s="32">
        <v>1890.8091920535142</v>
      </c>
      <c r="X76" s="32">
        <v>4992.9722320997071</v>
      </c>
      <c r="Y76" s="32">
        <v>5687.0498453835789</v>
      </c>
      <c r="Z76" s="65"/>
      <c r="AA76" s="32">
        <v>790.49211733507536</v>
      </c>
      <c r="AB76" s="32">
        <v>2094.1079813045517</v>
      </c>
      <c r="AC76" s="32">
        <v>3711.6067450513015</v>
      </c>
      <c r="AD76" s="32">
        <v>9809.7356720469634</v>
      </c>
      <c r="AE76" s="65"/>
      <c r="AF76" s="32">
        <v>80.854422111723167</v>
      </c>
      <c r="AG76" s="32">
        <v>66.867314008142358</v>
      </c>
      <c r="AH76" s="32">
        <v>58.791719859376066</v>
      </c>
      <c r="AI76" s="32">
        <v>68.151238496913507</v>
      </c>
    </row>
    <row r="77" spans="1:85" ht="16.5" customHeight="1" x14ac:dyDescent="0.3">
      <c r="C77" s="8" t="s">
        <v>199</v>
      </c>
      <c r="D77" s="32">
        <v>1057.5397181379153</v>
      </c>
      <c r="E77" s="32">
        <v>6861.7678017938315</v>
      </c>
      <c r="F77" s="32">
        <v>5010.2336777728169</v>
      </c>
      <c r="G77" s="32">
        <v>9247.9482251714944</v>
      </c>
      <c r="H77" s="65"/>
      <c r="I77" s="32">
        <v>4166.9467227398209</v>
      </c>
      <c r="J77" s="32">
        <v>870.96349715204963</v>
      </c>
      <c r="K77" s="32">
        <v>2344.7126419421916</v>
      </c>
      <c r="L77" s="32">
        <v>2724.8762495180122</v>
      </c>
      <c r="M77" s="65"/>
      <c r="N77" s="32">
        <v>65.244456414331907</v>
      </c>
      <c r="O77" s="32">
        <v>49.8520459966456</v>
      </c>
      <c r="P77" s="32">
        <v>87.16898668172179</v>
      </c>
      <c r="Q77" s="32">
        <v>63.818664212309159</v>
      </c>
      <c r="U77" s="8" t="s">
        <v>199</v>
      </c>
      <c r="V77" s="32">
        <v>6493.4084955812395</v>
      </c>
      <c r="W77" s="32">
        <v>535.55379785721448</v>
      </c>
      <c r="X77" s="32">
        <v>808.32451404937774</v>
      </c>
      <c r="Y77" s="32">
        <v>9.6850051458308162</v>
      </c>
      <c r="Z77" s="65"/>
      <c r="AA77" s="32">
        <v>5024.7480283880841</v>
      </c>
      <c r="AB77" s="32">
        <v>2938.0023668402901</v>
      </c>
      <c r="AC77" s="32">
        <v>1096.2636853017304</v>
      </c>
      <c r="AD77" s="32">
        <v>8753.2227792919366</v>
      </c>
      <c r="AE77" s="65"/>
      <c r="AF77" s="32">
        <v>63.082354216682234</v>
      </c>
      <c r="AG77" s="32">
        <v>24.144206771241517</v>
      </c>
      <c r="AH77" s="32">
        <v>21.939443759907597</v>
      </c>
      <c r="AI77" s="32">
        <v>47.511372727413622</v>
      </c>
    </row>
    <row r="78" spans="1:85" x14ac:dyDescent="0.3">
      <c r="C78" s="8" t="s">
        <v>200</v>
      </c>
      <c r="D78" s="32">
        <v>1098.2363959428576</v>
      </c>
      <c r="E78" s="32">
        <v>7670.5107578235611</v>
      </c>
      <c r="F78" s="32">
        <v>538.5552891499301</v>
      </c>
      <c r="G78" s="32">
        <v>4641.5234262269441</v>
      </c>
      <c r="H78" s="65"/>
      <c r="I78" s="32">
        <v>312.89313451994593</v>
      </c>
      <c r="J78" s="32">
        <v>8664.9490407861485</v>
      </c>
      <c r="K78" s="32">
        <v>6026.4891493618434</v>
      </c>
      <c r="L78" s="32">
        <v>2452.1864485382271</v>
      </c>
      <c r="M78" s="65"/>
      <c r="N78" s="32">
        <v>56.746201136501575</v>
      </c>
      <c r="O78" s="32">
        <v>13.603205462633472</v>
      </c>
      <c r="P78" s="32">
        <v>17.065782103324743</v>
      </c>
      <c r="Q78" s="32">
        <v>57.549721620423313</v>
      </c>
      <c r="U78" s="8" t="s">
        <v>200</v>
      </c>
      <c r="V78" s="32">
        <v>8311.4163055355766</v>
      </c>
      <c r="W78" s="32">
        <v>545.31361407652685</v>
      </c>
      <c r="X78" s="32">
        <v>5280.867750455378</v>
      </c>
      <c r="Y78" s="32">
        <v>7114.7193430774669</v>
      </c>
      <c r="Z78" s="65"/>
      <c r="AA78" s="32">
        <v>269.67488896242565</v>
      </c>
      <c r="AB78" s="32">
        <v>3196.9670377603652</v>
      </c>
      <c r="AC78" s="32">
        <v>7675.7107407516578</v>
      </c>
      <c r="AD78" s="32">
        <v>9996.3386757156932</v>
      </c>
      <c r="AE78" s="65"/>
      <c r="AF78" s="32">
        <v>99.643934252881223</v>
      </c>
      <c r="AG78" s="32">
        <v>80.557812589883284</v>
      </c>
      <c r="AH78" s="32">
        <v>18.988079174209826</v>
      </c>
      <c r="AI78" s="32">
        <v>59.392251890790739</v>
      </c>
    </row>
    <row r="79" spans="1:85" x14ac:dyDescent="0.3">
      <c r="C79" s="8" t="s">
        <v>201</v>
      </c>
      <c r="D79" s="32">
        <v>1946.0669530686137</v>
      </c>
      <c r="E79" s="32">
        <v>9908.7888573000546</v>
      </c>
      <c r="F79" s="32">
        <v>9753.9134535862468</v>
      </c>
      <c r="G79" s="32">
        <v>4364.7881961026105</v>
      </c>
      <c r="H79" s="65"/>
      <c r="I79" s="32">
        <v>1701.6378046692671</v>
      </c>
      <c r="J79" s="32">
        <v>3461.0813653868654</v>
      </c>
      <c r="K79" s="32">
        <v>4972.4806020142923</v>
      </c>
      <c r="L79" s="32">
        <v>955.92864508839523</v>
      </c>
      <c r="M79" s="65"/>
      <c r="N79" s="32">
        <v>54.77540957160145</v>
      </c>
      <c r="O79" s="32">
        <v>68.954825985813144</v>
      </c>
      <c r="P79" s="32">
        <v>8.7893265859810388</v>
      </c>
      <c r="Q79" s="32">
        <v>42.728702961137685</v>
      </c>
      <c r="U79" s="8" t="s">
        <v>201</v>
      </c>
      <c r="V79" s="32">
        <v>1755.7643676392709</v>
      </c>
      <c r="W79" s="32">
        <v>8429.1170612662499</v>
      </c>
      <c r="X79" s="32">
        <v>2998.1058334182521</v>
      </c>
      <c r="Y79" s="32">
        <v>966.39626341473161</v>
      </c>
      <c r="Z79" s="65"/>
      <c r="AA79" s="32">
        <v>6502.304051849459</v>
      </c>
      <c r="AB79" s="32">
        <v>8179.9729259349378</v>
      </c>
      <c r="AC79" s="32">
        <v>3719.4876786642008</v>
      </c>
      <c r="AD79" s="32">
        <v>3213.7684390518375</v>
      </c>
      <c r="AE79" s="65"/>
      <c r="AF79" s="32">
        <v>38.020232925269205</v>
      </c>
      <c r="AG79" s="32">
        <v>73.089712717430615</v>
      </c>
      <c r="AH79" s="32">
        <v>97.830949753670481</v>
      </c>
      <c r="AI79" s="32">
        <v>49.484330239000563</v>
      </c>
    </row>
    <row r="80" spans="1:85" x14ac:dyDescent="0.3">
      <c r="C80" s="8" t="s">
        <v>202</v>
      </c>
      <c r="D80" s="32">
        <v>8509.0836774572672</v>
      </c>
      <c r="E80" s="32">
        <v>8541.2707742205603</v>
      </c>
      <c r="F80" s="32">
        <v>510.14222331495887</v>
      </c>
      <c r="G80" s="32">
        <v>7500.6626437150035</v>
      </c>
      <c r="H80" s="65"/>
      <c r="I80" s="32">
        <v>1974.8991298998242</v>
      </c>
      <c r="J80" s="32">
        <v>6099.2916879412733</v>
      </c>
      <c r="K80" s="32">
        <v>1954.2282233146291</v>
      </c>
      <c r="L80" s="32">
        <v>7005.5566542993056</v>
      </c>
      <c r="M80" s="65"/>
      <c r="N80" s="32">
        <v>44.047000541103245</v>
      </c>
      <c r="O80" s="32">
        <v>59.22204865376591</v>
      </c>
      <c r="P80" s="32">
        <v>50.73506673007634</v>
      </c>
      <c r="Q80" s="32">
        <v>16.788421026282151</v>
      </c>
      <c r="U80" s="8" t="s">
        <v>202</v>
      </c>
      <c r="V80" s="32">
        <v>6621.1937979123022</v>
      </c>
      <c r="W80" s="32">
        <v>6814.370561906393</v>
      </c>
      <c r="X80" s="32">
        <v>4988.2904083548583</v>
      </c>
      <c r="Y80" s="32">
        <v>2369.4972381990688</v>
      </c>
      <c r="Z80" s="65"/>
      <c r="AA80" s="32">
        <v>9012.7697941894457</v>
      </c>
      <c r="AB80" s="32">
        <v>3042.9378975153786</v>
      </c>
      <c r="AC80" s="32">
        <v>1030.1539074344435</v>
      </c>
      <c r="AD80" s="32">
        <v>9250.8278387999617</v>
      </c>
      <c r="AE80" s="65"/>
      <c r="AF80" s="32">
        <v>69.471880455604932</v>
      </c>
      <c r="AG80" s="32">
        <v>23.567135439078889</v>
      </c>
      <c r="AH80" s="32">
        <v>44.03269429858193</v>
      </c>
      <c r="AI80" s="32">
        <v>81.877004819723467</v>
      </c>
    </row>
    <row r="81" spans="3:35" x14ac:dyDescent="0.3">
      <c r="C81" s="8" t="s">
        <v>203</v>
      </c>
      <c r="D81" s="32">
        <v>553.28833614796235</v>
      </c>
      <c r="E81" s="32">
        <v>871.60399249329498</v>
      </c>
      <c r="F81" s="32">
        <v>8948.0169635838811</v>
      </c>
      <c r="G81" s="32">
        <v>2697.2731983091912</v>
      </c>
      <c r="H81" s="65"/>
      <c r="I81" s="32">
        <v>1194.1825599423316</v>
      </c>
      <c r="J81" s="32">
        <v>336.7402688218757</v>
      </c>
      <c r="K81" s="32">
        <v>15.712978132880195</v>
      </c>
      <c r="L81" s="32">
        <v>9589.7964567802028</v>
      </c>
      <c r="M81" s="65"/>
      <c r="N81" s="32">
        <v>62.465595642973895</v>
      </c>
      <c r="O81" s="32">
        <v>14.584610576983925</v>
      </c>
      <c r="P81" s="32">
        <v>18.668406194370146</v>
      </c>
      <c r="Q81" s="32">
        <v>74.242333197283088</v>
      </c>
      <c r="U81" s="8" t="s">
        <v>203</v>
      </c>
      <c r="V81" s="32">
        <v>5428.3748598884458</v>
      </c>
      <c r="W81" s="32">
        <v>8031.7111370150315</v>
      </c>
      <c r="X81" s="32">
        <v>8802.9110312261764</v>
      </c>
      <c r="Y81" s="32">
        <v>2764.105274105003</v>
      </c>
      <c r="Z81" s="65"/>
      <c r="AA81" s="32">
        <v>9552.1744002271353</v>
      </c>
      <c r="AB81" s="32">
        <v>8798.1114907720184</v>
      </c>
      <c r="AC81" s="32">
        <v>7914.2875212714271</v>
      </c>
      <c r="AD81" s="32">
        <v>4418.3041836655702</v>
      </c>
      <c r="AE81" s="65"/>
      <c r="AF81" s="32">
        <v>21.15264483361431</v>
      </c>
      <c r="AG81" s="32">
        <v>59.575288717052246</v>
      </c>
      <c r="AH81" s="32">
        <v>19.061930987953481</v>
      </c>
      <c r="AI81" s="32">
        <v>82.635262976326857</v>
      </c>
    </row>
    <row r="82" spans="3:35" x14ac:dyDescent="0.3">
      <c r="C82" s="8" t="s">
        <v>204</v>
      </c>
      <c r="D82" s="32">
        <v>851.57631032973029</v>
      </c>
      <c r="E82" s="32">
        <v>1728.6692932650217</v>
      </c>
      <c r="F82" s="32">
        <v>5766.9358155055361</v>
      </c>
      <c r="G82" s="32">
        <v>6955.7085062535843</v>
      </c>
      <c r="H82" s="65"/>
      <c r="I82" s="32">
        <v>2354.8566210096787</v>
      </c>
      <c r="J82" s="32">
        <v>3074.9946659823668</v>
      </c>
      <c r="K82" s="32">
        <v>5287.3886569334163</v>
      </c>
      <c r="L82" s="32">
        <v>6991.6052557210924</v>
      </c>
      <c r="M82" s="65"/>
      <c r="N82" s="32">
        <v>83.401627513765135</v>
      </c>
      <c r="O82" s="32">
        <v>32.174867276860262</v>
      </c>
      <c r="P82" s="32">
        <v>26.857034274796266</v>
      </c>
      <c r="Q82" s="32">
        <v>84.042930768166883</v>
      </c>
      <c r="U82" s="8" t="s">
        <v>204</v>
      </c>
      <c r="V82" s="32">
        <v>4111.4879461359515</v>
      </c>
      <c r="W82" s="32">
        <v>8749.32706149771</v>
      </c>
      <c r="X82" s="32">
        <v>5325.9839934713436</v>
      </c>
      <c r="Y82" s="32">
        <v>9867.796147009969</v>
      </c>
      <c r="Z82" s="65"/>
      <c r="AA82" s="32">
        <v>175.86262602053426</v>
      </c>
      <c r="AB82" s="32">
        <v>4868.3689065606331</v>
      </c>
      <c r="AC82" s="32">
        <v>5600.1277545701896</v>
      </c>
      <c r="AD82" s="32">
        <v>7501.8375907596055</v>
      </c>
      <c r="AE82" s="65"/>
      <c r="AF82" s="32">
        <v>32.564089325058546</v>
      </c>
      <c r="AG82" s="32">
        <v>85.629818447687882</v>
      </c>
      <c r="AH82" s="32">
        <v>23.54181187624723</v>
      </c>
      <c r="AI82" s="32">
        <v>73.88932437930049</v>
      </c>
    </row>
    <row r="83" spans="3:35" x14ac:dyDescent="0.3">
      <c r="C83" s="8" t="s">
        <v>205</v>
      </c>
      <c r="D83" s="32">
        <v>1302.5517547530819</v>
      </c>
      <c r="E83" s="32">
        <v>7719.303774646055</v>
      </c>
      <c r="F83" s="32">
        <v>465.94637559696838</v>
      </c>
      <c r="G83" s="32">
        <v>2369.3082210372218</v>
      </c>
      <c r="H83" s="65"/>
      <c r="I83" s="32">
        <v>837.30012384190866</v>
      </c>
      <c r="J83" s="32">
        <v>1390.4673881493513</v>
      </c>
      <c r="K83" s="32">
        <v>3973.7213882996971</v>
      </c>
      <c r="L83" s="32">
        <v>1543.0296844418722</v>
      </c>
      <c r="M83" s="65"/>
      <c r="N83" s="32">
        <v>77.202352330798462</v>
      </c>
      <c r="O83" s="32">
        <v>45.597320080411293</v>
      </c>
      <c r="P83" s="32">
        <v>2.208235152767124</v>
      </c>
      <c r="Q83" s="32">
        <v>72.148889619410653</v>
      </c>
      <c r="U83" s="8" t="s">
        <v>205</v>
      </c>
      <c r="V83" s="32">
        <v>7139.8678571997716</v>
      </c>
      <c r="W83" s="32">
        <v>5517.3153076863082</v>
      </c>
      <c r="X83" s="32">
        <v>966.3309245611174</v>
      </c>
      <c r="Y83" s="32">
        <v>5487.3749783567064</v>
      </c>
      <c r="Z83" s="65"/>
      <c r="AA83" s="32">
        <v>5584.2359350925663</v>
      </c>
      <c r="AB83" s="32">
        <v>6073.2606501421606</v>
      </c>
      <c r="AC83" s="32">
        <v>9257.4226507235271</v>
      </c>
      <c r="AD83" s="32">
        <v>1372.3003614840234</v>
      </c>
      <c r="AE83" s="65"/>
      <c r="AF83" s="32">
        <v>37.170999031486993</v>
      </c>
      <c r="AG83" s="32">
        <v>43.667559835392112</v>
      </c>
      <c r="AH83" s="32">
        <v>8.5486649330446909</v>
      </c>
      <c r="AI83" s="32">
        <v>37.039259672438853</v>
      </c>
    </row>
    <row r="84" spans="3:35" x14ac:dyDescent="0.3">
      <c r="C84" s="8" t="s">
        <v>206</v>
      </c>
      <c r="D84" s="32">
        <v>5550.45827408675</v>
      </c>
      <c r="E84" s="32">
        <v>708.65308111043305</v>
      </c>
      <c r="F84" s="32">
        <v>9462.0298300034374</v>
      </c>
      <c r="G84" s="32">
        <v>2511.2973311198548</v>
      </c>
      <c r="H84" s="65"/>
      <c r="I84" s="32">
        <v>9768.7749567097289</v>
      </c>
      <c r="J84" s="32">
        <v>9913.538071528108</v>
      </c>
      <c r="K84" s="32">
        <v>759.8536844810078</v>
      </c>
      <c r="L84" s="32">
        <v>7338.9655733722784</v>
      </c>
      <c r="M84" s="65"/>
      <c r="N84" s="32">
        <v>47.250620833893898</v>
      </c>
      <c r="O84" s="32">
        <v>27.351011351303846</v>
      </c>
      <c r="P84" s="32">
        <v>34.66793219579526</v>
      </c>
      <c r="Q84" s="32">
        <v>5.0879120702009617</v>
      </c>
      <c r="U84" s="8" t="s">
        <v>206</v>
      </c>
      <c r="V84" s="32">
        <v>407.07397146917066</v>
      </c>
      <c r="W84" s="32">
        <v>9149.5194050279988</v>
      </c>
      <c r="X84" s="32">
        <v>7251.4279328263347</v>
      </c>
      <c r="Y84" s="32">
        <v>7250.9417094314285</v>
      </c>
      <c r="Z84" s="65"/>
      <c r="AA84" s="32">
        <v>8146.7701809967748</v>
      </c>
      <c r="AB84" s="32">
        <v>2363.0618047252706</v>
      </c>
      <c r="AC84" s="32">
        <v>550.97399361088037</v>
      </c>
      <c r="AD84" s="32">
        <v>8863.0861805640034</v>
      </c>
      <c r="AE84" s="65"/>
      <c r="AF84" s="32">
        <v>81.201245198066104</v>
      </c>
      <c r="AG84" s="32">
        <v>77.1355467908393</v>
      </c>
      <c r="AH84" s="32">
        <v>74.08975931327646</v>
      </c>
      <c r="AI84" s="32">
        <v>3.305366556925371</v>
      </c>
    </row>
    <row r="85" spans="3:35" x14ac:dyDescent="0.3">
      <c r="C85" s="8" t="s">
        <v>207</v>
      </c>
      <c r="D85" s="32">
        <v>3054.3979069400962</v>
      </c>
      <c r="E85" s="32">
        <v>4900.9720336742121</v>
      </c>
      <c r="F85" s="32">
        <v>8136.3875384222883</v>
      </c>
      <c r="G85" s="32">
        <v>3226.3066424071485</v>
      </c>
      <c r="H85" s="65"/>
      <c r="I85" s="32">
        <v>8223.7409483797383</v>
      </c>
      <c r="J85" s="32">
        <v>7106.2137416289461</v>
      </c>
      <c r="K85" s="32">
        <v>1530.3235692092353</v>
      </c>
      <c r="L85" s="32">
        <v>2912.0524637860312</v>
      </c>
      <c r="M85" s="65"/>
      <c r="N85" s="32">
        <v>53.385422145924764</v>
      </c>
      <c r="O85" s="32">
        <v>75.726351109494146</v>
      </c>
      <c r="P85" s="32">
        <v>76.646532491719896</v>
      </c>
      <c r="Q85" s="32">
        <v>8.3871164622774437</v>
      </c>
      <c r="U85" s="8" t="s">
        <v>207</v>
      </c>
      <c r="V85" s="32">
        <v>6513.2844963909929</v>
      </c>
      <c r="W85" s="32">
        <v>9186.924785919</v>
      </c>
      <c r="X85" s="32">
        <v>4198.1404904801711</v>
      </c>
      <c r="Y85" s="32">
        <v>2329.5093147013245</v>
      </c>
      <c r="Z85" s="65"/>
      <c r="AA85" s="32">
        <v>6418.2984012121715</v>
      </c>
      <c r="AB85" s="32">
        <v>1318.3706857190291</v>
      </c>
      <c r="AC85" s="32">
        <v>9464.8698180399333</v>
      </c>
      <c r="AD85" s="32">
        <v>3016.0957991979408</v>
      </c>
      <c r="AE85" s="65"/>
      <c r="AF85" s="32">
        <v>72.901536528020898</v>
      </c>
      <c r="AG85" s="32">
        <v>8.0858717809078389</v>
      </c>
      <c r="AH85" s="32">
        <v>45.355389944936775</v>
      </c>
      <c r="AI85" s="32">
        <v>1.3919424806224878</v>
      </c>
    </row>
    <row r="86" spans="3:35" x14ac:dyDescent="0.3">
      <c r="C86" s="8" t="s">
        <v>208</v>
      </c>
      <c r="D86" s="32">
        <v>3251.7631088532971</v>
      </c>
      <c r="E86" s="32">
        <v>3785.1222284306841</v>
      </c>
      <c r="F86" s="32">
        <v>6754.4325233066147</v>
      </c>
      <c r="G86" s="32">
        <v>4435.3816974096171</v>
      </c>
      <c r="H86" s="65"/>
      <c r="I86" s="32">
        <v>1699.1260286161546</v>
      </c>
      <c r="J86" s="32">
        <v>4393.1654835140989</v>
      </c>
      <c r="K86" s="32">
        <v>7266.9837373269866</v>
      </c>
      <c r="L86" s="32">
        <v>4291.0411475528817</v>
      </c>
      <c r="M86" s="65"/>
      <c r="N86" s="32">
        <v>8.9581887277890733</v>
      </c>
      <c r="O86" s="32">
        <v>63.4448503229222</v>
      </c>
      <c r="P86" s="32">
        <v>27.448301966827859</v>
      </c>
      <c r="Q86" s="32">
        <v>96.652703788973341</v>
      </c>
      <c r="U86" s="8" t="s">
        <v>208</v>
      </c>
      <c r="V86" s="32">
        <v>951.6663147593141</v>
      </c>
      <c r="W86" s="32">
        <v>3596.3687565660184</v>
      </c>
      <c r="X86" s="32">
        <v>7691.3386807133975</v>
      </c>
      <c r="Y86" s="32">
        <v>4472.884782823915</v>
      </c>
      <c r="Z86" s="65"/>
      <c r="AA86" s="32">
        <v>466.18141072279462</v>
      </c>
      <c r="AB86" s="32">
        <v>8722.9738604557933</v>
      </c>
      <c r="AC86" s="32">
        <v>9234.222485440243</v>
      </c>
      <c r="AD86" s="32">
        <v>6103.4527728928915</v>
      </c>
      <c r="AE86" s="65"/>
      <c r="AF86" s="32">
        <v>64.140058156931715</v>
      </c>
      <c r="AG86" s="32">
        <v>49.83178542806953</v>
      </c>
      <c r="AH86" s="32">
        <v>58.58631980139404</v>
      </c>
      <c r="AI86" s="32">
        <v>47.953421837283514</v>
      </c>
    </row>
    <row r="87" spans="3:35" x14ac:dyDescent="0.3">
      <c r="C87" s="8" t="s">
        <v>209</v>
      </c>
      <c r="D87" s="32">
        <v>2287.8207910567239</v>
      </c>
      <c r="E87" s="32">
        <v>8441.5907773830404</v>
      </c>
      <c r="F87" s="32">
        <v>767.25762938228968</v>
      </c>
      <c r="G87" s="32">
        <v>5688.145166496387</v>
      </c>
      <c r="H87" s="65"/>
      <c r="I87" s="32">
        <v>3948.0163365630251</v>
      </c>
      <c r="J87" s="32">
        <v>7455.1887665768509</v>
      </c>
      <c r="K87" s="32">
        <v>6936.7620818414844</v>
      </c>
      <c r="L87" s="32">
        <v>6160.7738928873905</v>
      </c>
      <c r="M87" s="65"/>
      <c r="N87" s="32">
        <v>1.1309561248585065</v>
      </c>
      <c r="O87" s="32">
        <v>48.693801846695685</v>
      </c>
      <c r="P87" s="32">
        <v>22.638515481586342</v>
      </c>
      <c r="Q87" s="32">
        <v>4.7867100527768098</v>
      </c>
      <c r="U87" s="8" t="s">
        <v>209</v>
      </c>
      <c r="V87" s="32">
        <v>9585.8558284956071</v>
      </c>
      <c r="W87" s="32">
        <v>4526.4747977456555</v>
      </c>
      <c r="X87" s="32">
        <v>1813.5156750058068</v>
      </c>
      <c r="Y87" s="32">
        <v>8120.5129279009034</v>
      </c>
      <c r="Z87" s="65"/>
      <c r="AA87" s="32">
        <v>1802.4575005922027</v>
      </c>
      <c r="AB87" s="32">
        <v>4761.5525385953024</v>
      </c>
      <c r="AC87" s="32">
        <v>841.76900225035763</v>
      </c>
      <c r="AD87" s="32">
        <v>4698.5744464555382</v>
      </c>
      <c r="AE87" s="65"/>
      <c r="AF87" s="32">
        <v>4.4283642713973004</v>
      </c>
      <c r="AG87" s="32">
        <v>15.604902785241425</v>
      </c>
      <c r="AH87" s="32">
        <v>90.630623503078098</v>
      </c>
      <c r="AI87" s="32">
        <v>73.606685856025734</v>
      </c>
    </row>
    <row r="88" spans="3:35" x14ac:dyDescent="0.3">
      <c r="C88" s="8" t="s">
        <v>210</v>
      </c>
      <c r="D88" s="32">
        <v>9227.2406080402488</v>
      </c>
      <c r="E88" s="32">
        <v>5092.3637514819629</v>
      </c>
      <c r="F88" s="32">
        <v>7600.1043703317209</v>
      </c>
      <c r="G88" s="32">
        <v>8836.6179107766075</v>
      </c>
      <c r="H88" s="65"/>
      <c r="I88" s="32">
        <v>5616.7179446624878</v>
      </c>
      <c r="J88" s="32">
        <v>2637.905388587264</v>
      </c>
      <c r="K88" s="32">
        <v>8255.8233511244471</v>
      </c>
      <c r="L88" s="32">
        <v>8836.2142677074917</v>
      </c>
      <c r="M88" s="65"/>
      <c r="N88" s="32">
        <v>59.699380681644008</v>
      </c>
      <c r="O88" s="32">
        <v>57.150669569724812</v>
      </c>
      <c r="P88" s="32">
        <v>98.956424770699897</v>
      </c>
      <c r="Q88" s="32">
        <v>4.2628895374726694</v>
      </c>
      <c r="U88" s="8" t="s">
        <v>210</v>
      </c>
      <c r="V88" s="32">
        <v>8525.3592861051147</v>
      </c>
      <c r="W88" s="32">
        <v>6042.332935413403</v>
      </c>
      <c r="X88" s="32">
        <v>6513.9386286875524</v>
      </c>
      <c r="Y88" s="32">
        <v>713.71939028234021</v>
      </c>
      <c r="Z88" s="65"/>
      <c r="AA88" s="32">
        <v>8731.8313564344771</v>
      </c>
      <c r="AB88" s="32">
        <v>6132.3380161325513</v>
      </c>
      <c r="AC88" s="32">
        <v>3207.3049559173005</v>
      </c>
      <c r="AD88" s="32">
        <v>6172.6936518567918</v>
      </c>
      <c r="AE88" s="65"/>
      <c r="AF88" s="32">
        <v>9.2017435230757449</v>
      </c>
      <c r="AG88" s="32">
        <v>6.9258858781301003</v>
      </c>
      <c r="AH88" s="32">
        <v>76.711342216013279</v>
      </c>
      <c r="AI88" s="32">
        <v>13.69738455898154</v>
      </c>
    </row>
    <row r="89" spans="3:35" x14ac:dyDescent="0.3">
      <c r="C89" s="8" t="s">
        <v>185</v>
      </c>
      <c r="D89" s="32">
        <v>6984.4842018062773</v>
      </c>
      <c r="E89" s="32">
        <v>7611.3239325822778</v>
      </c>
      <c r="F89" s="32">
        <v>4154.9898780651529</v>
      </c>
      <c r="G89" s="32">
        <v>9959.9616015768806</v>
      </c>
      <c r="H89" s="65"/>
      <c r="I89" s="32">
        <v>8812.9389661116584</v>
      </c>
      <c r="J89" s="32">
        <v>4926.8439083929761</v>
      </c>
      <c r="K89" s="32">
        <v>6005.3348659058529</v>
      </c>
      <c r="L89" s="32">
        <v>7322.4078604207443</v>
      </c>
      <c r="M89" s="65"/>
      <c r="N89" s="32">
        <v>36.962221321131771</v>
      </c>
      <c r="O89" s="32">
        <v>43.680486880366743</v>
      </c>
      <c r="P89" s="32">
        <v>18.9160918693991</v>
      </c>
      <c r="Q89" s="32">
        <v>35.420317914035714</v>
      </c>
      <c r="U89" s="8" t="s">
        <v>185</v>
      </c>
      <c r="V89" s="32">
        <v>4679.4353943186943</v>
      </c>
      <c r="W89" s="32">
        <v>7737.5511380590142</v>
      </c>
      <c r="X89" s="32">
        <v>8054.5844923665309</v>
      </c>
      <c r="Y89" s="32">
        <v>2105.6727636051965</v>
      </c>
      <c r="Z89" s="65"/>
      <c r="AA89" s="32">
        <v>8643.3410203624844</v>
      </c>
      <c r="AB89" s="32">
        <v>7467.3754933485179</v>
      </c>
      <c r="AC89" s="32">
        <v>3296.8155691765301</v>
      </c>
      <c r="AD89" s="32">
        <v>3247.9509301004282</v>
      </c>
      <c r="AE89" s="65"/>
      <c r="AF89" s="32">
        <v>29.825989205885673</v>
      </c>
      <c r="AG89" s="32">
        <v>20.987185562714139</v>
      </c>
      <c r="AH89" s="32">
        <v>70.495209936103237</v>
      </c>
      <c r="AI89" s="32">
        <v>86.082813728168418</v>
      </c>
    </row>
    <row r="90" spans="3:35" x14ac:dyDescent="0.3">
      <c r="C90" s="8" t="s">
        <v>186</v>
      </c>
      <c r="D90" s="32">
        <v>8853.6011287567926</v>
      </c>
      <c r="E90" s="32">
        <v>9586.4329765423045</v>
      </c>
      <c r="F90" s="32">
        <v>9191.5437040334618</v>
      </c>
      <c r="G90" s="32">
        <v>7003.1619146130251</v>
      </c>
      <c r="H90" s="65"/>
      <c r="I90" s="32">
        <v>3028.8857910085353</v>
      </c>
      <c r="J90" s="32">
        <v>7666.7004119684025</v>
      </c>
      <c r="K90" s="32">
        <v>9409.0660780620019</v>
      </c>
      <c r="L90" s="32">
        <v>7623.0507680020864</v>
      </c>
      <c r="M90" s="65"/>
      <c r="N90" s="32">
        <v>18.67358929517151</v>
      </c>
      <c r="O90" s="32">
        <v>84.952141619413396</v>
      </c>
      <c r="P90" s="32">
        <v>19.224894961835616</v>
      </c>
      <c r="Q90" s="32">
        <v>61.812312322985733</v>
      </c>
      <c r="U90" s="8" t="s">
        <v>186</v>
      </c>
      <c r="V90" s="32">
        <v>3686.2383037973746</v>
      </c>
      <c r="W90" s="32">
        <v>997.92995474527913</v>
      </c>
      <c r="X90" s="32">
        <v>9994.4794635600683</v>
      </c>
      <c r="Y90" s="32">
        <v>2612.7175860993289</v>
      </c>
      <c r="Z90" s="65"/>
      <c r="AA90" s="32">
        <v>7693.3149865551777</v>
      </c>
      <c r="AB90" s="32">
        <v>5213.4903652331868</v>
      </c>
      <c r="AC90" s="32">
        <v>9523.0852105840477</v>
      </c>
      <c r="AD90" s="32">
        <v>4762.909906003496</v>
      </c>
      <c r="AE90" s="65"/>
      <c r="AF90" s="32">
        <v>65.46555733589463</v>
      </c>
      <c r="AG90" s="32">
        <v>5.9719764002506999</v>
      </c>
      <c r="AH90" s="32">
        <v>57.115221006639892</v>
      </c>
      <c r="AI90" s="32">
        <v>52.375106347090771</v>
      </c>
    </row>
    <row r="91" spans="3:35" x14ac:dyDescent="0.3">
      <c r="C91" s="8" t="s">
        <v>187</v>
      </c>
      <c r="D91" s="32">
        <v>6695.4062395907285</v>
      </c>
      <c r="E91" s="32">
        <v>9268.7260256009049</v>
      </c>
      <c r="F91" s="32">
        <v>9399.0768623478853</v>
      </c>
      <c r="G91" s="32">
        <v>8670.5290545120006</v>
      </c>
      <c r="H91" s="65"/>
      <c r="I91" s="32">
        <v>6339.8680904560524</v>
      </c>
      <c r="J91" s="32">
        <v>8870.8546648232314</v>
      </c>
      <c r="K91" s="32">
        <v>3651.8313642263643</v>
      </c>
      <c r="L91" s="32">
        <v>880.32838701879837</v>
      </c>
      <c r="M91" s="65"/>
      <c r="N91" s="32">
        <v>28.85575100001946</v>
      </c>
      <c r="O91" s="32">
        <v>88.833662292542286</v>
      </c>
      <c r="P91" s="32">
        <v>5.7958405685469501</v>
      </c>
      <c r="Q91" s="32">
        <v>66.796472267744349</v>
      </c>
      <c r="U91" s="8" t="s">
        <v>187</v>
      </c>
      <c r="V91" s="32">
        <v>3537.5311777588213</v>
      </c>
      <c r="W91" s="32">
        <v>4533.2507901822901</v>
      </c>
      <c r="X91" s="32">
        <v>2809.0856296782786</v>
      </c>
      <c r="Y91" s="32">
        <v>3582.6468911631428</v>
      </c>
      <c r="Z91" s="65"/>
      <c r="AA91" s="32">
        <v>8208.8615128031779</v>
      </c>
      <c r="AB91" s="32">
        <v>4703.0026043884718</v>
      </c>
      <c r="AC91" s="32">
        <v>9997.6472289849098</v>
      </c>
      <c r="AD91" s="32">
        <v>16.866091974967468</v>
      </c>
      <c r="AE91" s="65"/>
      <c r="AF91" s="32">
        <v>41.160716152039136</v>
      </c>
      <c r="AG91" s="32">
        <v>60.392212654282297</v>
      </c>
      <c r="AH91" s="32">
        <v>1.2737808602370615</v>
      </c>
      <c r="AI91" s="32">
        <v>94.836089862094099</v>
      </c>
    </row>
    <row r="92" spans="3:35" x14ac:dyDescent="0.3">
      <c r="C92" s="8" t="s">
        <v>188</v>
      </c>
      <c r="D92" s="32">
        <v>3864.9507696198061</v>
      </c>
      <c r="E92" s="32">
        <v>2503.5067779029687</v>
      </c>
      <c r="F92" s="32">
        <v>5285.9905278332853</v>
      </c>
      <c r="G92" s="32">
        <v>225.25588087540237</v>
      </c>
      <c r="H92" s="65"/>
      <c r="I92" s="32">
        <v>7629.5634507563773</v>
      </c>
      <c r="J92" s="32">
        <v>5801.7205050464017</v>
      </c>
      <c r="K92" s="32">
        <v>8655.4345573602714</v>
      </c>
      <c r="L92" s="32">
        <v>9314.44429289246</v>
      </c>
      <c r="M92" s="65"/>
      <c r="N92" s="32">
        <v>77.451454100732661</v>
      </c>
      <c r="O92" s="32">
        <v>73.144603904595954</v>
      </c>
      <c r="P92" s="32">
        <v>24.308288218337594</v>
      </c>
      <c r="Q92" s="32">
        <v>70.006647740646315</v>
      </c>
      <c r="U92" s="8" t="s">
        <v>188</v>
      </c>
      <c r="V92" s="32">
        <v>7759.2162682031139</v>
      </c>
      <c r="W92" s="32">
        <v>2864.2127415125328</v>
      </c>
      <c r="X92" s="32">
        <v>179.93642898149531</v>
      </c>
      <c r="Y92" s="32">
        <v>1049.7249762500749</v>
      </c>
      <c r="Z92" s="65"/>
      <c r="AA92" s="32">
        <v>5940.7199559692217</v>
      </c>
      <c r="AB92" s="32">
        <v>6200.5992024183961</v>
      </c>
      <c r="AC92" s="32">
        <v>9039.0285630112176</v>
      </c>
      <c r="AD92" s="32">
        <v>2238.8287447236721</v>
      </c>
      <c r="AE92" s="65"/>
      <c r="AF92" s="32">
        <v>6.0103389036255557</v>
      </c>
      <c r="AG92" s="32">
        <v>64.176375301123542</v>
      </c>
      <c r="AH92" s="32">
        <v>34.930414822371844</v>
      </c>
      <c r="AI92" s="32">
        <v>80.213386149373946</v>
      </c>
    </row>
    <row r="93" spans="3:35" x14ac:dyDescent="0.3">
      <c r="C93" s="8" t="s">
        <v>189</v>
      </c>
      <c r="D93" s="32">
        <v>4952.6730724307145</v>
      </c>
      <c r="E93" s="32">
        <v>6840.9793750879835</v>
      </c>
      <c r="F93" s="32">
        <v>8596.3449090727081</v>
      </c>
      <c r="G93" s="32">
        <v>2073.2247692268725</v>
      </c>
      <c r="H93" s="65"/>
      <c r="I93" s="32">
        <v>5081.235223122796</v>
      </c>
      <c r="J93" s="32">
        <v>6849.6635791771596</v>
      </c>
      <c r="K93" s="32">
        <v>8899.7018054494365</v>
      </c>
      <c r="L93" s="32">
        <v>5607.5612076418938</v>
      </c>
      <c r="M93" s="65"/>
      <c r="N93" s="32">
        <v>40.823640155701881</v>
      </c>
      <c r="O93" s="32">
        <v>94.23233174112606</v>
      </c>
      <c r="P93" s="32">
        <v>58.060953813050098</v>
      </c>
      <c r="Q93" s="32">
        <v>95.842271424637133</v>
      </c>
      <c r="U93" s="8" t="s">
        <v>189</v>
      </c>
      <c r="V93" s="32">
        <v>2079.7398481106366</v>
      </c>
      <c r="W93" s="32">
        <v>156.94924620021644</v>
      </c>
      <c r="X93" s="32">
        <v>127.91238240578262</v>
      </c>
      <c r="Y93" s="32">
        <v>9154.4773142333561</v>
      </c>
      <c r="Z93" s="65"/>
      <c r="AA93" s="32">
        <v>6564.5455416080604</v>
      </c>
      <c r="AB93" s="32">
        <v>6710.011983887628</v>
      </c>
      <c r="AC93" s="32">
        <v>2900.9619810739273</v>
      </c>
      <c r="AD93" s="32">
        <v>5062.0002453223387</v>
      </c>
      <c r="AE93" s="65"/>
      <c r="AF93" s="32">
        <v>2.7779972681339249</v>
      </c>
      <c r="AG93" s="32">
        <v>82.140141737439805</v>
      </c>
      <c r="AH93" s="32">
        <v>5.6937599329724868</v>
      </c>
      <c r="AI93" s="32">
        <v>26.307039513318408</v>
      </c>
    </row>
    <row r="94" spans="3:35" x14ac:dyDescent="0.3">
      <c r="C94" s="8" t="s">
        <v>190</v>
      </c>
      <c r="D94" s="32">
        <v>7355.5072722037594</v>
      </c>
      <c r="E94" s="32">
        <v>1282.7270275725211</v>
      </c>
      <c r="F94" s="32">
        <v>5374.4917194642676</v>
      </c>
      <c r="G94" s="32">
        <v>7350.0409740234045</v>
      </c>
      <c r="H94" s="65"/>
      <c r="I94" s="32">
        <v>6660.0300303268759</v>
      </c>
      <c r="J94" s="32">
        <v>7462.4163252108192</v>
      </c>
      <c r="K94" s="32">
        <v>7146.2466764328092</v>
      </c>
      <c r="L94" s="32">
        <v>1207.6925048415665</v>
      </c>
      <c r="M94" s="65"/>
      <c r="N94" s="32">
        <v>8.7157276887763313</v>
      </c>
      <c r="O94" s="32">
        <v>50.809642431236533</v>
      </c>
      <c r="P94" s="32">
        <v>64.387192734567407</v>
      </c>
      <c r="Q94" s="32">
        <v>42.552953483418484</v>
      </c>
      <c r="U94" s="8" t="s">
        <v>190</v>
      </c>
      <c r="V94" s="32">
        <v>3442.6123882632419</v>
      </c>
      <c r="W94" s="32">
        <v>7301.0738413543049</v>
      </c>
      <c r="X94" s="32">
        <v>9787.4272779266175</v>
      </c>
      <c r="Y94" s="32">
        <v>7225.6260423306876</v>
      </c>
      <c r="Z94" s="65"/>
      <c r="AA94" s="32">
        <v>9112.3890087437085</v>
      </c>
      <c r="AB94" s="32">
        <v>7114.992221395808</v>
      </c>
      <c r="AC94" s="32">
        <v>6208.1329079742345</v>
      </c>
      <c r="AD94" s="32">
        <v>2852.1141798757099</v>
      </c>
      <c r="AE94" s="65"/>
      <c r="AF94" s="32">
        <v>77.910990774941126</v>
      </c>
      <c r="AG94" s="32">
        <v>76.393351909178193</v>
      </c>
      <c r="AH94" s="32">
        <v>95.701664149909902</v>
      </c>
      <c r="AI94" s="32">
        <v>8.59208553526598</v>
      </c>
    </row>
    <row r="95" spans="3:35" ht="17.7" customHeight="1" x14ac:dyDescent="0.3">
      <c r="C95" s="8" t="s">
        <v>191</v>
      </c>
      <c r="D95" s="32">
        <v>5325.5936473911161</v>
      </c>
      <c r="E95" s="32">
        <v>5957.1896829809875</v>
      </c>
      <c r="F95" s="32">
        <v>3598.3987073783851</v>
      </c>
      <c r="G95" s="32">
        <v>8392.7824251190723</v>
      </c>
      <c r="H95" s="65"/>
      <c r="I95" s="32">
        <v>3546.7855658696935</v>
      </c>
      <c r="J95" s="32">
        <v>878.20135431421647</v>
      </c>
      <c r="K95" s="32">
        <v>2138.854463687142</v>
      </c>
      <c r="L95" s="32">
        <v>9248.5411964543691</v>
      </c>
      <c r="M95" s="65"/>
      <c r="N95" s="32">
        <v>37.468791496560158</v>
      </c>
      <c r="O95" s="32">
        <v>7.2552876496930203</v>
      </c>
      <c r="P95" s="32">
        <v>29.14454777563661</v>
      </c>
      <c r="Q95" s="32">
        <v>36.260156560007943</v>
      </c>
      <c r="U95" s="8" t="s">
        <v>191</v>
      </c>
      <c r="V95" s="32">
        <v>4209.7274198401292</v>
      </c>
      <c r="W95" s="32">
        <v>6243.662462156396</v>
      </c>
      <c r="X95" s="32">
        <v>963.9373537322349</v>
      </c>
      <c r="Y95" s="32">
        <v>7494.9831813542314</v>
      </c>
      <c r="Z95" s="65"/>
      <c r="AA95" s="32">
        <v>236.36801265407126</v>
      </c>
      <c r="AB95" s="32">
        <v>1615.1218169929448</v>
      </c>
      <c r="AC95" s="32">
        <v>3185.2605682594349</v>
      </c>
      <c r="AD95" s="32">
        <v>5410.8623565071293</v>
      </c>
      <c r="AE95" s="65"/>
      <c r="AF95" s="32">
        <v>10.898879955474673</v>
      </c>
      <c r="AG95" s="32">
        <v>14.854453895833942</v>
      </c>
      <c r="AH95" s="32">
        <v>36.675300315349332</v>
      </c>
      <c r="AI95" s="32">
        <v>89.446611039711726</v>
      </c>
    </row>
    <row r="96" spans="3:35" ht="17.7" customHeight="1" x14ac:dyDescent="0.3">
      <c r="C96" s="8" t="s">
        <v>192</v>
      </c>
      <c r="D96" s="32">
        <v>6595.27862791389</v>
      </c>
      <c r="E96" s="32">
        <v>3122.4781602621597</v>
      </c>
      <c r="F96" s="32">
        <v>1024.3954443224368</v>
      </c>
      <c r="G96" s="32">
        <v>2290.4056617973511</v>
      </c>
      <c r="H96" s="65"/>
      <c r="I96" s="32">
        <v>1940.9081797447648</v>
      </c>
      <c r="J96" s="32">
        <v>2189.249282840733</v>
      </c>
      <c r="K96" s="32">
        <v>9070.6663146568917</v>
      </c>
      <c r="L96" s="32">
        <v>8831.1495208757315</v>
      </c>
      <c r="M96" s="65"/>
      <c r="N96" s="32">
        <v>64.299477307198373</v>
      </c>
      <c r="O96" s="32">
        <v>48.590553706958893</v>
      </c>
      <c r="P96" s="32">
        <v>64.556671594756992</v>
      </c>
      <c r="Q96" s="32">
        <v>61.692745507624721</v>
      </c>
      <c r="U96" s="8" t="s">
        <v>192</v>
      </c>
      <c r="V96" s="32">
        <v>419.13104626834729</v>
      </c>
      <c r="W96" s="32">
        <v>4465.1388382735076</v>
      </c>
      <c r="X96" s="32">
        <v>8019.6416932233542</v>
      </c>
      <c r="Y96" s="32">
        <v>9515.8265263672038</v>
      </c>
      <c r="Z96" s="65"/>
      <c r="AA96" s="32">
        <v>1417.3443001851483</v>
      </c>
      <c r="AB96" s="32">
        <v>4346.4041960174318</v>
      </c>
      <c r="AC96" s="32">
        <v>3400.78777547966</v>
      </c>
      <c r="AD96" s="32">
        <v>4184.4728980595055</v>
      </c>
      <c r="AE96" s="65"/>
      <c r="AF96" s="32">
        <v>98.86278488505215</v>
      </c>
      <c r="AG96" s="32">
        <v>36.62259961758366</v>
      </c>
      <c r="AH96" s="32">
        <v>74.40171280277454</v>
      </c>
      <c r="AI96" s="32">
        <v>8.7620643494428663</v>
      </c>
    </row>
    <row r="97" spans="3:35" ht="17.7" customHeight="1" x14ac:dyDescent="0.3">
      <c r="C97" s="8" t="s">
        <v>193</v>
      </c>
      <c r="D97" s="32">
        <v>7018.5838065155986</v>
      </c>
      <c r="E97" s="32">
        <v>5794.3242141648734</v>
      </c>
      <c r="F97" s="32">
        <v>7136.8711176164734</v>
      </c>
      <c r="G97" s="32">
        <v>5031.1460075931882</v>
      </c>
      <c r="H97" s="65"/>
      <c r="I97" s="32">
        <v>2637.333966929134</v>
      </c>
      <c r="J97" s="32">
        <v>1108.8945254877801</v>
      </c>
      <c r="K97" s="32">
        <v>8525.2588073204734</v>
      </c>
      <c r="L97" s="32">
        <v>6702.6678619661452</v>
      </c>
      <c r="M97" s="65"/>
      <c r="N97" s="32">
        <v>43.401365769954104</v>
      </c>
      <c r="O97" s="32">
        <v>45.239302822444841</v>
      </c>
      <c r="P97" s="32">
        <v>28.916719036577042</v>
      </c>
      <c r="Q97" s="32">
        <v>85.290823569089753</v>
      </c>
      <c r="U97" s="8" t="s">
        <v>193</v>
      </c>
      <c r="V97" s="32">
        <v>767.91352417660335</v>
      </c>
      <c r="W97" s="32">
        <v>2404.1224618962665</v>
      </c>
      <c r="X97" s="32">
        <v>8080.5132136056172</v>
      </c>
      <c r="Y97" s="32">
        <v>7842.8591604884659</v>
      </c>
      <c r="Z97" s="65"/>
      <c r="AA97" s="32">
        <v>9879.3420188388263</v>
      </c>
      <c r="AB97" s="32">
        <v>8945.2294817326492</v>
      </c>
      <c r="AC97" s="32">
        <v>698.92277908955248</v>
      </c>
      <c r="AD97" s="32">
        <v>870.12961078799526</v>
      </c>
      <c r="AE97" s="65"/>
      <c r="AF97" s="32">
        <v>14.168453460618313</v>
      </c>
      <c r="AG97" s="32">
        <v>41.977798260505608</v>
      </c>
      <c r="AH97" s="32">
        <v>79.022352179040283</v>
      </c>
      <c r="AI97" s="32">
        <v>56.661096312028711</v>
      </c>
    </row>
    <row r="98" spans="3:35" ht="17.7" customHeight="1" x14ac:dyDescent="0.3">
      <c r="C98" s="8" t="s">
        <v>194</v>
      </c>
      <c r="D98" s="32">
        <v>7096.9549388050691</v>
      </c>
      <c r="E98" s="32">
        <v>7696.2619394397307</v>
      </c>
      <c r="F98" s="32">
        <v>413.8298875672142</v>
      </c>
      <c r="G98" s="32">
        <v>7885.3521413122016</v>
      </c>
      <c r="H98" s="65"/>
      <c r="I98" s="32">
        <v>8891.6620755489439</v>
      </c>
      <c r="J98" s="32">
        <v>8851.2461216159536</v>
      </c>
      <c r="K98" s="32">
        <v>9203.8276850916445</v>
      </c>
      <c r="L98" s="32">
        <v>2833.1881477936881</v>
      </c>
      <c r="M98" s="65"/>
      <c r="N98" s="32">
        <v>0.21074522483154334</v>
      </c>
      <c r="O98" s="32">
        <v>28.090853809653638</v>
      </c>
      <c r="P98" s="32">
        <v>77.655166956528205</v>
      </c>
      <c r="Q98" s="32">
        <v>14.816888701318497</v>
      </c>
      <c r="U98" s="8" t="s">
        <v>194</v>
      </c>
      <c r="V98" s="32">
        <v>1299.9053709669761</v>
      </c>
      <c r="W98" s="32">
        <v>3214.4241665658924</v>
      </c>
      <c r="X98" s="32">
        <v>4183.9590944873808</v>
      </c>
      <c r="Y98" s="32">
        <v>5489.2897595041304</v>
      </c>
      <c r="Z98" s="65"/>
      <c r="AA98" s="32">
        <v>3758.6586690409872</v>
      </c>
      <c r="AB98" s="32">
        <v>8071.0196704480832</v>
      </c>
      <c r="AC98" s="32">
        <v>730.84445466466639</v>
      </c>
      <c r="AD98" s="32">
        <v>7961.5280383419704</v>
      </c>
      <c r="AE98" s="65"/>
      <c r="AF98" s="32">
        <v>96.088790466124976</v>
      </c>
      <c r="AG98" s="32">
        <v>34.205280077342358</v>
      </c>
      <c r="AH98" s="32">
        <v>25.838314460663259</v>
      </c>
      <c r="AI98" s="32">
        <v>95.827909167935715</v>
      </c>
    </row>
    <row r="99" spans="3:35" ht="17.7" customHeight="1" x14ac:dyDescent="0.3">
      <c r="C99" s="8" t="s">
        <v>195</v>
      </c>
      <c r="D99" s="32">
        <v>9479.3653860993818</v>
      </c>
      <c r="E99" s="32">
        <v>5047.1548316729049</v>
      </c>
      <c r="F99" s="32">
        <v>9223.924602157158</v>
      </c>
      <c r="G99" s="32">
        <v>2225.9415847330597</v>
      </c>
      <c r="H99" s="65"/>
      <c r="I99" s="32">
        <v>4460.9106629075186</v>
      </c>
      <c r="J99" s="32">
        <v>8550.3831912747592</v>
      </c>
      <c r="K99" s="32">
        <v>5363.4841975572981</v>
      </c>
      <c r="L99" s="32">
        <v>5620.2363470651735</v>
      </c>
      <c r="M99" s="65"/>
      <c r="N99" s="32">
        <v>97.706960546625808</v>
      </c>
      <c r="O99" s="32">
        <v>49.72180385425181</v>
      </c>
      <c r="P99" s="32">
        <v>18.2589514358949</v>
      </c>
      <c r="Q99" s="32">
        <v>16.364805835033447</v>
      </c>
      <c r="U99" s="8" t="s">
        <v>195</v>
      </c>
      <c r="V99" s="32">
        <v>5444.1569365985943</v>
      </c>
      <c r="W99" s="32">
        <v>69.96383694889974</v>
      </c>
      <c r="X99" s="32">
        <v>9896.0321762046151</v>
      </c>
      <c r="Y99" s="32">
        <v>2941.6991922124525</v>
      </c>
      <c r="Z99" s="65"/>
      <c r="AA99" s="32">
        <v>5633.4560972073659</v>
      </c>
      <c r="AB99" s="32">
        <v>1895.1993696631553</v>
      </c>
      <c r="AC99" s="32">
        <v>8716.3539782545104</v>
      </c>
      <c r="AD99" s="32">
        <v>2963.7612568514405</v>
      </c>
      <c r="AE99" s="65"/>
      <c r="AF99" s="32">
        <v>32.400533906798636</v>
      </c>
      <c r="AG99" s="32">
        <v>35.551447058117134</v>
      </c>
      <c r="AH99" s="32">
        <v>57.7028731310849</v>
      </c>
      <c r="AI99" s="32">
        <v>50.951419341506984</v>
      </c>
    </row>
    <row r="100" spans="3:35" ht="17.7" customHeight="1" x14ac:dyDescent="0.3">
      <c r="C100" s="8" t="s">
        <v>196</v>
      </c>
      <c r="D100" s="32">
        <v>5636.7249593834049</v>
      </c>
      <c r="E100" s="32">
        <v>2026.5237212305042</v>
      </c>
      <c r="F100" s="32">
        <v>9103.1228653861781</v>
      </c>
      <c r="G100" s="32">
        <v>9662.110862292011</v>
      </c>
      <c r="H100" s="65"/>
      <c r="I100" s="32">
        <v>8698.2616280686943</v>
      </c>
      <c r="J100" s="32">
        <v>6792.4779251418195</v>
      </c>
      <c r="K100" s="32">
        <v>4270.0409741596022</v>
      </c>
      <c r="L100" s="32">
        <v>2311.4381970180389</v>
      </c>
      <c r="M100" s="65"/>
      <c r="N100" s="32">
        <v>88.469734723928923</v>
      </c>
      <c r="O100" s="32">
        <v>10.738184365523207</v>
      </c>
      <c r="P100" s="32">
        <v>20.757065774966833</v>
      </c>
      <c r="Q100" s="32">
        <v>11.679545280268066</v>
      </c>
      <c r="U100" s="8" t="s">
        <v>196</v>
      </c>
      <c r="V100" s="32">
        <v>3316.7213678670314</v>
      </c>
      <c r="W100" s="32">
        <v>5149.3738676031871</v>
      </c>
      <c r="X100" s="32">
        <v>9852.9072856483799</v>
      </c>
      <c r="Y100" s="32">
        <v>6578.65501052542</v>
      </c>
      <c r="Z100" s="65"/>
      <c r="AA100" s="32">
        <v>3423.8121906911711</v>
      </c>
      <c r="AB100" s="32">
        <v>9496.1721473106136</v>
      </c>
      <c r="AC100" s="32">
        <v>5128.9912118764669</v>
      </c>
      <c r="AD100" s="32">
        <v>4914.3326804660592</v>
      </c>
      <c r="AE100" s="65"/>
      <c r="AF100" s="32">
        <v>1.740553182967608</v>
      </c>
      <c r="AG100" s="32">
        <v>67.477089283127725</v>
      </c>
      <c r="AH100" s="32">
        <v>33.593478430306625</v>
      </c>
      <c r="AI100" s="32">
        <v>37.400605570826905</v>
      </c>
    </row>
    <row r="101" spans="3:35" ht="17.7" customHeight="1" x14ac:dyDescent="0.3">
      <c r="C101" s="8" t="s">
        <v>197</v>
      </c>
      <c r="D101" s="32">
        <v>4564.5948183677383</v>
      </c>
      <c r="E101" s="32">
        <v>6126.2603992445893</v>
      </c>
      <c r="F101" s="32">
        <v>470.66769763843274</v>
      </c>
      <c r="G101" s="32">
        <v>1268.5982527585893</v>
      </c>
      <c r="H101" s="65"/>
      <c r="I101" s="32">
        <v>5512.0184172733607</v>
      </c>
      <c r="J101" s="32">
        <v>3054.7360749101649</v>
      </c>
      <c r="K101" s="32">
        <v>7083.3381771005525</v>
      </c>
      <c r="L101" s="32">
        <v>1784.2467727639389</v>
      </c>
      <c r="M101" s="65"/>
      <c r="N101" s="32">
        <v>82.35519319089984</v>
      </c>
      <c r="O101" s="32">
        <v>60.254261291938263</v>
      </c>
      <c r="P101" s="32">
        <v>64.158946123657174</v>
      </c>
      <c r="Q101" s="32">
        <v>42.921333377463078</v>
      </c>
      <c r="U101" s="8" t="s">
        <v>197</v>
      </c>
      <c r="V101" s="32">
        <v>7359.4862446029001</v>
      </c>
      <c r="W101" s="32">
        <v>3332.2930038309742</v>
      </c>
      <c r="X101" s="32">
        <v>2824.3758816408595</v>
      </c>
      <c r="Y101" s="32">
        <v>3381.6567213160074</v>
      </c>
      <c r="Z101" s="65"/>
      <c r="AA101" s="32">
        <v>8419.3932451282963</v>
      </c>
      <c r="AB101" s="32">
        <v>4393.7818041640039</v>
      </c>
      <c r="AC101" s="32">
        <v>8332.1334728924139</v>
      </c>
      <c r="AD101" s="32">
        <v>4592.290859568534</v>
      </c>
      <c r="AE101" s="65"/>
      <c r="AF101" s="32">
        <v>41.771278356744801</v>
      </c>
      <c r="AG101" s="32">
        <v>39.875247260587884</v>
      </c>
      <c r="AH101" s="32">
        <v>53.340109688545702</v>
      </c>
      <c r="AI101" s="32">
        <v>18.832833355789358</v>
      </c>
    </row>
    <row r="102" spans="3:35" ht="17.7" customHeight="1" x14ac:dyDescent="0.3">
      <c r="C102" s="8" t="s">
        <v>198</v>
      </c>
      <c r="D102" s="32">
        <v>332.50044220160868</v>
      </c>
      <c r="E102" s="32">
        <v>8055.3659814107696</v>
      </c>
      <c r="F102" s="32">
        <v>6314.1694514762139</v>
      </c>
      <c r="G102" s="32">
        <v>292.98020525921896</v>
      </c>
      <c r="H102" s="65"/>
      <c r="I102" s="32">
        <v>5447.5437471519153</v>
      </c>
      <c r="J102" s="32">
        <v>6852.0365943010784</v>
      </c>
      <c r="K102" s="32">
        <v>5498.8860661170065</v>
      </c>
      <c r="L102" s="32">
        <v>2076.2304140959632</v>
      </c>
      <c r="M102" s="65"/>
      <c r="N102" s="32">
        <v>34.310422890003743</v>
      </c>
      <c r="O102" s="32">
        <v>82.63509351956742</v>
      </c>
      <c r="P102" s="32">
        <v>96.355040730464509</v>
      </c>
      <c r="Q102" s="32">
        <v>29.776170731738272</v>
      </c>
      <c r="U102" s="8" t="s">
        <v>198</v>
      </c>
      <c r="V102" s="32">
        <v>3553.7197931483156</v>
      </c>
      <c r="W102" s="32">
        <v>8083.3781052548593</v>
      </c>
      <c r="X102" s="32">
        <v>8203.7473430924838</v>
      </c>
      <c r="Y102" s="32">
        <v>1321.1946295213329</v>
      </c>
      <c r="Z102" s="65"/>
      <c r="AA102" s="32">
        <v>1980.1668477702017</v>
      </c>
      <c r="AB102" s="32">
        <v>1907.7973915962887</v>
      </c>
      <c r="AC102" s="32">
        <v>7395.6211192923702</v>
      </c>
      <c r="AD102" s="32">
        <v>1517.5390291036817</v>
      </c>
      <c r="AE102" s="65"/>
      <c r="AF102" s="32">
        <v>55.240871907025159</v>
      </c>
      <c r="AG102" s="32">
        <v>64.111096674881381</v>
      </c>
      <c r="AH102" s="32">
        <v>26.93972530341896</v>
      </c>
      <c r="AI102" s="32">
        <v>13.031487355325533</v>
      </c>
    </row>
    <row r="103" spans="3:35" ht="17.7" customHeight="1" x14ac:dyDescent="0.3">
      <c r="C103" s="8" t="s">
        <v>199</v>
      </c>
      <c r="D103" s="32">
        <v>9667.6187091578904</v>
      </c>
      <c r="E103" s="32">
        <v>7874.5924243749587</v>
      </c>
      <c r="F103" s="32">
        <v>5301.4808805254897</v>
      </c>
      <c r="G103" s="32">
        <v>8166.3483894638221</v>
      </c>
      <c r="H103" s="65"/>
      <c r="I103" s="32">
        <v>4336.1151128230376</v>
      </c>
      <c r="J103" s="32">
        <v>2794.7349207290786</v>
      </c>
      <c r="K103" s="32">
        <v>9746.9601307095527</v>
      </c>
      <c r="L103" s="32">
        <v>4341.327394486284</v>
      </c>
      <c r="M103" s="65"/>
      <c r="N103" s="32">
        <v>82.981379434086094</v>
      </c>
      <c r="O103" s="32">
        <v>13.062469852637049</v>
      </c>
      <c r="P103" s="32">
        <v>14.169348385386771</v>
      </c>
      <c r="Q103" s="32">
        <v>10.478555183489046</v>
      </c>
      <c r="U103" s="8" t="s">
        <v>199</v>
      </c>
      <c r="V103" s="32">
        <v>2413.1869886287095</v>
      </c>
      <c r="W103" s="32">
        <v>2201.2462385804952</v>
      </c>
      <c r="X103" s="32">
        <v>4863.3408858576258</v>
      </c>
      <c r="Y103" s="32">
        <v>466.04108803331656</v>
      </c>
      <c r="Z103" s="65"/>
      <c r="AA103" s="32">
        <v>4416.9217856405039</v>
      </c>
      <c r="AB103" s="32">
        <v>8118.165937318865</v>
      </c>
      <c r="AC103" s="32">
        <v>6718.5620304177819</v>
      </c>
      <c r="AD103" s="32">
        <v>5265.5018296771268</v>
      </c>
      <c r="AE103" s="65"/>
      <c r="AF103" s="32">
        <v>41.048802498019818</v>
      </c>
      <c r="AG103" s="32">
        <v>83.516788623855689</v>
      </c>
      <c r="AH103" s="32">
        <v>29.344463156767475</v>
      </c>
      <c r="AI103" s="32">
        <v>46.306144761718272</v>
      </c>
    </row>
    <row r="104" spans="3:35" ht="17.7" customHeight="1" x14ac:dyDescent="0.3">
      <c r="C104" s="8" t="s">
        <v>200</v>
      </c>
      <c r="D104" s="32">
        <v>3907.0323087431402</v>
      </c>
      <c r="E104" s="32">
        <v>8866.1746919656962</v>
      </c>
      <c r="F104" s="32">
        <v>4334.3817409308658</v>
      </c>
      <c r="G104" s="32">
        <v>6338.010373061571</v>
      </c>
      <c r="H104" s="65"/>
      <c r="I104" s="32">
        <v>5122.4022173941812</v>
      </c>
      <c r="J104" s="32">
        <v>4677.8062928612608</v>
      </c>
      <c r="K104" s="32">
        <v>8036.2395025272772</v>
      </c>
      <c r="L104" s="32">
        <v>2814.8158107454346</v>
      </c>
      <c r="M104" s="65"/>
      <c r="N104" s="32">
        <v>50.468811825960955</v>
      </c>
      <c r="O104" s="32">
        <v>11.052638213055177</v>
      </c>
      <c r="P104" s="32">
        <v>20.854833809740249</v>
      </c>
      <c r="Q104" s="32">
        <v>49.649509088958709</v>
      </c>
      <c r="U104" s="8" t="s">
        <v>200</v>
      </c>
      <c r="V104" s="32">
        <v>8376.100534838668</v>
      </c>
      <c r="W104" s="32">
        <v>9198.1389561404048</v>
      </c>
      <c r="X104" s="32">
        <v>5863.5628996253727</v>
      </c>
      <c r="Y104" s="32">
        <v>1252.7109526220258</v>
      </c>
      <c r="Z104" s="65"/>
      <c r="AA104" s="32">
        <v>4075.3121491174516</v>
      </c>
      <c r="AB104" s="32">
        <v>1758.7101974983123</v>
      </c>
      <c r="AC104" s="32">
        <v>9143.2291813814409</v>
      </c>
      <c r="AD104" s="32">
        <v>7996.3225469124509</v>
      </c>
      <c r="AE104" s="65"/>
      <c r="AF104" s="32">
        <v>48.063991913207239</v>
      </c>
      <c r="AG104" s="32">
        <v>49.574127521395305</v>
      </c>
      <c r="AH104" s="32">
        <v>72.118992669565145</v>
      </c>
      <c r="AI104" s="32">
        <v>54.577234752218153</v>
      </c>
    </row>
    <row r="105" spans="3:35" ht="17.7" customHeight="1" x14ac:dyDescent="0.3">
      <c r="C105" s="8" t="s">
        <v>201</v>
      </c>
      <c r="D105" s="32">
        <v>8023.4642907912266</v>
      </c>
      <c r="E105" s="32">
        <v>4969.8880002283177</v>
      </c>
      <c r="F105" s="32">
        <v>924.09719982828767</v>
      </c>
      <c r="G105" s="32">
        <v>5788.3986942989986</v>
      </c>
      <c r="H105" s="65"/>
      <c r="I105" s="32">
        <v>4206.0675268036775</v>
      </c>
      <c r="J105" s="32">
        <v>1391.6953336483596</v>
      </c>
      <c r="K105" s="32">
        <v>3987.6801004500962</v>
      </c>
      <c r="L105" s="32">
        <v>7898.864755794787</v>
      </c>
      <c r="M105" s="65"/>
      <c r="N105" s="32">
        <v>46.550142748191512</v>
      </c>
      <c r="O105" s="32">
        <v>78.495558568553122</v>
      </c>
      <c r="P105" s="32">
        <v>95.31349063743734</v>
      </c>
      <c r="Q105" s="32">
        <v>7.3561786883835856</v>
      </c>
      <c r="U105" s="8" t="s">
        <v>201</v>
      </c>
      <c r="V105" s="32">
        <v>1481.7300799225818</v>
      </c>
      <c r="W105" s="32">
        <v>6442.9309324381502</v>
      </c>
      <c r="X105" s="32">
        <v>7777.9065392845696</v>
      </c>
      <c r="Y105" s="32">
        <v>9251.6015702991172</v>
      </c>
      <c r="Z105" s="65"/>
      <c r="AA105" s="32">
        <v>7197.4707822439568</v>
      </c>
      <c r="AB105" s="32">
        <v>4845.684844069945</v>
      </c>
      <c r="AC105" s="32">
        <v>4822.4551348531841</v>
      </c>
      <c r="AD105" s="32">
        <v>8054.7882842587951</v>
      </c>
      <c r="AE105" s="65"/>
      <c r="AF105" s="32">
        <v>45.404734517731626</v>
      </c>
      <c r="AG105" s="32">
        <v>28.820103553186637</v>
      </c>
      <c r="AH105" s="32">
        <v>61.852972100824758</v>
      </c>
      <c r="AI105" s="32">
        <v>52.800314298845343</v>
      </c>
    </row>
    <row r="106" spans="3:35" ht="17.7" customHeight="1" x14ac:dyDescent="0.3">
      <c r="C106" s="8" t="s">
        <v>202</v>
      </c>
      <c r="D106" s="32">
        <v>4445.2864529947365</v>
      </c>
      <c r="E106" s="32">
        <v>1325.0415095057845</v>
      </c>
      <c r="F106" s="32">
        <v>4570.4864992396724</v>
      </c>
      <c r="G106" s="32">
        <v>9962.4232659436566</v>
      </c>
      <c r="H106" s="65"/>
      <c r="I106" s="32">
        <v>1830.4405557220127</v>
      </c>
      <c r="J106" s="32">
        <v>1807.9002640918895</v>
      </c>
      <c r="K106" s="32">
        <v>4568.3315610203554</v>
      </c>
      <c r="L106" s="32">
        <v>6915.7084835594333</v>
      </c>
      <c r="M106" s="65"/>
      <c r="N106" s="32">
        <v>35.323371859414507</v>
      </c>
      <c r="O106" s="32">
        <v>79.853996788009169</v>
      </c>
      <c r="P106" s="32">
        <v>42.276385817052308</v>
      </c>
      <c r="Q106" s="32">
        <v>57.449479195810184</v>
      </c>
      <c r="U106" s="8" t="s">
        <v>202</v>
      </c>
      <c r="V106" s="32">
        <v>4183.5652275648636</v>
      </c>
      <c r="W106" s="32">
        <v>1249.180981742637</v>
      </c>
      <c r="X106" s="32">
        <v>8055.743857833495</v>
      </c>
      <c r="Y106" s="32">
        <v>9529.6143152202858</v>
      </c>
      <c r="Z106" s="65"/>
      <c r="AA106" s="32">
        <v>2679.024149473933</v>
      </c>
      <c r="AB106" s="32">
        <v>5061.4851759547673</v>
      </c>
      <c r="AC106" s="32">
        <v>5492.4899552000497</v>
      </c>
      <c r="AD106" s="32">
        <v>2403.6930496263876</v>
      </c>
      <c r="AE106" s="65"/>
      <c r="AF106" s="32">
        <v>17.015998060007643</v>
      </c>
      <c r="AG106" s="32">
        <v>62.630874091628741</v>
      </c>
      <c r="AH106" s="32">
        <v>42.9397169401146</v>
      </c>
      <c r="AI106" s="32">
        <v>41.40852202030166</v>
      </c>
    </row>
    <row r="107" spans="3:35" ht="17.7" customHeight="1" x14ac:dyDescent="0.3">
      <c r="C107" s="8" t="s">
        <v>203</v>
      </c>
      <c r="D107" s="32">
        <v>9631.3015461951309</v>
      </c>
      <c r="E107" s="32">
        <v>1748.8574092736885</v>
      </c>
      <c r="F107" s="32">
        <v>6775.3498673307358</v>
      </c>
      <c r="G107" s="32">
        <v>3542.929245173887</v>
      </c>
      <c r="H107" s="65"/>
      <c r="I107" s="32">
        <v>3074.8758254911004</v>
      </c>
      <c r="J107" s="32">
        <v>2100.3283684903395</v>
      </c>
      <c r="K107" s="32">
        <v>1778.4729756712914</v>
      </c>
      <c r="L107" s="32">
        <v>8034.8251680142221</v>
      </c>
      <c r="M107" s="65"/>
      <c r="N107" s="32">
        <v>54.055878861349363</v>
      </c>
      <c r="O107" s="32">
        <v>45.463890223477435</v>
      </c>
      <c r="P107" s="32">
        <v>78.513694517543158</v>
      </c>
      <c r="Q107" s="32">
        <v>20.141392700829076</v>
      </c>
      <c r="U107" s="8" t="s">
        <v>203</v>
      </c>
      <c r="V107" s="32">
        <v>7125.8136703079981</v>
      </c>
      <c r="W107" s="32">
        <v>9879.3479629318608</v>
      </c>
      <c r="X107" s="32">
        <v>1270.2628639900049</v>
      </c>
      <c r="Y107" s="32">
        <v>7492.2544519089361</v>
      </c>
      <c r="Z107" s="65"/>
      <c r="AA107" s="32">
        <v>2163.4703400803446</v>
      </c>
      <c r="AB107" s="32">
        <v>7478.8815001537205</v>
      </c>
      <c r="AC107" s="32">
        <v>2242.8898318927681</v>
      </c>
      <c r="AD107" s="32">
        <v>2347.8473587974458</v>
      </c>
      <c r="AE107" s="65"/>
      <c r="AF107" s="32">
        <v>12.604446603111896</v>
      </c>
      <c r="AG107" s="32">
        <v>75.388910418244791</v>
      </c>
      <c r="AH107" s="32">
        <v>31.971338099354931</v>
      </c>
      <c r="AI107" s="32">
        <v>74.748122524983771</v>
      </c>
    </row>
    <row r="108" spans="3:35" ht="17.7" customHeight="1" x14ac:dyDescent="0.3">
      <c r="C108" s="8" t="s">
        <v>204</v>
      </c>
      <c r="D108" s="32">
        <v>9600.3458571296087</v>
      </c>
      <c r="E108" s="32">
        <v>2124.0355272033808</v>
      </c>
      <c r="F108" s="32">
        <v>4916.9684945932395</v>
      </c>
      <c r="G108" s="32">
        <v>653.65188825884047</v>
      </c>
      <c r="H108" s="65"/>
      <c r="I108" s="32">
        <v>8559.7956699393289</v>
      </c>
      <c r="J108" s="32">
        <v>956.42277288854882</v>
      </c>
      <c r="K108" s="32">
        <v>8307.6493496027651</v>
      </c>
      <c r="L108" s="32">
        <v>1509.2350666770826</v>
      </c>
      <c r="M108" s="65"/>
      <c r="N108" s="32">
        <v>97.670668937091136</v>
      </c>
      <c r="O108" s="32">
        <v>64.461087258477377</v>
      </c>
      <c r="P108" s="32">
        <v>46.093168454474444</v>
      </c>
      <c r="Q108" s="32">
        <v>66.700400545201305</v>
      </c>
      <c r="U108" s="8" t="s">
        <v>204</v>
      </c>
      <c r="V108" s="32">
        <v>1378.0104080086219</v>
      </c>
      <c r="W108" s="32">
        <v>275.93215102876047</v>
      </c>
      <c r="X108" s="32">
        <v>1511.4753300795426</v>
      </c>
      <c r="Y108" s="32">
        <v>277.26842870112512</v>
      </c>
      <c r="Z108" s="65"/>
      <c r="AA108" s="32">
        <v>3042.3354296348502</v>
      </c>
      <c r="AB108" s="32">
        <v>2618.2192512946358</v>
      </c>
      <c r="AC108" s="32">
        <v>7158.337924211899</v>
      </c>
      <c r="AD108" s="32">
        <v>3534.0465416627476</v>
      </c>
      <c r="AE108" s="65"/>
      <c r="AF108" s="32">
        <v>67.083577394815933</v>
      </c>
      <c r="AG108" s="32">
        <v>77.492474110208406</v>
      </c>
      <c r="AH108" s="32">
        <v>24.580214224883413</v>
      </c>
      <c r="AI108" s="32">
        <v>97.044792180705358</v>
      </c>
    </row>
    <row r="109" spans="3:35" ht="17.7" customHeight="1" x14ac:dyDescent="0.3">
      <c r="C109" s="8" t="s">
        <v>205</v>
      </c>
      <c r="D109" s="32">
        <v>3228.2541464544843</v>
      </c>
      <c r="E109" s="32">
        <v>9352.1772643279164</v>
      </c>
      <c r="F109" s="32">
        <v>4664.9209856195348</v>
      </c>
      <c r="G109" s="32">
        <v>9573.9368231326316</v>
      </c>
      <c r="H109" s="65"/>
      <c r="I109" s="32">
        <v>5655.782473625387</v>
      </c>
      <c r="J109" s="32">
        <v>2580.1469628710192</v>
      </c>
      <c r="K109" s="32">
        <v>7527.256129577524</v>
      </c>
      <c r="L109" s="32">
        <v>3478.4445361546377</v>
      </c>
      <c r="M109" s="65"/>
      <c r="N109" s="32">
        <v>74.051130859899388</v>
      </c>
      <c r="O109" s="32">
        <v>85.979749617463966</v>
      </c>
      <c r="P109" s="32">
        <v>82.372202948894525</v>
      </c>
      <c r="Q109" s="32">
        <v>68.884413615048928</v>
      </c>
      <c r="U109" s="8" t="s">
        <v>205</v>
      </c>
      <c r="V109" s="32">
        <v>299.95081834420677</v>
      </c>
      <c r="W109" s="32">
        <v>8500.7950312203811</v>
      </c>
      <c r="X109" s="32">
        <v>9771.1278039773242</v>
      </c>
      <c r="Y109" s="32">
        <v>5646.757432096937</v>
      </c>
      <c r="Z109" s="65"/>
      <c r="AA109" s="32">
        <v>1688.3721821076624</v>
      </c>
      <c r="AB109" s="32">
        <v>4889.1993715449098</v>
      </c>
      <c r="AC109" s="32">
        <v>480.35991548573963</v>
      </c>
      <c r="AD109" s="32">
        <v>511.89099574000863</v>
      </c>
      <c r="AE109" s="65"/>
      <c r="AF109" s="32">
        <v>84.225720264315186</v>
      </c>
      <c r="AG109" s="32">
        <v>7.5532230386928356</v>
      </c>
      <c r="AH109" s="32">
        <v>44.123567198043034</v>
      </c>
      <c r="AI109" s="32">
        <v>83.657269575839692</v>
      </c>
    </row>
    <row r="110" spans="3:35" ht="17.7" customHeight="1" x14ac:dyDescent="0.3">
      <c r="C110" s="8" t="s">
        <v>206</v>
      </c>
      <c r="D110" s="32">
        <v>8332.8091714422007</v>
      </c>
      <c r="E110" s="32">
        <v>6336.2384765956594</v>
      </c>
      <c r="F110" s="32">
        <v>8875.5988737419793</v>
      </c>
      <c r="G110" s="32">
        <v>7217.2175802636439</v>
      </c>
      <c r="H110" s="65"/>
      <c r="I110" s="32">
        <v>470.6902408549829</v>
      </c>
      <c r="J110" s="32">
        <v>4575.6654581756484</v>
      </c>
      <c r="K110" s="32">
        <v>9460.482962781929</v>
      </c>
      <c r="L110" s="32">
        <v>9428.4065393085639</v>
      </c>
      <c r="M110" s="65"/>
      <c r="N110" s="32">
        <v>92.787779611806769</v>
      </c>
      <c r="O110" s="32">
        <v>33.812765611110173</v>
      </c>
      <c r="P110" s="32">
        <v>14.588757782372531</v>
      </c>
      <c r="Q110" s="32">
        <v>48.017681670062387</v>
      </c>
      <c r="U110" s="8" t="s">
        <v>206</v>
      </c>
      <c r="V110" s="32">
        <v>5937.1116119472254</v>
      </c>
      <c r="W110" s="32">
        <v>5874.6254545312595</v>
      </c>
      <c r="X110" s="32">
        <v>4256.1166771448979</v>
      </c>
      <c r="Y110" s="32">
        <v>3061.0553851041332</v>
      </c>
      <c r="Z110" s="65"/>
      <c r="AA110" s="32">
        <v>9224.01825347458</v>
      </c>
      <c r="AB110" s="32">
        <v>1005.8221840985859</v>
      </c>
      <c r="AC110" s="32">
        <v>727.89526798412771</v>
      </c>
      <c r="AD110" s="32">
        <v>2720.9886124070549</v>
      </c>
      <c r="AE110" s="65"/>
      <c r="AF110" s="32">
        <v>61.316106183843722</v>
      </c>
      <c r="AG110" s="32">
        <v>49.069692409199618</v>
      </c>
      <c r="AH110" s="32">
        <v>5.957119396384936</v>
      </c>
      <c r="AI110" s="32">
        <v>20.888616283847973</v>
      </c>
    </row>
    <row r="111" spans="3:35" x14ac:dyDescent="0.3">
      <c r="C111" s="8" t="s">
        <v>207</v>
      </c>
      <c r="D111" s="32">
        <v>4037.5118869666917</v>
      </c>
      <c r="E111" s="32">
        <v>7007.1704345713624</v>
      </c>
      <c r="F111" s="32">
        <v>4719.317580813934</v>
      </c>
      <c r="G111" s="32">
        <v>9974.3139028482747</v>
      </c>
      <c r="H111" s="65"/>
      <c r="I111" s="32">
        <v>1284.7431381045426</v>
      </c>
      <c r="J111" s="32">
        <v>1975.8845046614369</v>
      </c>
      <c r="K111" s="32">
        <v>6620.283477641834</v>
      </c>
      <c r="L111" s="32">
        <v>6388.9154626754043</v>
      </c>
      <c r="M111" s="65"/>
      <c r="N111" s="32">
        <v>99.594642094815612</v>
      </c>
      <c r="O111" s="32">
        <v>77.696350753572091</v>
      </c>
      <c r="P111" s="32">
        <v>77.006341514264932</v>
      </c>
      <c r="Q111" s="32">
        <v>5.8059130654564362</v>
      </c>
      <c r="U111" s="8" t="s">
        <v>207</v>
      </c>
      <c r="V111" s="32">
        <v>9293.7881795145404</v>
      </c>
      <c r="W111" s="32">
        <v>7342.3047351184759</v>
      </c>
      <c r="X111" s="32">
        <v>307.23022672172641</v>
      </c>
      <c r="Y111" s="32">
        <v>5030.5939959739144</v>
      </c>
      <c r="Z111" s="65"/>
      <c r="AA111" s="32">
        <v>87.621224423101168</v>
      </c>
      <c r="AB111" s="32">
        <v>5414.9942941699001</v>
      </c>
      <c r="AC111" s="32">
        <v>5814.7794720512638</v>
      </c>
      <c r="AD111" s="32">
        <v>1735.2423980962806</v>
      </c>
      <c r="AE111" s="65"/>
      <c r="AF111" s="32">
        <v>64.305512460332864</v>
      </c>
      <c r="AG111" s="32">
        <v>19.132314995968613</v>
      </c>
      <c r="AH111" s="32">
        <v>27.522258483776717</v>
      </c>
      <c r="AI111" s="32">
        <v>50.479336911921671</v>
      </c>
    </row>
    <row r="112" spans="3:35" x14ac:dyDescent="0.3">
      <c r="C112" s="8" t="s">
        <v>208</v>
      </c>
      <c r="D112" s="32">
        <v>6625.6222455400739</v>
      </c>
      <c r="E112" s="32">
        <v>1500.8785124201675</v>
      </c>
      <c r="F112" s="32">
        <v>4199.9813212074132</v>
      </c>
      <c r="G112" s="32">
        <v>5476.7086180367196</v>
      </c>
      <c r="H112" s="65"/>
      <c r="I112" s="32">
        <v>7313.2461409951784</v>
      </c>
      <c r="J112" s="32">
        <v>3300.2038418103698</v>
      </c>
      <c r="K112" s="32">
        <v>6107.0840485126218</v>
      </c>
      <c r="L112" s="32">
        <v>1660.3269394268061</v>
      </c>
      <c r="M112" s="65"/>
      <c r="N112" s="32">
        <v>82.854426902821928</v>
      </c>
      <c r="O112" s="32">
        <v>84.200527955431085</v>
      </c>
      <c r="P112" s="32">
        <v>57.506952186058747</v>
      </c>
      <c r="Q112" s="32">
        <v>27.35494630187403</v>
      </c>
      <c r="U112" s="8" t="s">
        <v>208</v>
      </c>
      <c r="V112" s="32">
        <v>8486.7921610384274</v>
      </c>
      <c r="W112" s="32">
        <v>470.64765185351075</v>
      </c>
      <c r="X112" s="32">
        <v>4762.1071941301543</v>
      </c>
      <c r="Y112" s="32">
        <v>3372.4656535723452</v>
      </c>
      <c r="Z112" s="65"/>
      <c r="AA112" s="32">
        <v>1737.1323472167821</v>
      </c>
      <c r="AB112" s="32">
        <v>9964.3721951825464</v>
      </c>
      <c r="AC112" s="32">
        <v>7023.2787753357825</v>
      </c>
      <c r="AD112" s="32">
        <v>9186.7470806629462</v>
      </c>
      <c r="AE112" s="65"/>
      <c r="AF112" s="32">
        <v>90.718263048674117</v>
      </c>
      <c r="AG112" s="32">
        <v>1.8222691136219216</v>
      </c>
      <c r="AH112" s="32">
        <v>96.923337773093735</v>
      </c>
      <c r="AI112" s="32">
        <v>12.787420656111836</v>
      </c>
    </row>
    <row r="113" spans="3:35" x14ac:dyDescent="0.3">
      <c r="C113" s="8" t="s">
        <v>209</v>
      </c>
      <c r="D113" s="32">
        <v>4076.9076423452711</v>
      </c>
      <c r="E113" s="32">
        <v>7963.8792041677143</v>
      </c>
      <c r="F113" s="32">
        <v>891.77883225546202</v>
      </c>
      <c r="G113" s="32">
        <v>62.037266336278932</v>
      </c>
      <c r="H113" s="65"/>
      <c r="I113" s="32">
        <v>5698.2886726019797</v>
      </c>
      <c r="J113" s="32">
        <v>5006.8504637801325</v>
      </c>
      <c r="K113" s="32">
        <v>3585.5613174673726</v>
      </c>
      <c r="L113" s="32">
        <v>844.0335894899431</v>
      </c>
      <c r="M113" s="65"/>
      <c r="N113" s="32">
        <v>70.017499026085119</v>
      </c>
      <c r="O113" s="32">
        <v>30.630047238976033</v>
      </c>
      <c r="P113" s="32">
        <v>11.740693329998496</v>
      </c>
      <c r="Q113" s="32">
        <v>60.463481219894469</v>
      </c>
      <c r="U113" s="8" t="s">
        <v>209</v>
      </c>
      <c r="V113" s="32">
        <v>6201.4196524522476</v>
      </c>
      <c r="W113" s="32">
        <v>3860.5437019359333</v>
      </c>
      <c r="X113" s="32">
        <v>5408.0303802217304</v>
      </c>
      <c r="Y113" s="32">
        <v>4859.5429252391168</v>
      </c>
      <c r="Z113" s="65"/>
      <c r="AA113" s="32">
        <v>8234.9308849600293</v>
      </c>
      <c r="AB113" s="32">
        <v>482.02601966747972</v>
      </c>
      <c r="AC113" s="32">
        <v>2893.597923868002</v>
      </c>
      <c r="AD113" s="32">
        <v>4057.4541149654819</v>
      </c>
      <c r="AE113" s="65"/>
      <c r="AF113" s="32">
        <v>70.147224459852822</v>
      </c>
      <c r="AG113" s="32">
        <v>43.704308692295882</v>
      </c>
      <c r="AH113" s="32">
        <v>66.98380955108945</v>
      </c>
      <c r="AI113" s="32">
        <v>14.302268398456841</v>
      </c>
    </row>
    <row r="114" spans="3:35" x14ac:dyDescent="0.3">
      <c r="C114" s="8" t="s">
        <v>210</v>
      </c>
      <c r="D114" s="32">
        <v>5601.3602667587338</v>
      </c>
      <c r="E114" s="32">
        <v>8973.1763888284822</v>
      </c>
      <c r="F114" s="32">
        <v>5494.2371562514982</v>
      </c>
      <c r="G114" s="32">
        <v>3798.1916317091313</v>
      </c>
      <c r="H114" s="65"/>
      <c r="I114" s="32">
        <v>1329.3420583180537</v>
      </c>
      <c r="J114" s="32">
        <v>1628.9850267070372</v>
      </c>
      <c r="K114" s="32">
        <v>5180.0988647568256</v>
      </c>
      <c r="L114" s="32">
        <v>3081.9445930188604</v>
      </c>
      <c r="M114" s="65"/>
      <c r="N114" s="32">
        <v>17.767139552286505</v>
      </c>
      <c r="O114" s="32">
        <v>31.1207505025336</v>
      </c>
      <c r="P114" s="32">
        <v>88.805695816878981</v>
      </c>
      <c r="Q114" s="32">
        <v>16.900836815239561</v>
      </c>
      <c r="U114" s="8" t="s">
        <v>210</v>
      </c>
      <c r="V114" s="32">
        <v>7431.7538920296975</v>
      </c>
      <c r="W114" s="32">
        <v>6876.9975629914479</v>
      </c>
      <c r="X114" s="32">
        <v>4864.491803447534</v>
      </c>
      <c r="Y114" s="32">
        <v>5966.4637733979798</v>
      </c>
      <c r="Z114" s="65"/>
      <c r="AA114" s="32">
        <v>2581.8891116643426</v>
      </c>
      <c r="AB114" s="32">
        <v>4092.7297779205528</v>
      </c>
      <c r="AC114" s="32">
        <v>7850.0077519301767</v>
      </c>
      <c r="AD114" s="32">
        <v>7200.3234451541575</v>
      </c>
      <c r="AE114" s="65"/>
      <c r="AF114" s="32">
        <v>1.0355962716678269</v>
      </c>
      <c r="AG114" s="32">
        <v>60.427285394532902</v>
      </c>
      <c r="AH114" s="32">
        <v>5.2003834981330428</v>
      </c>
      <c r="AI114" s="32">
        <v>71.186292724524321</v>
      </c>
    </row>
    <row r="115" spans="3:35" x14ac:dyDescent="0.3">
      <c r="C115" s="8" t="s">
        <v>211</v>
      </c>
      <c r="D115" s="32">
        <v>2799.4975657008581</v>
      </c>
      <c r="E115" s="32">
        <v>3100.2157995699563</v>
      </c>
      <c r="F115" s="32">
        <v>4967.0836970397449</v>
      </c>
      <c r="G115" s="32">
        <v>8265.9435044876336</v>
      </c>
      <c r="H115" s="65"/>
      <c r="I115" s="32">
        <v>3125.3958512947233</v>
      </c>
      <c r="J115" s="32">
        <v>4398.2737925936199</v>
      </c>
      <c r="K115" s="32">
        <v>2612.1869149459676</v>
      </c>
      <c r="L115" s="32">
        <v>1851.9492737250553</v>
      </c>
      <c r="M115" s="65"/>
      <c r="N115" s="32">
        <v>20.767316494581213</v>
      </c>
      <c r="O115" s="32">
        <v>95.098081187378071</v>
      </c>
      <c r="P115" s="32">
        <v>19.307494554076076</v>
      </c>
      <c r="Q115" s="32">
        <v>62.223934215374278</v>
      </c>
      <c r="U115" s="8" t="s">
        <v>211</v>
      </c>
      <c r="V115" s="32">
        <v>3425.2116103584153</v>
      </c>
      <c r="W115" s="32">
        <v>6037.2301922933557</v>
      </c>
      <c r="X115" s="32">
        <v>1325.5615744708716</v>
      </c>
      <c r="Y115" s="32">
        <v>4348.0222318445312</v>
      </c>
      <c r="Z115" s="65"/>
      <c r="AA115" s="32">
        <v>9383.9926262325534</v>
      </c>
      <c r="AB115" s="32">
        <v>4177.6211494840691</v>
      </c>
      <c r="AC115" s="32">
        <v>5206.5965827124373</v>
      </c>
      <c r="AD115" s="32">
        <v>3034.6756912225815</v>
      </c>
      <c r="AE115" s="65"/>
      <c r="AF115" s="32">
        <v>60.802166667708711</v>
      </c>
      <c r="AG115" s="32">
        <v>93.891437297377863</v>
      </c>
      <c r="AH115" s="32">
        <v>77.20124143072286</v>
      </c>
      <c r="AI115" s="32">
        <v>53.935025801600332</v>
      </c>
    </row>
    <row r="116" spans="3:35" x14ac:dyDescent="0.3">
      <c r="C116" s="8" t="s">
        <v>212</v>
      </c>
      <c r="D116" s="32">
        <v>1777.3987595281837</v>
      </c>
      <c r="E116" s="32">
        <v>8357.6043139489284</v>
      </c>
      <c r="F116" s="32">
        <v>7966.8524717230212</v>
      </c>
      <c r="G116" s="32">
        <v>4576.9530250948073</v>
      </c>
      <c r="H116" s="65"/>
      <c r="I116" s="32">
        <v>3461.6422601749996</v>
      </c>
      <c r="J116" s="32">
        <v>8130.0580776538454</v>
      </c>
      <c r="K116" s="32">
        <v>2344.7433578105024</v>
      </c>
      <c r="L116" s="32">
        <v>167.60203405924324</v>
      </c>
      <c r="M116" s="65"/>
      <c r="N116" s="32">
        <v>92.630445913927062</v>
      </c>
      <c r="O116" s="32">
        <v>31.084880952794723</v>
      </c>
      <c r="P116" s="32">
        <v>67.841147813074912</v>
      </c>
      <c r="Q116" s="32">
        <v>73.889770948855613</v>
      </c>
      <c r="U116" s="8" t="s">
        <v>212</v>
      </c>
      <c r="V116" s="32">
        <v>5834.4140879175766</v>
      </c>
      <c r="W116" s="32">
        <v>1420.3930090588269</v>
      </c>
      <c r="X116" s="32">
        <v>3978.4371967553921</v>
      </c>
      <c r="Y116" s="32">
        <v>505.96767613084182</v>
      </c>
      <c r="Z116" s="65"/>
      <c r="AA116" s="32">
        <v>4990.5465001409466</v>
      </c>
      <c r="AB116" s="32">
        <v>8736.6979459341128</v>
      </c>
      <c r="AC116" s="32">
        <v>4487.8507651569689</v>
      </c>
      <c r="AD116" s="32">
        <v>3024.6033697306375</v>
      </c>
      <c r="AE116" s="65"/>
      <c r="AF116" s="32">
        <v>80.931690862368683</v>
      </c>
      <c r="AG116" s="32">
        <v>43.618497283958199</v>
      </c>
      <c r="AH116" s="32">
        <v>5.7438973548877055</v>
      </c>
      <c r="AI116" s="32">
        <v>51.426610793219197</v>
      </c>
    </row>
    <row r="117" spans="3:35" x14ac:dyDescent="0.3">
      <c r="C117" s="8" t="s">
        <v>213</v>
      </c>
      <c r="D117" s="32">
        <v>767.85986147759218</v>
      </c>
      <c r="E117" s="32">
        <v>1680.1848134430309</v>
      </c>
      <c r="F117" s="32">
        <v>4357.91184560499</v>
      </c>
      <c r="G117" s="32">
        <v>6368.3014080544253</v>
      </c>
      <c r="H117" s="65"/>
      <c r="I117" s="32">
        <v>7333.3332971820428</v>
      </c>
      <c r="J117" s="32">
        <v>3199.2259379780398</v>
      </c>
      <c r="K117" s="32">
        <v>2813.8909346181608</v>
      </c>
      <c r="L117" s="32">
        <v>2367.44571439636</v>
      </c>
      <c r="M117" s="65"/>
      <c r="N117" s="32">
        <v>27.230503794556693</v>
      </c>
      <c r="O117" s="32">
        <v>44.856454065527743</v>
      </c>
      <c r="P117" s="32">
        <v>46.99100336146558</v>
      </c>
      <c r="Q117" s="32">
        <v>37.586347042412861</v>
      </c>
      <c r="U117" s="8" t="s">
        <v>213</v>
      </c>
      <c r="V117" s="32">
        <v>3944.5749469205994</v>
      </c>
      <c r="W117" s="32">
        <v>18.691093047148442</v>
      </c>
      <c r="X117" s="32">
        <v>7173.0305455691632</v>
      </c>
      <c r="Y117" s="32">
        <v>8078.9815405408572</v>
      </c>
      <c r="Z117" s="65"/>
      <c r="AA117" s="32">
        <v>5801.0520205167468</v>
      </c>
      <c r="AB117" s="32">
        <v>6327.3878042345577</v>
      </c>
      <c r="AC117" s="32">
        <v>2584.5924797279508</v>
      </c>
      <c r="AD117" s="32">
        <v>2400.6251820266898</v>
      </c>
      <c r="AE117" s="65"/>
      <c r="AF117" s="32">
        <v>53.699644031355312</v>
      </c>
      <c r="AG117" s="32">
        <v>76.816403977528637</v>
      </c>
      <c r="AH117" s="32">
        <v>99.216933216035144</v>
      </c>
      <c r="AI117" s="32">
        <v>15.603998713604661</v>
      </c>
    </row>
    <row r="118" spans="3:35" x14ac:dyDescent="0.3">
      <c r="C118" s="8" t="s">
        <v>214</v>
      </c>
      <c r="D118" s="32">
        <v>7431.7783783267123</v>
      </c>
      <c r="E118" s="32">
        <v>2183.6293710096356</v>
      </c>
      <c r="F118" s="32">
        <v>5223.7518371446422</v>
      </c>
      <c r="G118" s="32">
        <v>5711.5436749311775</v>
      </c>
      <c r="H118" s="65"/>
      <c r="I118" s="32">
        <v>7306.4252051326039</v>
      </c>
      <c r="J118" s="32">
        <v>6733.870814151458</v>
      </c>
      <c r="K118" s="32">
        <v>3933.4879951970915</v>
      </c>
      <c r="L118" s="32">
        <v>7854.0326640432686</v>
      </c>
      <c r="M118" s="65"/>
      <c r="N118" s="32">
        <v>43.723918904711049</v>
      </c>
      <c r="O118" s="32">
        <v>26.844796311547892</v>
      </c>
      <c r="P118" s="32">
        <v>58.999365266077454</v>
      </c>
      <c r="Q118" s="32">
        <v>28.031741625839889</v>
      </c>
      <c r="U118" s="8" t="s">
        <v>214</v>
      </c>
      <c r="V118" s="32">
        <v>8484.3397632763717</v>
      </c>
      <c r="W118" s="32">
        <v>6281.1861029351412</v>
      </c>
      <c r="X118" s="32">
        <v>4338.7997767514435</v>
      </c>
      <c r="Y118" s="32">
        <v>780.3338065270749</v>
      </c>
      <c r="Z118" s="65"/>
      <c r="AA118" s="32">
        <v>5653.0893178975803</v>
      </c>
      <c r="AB118" s="32">
        <v>1310.2252670185676</v>
      </c>
      <c r="AC118" s="32">
        <v>5708.1832973817536</v>
      </c>
      <c r="AD118" s="32">
        <v>1988.5905669044623</v>
      </c>
      <c r="AE118" s="65"/>
      <c r="AF118" s="32">
        <v>13.950727213570314</v>
      </c>
      <c r="AG118" s="32">
        <v>62.394500172340628</v>
      </c>
      <c r="AH118" s="32">
        <v>5.482540459417196</v>
      </c>
      <c r="AI118" s="32">
        <v>21.118092823675681</v>
      </c>
    </row>
    <row r="119" spans="3:35" x14ac:dyDescent="0.3">
      <c r="C119" s="8" t="s">
        <v>215</v>
      </c>
      <c r="D119" s="32">
        <v>4794.5405850819798</v>
      </c>
      <c r="E119" s="32">
        <v>1355.5676598480459</v>
      </c>
      <c r="F119" s="32">
        <v>1247.0158981767531</v>
      </c>
      <c r="G119" s="32">
        <v>9367.9857385518935</v>
      </c>
      <c r="H119" s="65"/>
      <c r="I119" s="32">
        <v>6537.3296830910358</v>
      </c>
      <c r="J119" s="32">
        <v>1534.9790831080568</v>
      </c>
      <c r="K119" s="32">
        <v>8472.6564120736584</v>
      </c>
      <c r="L119" s="32">
        <v>4804.6962426379059</v>
      </c>
      <c r="M119" s="65"/>
      <c r="N119" s="32">
        <v>40.217452594502966</v>
      </c>
      <c r="O119" s="32">
        <v>57.551399336946076</v>
      </c>
      <c r="P119" s="32">
        <v>54.300053824271785</v>
      </c>
      <c r="Q119" s="32">
        <v>39.341105911963901</v>
      </c>
      <c r="U119" s="8" t="s">
        <v>215</v>
      </c>
      <c r="V119" s="32">
        <v>3873.0164414870737</v>
      </c>
      <c r="W119" s="32">
        <v>311.82931564446517</v>
      </c>
      <c r="X119" s="32">
        <v>6469.1623747453568</v>
      </c>
      <c r="Y119" s="32">
        <v>2448.622625085226</v>
      </c>
      <c r="Z119" s="65"/>
      <c r="AA119" s="32">
        <v>5987.6372086040838</v>
      </c>
      <c r="AB119" s="32">
        <v>4977.808411730075</v>
      </c>
      <c r="AC119" s="32">
        <v>3123.714801483186</v>
      </c>
      <c r="AD119" s="32">
        <v>6662.7420726735945</v>
      </c>
      <c r="AE119" s="65"/>
      <c r="AF119" s="32">
        <v>39.125161686247942</v>
      </c>
      <c r="AG119" s="32">
        <v>15.652401072682009</v>
      </c>
      <c r="AH119" s="32">
        <v>12.649673759424241</v>
      </c>
      <c r="AI119" s="32">
        <v>14.896799330212108</v>
      </c>
    </row>
    <row r="120" spans="3:35" x14ac:dyDescent="0.3">
      <c r="C120" s="8" t="s">
        <v>216</v>
      </c>
      <c r="D120" s="32">
        <v>5154.4276053568892</v>
      </c>
      <c r="E120" s="32">
        <v>785.40051984061336</v>
      </c>
      <c r="F120" s="32">
        <v>3563.8369799900283</v>
      </c>
      <c r="G120" s="32">
        <v>2556.0163088747199</v>
      </c>
      <c r="H120" s="65"/>
      <c r="I120" s="32">
        <v>9431.8875663366471</v>
      </c>
      <c r="J120" s="32">
        <v>7512.503380647463</v>
      </c>
      <c r="K120" s="32">
        <v>3107.3686992765738</v>
      </c>
      <c r="L120" s="32">
        <v>4246.5015914262913</v>
      </c>
      <c r="M120" s="65"/>
      <c r="N120" s="32">
        <v>28.761158164342092</v>
      </c>
      <c r="O120" s="32">
        <v>92.19988753127214</v>
      </c>
      <c r="P120" s="32">
        <v>99.436586701718014</v>
      </c>
      <c r="Q120" s="32">
        <v>37.83771932453589</v>
      </c>
      <c r="U120" s="8" t="s">
        <v>216</v>
      </c>
      <c r="V120" s="32">
        <v>8528.5327383764652</v>
      </c>
      <c r="W120" s="32">
        <v>3131.1799522287365</v>
      </c>
      <c r="X120" s="32">
        <v>9643.9891693318732</v>
      </c>
      <c r="Y120" s="32">
        <v>5876.4497354162813</v>
      </c>
      <c r="Z120" s="65"/>
      <c r="AA120" s="32">
        <v>5859.7552885788218</v>
      </c>
      <c r="AB120" s="32">
        <v>2659.7570636762289</v>
      </c>
      <c r="AC120" s="32">
        <v>7707.0324474170329</v>
      </c>
      <c r="AD120" s="32">
        <v>9621.5221256468594</v>
      </c>
      <c r="AE120" s="65"/>
      <c r="AF120" s="32">
        <v>94.919026519658857</v>
      </c>
      <c r="AG120" s="32">
        <v>75.504356720465694</v>
      </c>
      <c r="AH120" s="32">
        <v>11.216889299429667</v>
      </c>
      <c r="AI120" s="32">
        <v>79.945302794563275</v>
      </c>
    </row>
    <row r="121" spans="3:35" x14ac:dyDescent="0.3">
      <c r="C121" s="8" t="s">
        <v>217</v>
      </c>
      <c r="D121" s="32">
        <v>6114.2050250843458</v>
      </c>
      <c r="E121" s="32">
        <v>2929.1805130234793</v>
      </c>
      <c r="F121" s="32">
        <v>1668.6985241396646</v>
      </c>
      <c r="G121" s="32">
        <v>6283.8269344222072</v>
      </c>
      <c r="H121" s="65"/>
      <c r="I121" s="32">
        <v>2102.7549898293782</v>
      </c>
      <c r="J121" s="32">
        <v>6807.9640636689774</v>
      </c>
      <c r="K121" s="32">
        <v>8190.0660092785256</v>
      </c>
      <c r="L121" s="32">
        <v>2541.3890290464037</v>
      </c>
      <c r="M121" s="65"/>
      <c r="N121" s="32">
        <v>62.104339446230185</v>
      </c>
      <c r="O121" s="32">
        <v>20.295610426906062</v>
      </c>
      <c r="P121" s="32">
        <v>49.924908160065876</v>
      </c>
      <c r="Q121" s="32">
        <v>90.29239116165823</v>
      </c>
      <c r="U121" s="8" t="s">
        <v>217</v>
      </c>
      <c r="V121" s="32">
        <v>8768.2358996892817</v>
      </c>
      <c r="W121" s="32">
        <v>4584.8444710850708</v>
      </c>
      <c r="X121" s="32">
        <v>4229.9082862056484</v>
      </c>
      <c r="Y121" s="32">
        <v>5168.8306559063931</v>
      </c>
      <c r="Z121" s="65"/>
      <c r="AA121" s="32">
        <v>560.2313661116309</v>
      </c>
      <c r="AB121" s="32">
        <v>3959.9941858665366</v>
      </c>
      <c r="AC121" s="32">
        <v>8522.2137430468301</v>
      </c>
      <c r="AD121" s="32">
        <v>8333.0762187861128</v>
      </c>
      <c r="AE121" s="65"/>
      <c r="AF121" s="32">
        <v>45.670869521385548</v>
      </c>
      <c r="AG121" s="32">
        <v>74.309951358529645</v>
      </c>
      <c r="AH121" s="32">
        <v>72.831660517506108</v>
      </c>
      <c r="AI121" s="32">
        <v>13.896803413052227</v>
      </c>
    </row>
    <row r="122" spans="3:35" x14ac:dyDescent="0.3">
      <c r="C122" s="8" t="s">
        <v>218</v>
      </c>
      <c r="D122" s="32">
        <v>7503.8799517189973</v>
      </c>
      <c r="E122" s="32">
        <v>7284.0179249962503</v>
      </c>
      <c r="F122" s="32">
        <v>6818.1784276712588</v>
      </c>
      <c r="G122" s="32">
        <v>7269.8447639083752</v>
      </c>
      <c r="H122" s="65"/>
      <c r="I122" s="32">
        <v>9804.0833229516993</v>
      </c>
      <c r="J122" s="32">
        <v>8275.4561796533708</v>
      </c>
      <c r="K122" s="32">
        <v>7982.1260804824815</v>
      </c>
      <c r="L122" s="32">
        <v>281.69780456942294</v>
      </c>
      <c r="M122" s="65"/>
      <c r="N122" s="32">
        <v>53.26130791117054</v>
      </c>
      <c r="O122" s="32">
        <v>26.322679602000253</v>
      </c>
      <c r="P122" s="32">
        <v>33.125182226142527</v>
      </c>
      <c r="Q122" s="32">
        <v>96.752214560830907</v>
      </c>
      <c r="U122" s="8" t="s">
        <v>218</v>
      </c>
      <c r="V122" s="32">
        <v>9341.5888846706257</v>
      </c>
      <c r="W122" s="32">
        <v>352.90887322549816</v>
      </c>
      <c r="X122" s="32">
        <v>5615.3552215362379</v>
      </c>
      <c r="Y122" s="32">
        <v>6028.1297868392394</v>
      </c>
      <c r="Z122" s="65"/>
      <c r="AA122" s="32">
        <v>5721.4280156194191</v>
      </c>
      <c r="AB122" s="32">
        <v>5164.6560079987357</v>
      </c>
      <c r="AC122" s="32">
        <v>6123.3991771039464</v>
      </c>
      <c r="AD122" s="32">
        <v>7513.3578702666518</v>
      </c>
      <c r="AE122" s="65"/>
      <c r="AF122" s="32">
        <v>87.724234906229242</v>
      </c>
      <c r="AG122" s="32">
        <v>53.418301554506719</v>
      </c>
      <c r="AH122" s="32">
        <v>31.614105835431229</v>
      </c>
      <c r="AI122" s="32">
        <v>72.73473257427024</v>
      </c>
    </row>
    <row r="435" spans="1:85" s="9" customFormat="1" x14ac:dyDescent="0.3">
      <c r="A435"/>
      <c r="B435" s="65"/>
      <c r="C435"/>
      <c r="R435"/>
      <c r="S435"/>
      <c r="T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</row>
  </sheetData>
  <mergeCells count="1">
    <mergeCell ref="A1:E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156FA-27A0-400A-85DB-88E01F79BFC8}">
  <sheetPr codeName="Sheet23">
    <tabColor rgb="FF00B050"/>
  </sheetPr>
  <dimension ref="A1:I124"/>
  <sheetViews>
    <sheetView zoomScale="70" workbookViewId="0">
      <selection sqref="A1:E4"/>
    </sheetView>
  </sheetViews>
  <sheetFormatPr defaultRowHeight="14.4" x14ac:dyDescent="0.3"/>
  <cols>
    <col min="1" max="9" width="8.88671875" style="65"/>
  </cols>
  <sheetData>
    <row r="1" spans="1:9" x14ac:dyDescent="0.3">
      <c r="A1" s="387" t="s">
        <v>402</v>
      </c>
      <c r="B1" s="387"/>
      <c r="C1" s="387"/>
      <c r="D1" s="387"/>
      <c r="E1" s="387"/>
    </row>
    <row r="2" spans="1:9" x14ac:dyDescent="0.3">
      <c r="A2" s="387"/>
      <c r="B2" s="387"/>
      <c r="C2" s="387"/>
      <c r="D2" s="387"/>
      <c r="E2" s="387"/>
    </row>
    <row r="3" spans="1:9" x14ac:dyDescent="0.3">
      <c r="A3" s="387"/>
      <c r="B3" s="387"/>
      <c r="C3" s="387"/>
      <c r="D3" s="387"/>
      <c r="E3" s="387"/>
    </row>
    <row r="4" spans="1:9" x14ac:dyDescent="0.3">
      <c r="A4" s="387"/>
      <c r="B4" s="387"/>
      <c r="C4" s="387"/>
      <c r="D4" s="387"/>
      <c r="E4" s="387"/>
    </row>
    <row r="5" spans="1:9" x14ac:dyDescent="0.3">
      <c r="A5"/>
      <c r="B5"/>
    </row>
    <row r="6" spans="1:9" x14ac:dyDescent="0.3">
      <c r="A6"/>
      <c r="B6"/>
    </row>
    <row r="7" spans="1:9" x14ac:dyDescent="0.3">
      <c r="A7"/>
      <c r="B7"/>
    </row>
    <row r="8" spans="1:9" x14ac:dyDescent="0.3">
      <c r="A8"/>
      <c r="B8"/>
    </row>
    <row r="9" spans="1:9" x14ac:dyDescent="0.3">
      <c r="B9" s="29"/>
    </row>
    <row r="10" spans="1:9" x14ac:dyDescent="0.3">
      <c r="A10"/>
      <c r="B10"/>
      <c r="C10"/>
      <c r="D10"/>
      <c r="E10"/>
      <c r="F10"/>
      <c r="G10"/>
      <c r="H10"/>
      <c r="I10"/>
    </row>
    <row r="11" spans="1:9" x14ac:dyDescent="0.3">
      <c r="A11"/>
      <c r="B11"/>
      <c r="C11"/>
      <c r="D11"/>
      <c r="E11"/>
      <c r="F11"/>
      <c r="G11"/>
      <c r="H11"/>
      <c r="I11"/>
    </row>
    <row r="12" spans="1:9" x14ac:dyDescent="0.3">
      <c r="A12"/>
      <c r="B12"/>
      <c r="C12"/>
      <c r="D12"/>
      <c r="E12"/>
      <c r="F12"/>
      <c r="G12"/>
      <c r="H12"/>
      <c r="I12"/>
    </row>
    <row r="13" spans="1:9" x14ac:dyDescent="0.3">
      <c r="A13" s="8" t="s">
        <v>159</v>
      </c>
      <c r="B13" s="35">
        <v>941</v>
      </c>
      <c r="C13" s="46">
        <v>17752</v>
      </c>
      <c r="D13" s="37">
        <v>1321</v>
      </c>
      <c r="E13" s="46">
        <v>23595</v>
      </c>
      <c r="F13" s="37">
        <v>1915</v>
      </c>
      <c r="G13" s="46">
        <v>22076</v>
      </c>
      <c r="H13" s="37">
        <v>1528</v>
      </c>
      <c r="I13" s="30">
        <v>21335</v>
      </c>
    </row>
    <row r="14" spans="1:9" x14ac:dyDescent="0.3">
      <c r="A14" s="8" t="s">
        <v>175</v>
      </c>
      <c r="B14" s="35">
        <v>2027</v>
      </c>
      <c r="C14" s="46">
        <v>24241</v>
      </c>
      <c r="D14" s="37">
        <v>2954</v>
      </c>
      <c r="E14" s="46">
        <v>33888</v>
      </c>
      <c r="F14" s="37">
        <v>3908</v>
      </c>
      <c r="G14" s="46">
        <v>33000</v>
      </c>
      <c r="H14" s="37">
        <v>3509</v>
      </c>
      <c r="I14" s="30">
        <v>32124</v>
      </c>
    </row>
    <row r="15" spans="1:9" x14ac:dyDescent="0.3">
      <c r="A15" s="8" t="s">
        <v>160</v>
      </c>
      <c r="B15" s="35">
        <v>792</v>
      </c>
      <c r="C15" s="46">
        <v>10735</v>
      </c>
      <c r="D15" s="37">
        <v>1080</v>
      </c>
      <c r="E15" s="46">
        <v>14146</v>
      </c>
      <c r="F15" s="37">
        <v>1324</v>
      </c>
      <c r="G15" s="46">
        <v>13931</v>
      </c>
      <c r="H15" s="37">
        <v>1647</v>
      </c>
      <c r="I15" s="30">
        <v>14382</v>
      </c>
    </row>
    <row r="16" spans="1:9" x14ac:dyDescent="0.3">
      <c r="A16" s="8" t="s">
        <v>176</v>
      </c>
      <c r="B16" s="35">
        <v>2047</v>
      </c>
      <c r="C16" s="46">
        <v>40200</v>
      </c>
      <c r="D16" s="37">
        <v>3253</v>
      </c>
      <c r="E16" s="46">
        <v>54819</v>
      </c>
      <c r="F16" s="37">
        <v>4358</v>
      </c>
      <c r="G16" s="46">
        <v>53533</v>
      </c>
      <c r="H16" s="37">
        <v>4199</v>
      </c>
      <c r="I16" s="30">
        <v>56264</v>
      </c>
    </row>
    <row r="17" spans="1:9" x14ac:dyDescent="0.3">
      <c r="A17" s="8" t="s">
        <v>177</v>
      </c>
      <c r="B17" s="35">
        <v>302</v>
      </c>
      <c r="C17" s="46">
        <v>9720</v>
      </c>
      <c r="D17" s="37">
        <v>518</v>
      </c>
      <c r="E17" s="46">
        <v>13063</v>
      </c>
      <c r="F17" s="37">
        <v>660</v>
      </c>
      <c r="G17" s="46">
        <v>11833</v>
      </c>
      <c r="H17" s="37">
        <v>669</v>
      </c>
      <c r="I17" s="30">
        <v>13604</v>
      </c>
    </row>
    <row r="18" spans="1:9" x14ac:dyDescent="0.3">
      <c r="A18" s="8" t="s">
        <v>161</v>
      </c>
      <c r="B18" s="35">
        <v>146</v>
      </c>
      <c r="C18" s="46">
        <v>5857</v>
      </c>
      <c r="D18" s="37">
        <v>233</v>
      </c>
      <c r="E18" s="46">
        <v>8335</v>
      </c>
      <c r="F18" s="37">
        <v>363</v>
      </c>
      <c r="G18" s="46">
        <v>7782</v>
      </c>
      <c r="H18" s="37">
        <v>334</v>
      </c>
      <c r="I18" s="30">
        <v>7977</v>
      </c>
    </row>
    <row r="19" spans="1:9" x14ac:dyDescent="0.3">
      <c r="A19" s="8" t="s">
        <v>162</v>
      </c>
      <c r="B19" s="35">
        <v>9822</v>
      </c>
      <c r="C19" s="46">
        <v>203143</v>
      </c>
      <c r="D19" s="37">
        <v>17345</v>
      </c>
      <c r="E19" s="46">
        <v>248498</v>
      </c>
      <c r="F19" s="37">
        <v>22083</v>
      </c>
      <c r="G19" s="46">
        <v>205559</v>
      </c>
      <c r="H19" s="37">
        <v>20623</v>
      </c>
      <c r="I19" s="30">
        <v>230920</v>
      </c>
    </row>
    <row r="20" spans="1:9" x14ac:dyDescent="0.3">
      <c r="A20" s="8" t="s">
        <v>163</v>
      </c>
      <c r="B20" s="35">
        <v>4533</v>
      </c>
      <c r="C20" s="46">
        <v>61709</v>
      </c>
      <c r="D20" s="37">
        <v>7700</v>
      </c>
      <c r="E20" s="46">
        <v>77421</v>
      </c>
      <c r="F20" s="37">
        <v>10040</v>
      </c>
      <c r="G20" s="46">
        <v>67746</v>
      </c>
      <c r="H20" s="37">
        <v>8683</v>
      </c>
      <c r="I20" s="30">
        <v>71418</v>
      </c>
    </row>
    <row r="21" spans="1:9" x14ac:dyDescent="0.3">
      <c r="A21" s="8" t="s">
        <v>164</v>
      </c>
      <c r="B21" s="35">
        <v>496</v>
      </c>
      <c r="C21" s="46">
        <v>4624</v>
      </c>
      <c r="D21" s="37">
        <v>917</v>
      </c>
      <c r="E21" s="46">
        <v>5280</v>
      </c>
      <c r="F21" s="37">
        <v>1189</v>
      </c>
      <c r="G21" s="46">
        <v>3869</v>
      </c>
      <c r="H21" s="37">
        <v>1229</v>
      </c>
      <c r="I21" s="30">
        <v>5055</v>
      </c>
    </row>
    <row r="22" spans="1:9" x14ac:dyDescent="0.3">
      <c r="A22" s="8" t="s">
        <v>178</v>
      </c>
      <c r="B22" s="35">
        <v>528</v>
      </c>
      <c r="C22" s="46">
        <v>2263</v>
      </c>
      <c r="D22" s="37">
        <v>704</v>
      </c>
      <c r="E22" s="46">
        <v>2777</v>
      </c>
      <c r="F22" s="37">
        <v>620</v>
      </c>
      <c r="G22" s="46">
        <v>2699</v>
      </c>
      <c r="H22" s="37">
        <v>1041</v>
      </c>
      <c r="I22" s="30">
        <v>6977</v>
      </c>
    </row>
    <row r="23" spans="1:9" x14ac:dyDescent="0.3">
      <c r="A23" s="8" t="s">
        <v>165</v>
      </c>
      <c r="B23" s="35">
        <v>838</v>
      </c>
      <c r="C23" s="46">
        <v>10175</v>
      </c>
      <c r="D23" s="37">
        <v>1284</v>
      </c>
      <c r="E23" s="46">
        <v>14600</v>
      </c>
      <c r="F23" s="37">
        <v>1164</v>
      </c>
      <c r="G23" s="46">
        <v>12153</v>
      </c>
      <c r="H23" s="37">
        <v>1677</v>
      </c>
      <c r="I23" s="30">
        <v>14055</v>
      </c>
    </row>
    <row r="24" spans="1:9" x14ac:dyDescent="0.3">
      <c r="A24" s="8" t="s">
        <v>166</v>
      </c>
      <c r="B24" s="35">
        <v>4669</v>
      </c>
      <c r="C24" s="46">
        <v>21242</v>
      </c>
      <c r="D24" s="37">
        <v>5412</v>
      </c>
      <c r="E24" s="46">
        <v>24454</v>
      </c>
      <c r="F24" s="37">
        <v>5747</v>
      </c>
      <c r="G24" s="46">
        <v>21583</v>
      </c>
      <c r="H24" s="37">
        <v>9702</v>
      </c>
      <c r="I24" s="30">
        <v>27064</v>
      </c>
    </row>
    <row r="25" spans="1:9" x14ac:dyDescent="0.3">
      <c r="A25" s="8" t="s">
        <v>167</v>
      </c>
      <c r="B25" s="35">
        <v>11046</v>
      </c>
      <c r="C25" s="46">
        <v>78800</v>
      </c>
      <c r="D25" s="37">
        <v>14464</v>
      </c>
      <c r="E25" s="46">
        <v>99738</v>
      </c>
      <c r="F25" s="37">
        <v>14511</v>
      </c>
      <c r="G25" s="46">
        <v>84886</v>
      </c>
      <c r="H25" s="37">
        <v>17697</v>
      </c>
      <c r="I25" s="30">
        <v>99120</v>
      </c>
    </row>
    <row r="26" spans="1:9" x14ac:dyDescent="0.3">
      <c r="A26" s="8" t="s">
        <v>168</v>
      </c>
      <c r="B26" s="35">
        <v>4321</v>
      </c>
      <c r="C26" s="46">
        <v>32694</v>
      </c>
      <c r="D26" s="37">
        <v>5692</v>
      </c>
      <c r="E26" s="46">
        <v>43073</v>
      </c>
      <c r="F26" s="37">
        <v>6276</v>
      </c>
      <c r="G26" s="46">
        <v>40622</v>
      </c>
      <c r="H26" s="37">
        <v>7843</v>
      </c>
      <c r="I26" s="30">
        <v>42626</v>
      </c>
    </row>
    <row r="27" spans="1:9" x14ac:dyDescent="0.3">
      <c r="A27" s="8" t="s">
        <v>169</v>
      </c>
      <c r="B27" s="35">
        <v>22020</v>
      </c>
      <c r="C27" s="46">
        <v>93562</v>
      </c>
      <c r="D27" s="37">
        <v>26400</v>
      </c>
      <c r="E27" s="46">
        <v>112526</v>
      </c>
      <c r="F27" s="37">
        <v>28956</v>
      </c>
      <c r="G27" s="46">
        <v>101718</v>
      </c>
      <c r="H27" s="37">
        <v>42484</v>
      </c>
      <c r="I27" s="30">
        <v>122529</v>
      </c>
    </row>
    <row r="28" spans="1:9" x14ac:dyDescent="0.3">
      <c r="A28" s="8" t="s">
        <v>179</v>
      </c>
      <c r="B28" s="35">
        <v>1389</v>
      </c>
      <c r="C28" s="46">
        <v>18146</v>
      </c>
      <c r="D28" s="37">
        <v>1612</v>
      </c>
      <c r="E28" s="46">
        <v>22965</v>
      </c>
      <c r="F28" s="37">
        <v>1887</v>
      </c>
      <c r="G28" s="46">
        <v>20753</v>
      </c>
      <c r="H28" s="37">
        <v>2949</v>
      </c>
      <c r="I28" s="30">
        <v>22532</v>
      </c>
    </row>
    <row r="29" spans="1:9" x14ac:dyDescent="0.3">
      <c r="A29" s="8" t="s">
        <v>180</v>
      </c>
      <c r="B29" s="35">
        <v>49680</v>
      </c>
      <c r="C29" s="46">
        <v>371412</v>
      </c>
      <c r="D29" s="37">
        <v>61746</v>
      </c>
      <c r="E29" s="46">
        <v>453169</v>
      </c>
      <c r="F29" s="37">
        <v>64932</v>
      </c>
      <c r="G29" s="46">
        <v>395342</v>
      </c>
      <c r="H29" s="37">
        <v>99416</v>
      </c>
      <c r="I29" s="30">
        <v>476215</v>
      </c>
    </row>
    <row r="30" spans="1:9" x14ac:dyDescent="0.3">
      <c r="A30" s="8" t="s">
        <v>181</v>
      </c>
      <c r="B30" s="35">
        <v>9374</v>
      </c>
      <c r="C30" s="46">
        <v>119123</v>
      </c>
      <c r="D30" s="37">
        <v>12646</v>
      </c>
      <c r="E30" s="46">
        <v>150622</v>
      </c>
      <c r="F30" s="37">
        <v>13100</v>
      </c>
      <c r="G30" s="46">
        <v>129840</v>
      </c>
      <c r="H30" s="37">
        <v>20700</v>
      </c>
      <c r="I30" s="30">
        <v>149145</v>
      </c>
    </row>
    <row r="31" spans="1:9" x14ac:dyDescent="0.3">
      <c r="A31" s="8" t="s">
        <v>170</v>
      </c>
      <c r="B31" s="35">
        <v>851</v>
      </c>
      <c r="C31" s="46">
        <v>6700</v>
      </c>
      <c r="D31" s="37">
        <v>1037</v>
      </c>
      <c r="E31" s="46">
        <v>8216</v>
      </c>
      <c r="F31" s="37">
        <v>934</v>
      </c>
      <c r="G31" s="46">
        <v>7444</v>
      </c>
      <c r="H31" s="37">
        <v>1802</v>
      </c>
      <c r="I31" s="30">
        <v>8456</v>
      </c>
    </row>
    <row r="32" spans="1:9" x14ac:dyDescent="0.3">
      <c r="A32" s="8" t="s">
        <v>171</v>
      </c>
      <c r="B32" s="35">
        <v>11697</v>
      </c>
      <c r="C32" s="46">
        <v>108196</v>
      </c>
      <c r="D32" s="37">
        <v>16865</v>
      </c>
      <c r="E32" s="46">
        <v>147500</v>
      </c>
      <c r="F32" s="37">
        <v>21455</v>
      </c>
      <c r="G32" s="46">
        <v>139449</v>
      </c>
      <c r="H32" s="37">
        <v>23411</v>
      </c>
      <c r="I32" s="30">
        <v>153097</v>
      </c>
    </row>
    <row r="33" spans="1:9" x14ac:dyDescent="0.3">
      <c r="A33" s="8" t="s">
        <v>172</v>
      </c>
      <c r="B33" s="35">
        <v>15886</v>
      </c>
      <c r="C33" s="46">
        <v>331448</v>
      </c>
      <c r="D33" s="37">
        <v>23049</v>
      </c>
      <c r="E33" s="46">
        <v>446549</v>
      </c>
      <c r="F33" s="37">
        <v>31155</v>
      </c>
      <c r="G33" s="46">
        <v>403362</v>
      </c>
      <c r="H33" s="37">
        <v>34964</v>
      </c>
      <c r="I33" s="30">
        <v>450421</v>
      </c>
    </row>
    <row r="34" spans="1:9" x14ac:dyDescent="0.3">
      <c r="A34" s="8" t="s">
        <v>173</v>
      </c>
      <c r="B34" s="35">
        <v>2880</v>
      </c>
      <c r="C34" s="46">
        <v>33481</v>
      </c>
      <c r="D34" s="37">
        <v>3941</v>
      </c>
      <c r="E34" s="46">
        <v>47098</v>
      </c>
      <c r="F34" s="37">
        <v>4159</v>
      </c>
      <c r="G34" s="46">
        <v>42374</v>
      </c>
      <c r="H34" s="37">
        <v>5040</v>
      </c>
      <c r="I34" s="30">
        <v>46257</v>
      </c>
    </row>
    <row r="35" spans="1:9" x14ac:dyDescent="0.3">
      <c r="A35" s="8" t="s">
        <v>174</v>
      </c>
      <c r="B35" s="35">
        <v>137</v>
      </c>
      <c r="C35" s="46">
        <v>3332</v>
      </c>
      <c r="D35" s="37">
        <v>219</v>
      </c>
      <c r="E35" s="46">
        <v>4448</v>
      </c>
      <c r="F35" s="37">
        <v>186</v>
      </c>
      <c r="G35" s="46">
        <v>4301</v>
      </c>
      <c r="H35" s="37">
        <v>138</v>
      </c>
      <c r="I35" s="30">
        <v>4372</v>
      </c>
    </row>
    <row r="36" spans="1:9" x14ac:dyDescent="0.3">
      <c r="A36" s="8" t="s">
        <v>182</v>
      </c>
      <c r="B36" s="35">
        <v>1602</v>
      </c>
      <c r="C36" s="46">
        <v>21744</v>
      </c>
      <c r="D36" s="37">
        <v>2263</v>
      </c>
      <c r="E36" s="46">
        <v>29975</v>
      </c>
      <c r="F36" s="37">
        <v>2634</v>
      </c>
      <c r="G36" s="46">
        <v>28163</v>
      </c>
      <c r="H36" s="37">
        <v>1926</v>
      </c>
      <c r="I36" s="30">
        <v>28900</v>
      </c>
    </row>
    <row r="37" spans="1:9" x14ac:dyDescent="0.3">
      <c r="A37" s="8" t="s">
        <v>183</v>
      </c>
      <c r="B37" s="35">
        <v>242</v>
      </c>
      <c r="C37" s="46">
        <v>6011</v>
      </c>
      <c r="D37" s="37">
        <v>306</v>
      </c>
      <c r="E37" s="46">
        <v>7696</v>
      </c>
      <c r="F37" s="37">
        <v>329</v>
      </c>
      <c r="G37" s="46">
        <v>6873</v>
      </c>
      <c r="H37" s="37">
        <v>234</v>
      </c>
      <c r="I37" s="30">
        <v>7315</v>
      </c>
    </row>
    <row r="38" spans="1:9" x14ac:dyDescent="0.3">
      <c r="A38" s="8" t="s">
        <v>184</v>
      </c>
      <c r="B38" s="35">
        <v>130</v>
      </c>
      <c r="C38" s="46">
        <v>2222</v>
      </c>
      <c r="D38" s="37">
        <v>154</v>
      </c>
      <c r="E38" s="46">
        <v>2911</v>
      </c>
      <c r="F38" s="37">
        <v>189</v>
      </c>
      <c r="G38" s="46">
        <v>2738</v>
      </c>
      <c r="H38" s="37">
        <v>108</v>
      </c>
      <c r="I38" s="30">
        <v>2835</v>
      </c>
    </row>
    <row r="39" spans="1:9" x14ac:dyDescent="0.3">
      <c r="A39" s="8" t="s">
        <v>159</v>
      </c>
      <c r="B39" s="35">
        <v>409</v>
      </c>
      <c r="C39" s="46">
        <v>9798</v>
      </c>
      <c r="D39" s="37">
        <v>778</v>
      </c>
      <c r="E39" s="46">
        <v>19650</v>
      </c>
      <c r="F39" s="37">
        <v>896</v>
      </c>
      <c r="G39" s="46">
        <v>18592</v>
      </c>
      <c r="H39" s="37">
        <v>915</v>
      </c>
      <c r="I39" s="30">
        <v>17646</v>
      </c>
    </row>
    <row r="40" spans="1:9" x14ac:dyDescent="0.3">
      <c r="A40" s="8" t="s">
        <v>175</v>
      </c>
      <c r="B40" s="35">
        <v>283</v>
      </c>
      <c r="C40" s="46">
        <v>4756</v>
      </c>
      <c r="D40" s="37">
        <v>473</v>
      </c>
      <c r="E40" s="46">
        <v>6809</v>
      </c>
      <c r="F40" s="37">
        <v>560</v>
      </c>
      <c r="G40" s="46">
        <v>6625</v>
      </c>
      <c r="H40" s="37">
        <v>452</v>
      </c>
      <c r="I40" s="30">
        <v>6665</v>
      </c>
    </row>
    <row r="41" spans="1:9" x14ac:dyDescent="0.3">
      <c r="A41" s="8" t="s">
        <v>160</v>
      </c>
      <c r="B41" s="35">
        <v>12845</v>
      </c>
      <c r="C41" s="46">
        <v>171690</v>
      </c>
      <c r="D41" s="37">
        <v>16978</v>
      </c>
      <c r="E41" s="46">
        <v>228658</v>
      </c>
      <c r="F41" s="37">
        <v>16083</v>
      </c>
      <c r="G41" s="46">
        <v>192315</v>
      </c>
      <c r="H41" s="37">
        <v>15713</v>
      </c>
      <c r="I41" s="30">
        <v>215992</v>
      </c>
    </row>
    <row r="42" spans="1:9" x14ac:dyDescent="0.3">
      <c r="A42" s="8" t="s">
        <v>176</v>
      </c>
      <c r="B42" s="35">
        <v>6969</v>
      </c>
      <c r="C42" s="46">
        <v>72912</v>
      </c>
      <c r="D42" s="37">
        <v>9603</v>
      </c>
      <c r="E42" s="46">
        <v>97450</v>
      </c>
      <c r="F42" s="37">
        <v>7140</v>
      </c>
      <c r="G42" s="46">
        <v>82908</v>
      </c>
      <c r="H42" s="37">
        <v>7379</v>
      </c>
      <c r="I42" s="30">
        <v>95393</v>
      </c>
    </row>
    <row r="43" spans="1:9" x14ac:dyDescent="0.3">
      <c r="A43" s="8" t="s">
        <v>177</v>
      </c>
      <c r="B43" s="35">
        <v>1067</v>
      </c>
      <c r="C43" s="46">
        <v>13960</v>
      </c>
      <c r="D43" s="37">
        <v>1456</v>
      </c>
      <c r="E43" s="46">
        <v>17921</v>
      </c>
      <c r="F43" s="37">
        <v>1151</v>
      </c>
      <c r="G43" s="46">
        <v>16160</v>
      </c>
      <c r="H43" s="37">
        <v>1129</v>
      </c>
      <c r="I43" s="30">
        <v>18714</v>
      </c>
    </row>
    <row r="44" spans="1:9" x14ac:dyDescent="0.3">
      <c r="A44" s="8" t="s">
        <v>161</v>
      </c>
      <c r="B44" s="35">
        <v>3450</v>
      </c>
      <c r="C44" s="46">
        <v>24525</v>
      </c>
      <c r="D44" s="37">
        <v>5993</v>
      </c>
      <c r="E44" s="46">
        <v>32410</v>
      </c>
      <c r="F44" s="37">
        <v>6973</v>
      </c>
      <c r="G44" s="46">
        <v>31292</v>
      </c>
      <c r="H44" s="37">
        <v>7437</v>
      </c>
      <c r="I44" s="30">
        <v>34343</v>
      </c>
    </row>
    <row r="45" spans="1:9" x14ac:dyDescent="0.3">
      <c r="A45" s="8" t="s">
        <v>162</v>
      </c>
      <c r="B45" s="35">
        <v>124</v>
      </c>
      <c r="C45" s="46">
        <v>2769</v>
      </c>
      <c r="D45" s="37">
        <v>221</v>
      </c>
      <c r="E45" s="46">
        <v>3610</v>
      </c>
      <c r="F45" s="37">
        <v>249</v>
      </c>
      <c r="G45" s="46">
        <v>3115</v>
      </c>
      <c r="H45" s="37">
        <v>313</v>
      </c>
      <c r="I45" s="30">
        <v>3488</v>
      </c>
    </row>
    <row r="46" spans="1:9" x14ac:dyDescent="0.3">
      <c r="A46" s="8" t="s">
        <v>163</v>
      </c>
      <c r="B46" s="35">
        <v>3326</v>
      </c>
      <c r="C46" s="46">
        <v>19320</v>
      </c>
      <c r="D46" s="37">
        <v>5590</v>
      </c>
      <c r="E46" s="46">
        <v>26122</v>
      </c>
      <c r="F46" s="37">
        <v>5995</v>
      </c>
      <c r="G46" s="46">
        <v>24003</v>
      </c>
      <c r="H46" s="37">
        <v>6448</v>
      </c>
      <c r="I46" s="30">
        <v>26430</v>
      </c>
    </row>
    <row r="47" spans="1:9" x14ac:dyDescent="0.3">
      <c r="A47" s="8" t="s">
        <v>164</v>
      </c>
      <c r="B47" s="35">
        <v>651</v>
      </c>
      <c r="C47" s="46">
        <v>5715</v>
      </c>
      <c r="D47" s="37">
        <v>1424</v>
      </c>
      <c r="E47" s="46">
        <v>10127</v>
      </c>
      <c r="F47" s="37">
        <v>1481</v>
      </c>
      <c r="G47" s="46">
        <v>9082</v>
      </c>
      <c r="H47" s="37">
        <v>1691</v>
      </c>
      <c r="I47" s="30">
        <v>10478</v>
      </c>
    </row>
    <row r="48" spans="1:9" x14ac:dyDescent="0.3">
      <c r="A48" s="8" t="s">
        <v>178</v>
      </c>
      <c r="B48" s="35">
        <v>898</v>
      </c>
      <c r="C48" s="46">
        <v>7419</v>
      </c>
      <c r="D48" s="37">
        <v>1552</v>
      </c>
      <c r="E48" s="46">
        <v>10635</v>
      </c>
      <c r="F48" s="37">
        <v>1865</v>
      </c>
      <c r="G48" s="46">
        <v>9672</v>
      </c>
      <c r="H48" s="37">
        <v>2151</v>
      </c>
      <c r="I48" s="30">
        <v>10975</v>
      </c>
    </row>
    <row r="49" spans="1:9" x14ac:dyDescent="0.3">
      <c r="A49" s="8" t="s">
        <v>165</v>
      </c>
      <c r="B49" s="35">
        <v>683</v>
      </c>
      <c r="C49" s="46">
        <v>6660</v>
      </c>
      <c r="D49" s="37">
        <v>1069</v>
      </c>
      <c r="E49" s="46">
        <v>8767</v>
      </c>
      <c r="F49" s="37">
        <v>1412</v>
      </c>
      <c r="G49" s="46">
        <v>7899</v>
      </c>
      <c r="H49" s="37">
        <v>1080</v>
      </c>
      <c r="I49" s="30">
        <v>7975</v>
      </c>
    </row>
    <row r="50" spans="1:9" x14ac:dyDescent="0.3">
      <c r="A50" s="8" t="s">
        <v>166</v>
      </c>
      <c r="B50" s="35">
        <v>6525</v>
      </c>
      <c r="C50" s="46">
        <v>64552</v>
      </c>
      <c r="D50" s="37">
        <v>10012</v>
      </c>
      <c r="E50" s="46">
        <v>83937</v>
      </c>
      <c r="F50" s="37">
        <v>12633</v>
      </c>
      <c r="G50" s="46">
        <v>75817</v>
      </c>
      <c r="H50" s="37">
        <v>9340</v>
      </c>
      <c r="I50" s="30">
        <v>80584</v>
      </c>
    </row>
    <row r="51" spans="1:9" x14ac:dyDescent="0.3">
      <c r="A51" s="8" t="s">
        <v>167</v>
      </c>
      <c r="B51" s="35">
        <v>4053</v>
      </c>
      <c r="C51" s="46">
        <v>61411</v>
      </c>
      <c r="D51" s="37">
        <v>6218</v>
      </c>
      <c r="E51" s="46">
        <v>81705</v>
      </c>
      <c r="F51" s="37">
        <v>7868</v>
      </c>
      <c r="G51" s="46">
        <v>71144</v>
      </c>
      <c r="H51" s="37">
        <v>8989</v>
      </c>
      <c r="I51" s="30">
        <v>85903</v>
      </c>
    </row>
    <row r="52" spans="1:9" x14ac:dyDescent="0.3">
      <c r="A52" s="8" t="s">
        <v>168</v>
      </c>
      <c r="B52" s="35">
        <v>1872</v>
      </c>
      <c r="C52" s="46">
        <v>17380</v>
      </c>
      <c r="D52" s="37">
        <v>2948</v>
      </c>
      <c r="E52" s="46">
        <v>21905</v>
      </c>
      <c r="F52" s="37">
        <v>3665</v>
      </c>
      <c r="G52" s="46">
        <v>19906</v>
      </c>
      <c r="H52" s="37">
        <v>3894</v>
      </c>
      <c r="I52" s="30">
        <v>21318</v>
      </c>
    </row>
    <row r="53" spans="1:9" x14ac:dyDescent="0.3">
      <c r="A53" s="8" t="s">
        <v>169</v>
      </c>
      <c r="B53" s="35">
        <v>2516</v>
      </c>
      <c r="C53" s="46">
        <v>42193</v>
      </c>
      <c r="D53" s="37">
        <v>3860</v>
      </c>
      <c r="E53" s="46">
        <v>52701</v>
      </c>
      <c r="F53" s="37">
        <v>5168</v>
      </c>
      <c r="G53" s="46">
        <v>46056</v>
      </c>
      <c r="H53" s="37">
        <v>5463</v>
      </c>
      <c r="I53" s="30">
        <v>52670</v>
      </c>
    </row>
    <row r="54" spans="1:9" x14ac:dyDescent="0.3">
      <c r="A54" s="8" t="s">
        <v>179</v>
      </c>
      <c r="B54" s="35">
        <v>903</v>
      </c>
      <c r="C54" s="46">
        <v>14509</v>
      </c>
      <c r="D54" s="37">
        <v>1406</v>
      </c>
      <c r="E54" s="46">
        <v>20000</v>
      </c>
      <c r="F54" s="37">
        <v>1784</v>
      </c>
      <c r="G54" s="46">
        <v>18995</v>
      </c>
      <c r="H54" s="37">
        <v>1956</v>
      </c>
      <c r="I54" s="30">
        <v>20664</v>
      </c>
    </row>
    <row r="55" spans="1:9" x14ac:dyDescent="0.3">
      <c r="A55" s="8" t="s">
        <v>180</v>
      </c>
      <c r="B55" s="35">
        <v>1635</v>
      </c>
      <c r="C55" s="46">
        <v>23681</v>
      </c>
      <c r="D55" s="37">
        <v>2241</v>
      </c>
      <c r="E55" s="46">
        <v>31765</v>
      </c>
      <c r="F55" s="37">
        <v>2933</v>
      </c>
      <c r="G55" s="46">
        <v>28537</v>
      </c>
      <c r="H55" s="37">
        <v>3218</v>
      </c>
      <c r="I55" s="30">
        <v>31066</v>
      </c>
    </row>
    <row r="56" spans="1:9" x14ac:dyDescent="0.3">
      <c r="A56" s="8" t="s">
        <v>181</v>
      </c>
      <c r="B56" s="35">
        <v>4560</v>
      </c>
      <c r="C56" s="46">
        <v>49886</v>
      </c>
      <c r="D56" s="37">
        <v>6487</v>
      </c>
      <c r="E56" s="46">
        <v>66337</v>
      </c>
      <c r="F56" s="37">
        <v>8204</v>
      </c>
      <c r="G56" s="46">
        <v>58294</v>
      </c>
      <c r="H56" s="37">
        <v>9593</v>
      </c>
      <c r="I56" s="30">
        <v>68925</v>
      </c>
    </row>
    <row r="57" spans="1:9" x14ac:dyDescent="0.3">
      <c r="A57" s="8" t="s">
        <v>170</v>
      </c>
      <c r="B57" s="35">
        <v>3088</v>
      </c>
      <c r="C57" s="46">
        <v>42050</v>
      </c>
      <c r="D57" s="37">
        <v>6670</v>
      </c>
      <c r="E57" s="46">
        <v>55728</v>
      </c>
      <c r="F57" s="37">
        <v>6962</v>
      </c>
      <c r="G57" s="46">
        <v>52790</v>
      </c>
      <c r="H57" s="37">
        <v>6692</v>
      </c>
      <c r="I57" s="30">
        <v>56069</v>
      </c>
    </row>
    <row r="58" spans="1:9" x14ac:dyDescent="0.3">
      <c r="A58" s="8" t="s">
        <v>171</v>
      </c>
      <c r="B58" s="35">
        <v>717</v>
      </c>
      <c r="C58" s="46">
        <v>8756</v>
      </c>
      <c r="D58" s="37">
        <v>1070</v>
      </c>
      <c r="E58" s="46">
        <v>12516</v>
      </c>
      <c r="F58" s="37">
        <v>1766</v>
      </c>
      <c r="G58" s="46">
        <v>12288</v>
      </c>
      <c r="H58" s="37">
        <v>1661</v>
      </c>
      <c r="I58" s="30">
        <v>13099</v>
      </c>
    </row>
    <row r="59" spans="1:9" x14ac:dyDescent="0.3">
      <c r="A59" s="8" t="s">
        <v>172</v>
      </c>
      <c r="B59" s="35">
        <v>2537</v>
      </c>
      <c r="C59" s="46">
        <v>29469</v>
      </c>
      <c r="D59" s="37">
        <v>4817</v>
      </c>
      <c r="E59" s="46">
        <v>37600</v>
      </c>
      <c r="F59" s="37">
        <v>5016</v>
      </c>
      <c r="G59" s="46">
        <v>33437</v>
      </c>
      <c r="H59" s="37">
        <v>6638</v>
      </c>
      <c r="I59" s="30">
        <v>38882</v>
      </c>
    </row>
    <row r="60" spans="1:9" x14ac:dyDescent="0.3">
      <c r="A60" s="8" t="s">
        <v>173</v>
      </c>
      <c r="B60" s="35">
        <v>1044</v>
      </c>
      <c r="C60" s="46">
        <v>18849</v>
      </c>
      <c r="D60" s="37">
        <v>1788</v>
      </c>
      <c r="E60" s="46">
        <v>24133</v>
      </c>
      <c r="F60" s="37">
        <v>1625</v>
      </c>
      <c r="G60" s="46">
        <v>21111</v>
      </c>
      <c r="H60" s="37">
        <v>2257</v>
      </c>
      <c r="I60" s="30">
        <v>26208</v>
      </c>
    </row>
    <row r="61" spans="1:9" x14ac:dyDescent="0.3">
      <c r="A61" s="8" t="s">
        <v>174</v>
      </c>
      <c r="B61" s="35">
        <v>3205</v>
      </c>
      <c r="C61" s="46">
        <v>57387</v>
      </c>
      <c r="D61" s="37">
        <v>5646</v>
      </c>
      <c r="E61" s="46">
        <v>80187</v>
      </c>
      <c r="F61" s="37">
        <v>6507</v>
      </c>
      <c r="G61" s="46">
        <v>66368</v>
      </c>
      <c r="H61" s="37">
        <v>6618</v>
      </c>
      <c r="I61" s="30">
        <v>83390</v>
      </c>
    </row>
    <row r="62" spans="1:9" x14ac:dyDescent="0.3">
      <c r="A62" s="8" t="s">
        <v>182</v>
      </c>
      <c r="B62" s="35">
        <v>442</v>
      </c>
      <c r="C62" s="46">
        <v>14336</v>
      </c>
      <c r="D62" s="37">
        <v>729</v>
      </c>
      <c r="E62" s="46">
        <v>18444</v>
      </c>
      <c r="F62" s="37">
        <v>960</v>
      </c>
      <c r="G62" s="46">
        <v>15672</v>
      </c>
      <c r="H62" s="37">
        <v>914</v>
      </c>
      <c r="I62" s="30">
        <v>18492</v>
      </c>
    </row>
    <row r="63" spans="1:9" x14ac:dyDescent="0.3">
      <c r="A63" s="8" t="s">
        <v>183</v>
      </c>
      <c r="B63" s="35">
        <v>12030</v>
      </c>
      <c r="C63" s="46">
        <v>423182</v>
      </c>
      <c r="D63" s="37">
        <v>21449</v>
      </c>
      <c r="E63" s="46">
        <v>554999</v>
      </c>
      <c r="F63" s="37">
        <v>26164</v>
      </c>
      <c r="G63" s="46">
        <v>469622</v>
      </c>
      <c r="H63" s="37">
        <v>22962</v>
      </c>
      <c r="I63" s="30">
        <v>572187</v>
      </c>
    </row>
    <row r="64" spans="1:9" x14ac:dyDescent="0.3">
      <c r="A64" s="8" t="s">
        <v>184</v>
      </c>
      <c r="B64" s="35">
        <v>1404</v>
      </c>
      <c r="C64" s="46">
        <v>27452</v>
      </c>
      <c r="D64" s="37">
        <v>2835</v>
      </c>
      <c r="E64" s="46">
        <v>40565</v>
      </c>
      <c r="F64" s="37">
        <v>3453</v>
      </c>
      <c r="G64" s="46">
        <v>34439</v>
      </c>
      <c r="H64" s="37">
        <v>3045</v>
      </c>
      <c r="I64" s="30">
        <v>39848</v>
      </c>
    </row>
    <row r="65" spans="1:9" x14ac:dyDescent="0.3">
      <c r="A65" s="8" t="s">
        <v>185</v>
      </c>
      <c r="B65" s="35">
        <v>694</v>
      </c>
      <c r="C65" s="46">
        <v>6096</v>
      </c>
      <c r="D65" s="37">
        <v>1146</v>
      </c>
      <c r="E65" s="46">
        <v>8200</v>
      </c>
      <c r="F65" s="37">
        <v>1307</v>
      </c>
      <c r="G65" s="46">
        <v>7848</v>
      </c>
      <c r="H65" s="37">
        <v>1245</v>
      </c>
      <c r="I65" s="30">
        <v>8231</v>
      </c>
    </row>
    <row r="66" spans="1:9" x14ac:dyDescent="0.3">
      <c r="A66" s="8" t="s">
        <v>186</v>
      </c>
      <c r="B66" s="35">
        <v>530</v>
      </c>
      <c r="C66" s="46">
        <v>8320</v>
      </c>
      <c r="D66" s="37">
        <v>822</v>
      </c>
      <c r="E66" s="46">
        <v>10444</v>
      </c>
      <c r="F66" s="37">
        <v>856</v>
      </c>
      <c r="G66" s="46">
        <v>9120</v>
      </c>
      <c r="H66" s="37">
        <v>753</v>
      </c>
      <c r="I66" s="30">
        <v>9927</v>
      </c>
    </row>
    <row r="67" spans="1:9" x14ac:dyDescent="0.3">
      <c r="A67" s="8" t="s">
        <v>187</v>
      </c>
      <c r="B67" s="35">
        <v>1421</v>
      </c>
      <c r="C67" s="46">
        <v>10157</v>
      </c>
      <c r="D67" s="37">
        <v>2122</v>
      </c>
      <c r="E67" s="46">
        <v>13434</v>
      </c>
      <c r="F67" s="37">
        <v>2374</v>
      </c>
      <c r="G67" s="46">
        <v>12598</v>
      </c>
      <c r="H67" s="37">
        <v>2009</v>
      </c>
      <c r="I67" s="30">
        <v>12908</v>
      </c>
    </row>
    <row r="68" spans="1:9" x14ac:dyDescent="0.3">
      <c r="A68" s="8" t="s">
        <v>188</v>
      </c>
      <c r="B68" s="35">
        <v>8341</v>
      </c>
      <c r="C68" s="46">
        <v>153273</v>
      </c>
      <c r="D68" s="37">
        <v>13107</v>
      </c>
      <c r="E68" s="46">
        <v>204299</v>
      </c>
      <c r="F68" s="37">
        <v>15828</v>
      </c>
      <c r="G68" s="46">
        <v>184184</v>
      </c>
      <c r="H68" s="37">
        <v>14793</v>
      </c>
      <c r="I68" s="30">
        <v>207380</v>
      </c>
    </row>
    <row r="69" spans="1:9" x14ac:dyDescent="0.3">
      <c r="A69" s="8" t="s">
        <v>189</v>
      </c>
      <c r="B69" s="35">
        <v>4355</v>
      </c>
      <c r="C69" s="46">
        <v>44905</v>
      </c>
      <c r="D69" s="37">
        <v>6800</v>
      </c>
      <c r="E69" s="46">
        <v>59864</v>
      </c>
      <c r="F69" s="37">
        <v>7346</v>
      </c>
      <c r="G69" s="46">
        <v>52417</v>
      </c>
      <c r="H69" s="37">
        <v>6217</v>
      </c>
      <c r="I69" s="30">
        <v>56535</v>
      </c>
    </row>
    <row r="70" spans="1:9" x14ac:dyDescent="0.3">
      <c r="A70" s="8" t="s">
        <v>190</v>
      </c>
      <c r="B70" s="35">
        <v>554</v>
      </c>
      <c r="C70" s="46">
        <v>6053</v>
      </c>
      <c r="D70" s="37">
        <v>821</v>
      </c>
      <c r="E70" s="46">
        <v>8074</v>
      </c>
      <c r="F70" s="37">
        <v>1010</v>
      </c>
      <c r="G70" s="46">
        <v>7039</v>
      </c>
      <c r="H70" s="37">
        <v>863</v>
      </c>
      <c r="I70" s="30">
        <v>7860</v>
      </c>
    </row>
    <row r="71" spans="1:9" x14ac:dyDescent="0.3">
      <c r="A71" s="8" t="s">
        <v>191</v>
      </c>
      <c r="B71" s="35">
        <v>1510</v>
      </c>
      <c r="C71" s="46">
        <v>33266</v>
      </c>
      <c r="D71" s="37">
        <v>2473</v>
      </c>
      <c r="E71" s="46">
        <v>43162</v>
      </c>
      <c r="F71" s="37">
        <v>3025</v>
      </c>
      <c r="G71" s="46">
        <v>39825</v>
      </c>
      <c r="H71" s="37">
        <v>2681</v>
      </c>
      <c r="I71" s="30">
        <v>41804</v>
      </c>
    </row>
    <row r="72" spans="1:9" x14ac:dyDescent="0.3">
      <c r="A72" s="8" t="s">
        <v>192</v>
      </c>
      <c r="B72" s="35">
        <v>1619</v>
      </c>
      <c r="C72" s="46">
        <v>26058</v>
      </c>
      <c r="D72" s="37">
        <v>2263</v>
      </c>
      <c r="E72" s="46">
        <v>34647</v>
      </c>
      <c r="F72" s="37">
        <v>2217</v>
      </c>
      <c r="G72" s="46">
        <v>30161</v>
      </c>
      <c r="H72" s="37">
        <v>2284</v>
      </c>
      <c r="I72" s="30">
        <v>36088</v>
      </c>
    </row>
    <row r="73" spans="1:9" x14ac:dyDescent="0.3">
      <c r="A73" s="8" t="s">
        <v>193</v>
      </c>
      <c r="B73" s="35">
        <v>946</v>
      </c>
      <c r="C73" s="46">
        <v>22500</v>
      </c>
      <c r="D73" s="37">
        <v>1408</v>
      </c>
      <c r="E73" s="46">
        <v>30392</v>
      </c>
      <c r="F73" s="37">
        <v>1374</v>
      </c>
      <c r="G73" s="46">
        <v>25855</v>
      </c>
      <c r="H73" s="37">
        <v>1307</v>
      </c>
      <c r="I73" s="30">
        <v>31938</v>
      </c>
    </row>
    <row r="74" spans="1:9" x14ac:dyDescent="0.3">
      <c r="A74" s="8" t="s">
        <v>194</v>
      </c>
      <c r="B74" s="35">
        <v>861</v>
      </c>
      <c r="C74" s="46">
        <v>8737</v>
      </c>
      <c r="D74" s="37">
        <v>1276</v>
      </c>
      <c r="E74" s="46">
        <v>12029</v>
      </c>
      <c r="F74" s="37">
        <v>1418</v>
      </c>
      <c r="G74" s="46">
        <v>10703</v>
      </c>
      <c r="H74" s="37">
        <v>1307</v>
      </c>
      <c r="I74" s="30">
        <v>12055</v>
      </c>
    </row>
    <row r="75" spans="1:9" x14ac:dyDescent="0.3">
      <c r="A75" s="8" t="s">
        <v>195</v>
      </c>
      <c r="B75" s="35">
        <v>650</v>
      </c>
      <c r="C75" s="46">
        <v>11211</v>
      </c>
      <c r="D75" s="37">
        <v>956</v>
      </c>
      <c r="E75" s="46">
        <v>14862</v>
      </c>
      <c r="F75" s="37">
        <v>921</v>
      </c>
      <c r="G75" s="46">
        <v>12984</v>
      </c>
      <c r="H75" s="37">
        <v>909</v>
      </c>
      <c r="I75" s="30">
        <v>15411</v>
      </c>
    </row>
    <row r="76" spans="1:9" x14ac:dyDescent="0.3">
      <c r="A76" s="8" t="s">
        <v>196</v>
      </c>
      <c r="B76" s="35">
        <v>3134</v>
      </c>
      <c r="C76" s="46">
        <v>43596</v>
      </c>
      <c r="D76" s="37">
        <v>4546</v>
      </c>
      <c r="E76" s="46">
        <v>57774</v>
      </c>
      <c r="F76" s="37">
        <v>4442</v>
      </c>
      <c r="G76" s="46">
        <v>51023</v>
      </c>
      <c r="H76" s="37">
        <v>3826</v>
      </c>
      <c r="I76" s="30">
        <v>58882</v>
      </c>
    </row>
    <row r="77" spans="1:9" x14ac:dyDescent="0.3">
      <c r="A77" s="8" t="s">
        <v>197</v>
      </c>
      <c r="B77" s="35">
        <v>338</v>
      </c>
      <c r="C77" s="46">
        <v>9601</v>
      </c>
      <c r="D77" s="37">
        <v>605</v>
      </c>
      <c r="E77" s="46">
        <v>12859</v>
      </c>
      <c r="F77" s="37">
        <v>710</v>
      </c>
      <c r="G77" s="46">
        <v>11409</v>
      </c>
      <c r="H77" s="37">
        <v>729</v>
      </c>
      <c r="I77" s="30">
        <v>13358</v>
      </c>
    </row>
    <row r="78" spans="1:9" x14ac:dyDescent="0.3">
      <c r="A78" s="8" t="s">
        <v>198</v>
      </c>
      <c r="B78" s="35"/>
      <c r="C78" s="46"/>
      <c r="D78" s="37"/>
      <c r="E78" s="46"/>
      <c r="F78" s="37"/>
      <c r="G78" s="46"/>
      <c r="H78" s="37">
        <v>201</v>
      </c>
      <c r="I78" s="30">
        <v>3695</v>
      </c>
    </row>
    <row r="79" spans="1:9" x14ac:dyDescent="0.3">
      <c r="A79" s="8" t="s">
        <v>199</v>
      </c>
      <c r="B79" s="35">
        <v>2257</v>
      </c>
      <c r="C79" s="46">
        <v>36596</v>
      </c>
      <c r="D79" s="37">
        <v>4192</v>
      </c>
      <c r="E79" s="46">
        <v>48814</v>
      </c>
      <c r="F79" s="37">
        <v>5006</v>
      </c>
      <c r="G79" s="46">
        <v>43155</v>
      </c>
      <c r="H79" s="37">
        <v>5033</v>
      </c>
      <c r="I79" s="30">
        <v>49871</v>
      </c>
    </row>
    <row r="80" spans="1:9" x14ac:dyDescent="0.3">
      <c r="A80" s="8" t="s">
        <v>200</v>
      </c>
      <c r="B80" s="35">
        <v>3067</v>
      </c>
      <c r="C80" s="46">
        <v>28459</v>
      </c>
      <c r="D80" s="37">
        <v>4113</v>
      </c>
      <c r="E80" s="46">
        <v>36462</v>
      </c>
      <c r="F80" s="37">
        <v>3923</v>
      </c>
      <c r="G80" s="46">
        <v>31680</v>
      </c>
      <c r="H80" s="37">
        <v>7179</v>
      </c>
      <c r="I80" s="30">
        <v>35537</v>
      </c>
    </row>
    <row r="81" spans="1:9" x14ac:dyDescent="0.3">
      <c r="A81" s="8" t="s">
        <v>201</v>
      </c>
      <c r="B81" s="35">
        <v>7637</v>
      </c>
      <c r="C81" s="46">
        <v>103700</v>
      </c>
      <c r="D81" s="37">
        <v>10430</v>
      </c>
      <c r="E81" s="46">
        <v>136884</v>
      </c>
      <c r="F81" s="37">
        <v>10366</v>
      </c>
      <c r="G81" s="46">
        <v>122516</v>
      </c>
      <c r="H81" s="37">
        <v>14110</v>
      </c>
      <c r="I81" s="30">
        <v>139066</v>
      </c>
    </row>
    <row r="82" spans="1:9" x14ac:dyDescent="0.3">
      <c r="A82" s="8" t="s">
        <v>202</v>
      </c>
      <c r="B82" s="35">
        <v>10604</v>
      </c>
      <c r="C82" s="46">
        <v>68974</v>
      </c>
      <c r="D82" s="37">
        <v>18998</v>
      </c>
      <c r="E82" s="46">
        <v>91255</v>
      </c>
      <c r="F82" s="37">
        <v>20163</v>
      </c>
      <c r="G82" s="46">
        <v>85813</v>
      </c>
      <c r="H82" s="37">
        <v>22758</v>
      </c>
      <c r="I82" s="30">
        <v>93838</v>
      </c>
    </row>
    <row r="83" spans="1:9" x14ac:dyDescent="0.3">
      <c r="A83" s="8" t="s">
        <v>203</v>
      </c>
      <c r="B83" s="35">
        <v>193</v>
      </c>
      <c r="C83" s="46">
        <v>4275</v>
      </c>
      <c r="D83" s="37">
        <v>357</v>
      </c>
      <c r="E83" s="46">
        <v>5714</v>
      </c>
      <c r="F83" s="37">
        <v>447</v>
      </c>
      <c r="G83" s="46">
        <v>5168</v>
      </c>
      <c r="H83" s="37">
        <v>431</v>
      </c>
      <c r="I83" s="30">
        <v>5632</v>
      </c>
    </row>
    <row r="84" spans="1:9" x14ac:dyDescent="0.3">
      <c r="A84" s="8" t="s">
        <v>204</v>
      </c>
      <c r="B84" s="35">
        <v>246</v>
      </c>
      <c r="C84" s="46">
        <v>6269</v>
      </c>
      <c r="D84" s="37">
        <v>386</v>
      </c>
      <c r="E84" s="46">
        <v>7697</v>
      </c>
      <c r="F84" s="37">
        <v>417</v>
      </c>
      <c r="G84" s="46">
        <v>7470</v>
      </c>
      <c r="H84" s="37">
        <v>477</v>
      </c>
      <c r="I84" s="30">
        <v>7793</v>
      </c>
    </row>
    <row r="85" spans="1:9" x14ac:dyDescent="0.3">
      <c r="A85" s="8" t="s">
        <v>205</v>
      </c>
      <c r="B85" s="35">
        <v>1278</v>
      </c>
      <c r="C85" s="46">
        <v>31677</v>
      </c>
      <c r="D85" s="37">
        <v>2467</v>
      </c>
      <c r="E85" s="46">
        <v>40730</v>
      </c>
      <c r="F85" s="37">
        <v>2884</v>
      </c>
      <c r="G85" s="46">
        <v>36134</v>
      </c>
      <c r="H85" s="37">
        <v>2184</v>
      </c>
      <c r="I85" s="30">
        <v>34780</v>
      </c>
    </row>
    <row r="86" spans="1:9" x14ac:dyDescent="0.3">
      <c r="A86" s="8" t="s">
        <v>206</v>
      </c>
      <c r="B86" s="35">
        <v>517</v>
      </c>
      <c r="C86" s="46">
        <v>11451</v>
      </c>
      <c r="D86" s="37">
        <v>839</v>
      </c>
      <c r="E86" s="46">
        <v>14917</v>
      </c>
      <c r="F86" s="37">
        <v>983</v>
      </c>
      <c r="G86" s="46">
        <v>14007</v>
      </c>
      <c r="H86" s="37">
        <v>861</v>
      </c>
      <c r="I86" s="30">
        <v>13163</v>
      </c>
    </row>
    <row r="87" spans="1:9" x14ac:dyDescent="0.3">
      <c r="A87" s="8" t="s">
        <v>207</v>
      </c>
      <c r="B87" s="35">
        <v>3435</v>
      </c>
      <c r="C87" s="46">
        <v>92612</v>
      </c>
      <c r="D87" s="37">
        <v>5637</v>
      </c>
      <c r="E87" s="46">
        <v>127140</v>
      </c>
      <c r="F87" s="37">
        <v>5616</v>
      </c>
      <c r="G87" s="46">
        <v>107819</v>
      </c>
      <c r="H87" s="37">
        <v>5165</v>
      </c>
      <c r="I87" s="30">
        <v>133972</v>
      </c>
    </row>
    <row r="88" spans="1:9" x14ac:dyDescent="0.3">
      <c r="A88" s="8" t="s">
        <v>208</v>
      </c>
      <c r="B88" s="35">
        <v>1794</v>
      </c>
      <c r="C88" s="46">
        <v>45018</v>
      </c>
      <c r="D88" s="37">
        <v>2709</v>
      </c>
      <c r="E88" s="46">
        <v>60746</v>
      </c>
      <c r="F88" s="37">
        <v>2007</v>
      </c>
      <c r="G88" s="46">
        <v>51469</v>
      </c>
      <c r="H88" s="37">
        <v>2072</v>
      </c>
      <c r="I88" s="30">
        <v>63485</v>
      </c>
    </row>
    <row r="89" spans="1:9" x14ac:dyDescent="0.3">
      <c r="A89" s="8" t="s">
        <v>209</v>
      </c>
      <c r="B89" s="35">
        <v>3064</v>
      </c>
      <c r="C89" s="46">
        <v>26224</v>
      </c>
      <c r="D89" s="37">
        <v>4671</v>
      </c>
      <c r="E89" s="46">
        <v>36658</v>
      </c>
      <c r="F89" s="37">
        <v>5467</v>
      </c>
      <c r="G89" s="46">
        <v>34883</v>
      </c>
      <c r="H89" s="37">
        <v>6598</v>
      </c>
      <c r="I89" s="30">
        <v>37474</v>
      </c>
    </row>
    <row r="90" spans="1:9" x14ac:dyDescent="0.3">
      <c r="A90" s="8" t="s">
        <v>210</v>
      </c>
      <c r="B90" s="35">
        <v>2192</v>
      </c>
      <c r="C90" s="46">
        <v>21439</v>
      </c>
      <c r="D90" s="37">
        <v>3378</v>
      </c>
      <c r="E90" s="46">
        <v>28128</v>
      </c>
      <c r="F90" s="37">
        <v>3686</v>
      </c>
      <c r="G90" s="46">
        <v>24933</v>
      </c>
      <c r="H90" s="37">
        <v>4531</v>
      </c>
      <c r="I90" s="30">
        <v>26951</v>
      </c>
    </row>
    <row r="91" spans="1:9" x14ac:dyDescent="0.3">
      <c r="A91" s="8" t="s">
        <v>185</v>
      </c>
      <c r="B91" s="35">
        <v>6377</v>
      </c>
      <c r="C91" s="46">
        <v>58227</v>
      </c>
      <c r="D91" s="37">
        <v>9103</v>
      </c>
      <c r="E91" s="46">
        <v>78380</v>
      </c>
      <c r="F91" s="37">
        <v>9835</v>
      </c>
      <c r="G91" s="46">
        <v>71865</v>
      </c>
      <c r="H91" s="37">
        <v>12618</v>
      </c>
      <c r="I91" s="30">
        <v>79090</v>
      </c>
    </row>
    <row r="92" spans="1:9" x14ac:dyDescent="0.3">
      <c r="A92" s="8" t="s">
        <v>186</v>
      </c>
      <c r="B92" s="35">
        <v>23785</v>
      </c>
      <c r="C92" s="46">
        <v>137450</v>
      </c>
      <c r="D92" s="37">
        <v>34316</v>
      </c>
      <c r="E92" s="46">
        <v>184298</v>
      </c>
      <c r="F92" s="37">
        <v>38111</v>
      </c>
      <c r="G92" s="46">
        <v>168247</v>
      </c>
      <c r="H92" s="37">
        <v>51543</v>
      </c>
      <c r="I92" s="30">
        <v>193437</v>
      </c>
    </row>
    <row r="93" spans="1:9" x14ac:dyDescent="0.3">
      <c r="A93" s="8" t="s">
        <v>187</v>
      </c>
      <c r="B93" s="35">
        <v>20740</v>
      </c>
      <c r="C93" s="46">
        <v>112394</v>
      </c>
      <c r="D93" s="37">
        <v>28683</v>
      </c>
      <c r="E93" s="46">
        <v>150452</v>
      </c>
      <c r="F93" s="37">
        <v>31735</v>
      </c>
      <c r="G93" s="46">
        <v>135753</v>
      </c>
      <c r="H93" s="37">
        <v>42563</v>
      </c>
      <c r="I93" s="30">
        <v>156401</v>
      </c>
    </row>
    <row r="94" spans="1:9" x14ac:dyDescent="0.3">
      <c r="A94" s="8" t="s">
        <v>188</v>
      </c>
      <c r="B94" s="35">
        <v>85448</v>
      </c>
      <c r="C94" s="46">
        <v>703673</v>
      </c>
      <c r="D94" s="37">
        <v>136151</v>
      </c>
      <c r="E94" s="46">
        <v>952895</v>
      </c>
      <c r="F94" s="37">
        <v>147661</v>
      </c>
      <c r="G94" s="46">
        <v>848731</v>
      </c>
      <c r="H94" s="37">
        <v>199193</v>
      </c>
      <c r="I94" s="30">
        <v>975482</v>
      </c>
    </row>
    <row r="95" spans="1:9" x14ac:dyDescent="0.3">
      <c r="A95" s="8" t="s">
        <v>189</v>
      </c>
      <c r="B95" s="35">
        <v>2672</v>
      </c>
      <c r="C95" s="46">
        <v>46996</v>
      </c>
      <c r="D95" s="37">
        <v>3735</v>
      </c>
      <c r="E95" s="46">
        <v>63480</v>
      </c>
      <c r="F95" s="37">
        <v>3920</v>
      </c>
      <c r="G95" s="46">
        <v>54961</v>
      </c>
      <c r="H95" s="37">
        <v>3880</v>
      </c>
      <c r="I95" s="30">
        <v>63258</v>
      </c>
    </row>
    <row r="96" spans="1:9" x14ac:dyDescent="0.3">
      <c r="A96" s="8" t="s">
        <v>190</v>
      </c>
      <c r="B96" s="35">
        <v>2892</v>
      </c>
      <c r="C96" s="46">
        <v>75471</v>
      </c>
      <c r="D96" s="37">
        <v>4193</v>
      </c>
      <c r="E96" s="46">
        <v>99262</v>
      </c>
      <c r="F96" s="37">
        <v>4112</v>
      </c>
      <c r="G96" s="46">
        <v>85931</v>
      </c>
      <c r="H96" s="37">
        <v>4141</v>
      </c>
      <c r="I96" s="30">
        <v>103164</v>
      </c>
    </row>
    <row r="97" spans="1:9" x14ac:dyDescent="0.3">
      <c r="A97" s="8" t="s">
        <v>191</v>
      </c>
      <c r="B97" s="35">
        <v>1707</v>
      </c>
      <c r="C97" s="46">
        <v>18944</v>
      </c>
      <c r="D97" s="37">
        <v>2447</v>
      </c>
      <c r="E97" s="46">
        <v>25143</v>
      </c>
      <c r="F97" s="37">
        <v>2685</v>
      </c>
      <c r="G97" s="46">
        <v>21954</v>
      </c>
      <c r="H97" s="37">
        <v>2779</v>
      </c>
      <c r="I97" s="30">
        <v>23880</v>
      </c>
    </row>
    <row r="98" spans="1:9" x14ac:dyDescent="0.3">
      <c r="A98" s="8" t="s">
        <v>192</v>
      </c>
      <c r="B98" s="35">
        <v>569</v>
      </c>
      <c r="C98" s="46">
        <v>10047</v>
      </c>
      <c r="D98" s="37">
        <v>1212</v>
      </c>
      <c r="E98" s="46">
        <v>14600</v>
      </c>
      <c r="F98" s="37">
        <v>1580</v>
      </c>
      <c r="G98" s="46">
        <v>13908</v>
      </c>
      <c r="H98" s="37">
        <v>1456</v>
      </c>
      <c r="I98" s="30">
        <v>13757</v>
      </c>
    </row>
    <row r="99" spans="1:9" x14ac:dyDescent="0.3">
      <c r="A99" s="8" t="s">
        <v>193</v>
      </c>
      <c r="B99" s="35">
        <v>4054</v>
      </c>
      <c r="C99" s="46">
        <v>66506</v>
      </c>
      <c r="D99" s="37">
        <v>7045</v>
      </c>
      <c r="E99" s="46">
        <v>90921</v>
      </c>
      <c r="F99" s="37">
        <v>8724</v>
      </c>
      <c r="G99" s="46">
        <v>84008</v>
      </c>
      <c r="H99" s="37">
        <v>8334</v>
      </c>
      <c r="I99" s="30">
        <v>86317</v>
      </c>
    </row>
    <row r="100" spans="1:9" x14ac:dyDescent="0.3">
      <c r="A100" s="8" t="s">
        <v>194</v>
      </c>
      <c r="B100" s="35">
        <v>273</v>
      </c>
      <c r="C100" s="46">
        <v>3840</v>
      </c>
      <c r="D100" s="37">
        <v>475</v>
      </c>
      <c r="E100" s="46">
        <v>5459</v>
      </c>
      <c r="F100" s="37">
        <v>918</v>
      </c>
      <c r="G100" s="46">
        <v>5599</v>
      </c>
      <c r="H100" s="37">
        <v>611</v>
      </c>
      <c r="I100" s="30">
        <v>5216</v>
      </c>
    </row>
    <row r="101" spans="1:9" x14ac:dyDescent="0.3">
      <c r="A101" s="8" t="s">
        <v>195</v>
      </c>
      <c r="B101" s="35">
        <v>1113</v>
      </c>
      <c r="C101" s="46">
        <v>8696</v>
      </c>
      <c r="D101" s="37">
        <v>2124</v>
      </c>
      <c r="E101" s="46">
        <v>12261</v>
      </c>
      <c r="F101" s="37">
        <v>2341</v>
      </c>
      <c r="G101" s="46">
        <v>11584</v>
      </c>
      <c r="H101" s="37">
        <v>2372</v>
      </c>
      <c r="I101" s="30">
        <v>12103</v>
      </c>
    </row>
    <row r="102" spans="1:9" x14ac:dyDescent="0.3">
      <c r="A102" s="8" t="s">
        <v>196</v>
      </c>
      <c r="B102" s="35">
        <v>1750</v>
      </c>
      <c r="C102" s="46">
        <v>50859</v>
      </c>
      <c r="D102" s="37">
        <v>2793</v>
      </c>
      <c r="E102" s="46">
        <v>72425</v>
      </c>
      <c r="F102" s="37">
        <v>4569</v>
      </c>
      <c r="G102" s="46">
        <v>65800</v>
      </c>
      <c r="H102" s="37">
        <v>3407</v>
      </c>
      <c r="I102" s="30">
        <v>68557</v>
      </c>
    </row>
    <row r="103" spans="1:9" x14ac:dyDescent="0.3">
      <c r="A103" s="8" t="s">
        <v>197</v>
      </c>
      <c r="B103" s="35">
        <v>984</v>
      </c>
      <c r="C103" s="46">
        <v>6965</v>
      </c>
      <c r="D103" s="37">
        <v>1507</v>
      </c>
      <c r="E103" s="46">
        <v>9245</v>
      </c>
      <c r="F103" s="37">
        <v>2773</v>
      </c>
      <c r="G103" s="46">
        <v>9575</v>
      </c>
      <c r="H103" s="37">
        <v>1872</v>
      </c>
      <c r="I103" s="30">
        <v>8733</v>
      </c>
    </row>
    <row r="104" spans="1:9" x14ac:dyDescent="0.3">
      <c r="A104" s="8" t="s">
        <v>198</v>
      </c>
      <c r="B104" s="35">
        <v>3906</v>
      </c>
      <c r="C104" s="46">
        <v>78825</v>
      </c>
      <c r="D104" s="37">
        <v>5973</v>
      </c>
      <c r="E104" s="46">
        <v>109282</v>
      </c>
      <c r="F104" s="37">
        <v>10703</v>
      </c>
      <c r="G104" s="46">
        <v>105482</v>
      </c>
      <c r="H104" s="37">
        <v>8334</v>
      </c>
      <c r="I104" s="30">
        <v>109633</v>
      </c>
    </row>
    <row r="105" spans="1:9" x14ac:dyDescent="0.3">
      <c r="A105" s="8" t="s">
        <v>199</v>
      </c>
      <c r="B105" s="35">
        <v>440</v>
      </c>
      <c r="C105" s="46">
        <v>20360</v>
      </c>
      <c r="D105" s="37">
        <v>683</v>
      </c>
      <c r="E105" s="46">
        <v>26823</v>
      </c>
      <c r="F105" s="37">
        <v>1198</v>
      </c>
      <c r="G105" s="46">
        <v>25443</v>
      </c>
      <c r="H105" s="37">
        <v>992</v>
      </c>
      <c r="I105" s="30">
        <v>26149</v>
      </c>
    </row>
    <row r="106" spans="1:9" x14ac:dyDescent="0.3">
      <c r="A106" s="8" t="s">
        <v>200</v>
      </c>
      <c r="B106" s="35">
        <v>485</v>
      </c>
      <c r="C106" s="46">
        <v>7646</v>
      </c>
      <c r="D106" s="37">
        <v>871</v>
      </c>
      <c r="E106" s="46">
        <v>10424</v>
      </c>
      <c r="F106" s="37">
        <v>1903</v>
      </c>
      <c r="G106" s="46">
        <v>10680</v>
      </c>
      <c r="H106" s="37">
        <v>1365</v>
      </c>
      <c r="I106" s="30">
        <v>10620</v>
      </c>
    </row>
    <row r="107" spans="1:9" x14ac:dyDescent="0.3">
      <c r="A107" s="8" t="s">
        <v>201</v>
      </c>
      <c r="B107" s="35">
        <v>100</v>
      </c>
      <c r="C107" s="46">
        <v>4602</v>
      </c>
      <c r="D107" s="37">
        <v>154</v>
      </c>
      <c r="E107" s="46">
        <v>6302</v>
      </c>
      <c r="F107" s="37">
        <v>292</v>
      </c>
      <c r="G107" s="46">
        <v>6358</v>
      </c>
      <c r="H107" s="37">
        <v>215</v>
      </c>
      <c r="I107" s="30">
        <v>6168</v>
      </c>
    </row>
    <row r="108" spans="1:9" x14ac:dyDescent="0.3">
      <c r="A108" s="8" t="s">
        <v>202</v>
      </c>
      <c r="B108" s="35">
        <v>572</v>
      </c>
      <c r="C108" s="46">
        <v>16800</v>
      </c>
      <c r="D108" s="37">
        <v>885</v>
      </c>
      <c r="E108" s="46">
        <v>23421</v>
      </c>
      <c r="F108" s="37">
        <v>1579</v>
      </c>
      <c r="G108" s="46">
        <v>22671</v>
      </c>
      <c r="H108" s="37">
        <v>1153</v>
      </c>
      <c r="I108" s="30">
        <v>22250</v>
      </c>
    </row>
    <row r="109" spans="1:9" x14ac:dyDescent="0.3">
      <c r="A109" s="8" t="s">
        <v>203</v>
      </c>
      <c r="B109" s="35">
        <v>145</v>
      </c>
      <c r="C109" s="46">
        <v>4074</v>
      </c>
      <c r="D109" s="37">
        <v>305</v>
      </c>
      <c r="E109" s="46">
        <v>5983</v>
      </c>
      <c r="F109" s="37">
        <v>588</v>
      </c>
      <c r="G109" s="46">
        <v>5724</v>
      </c>
      <c r="H109" s="37">
        <v>447</v>
      </c>
      <c r="I109" s="30">
        <v>6364</v>
      </c>
    </row>
    <row r="110" spans="1:9" x14ac:dyDescent="0.3">
      <c r="A110" s="8" t="s">
        <v>204</v>
      </c>
      <c r="B110" s="35">
        <v>220</v>
      </c>
      <c r="C110" s="46">
        <v>3890</v>
      </c>
      <c r="D110" s="37">
        <v>398</v>
      </c>
      <c r="E110" s="46">
        <v>5442</v>
      </c>
      <c r="F110" s="37">
        <v>724</v>
      </c>
      <c r="G110" s="46">
        <v>5337</v>
      </c>
      <c r="H110" s="37">
        <v>618</v>
      </c>
      <c r="I110" s="30">
        <v>5759</v>
      </c>
    </row>
    <row r="111" spans="1:9" x14ac:dyDescent="0.3">
      <c r="A111" s="8" t="s">
        <v>205</v>
      </c>
      <c r="B111" s="35">
        <v>19339</v>
      </c>
      <c r="C111" s="46">
        <v>355133</v>
      </c>
      <c r="D111" s="37">
        <v>26454</v>
      </c>
      <c r="E111" s="46">
        <v>454113</v>
      </c>
      <c r="F111" s="37">
        <v>30484</v>
      </c>
      <c r="G111" s="46">
        <v>396842</v>
      </c>
      <c r="H111" s="37">
        <v>38133</v>
      </c>
      <c r="I111" s="30">
        <v>469925</v>
      </c>
    </row>
    <row r="112" spans="1:9" x14ac:dyDescent="0.3">
      <c r="A112" s="8" t="s">
        <v>206</v>
      </c>
      <c r="B112" s="35">
        <v>272</v>
      </c>
      <c r="C112" s="46">
        <v>9322</v>
      </c>
      <c r="D112" s="37">
        <v>558</v>
      </c>
      <c r="E112" s="46">
        <v>12233</v>
      </c>
      <c r="F112" s="37">
        <v>645</v>
      </c>
      <c r="G112" s="46">
        <v>11076</v>
      </c>
      <c r="H112" s="37">
        <v>639</v>
      </c>
      <c r="I112" s="30">
        <v>12088</v>
      </c>
    </row>
    <row r="113" spans="1:9" x14ac:dyDescent="0.3">
      <c r="A113" s="8" t="s">
        <v>207</v>
      </c>
      <c r="B113" s="35">
        <v>61535</v>
      </c>
      <c r="C113" s="46">
        <v>696767</v>
      </c>
      <c r="D113" s="37">
        <v>123403</v>
      </c>
      <c r="E113" s="46">
        <v>957820</v>
      </c>
      <c r="F113" s="37">
        <v>128113</v>
      </c>
      <c r="G113" s="46">
        <v>858757</v>
      </c>
      <c r="H113" s="37">
        <v>123643</v>
      </c>
      <c r="I113" s="30">
        <v>960624</v>
      </c>
    </row>
    <row r="114" spans="1:9" x14ac:dyDescent="0.3">
      <c r="A114" s="8" t="s">
        <v>208</v>
      </c>
      <c r="B114" s="35">
        <v>27590</v>
      </c>
      <c r="C114" s="46">
        <v>253930</v>
      </c>
      <c r="D114" s="37">
        <v>50753</v>
      </c>
      <c r="E114" s="46">
        <v>351248</v>
      </c>
      <c r="F114" s="37">
        <v>47398</v>
      </c>
      <c r="G114" s="46">
        <v>299005</v>
      </c>
      <c r="H114" s="37">
        <v>49360</v>
      </c>
      <c r="I114" s="30">
        <v>347029</v>
      </c>
    </row>
    <row r="115" spans="1:9" x14ac:dyDescent="0.3">
      <c r="A115" s="8" t="s">
        <v>209</v>
      </c>
      <c r="B115" s="35">
        <v>4936</v>
      </c>
      <c r="C115" s="46">
        <v>37205</v>
      </c>
      <c r="D115" s="37">
        <v>10101</v>
      </c>
      <c r="E115" s="46">
        <v>51731</v>
      </c>
      <c r="F115" s="37">
        <v>10825</v>
      </c>
      <c r="G115" s="46">
        <v>46706</v>
      </c>
      <c r="H115" s="37">
        <v>9980</v>
      </c>
      <c r="I115" s="30">
        <v>50733</v>
      </c>
    </row>
    <row r="116" spans="1:9" x14ac:dyDescent="0.3">
      <c r="A116" s="8" t="s">
        <v>210</v>
      </c>
      <c r="B116" s="35">
        <v>11593</v>
      </c>
      <c r="C116" s="46">
        <v>71073</v>
      </c>
      <c r="D116" s="37">
        <v>25100</v>
      </c>
      <c r="E116" s="46">
        <v>104964</v>
      </c>
      <c r="F116" s="37">
        <v>25876</v>
      </c>
      <c r="G116" s="46">
        <v>95847</v>
      </c>
      <c r="H116" s="37">
        <v>24054</v>
      </c>
      <c r="I116" s="30">
        <v>102560</v>
      </c>
    </row>
    <row r="117" spans="1:9" x14ac:dyDescent="0.3">
      <c r="A117" s="8" t="s">
        <v>211</v>
      </c>
      <c r="B117" s="35">
        <v>4915</v>
      </c>
      <c r="C117" s="46">
        <v>101041</v>
      </c>
      <c r="D117" s="37">
        <v>8670</v>
      </c>
      <c r="E117" s="46">
        <v>133894</v>
      </c>
      <c r="F117" s="37">
        <v>10081</v>
      </c>
      <c r="G117" s="46">
        <v>118459</v>
      </c>
      <c r="H117" s="37">
        <v>10913</v>
      </c>
      <c r="I117" s="30">
        <v>138840</v>
      </c>
    </row>
    <row r="118" spans="1:9" x14ac:dyDescent="0.3">
      <c r="A118" s="8" t="s">
        <v>212</v>
      </c>
      <c r="B118" s="35">
        <v>3511</v>
      </c>
      <c r="C118" s="46">
        <v>64779</v>
      </c>
      <c r="D118" s="37">
        <v>6111</v>
      </c>
      <c r="E118" s="46">
        <v>89425</v>
      </c>
      <c r="F118" s="37">
        <v>6752</v>
      </c>
      <c r="G118" s="46">
        <v>74585</v>
      </c>
      <c r="H118" s="37">
        <v>7510</v>
      </c>
      <c r="I118" s="30">
        <v>88186</v>
      </c>
    </row>
    <row r="119" spans="1:9" x14ac:dyDescent="0.3">
      <c r="A119" s="8" t="s">
        <v>213</v>
      </c>
      <c r="B119" s="35">
        <v>4080</v>
      </c>
      <c r="C119" s="46">
        <v>91079</v>
      </c>
      <c r="D119" s="37">
        <v>7145</v>
      </c>
      <c r="E119" s="46">
        <v>122236</v>
      </c>
      <c r="F119" s="37">
        <v>8254</v>
      </c>
      <c r="G119" s="46">
        <v>103797</v>
      </c>
      <c r="H119" s="37">
        <v>9773</v>
      </c>
      <c r="I119" s="30">
        <v>124270</v>
      </c>
    </row>
    <row r="120" spans="1:9" x14ac:dyDescent="0.3">
      <c r="A120" s="8" t="s">
        <v>214</v>
      </c>
      <c r="B120" s="35">
        <v>7172</v>
      </c>
      <c r="C120" s="46">
        <v>145867</v>
      </c>
      <c r="D120" s="37">
        <v>12255</v>
      </c>
      <c r="E120" s="46">
        <v>193641</v>
      </c>
      <c r="F120" s="37">
        <v>13977</v>
      </c>
      <c r="G120" s="46">
        <v>167145</v>
      </c>
      <c r="H120" s="37">
        <v>15447</v>
      </c>
      <c r="I120" s="30">
        <v>191019</v>
      </c>
    </row>
    <row r="121" spans="1:9" x14ac:dyDescent="0.3">
      <c r="A121" s="8" t="s">
        <v>215</v>
      </c>
      <c r="B121" s="35">
        <v>2565</v>
      </c>
      <c r="C121" s="46">
        <v>45388</v>
      </c>
      <c r="D121" s="37">
        <v>4145</v>
      </c>
      <c r="E121" s="46">
        <v>60570</v>
      </c>
      <c r="F121" s="37">
        <v>4081</v>
      </c>
      <c r="G121" s="46">
        <v>52750</v>
      </c>
      <c r="H121" s="37">
        <v>5071</v>
      </c>
      <c r="I121" s="30">
        <v>61974</v>
      </c>
    </row>
    <row r="122" spans="1:9" x14ac:dyDescent="0.3">
      <c r="A122" s="8" t="s">
        <v>216</v>
      </c>
      <c r="B122" s="35">
        <v>685</v>
      </c>
      <c r="C122" s="46">
        <v>16922</v>
      </c>
      <c r="D122" s="37">
        <v>942</v>
      </c>
      <c r="E122" s="46">
        <v>23354</v>
      </c>
      <c r="F122" s="37">
        <v>928</v>
      </c>
      <c r="G122" s="46">
        <v>21334</v>
      </c>
      <c r="H122" s="37">
        <v>1474</v>
      </c>
      <c r="I122" s="30">
        <v>24525</v>
      </c>
    </row>
    <row r="123" spans="1:9" x14ac:dyDescent="0.3">
      <c r="A123" s="8" t="s">
        <v>217</v>
      </c>
      <c r="B123" s="35">
        <v>1132</v>
      </c>
      <c r="C123" s="46">
        <v>22451</v>
      </c>
      <c r="D123" s="37">
        <v>1667</v>
      </c>
      <c r="E123" s="46">
        <v>31338</v>
      </c>
      <c r="F123" s="37">
        <v>1777</v>
      </c>
      <c r="G123" s="46">
        <v>27085</v>
      </c>
      <c r="H123" s="37">
        <v>1947</v>
      </c>
      <c r="I123" s="30">
        <v>30547</v>
      </c>
    </row>
    <row r="124" spans="1:9" ht="15" thickBot="1" x14ac:dyDescent="0.35">
      <c r="A124" s="8" t="s">
        <v>218</v>
      </c>
      <c r="B124" s="36">
        <v>604426</v>
      </c>
      <c r="C124" s="47">
        <v>7080838</v>
      </c>
      <c r="D124" s="48">
        <v>953307</v>
      </c>
      <c r="E124" s="47">
        <v>9420293</v>
      </c>
      <c r="F124" s="48">
        <v>1051522</v>
      </c>
      <c r="G124" s="47">
        <v>8342980</v>
      </c>
      <c r="H124" s="48">
        <v>1207861</v>
      </c>
      <c r="I124" s="31">
        <v>9508691</v>
      </c>
    </row>
  </sheetData>
  <mergeCells count="1">
    <mergeCell ref="A1:E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FA3B4-E3A5-433D-9E62-284BA9A4E499}">
  <sheetPr codeName="Sheet24">
    <tabColor rgb="FF00B0F0"/>
  </sheetPr>
  <dimension ref="A3:DI227"/>
  <sheetViews>
    <sheetView topLeftCell="A95" zoomScale="54" zoomScaleNormal="84" workbookViewId="0">
      <selection activeCell="A95" sqref="A95:E98"/>
    </sheetView>
  </sheetViews>
  <sheetFormatPr defaultRowHeight="14.4" x14ac:dyDescent="0.3"/>
  <cols>
    <col min="2" max="2" width="18.44140625" bestFit="1" customWidth="1"/>
    <col min="3" max="3" width="14.109375" customWidth="1"/>
    <col min="4" max="4" width="13.21875" customWidth="1"/>
    <col min="5" max="5" width="10.44140625" bestFit="1" customWidth="1"/>
    <col min="6" max="6" width="18.44140625" bestFit="1" customWidth="1"/>
    <col min="7" max="7" width="14.109375" customWidth="1"/>
    <col min="8" max="8" width="13.21875" customWidth="1"/>
    <col min="9" max="9" width="18.88671875" bestFit="1" customWidth="1"/>
    <col min="10" max="10" width="18.44140625" bestFit="1" customWidth="1"/>
    <col min="11" max="11" width="14.109375" customWidth="1"/>
    <col min="12" max="12" width="13.21875" customWidth="1"/>
    <col min="13" max="14" width="10.77734375" bestFit="1" customWidth="1"/>
    <col min="15" max="15" width="11.5546875" customWidth="1"/>
    <col min="16" max="16" width="21.109375" bestFit="1" customWidth="1"/>
    <col min="17" max="17" width="13" bestFit="1" customWidth="1"/>
    <col min="18" max="18" width="10.33203125" bestFit="1" customWidth="1"/>
    <col min="19" max="19" width="20.5546875" customWidth="1"/>
    <col min="20" max="20" width="13.109375" customWidth="1"/>
    <col min="21" max="21" width="13.88671875" bestFit="1" customWidth="1"/>
    <col min="23" max="23" width="10.88671875" bestFit="1" customWidth="1"/>
    <col min="24" max="24" width="12" bestFit="1" customWidth="1"/>
    <col min="31" max="32" width="9.44140625" bestFit="1" customWidth="1"/>
    <col min="34" max="34" width="10.88671875" bestFit="1" customWidth="1"/>
  </cols>
  <sheetData>
    <row r="3" spans="1:113" x14ac:dyDescent="0.3">
      <c r="D3" s="11"/>
      <c r="H3" s="11"/>
      <c r="L3" s="11"/>
    </row>
    <row r="4" spans="1:113" x14ac:dyDescent="0.3">
      <c r="D4" s="11"/>
      <c r="H4" s="11"/>
      <c r="L4" s="11"/>
    </row>
    <row r="5" spans="1:113" x14ac:dyDescent="0.3">
      <c r="D5" s="11"/>
      <c r="E5" s="2"/>
      <c r="H5" s="11"/>
      <c r="I5" s="4"/>
      <c r="L5" s="11"/>
      <c r="M5" s="4"/>
      <c r="N5" s="4"/>
      <c r="S5" s="3"/>
      <c r="T5" s="4"/>
      <c r="U5" s="6"/>
      <c r="V5" s="4"/>
    </row>
    <row r="6" spans="1:113" x14ac:dyDescent="0.3">
      <c r="E6" s="2"/>
      <c r="I6" s="4"/>
      <c r="M6" s="4"/>
      <c r="N6" s="4"/>
      <c r="S6" s="3"/>
      <c r="T6" s="4"/>
      <c r="U6" s="6"/>
      <c r="V6" s="4"/>
    </row>
    <row r="7" spans="1:113" x14ac:dyDescent="0.3">
      <c r="M7" s="4"/>
      <c r="N7" s="4"/>
      <c r="O7" s="4"/>
      <c r="P7" s="4"/>
      <c r="Q7" s="4"/>
      <c r="R7" s="5"/>
      <c r="S7" s="3"/>
      <c r="T7" s="4"/>
      <c r="U7" s="6"/>
      <c r="V7" s="4"/>
    </row>
    <row r="8" spans="1:113" x14ac:dyDescent="0.3">
      <c r="N8" s="4"/>
      <c r="O8" s="4"/>
      <c r="P8" s="4"/>
      <c r="Q8" s="4"/>
      <c r="R8" s="5"/>
      <c r="S8" s="3"/>
      <c r="T8" s="4"/>
      <c r="U8" s="6"/>
      <c r="V8" s="4"/>
    </row>
    <row r="9" spans="1:113" x14ac:dyDescent="0.3">
      <c r="M9" s="11"/>
      <c r="N9" s="11"/>
    </row>
    <row r="10" spans="1:113" x14ac:dyDescent="0.3">
      <c r="M10" s="11"/>
      <c r="N10" s="11"/>
    </row>
    <row r="11" spans="1:113" x14ac:dyDescent="0.3">
      <c r="M11" s="11"/>
      <c r="N11" s="11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O11" s="4"/>
      <c r="BY11" s="16"/>
      <c r="BZ11" s="16"/>
      <c r="CA11" s="16"/>
      <c r="CB11" s="16"/>
      <c r="CC11" s="16"/>
      <c r="CD11" s="16"/>
      <c r="CE11" s="16"/>
      <c r="CF11" s="16"/>
      <c r="CG11" s="17"/>
      <c r="CH11" s="18"/>
      <c r="CI11" s="18"/>
      <c r="CJ11" s="19"/>
    </row>
    <row r="12" spans="1:113" ht="14.4" customHeight="1" x14ac:dyDescent="0.3">
      <c r="M12" s="11"/>
      <c r="N12" s="11"/>
      <c r="P12" s="65"/>
      <c r="Q12" s="65"/>
      <c r="R12" s="11"/>
      <c r="S12" s="11"/>
      <c r="T12" s="11"/>
      <c r="U12" s="11"/>
      <c r="W12" s="65"/>
      <c r="X12" s="65"/>
      <c r="Y12" s="290" t="s">
        <v>47</v>
      </c>
      <c r="Z12" s="290"/>
      <c r="AA12" s="290" t="s">
        <v>242</v>
      </c>
      <c r="AB12" s="290"/>
      <c r="AC12" s="290" t="s">
        <v>219</v>
      </c>
      <c r="AD12" s="290"/>
      <c r="AE12" s="290" t="s">
        <v>231</v>
      </c>
      <c r="AF12" s="290"/>
      <c r="AG12" s="65"/>
    </row>
    <row r="13" spans="1:113" s="22" customFormat="1" ht="15" customHeight="1" thickBo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Y13" s="291"/>
      <c r="Z13" s="291"/>
      <c r="AA13" s="291"/>
      <c r="AB13" s="291"/>
      <c r="AC13" s="291"/>
      <c r="AD13" s="291"/>
      <c r="AE13" s="291"/>
      <c r="AF13" s="29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</row>
    <row r="14" spans="1:113" ht="29.4" thickBot="1" x14ac:dyDescent="0.35">
      <c r="W14" s="51" t="s">
        <v>17</v>
      </c>
      <c r="X14" s="52" t="s">
        <v>19</v>
      </c>
      <c r="Y14" s="23" t="s">
        <v>14</v>
      </c>
      <c r="Z14" s="24" t="s">
        <v>13</v>
      </c>
      <c r="AA14" s="49" t="s">
        <v>14</v>
      </c>
      <c r="AB14" s="50" t="s">
        <v>13</v>
      </c>
      <c r="AC14" s="49" t="s">
        <v>14</v>
      </c>
      <c r="AD14" s="50" t="s">
        <v>13</v>
      </c>
      <c r="AE14" s="49" t="s">
        <v>14</v>
      </c>
      <c r="AF14" s="50" t="s">
        <v>13</v>
      </c>
      <c r="AG14" s="65"/>
    </row>
    <row r="15" spans="1:113" ht="15" thickBot="1" x14ac:dyDescent="0.35">
      <c r="W15" s="287">
        <v>1</v>
      </c>
      <c r="X15" s="27" t="s">
        <v>4</v>
      </c>
      <c r="Y15" s="38">
        <f ca="1">$X$74*RAND()</f>
        <v>8.8682491960367676E-2</v>
      </c>
      <c r="Z15" s="38">
        <f t="shared" ref="Z15:AF30" ca="1" si="0">$X$74*RAND()</f>
        <v>0.10591469049669189</v>
      </c>
      <c r="AA15" s="38">
        <f t="shared" ca="1" si="0"/>
        <v>0.25401250542544057</v>
      </c>
      <c r="AB15" s="38">
        <f t="shared" ca="1" si="0"/>
        <v>0.17168588815000874</v>
      </c>
      <c r="AC15" s="38">
        <f t="shared" ca="1" si="0"/>
        <v>9.6116106103168397E-2</v>
      </c>
      <c r="AD15" s="38">
        <f t="shared" ca="1" si="0"/>
        <v>0.15579034906941819</v>
      </c>
      <c r="AE15" s="38">
        <f t="shared" ca="1" si="0"/>
        <v>6.2668009846951353E-2</v>
      </c>
      <c r="AF15" s="38">
        <f t="shared" ca="1" si="0"/>
        <v>0.21735901974069749</v>
      </c>
      <c r="AG15" s="65"/>
    </row>
    <row r="16" spans="1:113" ht="15" thickBot="1" x14ac:dyDescent="0.35">
      <c r="W16" s="288"/>
      <c r="X16" s="27" t="s">
        <v>8</v>
      </c>
      <c r="Y16" s="38">
        <f t="shared" ref="Y16:Y21" ca="1" si="1">$X$74*RAND()</f>
        <v>0.2322594345651311</v>
      </c>
      <c r="Z16" s="38">
        <f t="shared" ca="1" si="0"/>
        <v>3.7748536057424123E-3</v>
      </c>
      <c r="AA16" s="38">
        <f t="shared" ca="1" si="0"/>
        <v>0.15166645365462214</v>
      </c>
      <c r="AB16" s="38">
        <f t="shared" ca="1" si="0"/>
        <v>2.4310351059289484E-2</v>
      </c>
      <c r="AC16" s="38">
        <f t="shared" ca="1" si="0"/>
        <v>8.990849684503141E-2</v>
      </c>
      <c r="AD16" s="38">
        <f t="shared" ca="1" si="0"/>
        <v>0.19708878224465187</v>
      </c>
      <c r="AE16" s="38">
        <f t="shared" ca="1" si="0"/>
        <v>5.7456819764569129E-2</v>
      </c>
      <c r="AF16" s="38">
        <f t="shared" ca="1" si="0"/>
        <v>0.18123886707588791</v>
      </c>
      <c r="AG16" s="65"/>
    </row>
    <row r="17" spans="23:32" ht="15" thickBot="1" x14ac:dyDescent="0.35">
      <c r="W17" s="288"/>
      <c r="X17" s="27" t="s">
        <v>6</v>
      </c>
      <c r="Y17" s="38">
        <f t="shared" ca="1" si="1"/>
        <v>0.21868844514039201</v>
      </c>
      <c r="Z17" s="38">
        <f t="shared" ca="1" si="0"/>
        <v>3.361537045036176E-2</v>
      </c>
      <c r="AA17" s="38">
        <f t="shared" ca="1" si="0"/>
        <v>0.26843620956970027</v>
      </c>
      <c r="AB17" s="38">
        <f t="shared" ca="1" si="0"/>
        <v>8.5586225319935108E-2</v>
      </c>
      <c r="AC17" s="38">
        <f t="shared" ca="1" si="0"/>
        <v>0.23785286450030937</v>
      </c>
      <c r="AD17" s="38">
        <f t="shared" ca="1" si="0"/>
        <v>0.13338619365144036</v>
      </c>
      <c r="AE17" s="38">
        <f t="shared" ca="1" si="0"/>
        <v>5.5935260649224397E-2</v>
      </c>
      <c r="AF17" s="38">
        <f t="shared" ca="1" si="0"/>
        <v>0.17453144897809417</v>
      </c>
    </row>
    <row r="18" spans="23:32" ht="15" thickBot="1" x14ac:dyDescent="0.35">
      <c r="W18" s="288"/>
      <c r="X18" s="27" t="s">
        <v>3</v>
      </c>
      <c r="Y18" s="38">
        <f t="shared" ca="1" si="1"/>
        <v>3.6277986456958441E-2</v>
      </c>
      <c r="Z18" s="38">
        <f t="shared" ca="1" si="0"/>
        <v>8.6815121348344307E-2</v>
      </c>
      <c r="AA18" s="38">
        <f t="shared" ca="1" si="0"/>
        <v>0.1705484002813078</v>
      </c>
      <c r="AB18" s="38">
        <f t="shared" ca="1" si="0"/>
        <v>0.13486951845913572</v>
      </c>
      <c r="AC18" s="38">
        <f t="shared" ca="1" si="0"/>
        <v>0.14679150068171187</v>
      </c>
      <c r="AD18" s="38">
        <f t="shared" ca="1" si="0"/>
        <v>0.14401083144380197</v>
      </c>
      <c r="AE18" s="38">
        <f t="shared" ca="1" si="0"/>
        <v>0.25046287675427192</v>
      </c>
      <c r="AF18" s="38">
        <f t="shared" ca="1" si="0"/>
        <v>0.12560258984664818</v>
      </c>
    </row>
    <row r="19" spans="23:32" ht="15" thickBot="1" x14ac:dyDescent="0.35">
      <c r="W19" s="288"/>
      <c r="X19" s="27" t="s">
        <v>5</v>
      </c>
      <c r="Y19" s="38">
        <f t="shared" ca="1" si="1"/>
        <v>0.15874147002243716</v>
      </c>
      <c r="Z19" s="38">
        <f t="shared" ca="1" si="0"/>
        <v>0.16121854373757202</v>
      </c>
      <c r="AA19" s="38">
        <f t="shared" ca="1" si="0"/>
        <v>4.5433219204262305E-2</v>
      </c>
      <c r="AB19" s="38">
        <f t="shared" ca="1" si="0"/>
        <v>0.13831515313512879</v>
      </c>
      <c r="AC19" s="38">
        <f t="shared" ca="1" si="0"/>
        <v>0.12040666069081654</v>
      </c>
      <c r="AD19" s="38">
        <f t="shared" ca="1" si="0"/>
        <v>2.0250352149287591E-4</v>
      </c>
      <c r="AE19" s="38">
        <f t="shared" ca="1" si="0"/>
        <v>0.19914693654194138</v>
      </c>
      <c r="AF19" s="38">
        <f t="shared" ca="1" si="0"/>
        <v>9.3967389823863892E-3</v>
      </c>
    </row>
    <row r="20" spans="23:32" ht="15" thickBot="1" x14ac:dyDescent="0.35">
      <c r="W20" s="288"/>
      <c r="X20" s="27" t="s">
        <v>7</v>
      </c>
      <c r="Y20" s="38">
        <f t="shared" ca="1" si="1"/>
        <v>4.7692410395302656E-2</v>
      </c>
      <c r="Z20" s="38">
        <f t="shared" ca="1" si="0"/>
        <v>1.8105020436989912E-2</v>
      </c>
      <c r="AA20" s="38">
        <f t="shared" ca="1" si="0"/>
        <v>0.17716315284110576</v>
      </c>
      <c r="AB20" s="38">
        <f t="shared" ca="1" si="0"/>
        <v>5.3064668079046633E-2</v>
      </c>
      <c r="AC20" s="38">
        <f t="shared" ca="1" si="0"/>
        <v>5.6270134425480588E-2</v>
      </c>
      <c r="AD20" s="38">
        <f t="shared" ca="1" si="0"/>
        <v>0.21328976783363887</v>
      </c>
      <c r="AE20" s="38">
        <f t="shared" ca="1" si="0"/>
        <v>7.3957081529978735E-2</v>
      </c>
      <c r="AF20" s="38">
        <f t="shared" ca="1" si="0"/>
        <v>0.22810926803579984</v>
      </c>
    </row>
    <row r="21" spans="23:32" ht="15" thickBot="1" x14ac:dyDescent="0.35">
      <c r="W21" s="289"/>
      <c r="X21" s="28" t="s">
        <v>9</v>
      </c>
      <c r="Y21" s="38">
        <f t="shared" ca="1" si="1"/>
        <v>0.25091230439684503</v>
      </c>
      <c r="Z21" s="38">
        <f t="shared" ca="1" si="0"/>
        <v>0.17784195186117413</v>
      </c>
      <c r="AA21" s="38">
        <f t="shared" ca="1" si="0"/>
        <v>0.14763137350084268</v>
      </c>
      <c r="AB21" s="38">
        <f t="shared" ca="1" si="0"/>
        <v>8.787047637858221E-2</v>
      </c>
      <c r="AC21" s="38">
        <f t="shared" ca="1" si="0"/>
        <v>9.1198133523647928E-3</v>
      </c>
      <c r="AD21" s="38">
        <f t="shared" ca="1" si="0"/>
        <v>0.17021948137966011</v>
      </c>
      <c r="AE21" s="38">
        <f t="shared" ca="1" si="0"/>
        <v>0.14383969029273597</v>
      </c>
      <c r="AF21" s="38">
        <f t="shared" ca="1" si="0"/>
        <v>6.0833196066851378E-2</v>
      </c>
    </row>
    <row r="22" spans="23:32" ht="15" thickBot="1" x14ac:dyDescent="0.35">
      <c r="W22" s="295">
        <v>2</v>
      </c>
      <c r="X22" s="27" t="s">
        <v>4</v>
      </c>
      <c r="Y22" s="38">
        <f ca="1">$X$74*RAND()</f>
        <v>0.14190907498460659</v>
      </c>
      <c r="Z22" s="38">
        <f t="shared" ca="1" si="0"/>
        <v>0.12539543015388785</v>
      </c>
      <c r="AA22" s="38">
        <f t="shared" ca="1" si="0"/>
        <v>2.5877032231823579E-2</v>
      </c>
      <c r="AB22" s="38">
        <f t="shared" ca="1" si="0"/>
        <v>2.4435426051240645E-3</v>
      </c>
      <c r="AC22" s="38">
        <f t="shared" ca="1" si="0"/>
        <v>7.6564837754241541E-2</v>
      </c>
      <c r="AD22" s="38">
        <f t="shared" ca="1" si="0"/>
        <v>0.21978279481864463</v>
      </c>
      <c r="AE22" s="38">
        <f t="shared" ca="1" si="0"/>
        <v>0.13170069454839878</v>
      </c>
      <c r="AF22" s="38">
        <f t="shared" ca="1" si="0"/>
        <v>0.25060419782984644</v>
      </c>
    </row>
    <row r="23" spans="23:32" ht="15" thickBot="1" x14ac:dyDescent="0.35">
      <c r="W23" s="296"/>
      <c r="X23" s="27" t="s">
        <v>8</v>
      </c>
      <c r="Y23" s="38">
        <f t="shared" ref="Y23:Y28" ca="1" si="2">$X$74*RAND()</f>
        <v>0.26798510219096977</v>
      </c>
      <c r="Z23" s="38">
        <f t="shared" ca="1" si="0"/>
        <v>0.23759088569921988</v>
      </c>
      <c r="AA23" s="38">
        <f t="shared" ca="1" si="0"/>
        <v>9.9081618092371704E-2</v>
      </c>
      <c r="AB23" s="38">
        <f t="shared" ca="1" si="0"/>
        <v>0.18113466276357584</v>
      </c>
      <c r="AC23" s="38">
        <f t="shared" ca="1" si="0"/>
        <v>3.4788357720893018E-2</v>
      </c>
      <c r="AD23" s="38">
        <f t="shared" ca="1" si="0"/>
        <v>6.0346698912394229E-3</v>
      </c>
      <c r="AE23" s="38">
        <f t="shared" ca="1" si="0"/>
        <v>0.14201377400719939</v>
      </c>
      <c r="AF23" s="38">
        <f t="shared" ca="1" si="0"/>
        <v>0.26579901531086841</v>
      </c>
    </row>
    <row r="24" spans="23:32" ht="15" thickBot="1" x14ac:dyDescent="0.35">
      <c r="W24" s="296"/>
      <c r="X24" s="27" t="s">
        <v>6</v>
      </c>
      <c r="Y24" s="38">
        <f t="shared" ca="1" si="2"/>
        <v>0.25240806183032205</v>
      </c>
      <c r="Z24" s="38">
        <f t="shared" ca="1" si="0"/>
        <v>0.26268063365083388</v>
      </c>
      <c r="AA24" s="38">
        <f t="shared" ca="1" si="0"/>
        <v>0.17345082254244293</v>
      </c>
      <c r="AB24" s="38">
        <f t="shared" ca="1" si="0"/>
        <v>9.96006132513662E-3</v>
      </c>
      <c r="AC24" s="38">
        <f t="shared" ca="1" si="0"/>
        <v>0.18385963504678804</v>
      </c>
      <c r="AD24" s="38">
        <f t="shared" ca="1" si="0"/>
        <v>0.20135482268306246</v>
      </c>
      <c r="AE24" s="38">
        <f t="shared" ca="1" si="0"/>
        <v>0.16268835859178579</v>
      </c>
      <c r="AF24" s="38">
        <f t="shared" ca="1" si="0"/>
        <v>0.21609569851213284</v>
      </c>
    </row>
    <row r="25" spans="23:32" ht="15" thickBot="1" x14ac:dyDescent="0.35">
      <c r="W25" s="296"/>
      <c r="X25" s="27" t="s">
        <v>3</v>
      </c>
      <c r="Y25" s="38">
        <f t="shared" ca="1" si="2"/>
        <v>2.3016109052160654E-2</v>
      </c>
      <c r="Z25" s="38">
        <f t="shared" ca="1" si="0"/>
        <v>0.19866411595166744</v>
      </c>
      <c r="AA25" s="38">
        <f t="shared" ca="1" si="0"/>
        <v>5.6926852069451792E-3</v>
      </c>
      <c r="AB25" s="38">
        <f t="shared" ca="1" si="0"/>
        <v>0.24007879203807644</v>
      </c>
      <c r="AC25" s="38">
        <f t="shared" ca="1" si="0"/>
        <v>0.2144074006118451</v>
      </c>
      <c r="AD25" s="38">
        <f t="shared" ca="1" si="0"/>
        <v>4.0924095219563694E-2</v>
      </c>
      <c r="AE25" s="38">
        <f t="shared" ca="1" si="0"/>
        <v>0.26222116656060168</v>
      </c>
      <c r="AF25" s="38">
        <f t="shared" ca="1" si="0"/>
        <v>1.2536527982650945E-3</v>
      </c>
    </row>
    <row r="26" spans="23:32" ht="15" thickBot="1" x14ac:dyDescent="0.35">
      <c r="W26" s="296"/>
      <c r="X26" s="27" t="s">
        <v>5</v>
      </c>
      <c r="Y26" s="38">
        <f t="shared" ca="1" si="2"/>
        <v>0.18714573002017551</v>
      </c>
      <c r="Z26" s="38">
        <f t="shared" ca="1" si="0"/>
        <v>0.208358803098046</v>
      </c>
      <c r="AA26" s="38">
        <f t="shared" ca="1" si="0"/>
        <v>3.8494467249328361E-2</v>
      </c>
      <c r="AB26" s="38">
        <f t="shared" ca="1" si="0"/>
        <v>5.5310375974101683E-2</v>
      </c>
      <c r="AC26" s="38">
        <f t="shared" ca="1" si="0"/>
        <v>0.22368617535034024</v>
      </c>
      <c r="AD26" s="38">
        <f t="shared" ca="1" si="0"/>
        <v>0.19231095700390255</v>
      </c>
      <c r="AE26" s="38">
        <f t="shared" ca="1" si="0"/>
        <v>0.11084678234103779</v>
      </c>
      <c r="AF26" s="38">
        <f t="shared" ca="1" si="0"/>
        <v>5.554456024048865E-2</v>
      </c>
    </row>
    <row r="27" spans="23:32" ht="15" thickBot="1" x14ac:dyDescent="0.35">
      <c r="W27" s="296"/>
      <c r="X27" s="27" t="s">
        <v>7</v>
      </c>
      <c r="Y27" s="38">
        <f t="shared" ca="1" si="2"/>
        <v>8.2141093219308015E-2</v>
      </c>
      <c r="Z27" s="38">
        <f t="shared" ca="1" si="0"/>
        <v>0.18404371539331502</v>
      </c>
      <c r="AA27" s="38">
        <f t="shared" ca="1" si="0"/>
        <v>8.3549334548928766E-2</v>
      </c>
      <c r="AB27" s="38">
        <f t="shared" ca="1" si="0"/>
        <v>9.3524561600233591E-2</v>
      </c>
      <c r="AC27" s="38">
        <f t="shared" ca="1" si="0"/>
        <v>7.6267438053363237E-2</v>
      </c>
      <c r="AD27" s="38">
        <f t="shared" ca="1" si="0"/>
        <v>0.10862682820479154</v>
      </c>
      <c r="AE27" s="38">
        <f t="shared" ca="1" si="0"/>
        <v>0.15200980099173536</v>
      </c>
      <c r="AF27" s="38">
        <f t="shared" ca="1" si="0"/>
        <v>6.7880460742227838E-2</v>
      </c>
    </row>
    <row r="28" spans="23:32" ht="15" thickBot="1" x14ac:dyDescent="0.35">
      <c r="W28" s="297"/>
      <c r="X28" s="28" t="s">
        <v>9</v>
      </c>
      <c r="Y28" s="38">
        <f t="shared" ca="1" si="2"/>
        <v>0.22923445579455029</v>
      </c>
      <c r="Z28" s="38">
        <f t="shared" ca="1" si="0"/>
        <v>2.2111416356210396E-2</v>
      </c>
      <c r="AA28" s="38">
        <f t="shared" ca="1" si="0"/>
        <v>0.22510319335227172</v>
      </c>
      <c r="AB28" s="38">
        <f t="shared" ca="1" si="0"/>
        <v>0.26518131920720067</v>
      </c>
      <c r="AC28" s="38">
        <f t="shared" ca="1" si="0"/>
        <v>0.24455614226526609</v>
      </c>
      <c r="AD28" s="38">
        <f t="shared" ca="1" si="0"/>
        <v>0.13051721318820103</v>
      </c>
      <c r="AE28" s="38">
        <f t="shared" ca="1" si="0"/>
        <v>0.24108752701850297</v>
      </c>
      <c r="AF28" s="38">
        <f t="shared" ca="1" si="0"/>
        <v>7.855229890329532E-2</v>
      </c>
    </row>
    <row r="29" spans="23:32" ht="15" thickBot="1" x14ac:dyDescent="0.35">
      <c r="W29" s="287">
        <v>3</v>
      </c>
      <c r="X29" s="27" t="s">
        <v>4</v>
      </c>
      <c r="Y29" s="38">
        <f ca="1">$X$74*RAND()</f>
        <v>9.0301297080404463E-2</v>
      </c>
      <c r="Z29" s="38">
        <f t="shared" ca="1" si="0"/>
        <v>0.23925993622743194</v>
      </c>
      <c r="AA29" s="38">
        <f t="shared" ca="1" si="0"/>
        <v>7.2252370740390842E-2</v>
      </c>
      <c r="AB29" s="38">
        <f t="shared" ca="1" si="0"/>
        <v>0.20717668913460685</v>
      </c>
      <c r="AC29" s="38">
        <f t="shared" ca="1" si="0"/>
        <v>0.18237877273881967</v>
      </c>
      <c r="AD29" s="38">
        <f t="shared" ca="1" si="0"/>
        <v>0.24739240045379371</v>
      </c>
      <c r="AE29" s="38">
        <f t="shared" ca="1" si="0"/>
        <v>0.22894117018846863</v>
      </c>
      <c r="AF29" s="38">
        <f t="shared" ca="1" si="0"/>
        <v>8.4509524292777138E-2</v>
      </c>
    </row>
    <row r="30" spans="23:32" ht="15" thickBot="1" x14ac:dyDescent="0.35">
      <c r="W30" s="288"/>
      <c r="X30" s="27" t="s">
        <v>8</v>
      </c>
      <c r="Y30" s="38">
        <f t="shared" ref="Y30:AF42" ca="1" si="3">$X$74*RAND()</f>
        <v>0.25526150027587585</v>
      </c>
      <c r="Z30" s="38">
        <f t="shared" ca="1" si="0"/>
        <v>0.17312057629438726</v>
      </c>
      <c r="AA30" s="38">
        <f t="shared" ca="1" si="0"/>
        <v>7.8786289153993244E-2</v>
      </c>
      <c r="AB30" s="38">
        <f t="shared" ca="1" si="0"/>
        <v>0.26720431963499397</v>
      </c>
      <c r="AC30" s="38">
        <f t="shared" ca="1" si="0"/>
        <v>0.10057372113519535</v>
      </c>
      <c r="AD30" s="38">
        <f t="shared" ca="1" si="0"/>
        <v>6.9930965728287817E-2</v>
      </c>
      <c r="AE30" s="38">
        <f t="shared" ca="1" si="0"/>
        <v>0.12177175053841113</v>
      </c>
      <c r="AF30" s="38">
        <f t="shared" ca="1" si="0"/>
        <v>0.26126047069694747</v>
      </c>
    </row>
    <row r="31" spans="23:32" ht="15" thickBot="1" x14ac:dyDescent="0.35">
      <c r="W31" s="288"/>
      <c r="X31" s="27" t="s">
        <v>6</v>
      </c>
      <c r="Y31" s="38">
        <f t="shared" ca="1" si="3"/>
        <v>0.18457312632950884</v>
      </c>
      <c r="Z31" s="38">
        <f t="shared" ca="1" si="3"/>
        <v>0.1826715956585733</v>
      </c>
      <c r="AA31" s="38">
        <f t="shared" ca="1" si="3"/>
        <v>0.2149445523812149</v>
      </c>
      <c r="AB31" s="38">
        <f t="shared" ca="1" si="3"/>
        <v>7.620075571069139E-2</v>
      </c>
      <c r="AC31" s="38">
        <f t="shared" ca="1" si="3"/>
        <v>4.6535924834139368E-2</v>
      </c>
      <c r="AD31" s="38">
        <f t="shared" ca="1" si="3"/>
        <v>0.12251544191619289</v>
      </c>
      <c r="AE31" s="38">
        <f t="shared" ca="1" si="3"/>
        <v>0.14092407988012579</v>
      </c>
      <c r="AF31" s="38">
        <f t="shared" ca="1" si="3"/>
        <v>0.14542945022966897</v>
      </c>
    </row>
    <row r="32" spans="23:32" ht="15" thickBot="1" x14ac:dyDescent="0.35">
      <c r="W32" s="288"/>
      <c r="X32" s="27" t="s">
        <v>3</v>
      </c>
      <c r="Y32" s="38">
        <f t="shared" ca="1" si="3"/>
        <v>3.0395713284771482E-2</v>
      </c>
      <c r="Z32" s="38">
        <f t="shared" ca="1" si="3"/>
        <v>5.6300149152332654E-2</v>
      </c>
      <c r="AA32" s="38">
        <f t="shared" ca="1" si="3"/>
        <v>0.14526972192734228</v>
      </c>
      <c r="AB32" s="38">
        <f t="shared" ca="1" si="3"/>
        <v>7.106292661830281E-2</v>
      </c>
      <c r="AC32" s="38">
        <f t="shared" ca="1" si="3"/>
        <v>0.10490861300887278</v>
      </c>
      <c r="AD32" s="38">
        <f t="shared" ca="1" si="3"/>
        <v>1.841117528883067E-2</v>
      </c>
      <c r="AE32" s="38">
        <f t="shared" ca="1" si="3"/>
        <v>0.26342747783182208</v>
      </c>
      <c r="AF32" s="38">
        <f t="shared" ca="1" si="3"/>
        <v>7.0038868909280488E-2</v>
      </c>
    </row>
    <row r="33" spans="2:32" ht="15" thickBot="1" x14ac:dyDescent="0.35">
      <c r="W33" s="288"/>
      <c r="X33" s="27" t="s">
        <v>5</v>
      </c>
      <c r="Y33" s="38">
        <f t="shared" ca="1" si="3"/>
        <v>1.6564834277133952E-2</v>
      </c>
      <c r="Z33" s="38">
        <f t="shared" ca="1" si="3"/>
        <v>0.22661032444234266</v>
      </c>
      <c r="AA33" s="38">
        <f t="shared" ca="1" si="3"/>
        <v>0.24535907509469246</v>
      </c>
      <c r="AB33" s="38">
        <f t="shared" ca="1" si="3"/>
        <v>0.19442204830569618</v>
      </c>
      <c r="AC33" s="38">
        <f t="shared" ca="1" si="3"/>
        <v>0.24299369679463229</v>
      </c>
      <c r="AD33" s="38">
        <f t="shared" ca="1" si="3"/>
        <v>0.25480165236379915</v>
      </c>
      <c r="AE33" s="38">
        <f t="shared" ca="1" si="3"/>
        <v>0.18431228491224283</v>
      </c>
      <c r="AF33" s="38">
        <f t="shared" ca="1" si="3"/>
        <v>0.25111884472527146</v>
      </c>
    </row>
    <row r="34" spans="2:32" ht="15" thickBot="1" x14ac:dyDescent="0.35">
      <c r="W34" s="288"/>
      <c r="X34" s="27" t="s">
        <v>7</v>
      </c>
      <c r="Y34" s="38">
        <f t="shared" ca="1" si="3"/>
        <v>0.25323857861567622</v>
      </c>
      <c r="Z34" s="38">
        <f t="shared" ca="1" si="3"/>
        <v>0.19993509282267202</v>
      </c>
      <c r="AA34" s="38">
        <f t="shared" ca="1" si="3"/>
        <v>0.10593751287322585</v>
      </c>
      <c r="AB34" s="38">
        <f t="shared" ca="1" si="3"/>
        <v>0.17016715353331732</v>
      </c>
      <c r="AC34" s="38">
        <f t="shared" ca="1" si="3"/>
        <v>7.7710895419448117E-2</v>
      </c>
      <c r="AD34" s="38">
        <f t="shared" ca="1" si="3"/>
        <v>0.24574894588499868</v>
      </c>
      <c r="AE34" s="38">
        <f t="shared" ca="1" si="3"/>
        <v>4.1848841450231412E-2</v>
      </c>
      <c r="AF34" s="38">
        <f t="shared" ca="1" si="3"/>
        <v>0.12409754227799757</v>
      </c>
    </row>
    <row r="35" spans="2:32" ht="15" thickBot="1" x14ac:dyDescent="0.35">
      <c r="W35" s="289"/>
      <c r="X35" s="28" t="s">
        <v>9</v>
      </c>
      <c r="Y35" s="38">
        <f t="shared" ca="1" si="3"/>
        <v>8.495269867657234E-3</v>
      </c>
      <c r="Z35" s="38">
        <f t="shared" ca="1" si="3"/>
        <v>9.6982326752600989E-2</v>
      </c>
      <c r="AA35" s="38">
        <f t="shared" ca="1" si="3"/>
        <v>0.18285372946956516</v>
      </c>
      <c r="AB35" s="38">
        <f t="shared" ca="1" si="3"/>
        <v>6.5118157746086217E-2</v>
      </c>
      <c r="AC35" s="38">
        <f t="shared" ca="1" si="3"/>
        <v>3.6611135158567377E-3</v>
      </c>
      <c r="AD35" s="38">
        <f t="shared" ca="1" si="3"/>
        <v>0.11880313918061954</v>
      </c>
      <c r="AE35" s="38">
        <f t="shared" ca="1" si="3"/>
        <v>0.17774988371348557</v>
      </c>
      <c r="AF35" s="38">
        <f t="shared" ca="1" si="3"/>
        <v>0.1938886114962742</v>
      </c>
    </row>
    <row r="36" spans="2:32" ht="15" thickBot="1" x14ac:dyDescent="0.35">
      <c r="W36" s="295">
        <v>4</v>
      </c>
      <c r="X36" s="27" t="s">
        <v>4</v>
      </c>
      <c r="Y36" s="38">
        <f ca="1">$X$74*RAND()</f>
        <v>0.14745897112250225</v>
      </c>
      <c r="Z36" s="38">
        <f t="shared" ca="1" si="3"/>
        <v>0.21135250018135024</v>
      </c>
      <c r="AA36" s="38">
        <f t="shared" ca="1" si="3"/>
        <v>0.21674352275657702</v>
      </c>
      <c r="AB36" s="38">
        <f t="shared" ca="1" si="3"/>
        <v>0.10366201750079179</v>
      </c>
      <c r="AC36" s="38">
        <f t="shared" ca="1" si="3"/>
        <v>0.25921461584055577</v>
      </c>
      <c r="AD36" s="38">
        <f t="shared" ca="1" si="3"/>
        <v>0.18218604695028578</v>
      </c>
      <c r="AE36" s="38">
        <f t="shared" ca="1" si="3"/>
        <v>5.5301914306140711E-2</v>
      </c>
      <c r="AF36" s="38">
        <f t="shared" ca="1" si="3"/>
        <v>0.21488874423008705</v>
      </c>
    </row>
    <row r="37" spans="2:32" ht="15" thickBot="1" x14ac:dyDescent="0.35">
      <c r="W37" s="296"/>
      <c r="X37" s="27" t="s">
        <v>8</v>
      </c>
      <c r="Y37" s="38">
        <f t="shared" ref="Y37:Y42" ca="1" si="4">$X$74*RAND()</f>
        <v>3.760693728325095E-2</v>
      </c>
      <c r="Z37" s="38">
        <f t="shared" ca="1" si="3"/>
        <v>9.3298760506462533E-2</v>
      </c>
      <c r="AA37" s="38">
        <f t="shared" ca="1" si="3"/>
        <v>4.7200325653498042E-2</v>
      </c>
      <c r="AB37" s="38">
        <f t="shared" ca="1" si="3"/>
        <v>5.7076726649814627E-3</v>
      </c>
      <c r="AC37" s="38">
        <f t="shared" ca="1" si="3"/>
        <v>0.22134378492499071</v>
      </c>
      <c r="AD37" s="38">
        <f t="shared" ca="1" si="3"/>
        <v>0.13137236082060599</v>
      </c>
      <c r="AE37" s="38">
        <f t="shared" ca="1" si="3"/>
        <v>0.15333949358225152</v>
      </c>
      <c r="AF37" s="38">
        <f t="shared" ca="1" si="3"/>
        <v>0.21550840479790684</v>
      </c>
    </row>
    <row r="38" spans="2:32" ht="15" thickBot="1" x14ac:dyDescent="0.35">
      <c r="W38" s="296"/>
      <c r="X38" s="27" t="s">
        <v>6</v>
      </c>
      <c r="Y38" s="38">
        <f t="shared" ca="1" si="4"/>
        <v>3.9845271044378162E-2</v>
      </c>
      <c r="Z38" s="38">
        <f t="shared" ca="1" si="3"/>
        <v>0.22349083714803908</v>
      </c>
      <c r="AA38" s="38">
        <f t="shared" ca="1" si="3"/>
        <v>5.0063790455236165E-2</v>
      </c>
      <c r="AB38" s="38">
        <f t="shared" ca="1" si="3"/>
        <v>8.7098750868002242E-2</v>
      </c>
      <c r="AC38" s="38">
        <f t="shared" ca="1" si="3"/>
        <v>9.0506257010451702E-2</v>
      </c>
      <c r="AD38" s="38">
        <f t="shared" ca="1" si="3"/>
        <v>0.1999873566600755</v>
      </c>
      <c r="AE38" s="38">
        <f t="shared" ca="1" si="3"/>
        <v>0.155712063852539</v>
      </c>
      <c r="AF38" s="38">
        <f t="shared" ca="1" si="3"/>
        <v>0.18107912892650055</v>
      </c>
    </row>
    <row r="39" spans="2:32" ht="15" thickBot="1" x14ac:dyDescent="0.35">
      <c r="W39" s="296"/>
      <c r="X39" s="27" t="s">
        <v>3</v>
      </c>
      <c r="Y39" s="38">
        <f t="shared" ca="1" si="4"/>
        <v>0.14449535733374352</v>
      </c>
      <c r="Z39" s="38">
        <f t="shared" ca="1" si="3"/>
        <v>0.10717799485925347</v>
      </c>
      <c r="AA39" s="38">
        <f t="shared" ca="1" si="3"/>
        <v>0.15418333458990879</v>
      </c>
      <c r="AB39" s="38">
        <f t="shared" ca="1" si="3"/>
        <v>4.3770479111381849E-2</v>
      </c>
      <c r="AC39" s="38">
        <f t="shared" ca="1" si="3"/>
        <v>8.3405899589203678E-2</v>
      </c>
      <c r="AD39" s="38">
        <f t="shared" ca="1" si="3"/>
        <v>0.16843837618954446</v>
      </c>
      <c r="AE39" s="38">
        <f t="shared" ca="1" si="3"/>
        <v>9.7144742941441681E-2</v>
      </c>
      <c r="AF39" s="38">
        <f t="shared" ca="1" si="3"/>
        <v>0.20515277353729489</v>
      </c>
    </row>
    <row r="40" spans="2:32" ht="15" thickBot="1" x14ac:dyDescent="0.35">
      <c r="W40" s="296"/>
      <c r="X40" s="27" t="s">
        <v>5</v>
      </c>
      <c r="Y40" s="38">
        <f t="shared" ca="1" si="4"/>
        <v>0.19127523586061956</v>
      </c>
      <c r="Z40" s="38">
        <f t="shared" ca="1" si="3"/>
        <v>0.17529328152995469</v>
      </c>
      <c r="AA40" s="38">
        <f t="shared" ca="1" si="3"/>
        <v>0.16351564957438405</v>
      </c>
      <c r="AB40" s="38">
        <f t="shared" ca="1" si="3"/>
        <v>0.15392523936065067</v>
      </c>
      <c r="AC40" s="38">
        <f t="shared" ca="1" si="3"/>
        <v>9.0102762512060855E-2</v>
      </c>
      <c r="AD40" s="38">
        <f t="shared" ca="1" si="3"/>
        <v>0.13143448281357895</v>
      </c>
      <c r="AE40" s="38">
        <f t="shared" ca="1" si="3"/>
        <v>0.16103533692650582</v>
      </c>
      <c r="AF40" s="38">
        <f t="shared" ca="1" si="3"/>
        <v>0.21898097184964752</v>
      </c>
    </row>
    <row r="41" spans="2:32" ht="15" thickBot="1" x14ac:dyDescent="0.35">
      <c r="W41" s="296"/>
      <c r="X41" s="27" t="s">
        <v>7</v>
      </c>
      <c r="Y41" s="38">
        <f t="shared" ca="1" si="4"/>
        <v>0.17231713119648623</v>
      </c>
      <c r="Z41" s="38">
        <f t="shared" ca="1" si="3"/>
        <v>6.9564293759683066E-2</v>
      </c>
      <c r="AA41" s="38">
        <f t="shared" ca="1" si="3"/>
        <v>9.6245384351667879E-2</v>
      </c>
      <c r="AB41" s="38">
        <f t="shared" ca="1" si="3"/>
        <v>0.13354351874372741</v>
      </c>
      <c r="AC41" s="38">
        <f t="shared" ca="1" si="3"/>
        <v>0.1950002903730591</v>
      </c>
      <c r="AD41" s="38">
        <f t="shared" ca="1" si="3"/>
        <v>7.856779381178132E-2</v>
      </c>
      <c r="AE41" s="38">
        <f t="shared" ca="1" si="3"/>
        <v>0.10334462258250841</v>
      </c>
      <c r="AF41" s="38">
        <f t="shared" ca="1" si="3"/>
        <v>0.19696175743572267</v>
      </c>
    </row>
    <row r="42" spans="2:32" ht="15" thickBot="1" x14ac:dyDescent="0.35">
      <c r="W42" s="297"/>
      <c r="X42" s="28" t="s">
        <v>9</v>
      </c>
      <c r="Y42" s="38">
        <f t="shared" ca="1" si="4"/>
        <v>6.20901521189587E-2</v>
      </c>
      <c r="Z42" s="38">
        <f t="shared" ca="1" si="3"/>
        <v>4.2183797796118708E-2</v>
      </c>
      <c r="AA42" s="38">
        <f t="shared" ca="1" si="3"/>
        <v>9.5745096711842004E-2</v>
      </c>
      <c r="AB42" s="38">
        <f t="shared" ca="1" si="3"/>
        <v>0.23201186978135202</v>
      </c>
      <c r="AC42" s="38">
        <f t="shared" ca="1" si="3"/>
        <v>6.8318527028094563E-4</v>
      </c>
      <c r="AD42" s="38">
        <f t="shared" ca="1" si="3"/>
        <v>0.13518484997348271</v>
      </c>
      <c r="AE42" s="38">
        <f t="shared" ca="1" si="3"/>
        <v>0.12765620053617813</v>
      </c>
      <c r="AF42" s="38">
        <f t="shared" ca="1" si="3"/>
        <v>0.23081322612049338</v>
      </c>
    </row>
    <row r="43" spans="2:32" x14ac:dyDescent="0.3">
      <c r="W43" s="65"/>
      <c r="X43" s="65"/>
      <c r="Y43" s="65"/>
      <c r="Z43" s="65"/>
      <c r="AA43" s="65"/>
      <c r="AB43" s="65"/>
      <c r="AC43" s="65"/>
      <c r="AD43" s="65"/>
      <c r="AE43" s="65"/>
      <c r="AF43" s="65"/>
    </row>
    <row r="44" spans="2:32" x14ac:dyDescent="0.3">
      <c r="W44" s="65"/>
      <c r="X44" s="65"/>
      <c r="Y44" s="65"/>
      <c r="Z44" s="65"/>
      <c r="AA44" s="65"/>
      <c r="AB44" s="65"/>
      <c r="AC44" s="65"/>
      <c r="AD44" s="65"/>
      <c r="AE44" s="65"/>
      <c r="AF44" s="65"/>
    </row>
    <row r="45" spans="2:32" x14ac:dyDescent="0.3">
      <c r="B45" s="65"/>
      <c r="C45" s="65"/>
      <c r="I45" s="65"/>
      <c r="J45" s="65"/>
      <c r="P45" s="65"/>
      <c r="Q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</row>
    <row r="46" spans="2:32" x14ac:dyDescent="0.3">
      <c r="B46" s="65"/>
      <c r="C46" s="65"/>
      <c r="I46" s="65"/>
      <c r="J46" s="65"/>
      <c r="P46" s="65"/>
      <c r="Q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</row>
    <row r="47" spans="2:32" ht="15" thickBot="1" x14ac:dyDescent="0.35">
      <c r="B47" s="65"/>
      <c r="C47" s="65"/>
      <c r="I47" s="65"/>
      <c r="J47" s="65"/>
      <c r="P47" s="65"/>
      <c r="Q47" s="65"/>
      <c r="U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</row>
    <row r="48" spans="2:32" ht="16.2" thickBot="1" x14ac:dyDescent="0.35">
      <c r="B48" s="65"/>
      <c r="C48" s="65"/>
      <c r="D48" s="65"/>
      <c r="E48" s="65"/>
      <c r="F48" s="65"/>
      <c r="I48" s="65"/>
      <c r="J48" s="65"/>
      <c r="K48" s="65"/>
      <c r="L48" s="65"/>
      <c r="M48" s="65"/>
      <c r="P48" s="65"/>
      <c r="Q48" s="65"/>
      <c r="R48" s="65"/>
      <c r="S48" s="65"/>
      <c r="T48" s="65"/>
      <c r="U48" s="2"/>
      <c r="W48" s="292" t="s">
        <v>18</v>
      </c>
      <c r="X48" s="293"/>
      <c r="Y48" s="293"/>
      <c r="Z48" s="293"/>
      <c r="AA48" s="293"/>
      <c r="AB48" s="293"/>
      <c r="AC48" s="293"/>
      <c r="AD48" s="293"/>
      <c r="AE48" s="294"/>
      <c r="AF48" s="65"/>
    </row>
    <row r="49" spans="22:113" ht="15" thickBot="1" x14ac:dyDescent="0.35">
      <c r="W49" s="298" t="s">
        <v>19</v>
      </c>
      <c r="X49" s="285" t="s">
        <v>1</v>
      </c>
      <c r="Y49" s="286"/>
      <c r="Z49" s="285" t="s">
        <v>219</v>
      </c>
      <c r="AA49" s="286"/>
      <c r="AB49" s="285" t="s">
        <v>242</v>
      </c>
      <c r="AC49" s="286"/>
      <c r="AD49" s="285" t="s">
        <v>231</v>
      </c>
      <c r="AE49" s="286"/>
      <c r="AF49" s="65"/>
      <c r="AG49" s="65"/>
    </row>
    <row r="50" spans="22:113" ht="29.4" thickBot="1" x14ac:dyDescent="0.35">
      <c r="V50" s="65"/>
      <c r="W50" s="299"/>
      <c r="X50" s="25" t="s">
        <v>14</v>
      </c>
      <c r="Y50" s="26" t="s">
        <v>13</v>
      </c>
      <c r="Z50" s="25" t="s">
        <v>14</v>
      </c>
      <c r="AA50" s="26" t="s">
        <v>13</v>
      </c>
      <c r="AB50" s="25" t="s">
        <v>14</v>
      </c>
      <c r="AC50" s="26" t="s">
        <v>13</v>
      </c>
      <c r="AD50" s="25" t="s">
        <v>14</v>
      </c>
      <c r="AE50" s="26" t="s">
        <v>13</v>
      </c>
      <c r="AF50" s="66"/>
      <c r="AG50" s="66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</row>
    <row r="51" spans="22:113" ht="15" thickBot="1" x14ac:dyDescent="0.35">
      <c r="V51" s="2"/>
      <c r="W51" s="27" t="s">
        <v>4</v>
      </c>
      <c r="X51" s="38">
        <f ca="1">$X$74*RAND()</f>
        <v>0.19626725452592475</v>
      </c>
      <c r="Y51" s="38">
        <f t="shared" ref="Y51:AE57" ca="1" si="5">$X$74*RAND()</f>
        <v>0.10176877117874679</v>
      </c>
      <c r="Z51" s="38">
        <f t="shared" ca="1" si="5"/>
        <v>3.3673347452731109E-2</v>
      </c>
      <c r="AA51" s="38">
        <f t="shared" ca="1" si="5"/>
        <v>3.3274186930926493E-2</v>
      </c>
      <c r="AB51" s="38">
        <f t="shared" ca="1" si="5"/>
        <v>4.3796738569865851E-2</v>
      </c>
      <c r="AC51" s="38">
        <f t="shared" ca="1" si="5"/>
        <v>0.16516009060227121</v>
      </c>
      <c r="AD51" s="38">
        <f t="shared" ca="1" si="5"/>
        <v>0.19991770866354763</v>
      </c>
      <c r="AE51" s="38">
        <f t="shared" ca="1" si="5"/>
        <v>0.26921341153991402</v>
      </c>
      <c r="AF51" s="65"/>
      <c r="AG51" s="65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C51" s="11"/>
      <c r="BD51" s="11"/>
      <c r="BE51" s="11"/>
      <c r="BF51" s="11"/>
      <c r="CD51" s="20"/>
      <c r="CE51" s="20"/>
      <c r="CF51" s="20"/>
      <c r="CG51" s="20"/>
      <c r="CH51" s="20"/>
      <c r="CI51" s="20"/>
      <c r="CJ51" s="20"/>
    </row>
    <row r="52" spans="22:113" ht="15" thickBot="1" x14ac:dyDescent="0.35">
      <c r="W52" s="27" t="s">
        <v>8</v>
      </c>
      <c r="X52" s="38">
        <f t="shared" ref="X52:X57" ca="1" si="6">$X$74*RAND()</f>
        <v>0.16154908547995722</v>
      </c>
      <c r="Y52" s="38">
        <f t="shared" ca="1" si="5"/>
        <v>4.3412492028997385E-2</v>
      </c>
      <c r="Z52" s="38">
        <f t="shared" ca="1" si="5"/>
        <v>7.6840951432479265E-2</v>
      </c>
      <c r="AA52" s="38">
        <f t="shared" ca="1" si="5"/>
        <v>0.16702127580092971</v>
      </c>
      <c r="AB52" s="38">
        <f t="shared" ca="1" si="5"/>
        <v>0.18989072742152352</v>
      </c>
      <c r="AC52" s="38">
        <f t="shared" ca="1" si="5"/>
        <v>0.21250569813980594</v>
      </c>
      <c r="AD52" s="38">
        <f t="shared" ca="1" si="5"/>
        <v>9.4190737003600297E-2</v>
      </c>
      <c r="AE52" s="38">
        <f t="shared" ca="1" si="5"/>
        <v>0.25824604501983323</v>
      </c>
      <c r="AF52" s="65"/>
      <c r="AG52" s="65"/>
    </row>
    <row r="53" spans="22:113" ht="15" thickBot="1" x14ac:dyDescent="0.35">
      <c r="W53" s="27" t="s">
        <v>6</v>
      </c>
      <c r="X53" s="38">
        <f t="shared" ca="1" si="6"/>
        <v>0.2170920036613973</v>
      </c>
      <c r="Y53" s="38">
        <f t="shared" ca="1" si="5"/>
        <v>4.6520278394104768E-2</v>
      </c>
      <c r="Z53" s="38">
        <f t="shared" ca="1" si="5"/>
        <v>0.15776568030479252</v>
      </c>
      <c r="AA53" s="38">
        <f t="shared" ca="1" si="5"/>
        <v>8.1677209326451991E-2</v>
      </c>
      <c r="AB53" s="38">
        <f t="shared" ca="1" si="5"/>
        <v>0.16704912446526241</v>
      </c>
      <c r="AC53" s="38">
        <f t="shared" ca="1" si="5"/>
        <v>0.21525361824680622</v>
      </c>
      <c r="AD53" s="38">
        <f t="shared" ca="1" si="5"/>
        <v>4.1878804181583497E-3</v>
      </c>
      <c r="AE53" s="38">
        <f t="shared" ca="1" si="5"/>
        <v>0.25191669178218568</v>
      </c>
      <c r="AF53" s="65"/>
      <c r="AG53" s="65"/>
    </row>
    <row r="54" spans="22:113" ht="15" thickBot="1" x14ac:dyDescent="0.35">
      <c r="W54" s="27" t="s">
        <v>3</v>
      </c>
      <c r="X54" s="38">
        <f t="shared" ca="1" si="6"/>
        <v>6.5585636876060699E-2</v>
      </c>
      <c r="Y54" s="38">
        <f t="shared" ca="1" si="5"/>
        <v>5.3035199611234068E-2</v>
      </c>
      <c r="Z54" s="38">
        <f t="shared" ca="1" si="5"/>
        <v>0.12273923480655297</v>
      </c>
      <c r="AA54" s="38">
        <f t="shared" ca="1" si="5"/>
        <v>0.22328996552349931</v>
      </c>
      <c r="AB54" s="38">
        <f t="shared" ca="1" si="5"/>
        <v>9.6092476491168061E-2</v>
      </c>
      <c r="AC54" s="38">
        <f t="shared" ca="1" si="5"/>
        <v>4.4064386394106106E-2</v>
      </c>
      <c r="AD54" s="38">
        <f t="shared" ca="1" si="5"/>
        <v>0.11162946593564288</v>
      </c>
      <c r="AE54" s="38">
        <f t="shared" ca="1" si="5"/>
        <v>0.1675389679119014</v>
      </c>
      <c r="AF54" s="65"/>
      <c r="AG54" s="65"/>
    </row>
    <row r="55" spans="22:113" ht="15" thickBot="1" x14ac:dyDescent="0.35">
      <c r="W55" s="27" t="s">
        <v>5</v>
      </c>
      <c r="X55" s="38">
        <f t="shared" ca="1" si="6"/>
        <v>0.15082944492682673</v>
      </c>
      <c r="Y55" s="38">
        <f t="shared" ca="1" si="5"/>
        <v>2.9399073504181698E-2</v>
      </c>
      <c r="Z55" s="38">
        <f t="shared" ca="1" si="5"/>
        <v>0.1780663783106515</v>
      </c>
      <c r="AA55" s="38">
        <f t="shared" ca="1" si="5"/>
        <v>4.9259659344547548E-2</v>
      </c>
      <c r="AB55" s="38">
        <f t="shared" ca="1" si="5"/>
        <v>0.2548164140750257</v>
      </c>
      <c r="AC55" s="38">
        <f t="shared" ca="1" si="5"/>
        <v>6.5689608940174213E-2</v>
      </c>
      <c r="AD55" s="38">
        <f t="shared" ca="1" si="5"/>
        <v>0.23733645350270993</v>
      </c>
      <c r="AE55" s="38">
        <f t="shared" ca="1" si="5"/>
        <v>0.19910764219974858</v>
      </c>
      <c r="AF55" s="65"/>
      <c r="AG55" s="65"/>
    </row>
    <row r="56" spans="22:113" ht="15" thickBot="1" x14ac:dyDescent="0.35">
      <c r="W56" s="27" t="s">
        <v>7</v>
      </c>
      <c r="X56" s="38">
        <f t="shared" ca="1" si="6"/>
        <v>0.22945828812121402</v>
      </c>
      <c r="Y56" s="38">
        <f t="shared" ca="1" si="5"/>
        <v>0.18917857945017585</v>
      </c>
      <c r="Z56" s="38">
        <f t="shared" ca="1" si="5"/>
        <v>0.22879245837379256</v>
      </c>
      <c r="AA56" s="38">
        <f t="shared" ca="1" si="5"/>
        <v>0.11619094594411578</v>
      </c>
      <c r="AB56" s="38">
        <f t="shared" ca="1" si="5"/>
        <v>0.13502877677288219</v>
      </c>
      <c r="AC56" s="38">
        <f t="shared" ca="1" si="5"/>
        <v>0.16233965565238848</v>
      </c>
      <c r="AD56" s="38">
        <f t="shared" ca="1" si="5"/>
        <v>0.21835678115575485</v>
      </c>
      <c r="AE56" s="38">
        <f t="shared" ca="1" si="5"/>
        <v>0.16098754464336398</v>
      </c>
      <c r="AF56" s="65"/>
      <c r="AG56" s="65"/>
    </row>
    <row r="57" spans="22:113" ht="15" thickBot="1" x14ac:dyDescent="0.35">
      <c r="W57" s="28" t="s">
        <v>9</v>
      </c>
      <c r="X57" s="38">
        <f t="shared" ca="1" si="6"/>
        <v>8.9096641493704568E-2</v>
      </c>
      <c r="Y57" s="38">
        <f t="shared" ca="1" si="5"/>
        <v>0.14188789792564649</v>
      </c>
      <c r="Z57" s="38">
        <f t="shared" ca="1" si="5"/>
        <v>0.26726309902679596</v>
      </c>
      <c r="AA57" s="38">
        <f t="shared" ca="1" si="5"/>
        <v>6.0636018470901797E-2</v>
      </c>
      <c r="AB57" s="38">
        <f t="shared" ca="1" si="5"/>
        <v>0.17542046404369457</v>
      </c>
      <c r="AC57" s="38">
        <f t="shared" ca="1" si="5"/>
        <v>0.21427627720829542</v>
      </c>
      <c r="AD57" s="38">
        <f t="shared" ca="1" si="5"/>
        <v>0.26296588231768719</v>
      </c>
      <c r="AE57" s="38">
        <f t="shared" ca="1" si="5"/>
        <v>0.23772472008152915</v>
      </c>
      <c r="AF57" s="11"/>
      <c r="AG57" s="65"/>
    </row>
    <row r="58" spans="22:113" x14ac:dyDescent="0.3">
      <c r="W58" s="65"/>
      <c r="X58" s="65"/>
      <c r="Y58" s="65"/>
      <c r="Z58" s="65"/>
      <c r="AA58" s="65"/>
      <c r="AB58" s="65"/>
      <c r="AC58" s="65"/>
      <c r="AD58" s="65"/>
      <c r="AE58" s="11"/>
      <c r="AF58" s="11"/>
      <c r="AG58" s="65"/>
    </row>
    <row r="59" spans="22:113" ht="15" thickBot="1" x14ac:dyDescent="0.35">
      <c r="W59" s="65"/>
      <c r="X59" s="65"/>
      <c r="Y59" s="65"/>
      <c r="Z59" s="65"/>
      <c r="AA59" s="65"/>
      <c r="AB59" s="65"/>
      <c r="AC59" s="65"/>
      <c r="AD59" s="65"/>
      <c r="AE59" s="11"/>
      <c r="AF59" s="11"/>
      <c r="AG59" s="65"/>
    </row>
    <row r="60" spans="22:113" ht="16.2" thickBot="1" x14ac:dyDescent="0.35">
      <c r="W60" s="292" t="s">
        <v>36</v>
      </c>
      <c r="X60" s="293"/>
      <c r="Y60" s="293"/>
      <c r="Z60" s="293"/>
      <c r="AA60" s="293"/>
      <c r="AB60" s="293"/>
      <c r="AC60" s="293"/>
      <c r="AD60" s="293"/>
      <c r="AE60" s="294"/>
      <c r="AF60" s="11"/>
      <c r="AG60" s="65"/>
    </row>
    <row r="61" spans="22:113" ht="15" thickBot="1" x14ac:dyDescent="0.35">
      <c r="W61" s="298" t="s">
        <v>19</v>
      </c>
      <c r="X61" s="285" t="s">
        <v>1</v>
      </c>
      <c r="Y61" s="286"/>
      <c r="Z61" s="285" t="s">
        <v>219</v>
      </c>
      <c r="AA61" s="286"/>
      <c r="AB61" s="285" t="s">
        <v>242</v>
      </c>
      <c r="AC61" s="286"/>
      <c r="AD61" s="285" t="s">
        <v>231</v>
      </c>
      <c r="AE61" s="286"/>
      <c r="AF61" s="11"/>
      <c r="AG61" s="65"/>
    </row>
    <row r="62" spans="22:113" ht="29.4" thickBot="1" x14ac:dyDescent="0.35">
      <c r="W62" s="299"/>
      <c r="X62" s="25" t="s">
        <v>14</v>
      </c>
      <c r="Y62" s="26" t="s">
        <v>13</v>
      </c>
      <c r="Z62" s="25" t="s">
        <v>14</v>
      </c>
      <c r="AA62" s="26" t="s">
        <v>13</v>
      </c>
      <c r="AB62" s="25" t="s">
        <v>14</v>
      </c>
      <c r="AC62" s="26" t="s">
        <v>13</v>
      </c>
      <c r="AD62" s="25" t="s">
        <v>14</v>
      </c>
      <c r="AE62" s="26" t="s">
        <v>13</v>
      </c>
      <c r="AF62" s="11"/>
      <c r="AG62" s="65"/>
    </row>
    <row r="63" spans="22:113" ht="15" thickBot="1" x14ac:dyDescent="0.35">
      <c r="W63" s="27" t="s">
        <v>4</v>
      </c>
      <c r="X63" s="38">
        <f ca="1">$X$74*RAND()</f>
        <v>0.15518664000247495</v>
      </c>
      <c r="Y63" s="38">
        <f t="shared" ref="Y63:AE69" ca="1" si="7">$X$74*RAND()</f>
        <v>0.13622496629866312</v>
      </c>
      <c r="Z63" s="38">
        <f t="shared" ca="1" si="7"/>
        <v>0.11943309090502319</v>
      </c>
      <c r="AA63" s="38">
        <f t="shared" ca="1" si="7"/>
        <v>0.25642209932866267</v>
      </c>
      <c r="AB63" s="38">
        <f t="shared" ca="1" si="7"/>
        <v>0.14591486851422639</v>
      </c>
      <c r="AC63" s="38">
        <f t="shared" ca="1" si="7"/>
        <v>0.12888195412653866</v>
      </c>
      <c r="AD63" s="38">
        <f t="shared" ca="1" si="7"/>
        <v>8.6459778887319552E-2</v>
      </c>
      <c r="AE63" s="38">
        <f t="shared" ca="1" si="7"/>
        <v>1.7898902181700156E-2</v>
      </c>
      <c r="AF63" s="11"/>
      <c r="AG63" s="65"/>
    </row>
    <row r="64" spans="22:113" ht="15" thickBot="1" x14ac:dyDescent="0.35">
      <c r="W64" s="27" t="s">
        <v>8</v>
      </c>
      <c r="X64" s="38">
        <f t="shared" ref="X64:X69" ca="1" si="8">$X$74*RAND()</f>
        <v>0.26390308215926495</v>
      </c>
      <c r="Y64" s="38">
        <f t="shared" ca="1" si="7"/>
        <v>0.26289502513188462</v>
      </c>
      <c r="Z64" s="38">
        <f t="shared" ca="1" si="7"/>
        <v>0.21093536666400028</v>
      </c>
      <c r="AA64" s="38">
        <f t="shared" ca="1" si="7"/>
        <v>0.23532820570068402</v>
      </c>
      <c r="AB64" s="38">
        <f t="shared" ca="1" si="7"/>
        <v>0.10356346916741989</v>
      </c>
      <c r="AC64" s="38">
        <f t="shared" ca="1" si="7"/>
        <v>0.18049444612390494</v>
      </c>
      <c r="AD64" s="38">
        <f t="shared" ca="1" si="7"/>
        <v>0.14212455981035108</v>
      </c>
      <c r="AE64" s="38">
        <f t="shared" ca="1" si="7"/>
        <v>4.4901963055122902E-2</v>
      </c>
      <c r="AF64" s="65"/>
      <c r="AG64" s="65"/>
    </row>
    <row r="65" spans="23:32" ht="15" thickBot="1" x14ac:dyDescent="0.35">
      <c r="W65" s="27" t="s">
        <v>6</v>
      </c>
      <c r="X65" s="38">
        <f t="shared" ca="1" si="8"/>
        <v>0.15266700600273148</v>
      </c>
      <c r="Y65" s="38">
        <f t="shared" ca="1" si="7"/>
        <v>0.26678346853623552</v>
      </c>
      <c r="Z65" s="38">
        <f t="shared" ca="1" si="7"/>
        <v>0.25166303373340015</v>
      </c>
      <c r="AA65" s="38">
        <f t="shared" ca="1" si="7"/>
        <v>0.12737564465088039</v>
      </c>
      <c r="AB65" s="38">
        <f t="shared" ca="1" si="7"/>
        <v>0.21388541085562096</v>
      </c>
      <c r="AC65" s="38">
        <f t="shared" ca="1" si="7"/>
        <v>0.19588997102596448</v>
      </c>
      <c r="AD65" s="38">
        <f t="shared" ca="1" si="7"/>
        <v>7.9826455322321202E-2</v>
      </c>
      <c r="AE65" s="38">
        <f t="shared" ca="1" si="7"/>
        <v>0.26035475319506524</v>
      </c>
      <c r="AF65" s="65"/>
    </row>
    <row r="66" spans="23:32" ht="15" thickBot="1" x14ac:dyDescent="0.35">
      <c r="W66" s="27" t="s">
        <v>3</v>
      </c>
      <c r="X66" s="38">
        <f t="shared" ca="1" si="8"/>
        <v>0.21825424202002761</v>
      </c>
      <c r="Y66" s="38">
        <f t="shared" ca="1" si="7"/>
        <v>0.13199463010458459</v>
      </c>
      <c r="Z66" s="38">
        <f t="shared" ca="1" si="7"/>
        <v>0.1706551465375446</v>
      </c>
      <c r="AA66" s="38">
        <f t="shared" ca="1" si="7"/>
        <v>0.25026144634022368</v>
      </c>
      <c r="AB66" s="38">
        <f t="shared" ca="1" si="7"/>
        <v>0.21273917544220225</v>
      </c>
      <c r="AC66" s="38">
        <f t="shared" ca="1" si="7"/>
        <v>0.23513349816759105</v>
      </c>
      <c r="AD66" s="38">
        <f t="shared" ca="1" si="7"/>
        <v>0.22986551042640876</v>
      </c>
      <c r="AE66" s="38">
        <f t="shared" ca="1" si="7"/>
        <v>0.12022852648123707</v>
      </c>
      <c r="AF66" s="65"/>
    </row>
    <row r="67" spans="23:32" ht="15" thickBot="1" x14ac:dyDescent="0.35">
      <c r="W67" s="27" t="s">
        <v>5</v>
      </c>
      <c r="X67" s="38">
        <f t="shared" ca="1" si="8"/>
        <v>0.15001759509304663</v>
      </c>
      <c r="Y67" s="38">
        <f t="shared" ca="1" si="7"/>
        <v>0.12645793535448785</v>
      </c>
      <c r="Z67" s="38">
        <f t="shared" ca="1" si="7"/>
        <v>0.21766185674666075</v>
      </c>
      <c r="AA67" s="38">
        <f t="shared" ca="1" si="7"/>
        <v>0.21220123371177979</v>
      </c>
      <c r="AB67" s="38">
        <f t="shared" ca="1" si="7"/>
        <v>0.26363548272521248</v>
      </c>
      <c r="AC67" s="38">
        <f t="shared" ca="1" si="7"/>
        <v>9.1911899959892907E-2</v>
      </c>
      <c r="AD67" s="38">
        <f t="shared" ca="1" si="7"/>
        <v>0.2533622470052585</v>
      </c>
      <c r="AE67" s="38">
        <f t="shared" ca="1" si="7"/>
        <v>0.25939923144428018</v>
      </c>
      <c r="AF67" s="65"/>
    </row>
    <row r="68" spans="23:32" ht="15" thickBot="1" x14ac:dyDescent="0.35">
      <c r="W68" s="27" t="s">
        <v>7</v>
      </c>
      <c r="X68" s="38">
        <f t="shared" ca="1" si="8"/>
        <v>0.23621650145024373</v>
      </c>
      <c r="Y68" s="38">
        <f t="shared" ca="1" si="7"/>
        <v>7.1289646667204568E-2</v>
      </c>
      <c r="Z68" s="38">
        <f t="shared" ca="1" si="7"/>
        <v>0.22318119393730623</v>
      </c>
      <c r="AA68" s="38">
        <f t="shared" ca="1" si="7"/>
        <v>5.8702692099968978E-2</v>
      </c>
      <c r="AB68" s="38">
        <f t="shared" ca="1" si="7"/>
        <v>0.16485735668192725</v>
      </c>
      <c r="AC68" s="38">
        <f t="shared" ca="1" si="7"/>
        <v>0.26655083892940729</v>
      </c>
      <c r="AD68" s="38">
        <f t="shared" ca="1" si="7"/>
        <v>5.6039561294635359E-2</v>
      </c>
      <c r="AE68" s="38">
        <f t="shared" ca="1" si="7"/>
        <v>0.14581359905128957</v>
      </c>
      <c r="AF68" s="65"/>
    </row>
    <row r="69" spans="23:32" ht="15" thickBot="1" x14ac:dyDescent="0.35">
      <c r="W69" s="28" t="s">
        <v>9</v>
      </c>
      <c r="X69" s="38">
        <f t="shared" ca="1" si="8"/>
        <v>0.22086843627756558</v>
      </c>
      <c r="Y69" s="38">
        <f t="shared" ca="1" si="7"/>
        <v>4.2459127966515353E-2</v>
      </c>
      <c r="Z69" s="38">
        <f t="shared" ca="1" si="7"/>
        <v>2.0369888245625856E-2</v>
      </c>
      <c r="AA69" s="38">
        <f t="shared" ca="1" si="7"/>
        <v>3.1399415464331469E-2</v>
      </c>
      <c r="AB69" s="38">
        <f t="shared" ca="1" si="7"/>
        <v>0.25734158865278783</v>
      </c>
      <c r="AC69" s="38">
        <f t="shared" ca="1" si="7"/>
        <v>8.0848075876620351E-2</v>
      </c>
      <c r="AD69" s="38">
        <f t="shared" ca="1" si="7"/>
        <v>0.23388550747816253</v>
      </c>
      <c r="AE69" s="38">
        <f t="shared" ca="1" si="7"/>
        <v>0.22551165368667281</v>
      </c>
      <c r="AF69" s="65"/>
    </row>
    <row r="70" spans="23:32" x14ac:dyDescent="0.3">
      <c r="W70" s="65"/>
      <c r="X70" s="65"/>
      <c r="Y70" s="65"/>
      <c r="Z70" s="65"/>
      <c r="AA70" s="65"/>
      <c r="AB70" s="65"/>
      <c r="AC70" s="65"/>
      <c r="AD70" s="65"/>
      <c r="AE70" s="2"/>
    </row>
    <row r="71" spans="23:32" ht="15" thickBot="1" x14ac:dyDescent="0.35">
      <c r="W71" s="65"/>
      <c r="X71" s="65"/>
      <c r="Y71" s="65"/>
      <c r="Z71" s="65"/>
      <c r="AA71" s="65"/>
      <c r="AB71" s="65"/>
      <c r="AC71" s="65"/>
      <c r="AD71" s="65"/>
      <c r="AE71" s="65"/>
    </row>
    <row r="72" spans="23:32" ht="16.2" thickBot="1" x14ac:dyDescent="0.35">
      <c r="W72" s="292" t="str">
        <f>Controls!H18</f>
        <v>P</v>
      </c>
      <c r="X72" s="293"/>
      <c r="Y72" s="294"/>
      <c r="Z72" s="65"/>
      <c r="AA72" s="65"/>
      <c r="AB72" s="65"/>
      <c r="AC72" s="65"/>
      <c r="AD72" s="65"/>
      <c r="AE72" s="65"/>
    </row>
    <row r="73" spans="23:32" ht="29.4" thickBot="1" x14ac:dyDescent="0.35">
      <c r="W73" s="239" t="s">
        <v>19</v>
      </c>
      <c r="X73" s="25" t="s">
        <v>14</v>
      </c>
      <c r="Y73" s="26" t="s">
        <v>13</v>
      </c>
      <c r="Z73" s="65"/>
      <c r="AA73" s="65"/>
      <c r="AB73" s="65"/>
      <c r="AC73" s="65"/>
      <c r="AD73" s="65"/>
      <c r="AE73" s="65"/>
    </row>
    <row r="74" spans="23:32" x14ac:dyDescent="0.3">
      <c r="W74" s="243" t="s">
        <v>9</v>
      </c>
      <c r="X74" s="38">
        <f>(VLOOKUP($W$72,$B$116:$I$226,3,FALSE)-VLOOKUP($W$72,$T$116:$AA$226,3,FALSE))/VLOOKUP($W$72,$T$116:$AA$226,3,FALSE)</f>
        <v>0.27098411360597285</v>
      </c>
      <c r="Y74" s="240">
        <f>(VLOOKUP($W$72,$K$116:$R$226,3,FALSE)-VLOOKUP($W$72,$T$116:$AA$226,3,FALSE))/VLOOKUP($W$72,$T$116:$AA$226,3,FALSE)</f>
        <v>0.64014138177198954</v>
      </c>
      <c r="Z74" s="65"/>
      <c r="AA74" s="65"/>
      <c r="AB74" s="65"/>
      <c r="AC74" s="65"/>
      <c r="AD74" s="65"/>
      <c r="AE74" s="65"/>
    </row>
    <row r="75" spans="23:32" x14ac:dyDescent="0.3">
      <c r="W75" s="244" t="s">
        <v>4</v>
      </c>
      <c r="X75" s="39">
        <f>(VLOOKUP($W$72,$B$116:$I$226,4,FALSE)-VLOOKUP($W$72,$T$116:$AA$226,4,FALSE))/VLOOKUP($W$72,$T$116:$AA$226,4,FALSE)</f>
        <v>-0.65769328454724152</v>
      </c>
      <c r="Y75" s="241">
        <f>(VLOOKUP($W$72,$K$116:$R$226,4,FALSE)-VLOOKUP($W$72,$T$116:$AA$226,4,FALSE))/VLOOKUP($W$72,$T$116:$AA$226,4,FALSE)</f>
        <v>-0.33013227735195844</v>
      </c>
      <c r="Z75" s="65"/>
      <c r="AA75" s="65"/>
      <c r="AB75" s="65"/>
      <c r="AC75" s="65"/>
      <c r="AD75" s="65"/>
      <c r="AE75" s="65"/>
    </row>
    <row r="76" spans="23:32" x14ac:dyDescent="0.3">
      <c r="W76" s="244" t="s">
        <v>8</v>
      </c>
      <c r="X76" s="39">
        <f>(VLOOKUP($W$72,$B$116:$I$226,5,FALSE)-VLOOKUP($W$72,$T$116:$AA$226,5,FALSE))/VLOOKUP($W$72,$T$116:$AA$226,5,FALSE)</f>
        <v>-0.55882667649377382</v>
      </c>
      <c r="Y76" s="241">
        <f>(VLOOKUP($W$72,$K$116:$R$226,5,FALSE)-VLOOKUP($W$72,$T$116:$AA$226,5,FALSE))/VLOOKUP($W$72,$T$116:$AA$226,5,FALSE)</f>
        <v>-0.48141145039526156</v>
      </c>
      <c r="Z76" s="65"/>
      <c r="AA76" s="65"/>
      <c r="AB76" s="65"/>
      <c r="AC76" s="65"/>
      <c r="AD76" s="65"/>
      <c r="AE76" s="65"/>
    </row>
    <row r="77" spans="23:32" x14ac:dyDescent="0.3">
      <c r="W77" s="244" t="s">
        <v>6</v>
      </c>
      <c r="X77" s="39">
        <f>(VLOOKUP($W$72,$B$116:$I$226,6,FALSE)-VLOOKUP($W$72,$T$116:$AA$226,6,FALSE))/VLOOKUP($W$72,$T$116:$AA$226,6,FALSE)</f>
        <v>5.9337804111197965</v>
      </c>
      <c r="Y77" s="241">
        <f>(VLOOKUP($W$72,$K$116:$R$226,6,FALSE)-VLOOKUP($W$72,$T$116:$AA$226,6,FALSE))/VLOOKUP($W$72,$T$116:$AA$226,6,FALSE)</f>
        <v>3.7251346587792575</v>
      </c>
      <c r="Z77" s="65"/>
      <c r="AA77" s="65"/>
      <c r="AB77" s="65"/>
      <c r="AC77" s="65"/>
      <c r="AD77" s="65"/>
      <c r="AE77" s="65"/>
    </row>
    <row r="78" spans="23:32" x14ac:dyDescent="0.3">
      <c r="W78" s="244" t="s">
        <v>3</v>
      </c>
      <c r="X78" s="39">
        <f>(VLOOKUP($W$72,$B$116:$I$226,7,FALSE)-VLOOKUP($W$72,$T$116:$AA$226,7,FALSE))/VLOOKUP($W$72,$T$116:$AA$226,7,FALSE)</f>
        <v>-0.4650022582337533</v>
      </c>
      <c r="Y78" s="241">
        <f>(VLOOKUP($W$72,$K$116:$R$226,7,FALSE)-VLOOKUP($W$72,$T$116:$AA$226,7,FALSE))/VLOOKUP($W$72,$T$116:$AA$226,7,FALSE)</f>
        <v>-0.46600981463881319</v>
      </c>
      <c r="Z78" s="65"/>
      <c r="AA78" s="65"/>
      <c r="AB78" s="65"/>
      <c r="AC78" s="65"/>
      <c r="AD78" s="65"/>
      <c r="AE78" s="65"/>
    </row>
    <row r="79" spans="23:32" x14ac:dyDescent="0.3">
      <c r="W79" s="244" t="s">
        <v>5</v>
      </c>
      <c r="X79" s="39">
        <f>(VLOOKUP($W$72,$B$116:$I$226,8,FALSE)-VLOOKUP($W$72,$T$116:$AA$226,8,FALSE))/VLOOKUP($W$72,$T$116:$AA$226,8,FALSE)</f>
        <v>-0.54565090316808085</v>
      </c>
      <c r="Y79" s="241">
        <f>(VLOOKUP($W$72,$K$116:$R$226,8,FALSE)-VLOOKUP($W$72,$T$116:$AA$226,8,FALSE))/VLOOKUP($W$72,$T$116:$AA$226,8,FALSE)</f>
        <v>-0.41982230814177618</v>
      </c>
      <c r="Z79" s="65"/>
      <c r="AA79" s="65"/>
      <c r="AB79" s="65"/>
      <c r="AC79" s="65"/>
      <c r="AD79" s="65"/>
      <c r="AE79" s="65"/>
    </row>
    <row r="80" spans="23:32" ht="15" thickBot="1" x14ac:dyDescent="0.35">
      <c r="W80" s="172" t="s">
        <v>7</v>
      </c>
      <c r="X80" s="40">
        <f>(VLOOKUP($W$72,$B$116:$I$226,2,FALSE)-VLOOKUP($W$72,$T$116:$AA$226,2,FALSE))/VLOOKUP($W$72,$T$116:$AA$226,2,FALSE)</f>
        <v>12.188451207037717</v>
      </c>
      <c r="Y80" s="242">
        <f>(VLOOKUP($W$72,$K$116:$R$226,2,FALSE)-VLOOKUP($W$72,$T$116:$AA$226,2,FALSE))/VLOOKUP($W$72,$T$116:$AA$226,2,FALSE)</f>
        <v>0.32171937153152597</v>
      </c>
      <c r="Z80" s="65"/>
      <c r="AA80" s="65"/>
      <c r="AB80" s="65"/>
      <c r="AC80" s="65"/>
      <c r="AD80" s="65"/>
      <c r="AE80" s="65"/>
    </row>
    <row r="84" spans="1:113" x14ac:dyDescent="0.3">
      <c r="B84" s="65"/>
      <c r="C84" s="11"/>
      <c r="D84" s="11"/>
      <c r="E84" s="11"/>
      <c r="F84" s="11"/>
      <c r="I84" s="65"/>
      <c r="J84" s="11"/>
      <c r="K84" s="11"/>
      <c r="L84" s="11"/>
      <c r="M84" s="11"/>
      <c r="P84" s="65"/>
      <c r="Q84" s="11"/>
      <c r="R84" s="11"/>
      <c r="S84" s="11"/>
      <c r="T84" s="11"/>
    </row>
    <row r="85" spans="1:113" x14ac:dyDescent="0.3">
      <c r="B85" s="65"/>
      <c r="C85" s="11"/>
      <c r="D85" s="11"/>
      <c r="E85" s="11"/>
      <c r="F85" s="11"/>
      <c r="I85" s="65"/>
      <c r="J85" s="11"/>
      <c r="K85" s="11"/>
      <c r="L85" s="11"/>
      <c r="M85" s="11"/>
      <c r="P85" s="65"/>
      <c r="Q85" s="11"/>
      <c r="R85" s="11"/>
      <c r="S85" s="11"/>
      <c r="T85" s="11"/>
    </row>
    <row r="86" spans="1:113" x14ac:dyDescent="0.3">
      <c r="B86" s="65"/>
      <c r="C86" s="11"/>
      <c r="D86" s="11"/>
      <c r="E86" s="11"/>
      <c r="F86" s="11"/>
      <c r="I86" s="65"/>
      <c r="J86" s="11"/>
      <c r="K86" s="11"/>
      <c r="L86" s="11"/>
      <c r="M86" s="11"/>
      <c r="P86" s="65"/>
      <c r="Q86" s="11"/>
      <c r="R86" s="11"/>
      <c r="S86" s="11"/>
      <c r="T86" s="11"/>
    </row>
    <row r="87" spans="1:113" x14ac:dyDescent="0.3">
      <c r="B87" s="65"/>
      <c r="C87" s="11"/>
      <c r="D87" s="11"/>
      <c r="E87" s="11"/>
      <c r="F87" s="11"/>
      <c r="I87" s="65"/>
      <c r="J87" s="11"/>
      <c r="K87" s="11"/>
      <c r="L87" s="11"/>
      <c r="M87" s="11"/>
      <c r="P87" s="65"/>
      <c r="Q87" s="11"/>
      <c r="R87" s="11"/>
      <c r="S87" s="11"/>
      <c r="T87" s="11"/>
    </row>
    <row r="88" spans="1:113" x14ac:dyDescent="0.3">
      <c r="B88" s="65"/>
      <c r="C88" s="11"/>
      <c r="D88" s="11"/>
      <c r="E88" s="11"/>
      <c r="F88" s="11"/>
      <c r="I88" s="65"/>
      <c r="J88" s="11"/>
      <c r="K88" s="11"/>
      <c r="L88" s="11"/>
      <c r="M88" s="11"/>
      <c r="P88" s="65"/>
      <c r="Q88" s="11"/>
      <c r="R88" s="11"/>
      <c r="S88" s="11"/>
      <c r="T88" s="11"/>
    </row>
    <row r="90" spans="1:113" x14ac:dyDescent="0.3">
      <c r="V90" s="65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</row>
    <row r="91" spans="1:113" x14ac:dyDescent="0.3">
      <c r="V91" s="2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C91" s="11"/>
      <c r="BD91" s="11"/>
      <c r="BE91" s="11"/>
      <c r="BF91" s="11"/>
      <c r="CD91" s="20"/>
      <c r="CE91" s="20"/>
      <c r="CF91" s="20"/>
      <c r="CG91" s="20"/>
      <c r="CH91" s="20"/>
      <c r="CI91" s="20"/>
      <c r="CJ91" s="20"/>
    </row>
    <row r="95" spans="1:113" x14ac:dyDescent="0.3">
      <c r="A95" s="387" t="s">
        <v>402</v>
      </c>
      <c r="B95" s="387"/>
      <c r="C95" s="387"/>
      <c r="D95" s="387"/>
      <c r="E95" s="387"/>
    </row>
    <row r="96" spans="1:113" x14ac:dyDescent="0.3">
      <c r="A96" s="387"/>
      <c r="B96" s="387"/>
      <c r="C96" s="387"/>
      <c r="D96" s="387"/>
      <c r="E96" s="387"/>
    </row>
    <row r="97" spans="1:27" x14ac:dyDescent="0.3">
      <c r="A97" s="387"/>
      <c r="B97" s="387"/>
      <c r="C97" s="387"/>
      <c r="D97" s="387"/>
      <c r="E97" s="387"/>
    </row>
    <row r="98" spans="1:27" x14ac:dyDescent="0.3">
      <c r="A98" s="387"/>
      <c r="B98" s="387"/>
      <c r="C98" s="387"/>
      <c r="D98" s="387"/>
      <c r="E98" s="387"/>
    </row>
    <row r="99" spans="1:27" x14ac:dyDescent="0.3">
      <c r="F99" s="11"/>
      <c r="M99" s="11"/>
      <c r="T99" s="11"/>
    </row>
    <row r="100" spans="1:27" x14ac:dyDescent="0.3">
      <c r="F100" s="11"/>
      <c r="M100" s="11"/>
      <c r="T100" s="11"/>
    </row>
    <row r="102" spans="1:27" x14ac:dyDescent="0.3">
      <c r="T102" s="11"/>
    </row>
    <row r="108" spans="1:27" x14ac:dyDescent="0.3">
      <c r="B108" s="65"/>
      <c r="C108" s="65"/>
      <c r="D108" s="65"/>
      <c r="E108" s="65"/>
      <c r="F108" s="65"/>
      <c r="G108" s="65"/>
      <c r="H108" s="65"/>
      <c r="I108" s="65"/>
      <c r="K108" s="65"/>
      <c r="L108" s="65"/>
      <c r="M108" s="65"/>
      <c r="N108" s="65"/>
      <c r="O108" s="65"/>
      <c r="P108" s="65"/>
      <c r="Q108" s="65"/>
      <c r="R108" s="65"/>
      <c r="T108" s="65"/>
      <c r="U108" s="65"/>
      <c r="V108" s="65"/>
      <c r="W108" s="65"/>
      <c r="X108" s="65"/>
      <c r="Y108" s="65"/>
      <c r="Z108" s="65"/>
      <c r="AA108" s="65"/>
    </row>
    <row r="109" spans="1:27" x14ac:dyDescent="0.3">
      <c r="B109" s="65"/>
      <c r="C109" s="65"/>
      <c r="D109" s="65"/>
      <c r="E109" s="65"/>
      <c r="F109" s="65"/>
      <c r="G109" s="65"/>
      <c r="H109" s="65"/>
      <c r="I109" s="65"/>
      <c r="K109" s="65"/>
      <c r="L109" s="65"/>
      <c r="M109" s="65"/>
      <c r="N109" s="65"/>
      <c r="O109" s="65"/>
      <c r="P109" s="65"/>
      <c r="Q109" s="65"/>
      <c r="R109" s="65"/>
      <c r="T109" s="65"/>
      <c r="U109" s="65"/>
      <c r="V109" s="65"/>
      <c r="W109" s="65"/>
      <c r="X109" s="65"/>
      <c r="Y109" s="65"/>
      <c r="Z109" s="65"/>
      <c r="AA109" s="65"/>
    </row>
    <row r="110" spans="1:27" x14ac:dyDescent="0.3">
      <c r="B110" s="65"/>
      <c r="C110" s="65"/>
      <c r="D110" s="65"/>
      <c r="E110" s="65"/>
      <c r="F110" s="65"/>
      <c r="G110" s="65"/>
      <c r="H110" s="65"/>
      <c r="I110" s="65"/>
      <c r="K110" s="65"/>
      <c r="L110" s="65"/>
      <c r="M110" s="65"/>
      <c r="N110" s="65"/>
      <c r="O110" s="65"/>
      <c r="P110" s="65"/>
      <c r="Q110" s="65"/>
      <c r="R110" s="65"/>
      <c r="T110" s="65"/>
      <c r="U110" s="65"/>
      <c r="V110" s="65"/>
      <c r="W110" s="65"/>
      <c r="X110" s="65"/>
      <c r="Y110" s="65"/>
      <c r="Z110" s="65"/>
      <c r="AA110" s="65"/>
    </row>
    <row r="111" spans="1:27" x14ac:dyDescent="0.3">
      <c r="B111" s="65"/>
      <c r="C111" s="65"/>
      <c r="D111" s="65"/>
      <c r="E111" s="65"/>
      <c r="F111" s="65"/>
      <c r="G111" s="65"/>
      <c r="H111" s="65"/>
      <c r="I111" s="65"/>
      <c r="K111" s="65"/>
      <c r="L111" s="65"/>
      <c r="M111" s="65"/>
      <c r="N111" s="65"/>
      <c r="O111" s="65"/>
      <c r="P111" s="65"/>
      <c r="Q111" s="65"/>
      <c r="R111" s="65"/>
      <c r="T111" s="65"/>
      <c r="U111" s="65"/>
      <c r="V111" s="65"/>
      <c r="W111" s="65"/>
      <c r="X111" s="65"/>
      <c r="Y111" s="65"/>
      <c r="Z111" s="65"/>
      <c r="AA111" s="65"/>
    </row>
    <row r="112" spans="1:27" x14ac:dyDescent="0.3">
      <c r="B112" s="65"/>
      <c r="C112" s="65"/>
      <c r="D112" s="65"/>
      <c r="E112" s="65"/>
      <c r="F112" s="65"/>
      <c r="G112" s="65"/>
      <c r="H112" s="65"/>
      <c r="I112" s="65"/>
      <c r="K112" s="65"/>
      <c r="L112" s="65"/>
      <c r="M112" s="65"/>
      <c r="N112" s="65"/>
      <c r="O112" s="65"/>
      <c r="P112" s="65"/>
      <c r="Q112" s="65"/>
      <c r="R112" s="65"/>
      <c r="T112" s="65"/>
      <c r="U112" s="65"/>
      <c r="V112" s="65"/>
      <c r="W112" s="65"/>
      <c r="X112" s="65"/>
      <c r="Y112" s="65"/>
      <c r="Z112" s="65"/>
      <c r="AA112" s="65"/>
    </row>
    <row r="113" spans="2:27" x14ac:dyDescent="0.3">
      <c r="B113" s="65"/>
      <c r="C113" s="65"/>
      <c r="D113" s="65"/>
      <c r="E113" s="65"/>
      <c r="F113" s="65"/>
      <c r="G113" s="65"/>
      <c r="H113" s="65"/>
      <c r="I113" s="65"/>
      <c r="K113" s="65"/>
      <c r="L113" s="65"/>
      <c r="M113" s="65"/>
      <c r="N113" s="65"/>
      <c r="O113" s="65"/>
      <c r="P113" s="65"/>
      <c r="Q113" s="65"/>
      <c r="R113" s="65"/>
      <c r="T113" s="65"/>
      <c r="U113" s="65"/>
      <c r="V113" s="65"/>
      <c r="W113" s="65"/>
      <c r="X113" s="65"/>
      <c r="Y113" s="65"/>
      <c r="Z113" s="65"/>
      <c r="AA113" s="65"/>
    </row>
    <row r="114" spans="2:27" x14ac:dyDescent="0.3">
      <c r="B114" s="65"/>
      <c r="C114" s="65"/>
      <c r="D114" s="65"/>
      <c r="E114" s="65"/>
      <c r="F114" s="65"/>
      <c r="G114" s="65"/>
      <c r="H114" s="65"/>
      <c r="I114" s="65"/>
      <c r="K114" s="65"/>
      <c r="L114" s="65"/>
      <c r="M114" s="65"/>
      <c r="N114" s="65"/>
      <c r="O114" s="65"/>
      <c r="P114" s="65"/>
      <c r="Q114" s="65"/>
      <c r="R114" s="65"/>
      <c r="T114" s="65"/>
      <c r="U114" s="65"/>
      <c r="V114" s="65"/>
      <c r="W114" s="65"/>
      <c r="X114" s="65"/>
      <c r="Y114" s="65"/>
      <c r="Z114" s="65"/>
      <c r="AA114" s="65"/>
    </row>
    <row r="115" spans="2:27" x14ac:dyDescent="0.3">
      <c r="B115" s="65" t="s">
        <v>28</v>
      </c>
      <c r="C115" s="65" t="s">
        <v>7</v>
      </c>
      <c r="D115" s="65" t="s">
        <v>9</v>
      </c>
      <c r="E115" s="65" t="s">
        <v>4</v>
      </c>
      <c r="F115" s="65" t="s">
        <v>8</v>
      </c>
      <c r="G115" s="65" t="s">
        <v>6</v>
      </c>
      <c r="H115" s="65" t="s">
        <v>3</v>
      </c>
      <c r="I115" s="65" t="s">
        <v>5</v>
      </c>
      <c r="J115" s="10"/>
      <c r="K115" s="65" t="s">
        <v>28</v>
      </c>
      <c r="L115" s="65" t="s">
        <v>7</v>
      </c>
      <c r="M115" s="65" t="s">
        <v>9</v>
      </c>
      <c r="N115" s="65" t="s">
        <v>4</v>
      </c>
      <c r="O115" s="65" t="s">
        <v>8</v>
      </c>
      <c r="P115" s="65" t="s">
        <v>6</v>
      </c>
      <c r="Q115" s="65" t="s">
        <v>3</v>
      </c>
      <c r="R115" s="65" t="s">
        <v>5</v>
      </c>
      <c r="S115" s="65"/>
      <c r="T115" s="65" t="s">
        <v>28</v>
      </c>
      <c r="U115" s="65" t="s">
        <v>7</v>
      </c>
      <c r="V115" s="65" t="s">
        <v>9</v>
      </c>
      <c r="W115" s="65" t="s">
        <v>4</v>
      </c>
      <c r="X115" s="65" t="s">
        <v>8</v>
      </c>
      <c r="Y115" s="65" t="s">
        <v>6</v>
      </c>
      <c r="Z115" s="65" t="s">
        <v>3</v>
      </c>
      <c r="AA115" s="65" t="s">
        <v>5</v>
      </c>
    </row>
    <row r="116" spans="2:27" x14ac:dyDescent="0.3">
      <c r="B116" s="8" t="s">
        <v>159</v>
      </c>
      <c r="C116" s="11">
        <v>12731.910110381234</v>
      </c>
      <c r="D116" s="11">
        <v>5285.7053585505555</v>
      </c>
      <c r="E116" s="11">
        <v>611.74258049356911</v>
      </c>
      <c r="F116" s="11">
        <v>4666.8317675986409</v>
      </c>
      <c r="G116" s="11">
        <v>42044.244909656496</v>
      </c>
      <c r="H116" s="11">
        <v>92904.744998360155</v>
      </c>
      <c r="I116" s="11">
        <v>17419.097466008094</v>
      </c>
      <c r="K116" s="8" t="s">
        <v>159</v>
      </c>
      <c r="L116" s="11">
        <v>14157.490847455445</v>
      </c>
      <c r="M116" s="11">
        <v>4308.3493517591669</v>
      </c>
      <c r="N116" s="11">
        <v>921.75776344333019</v>
      </c>
      <c r="O116" s="11">
        <v>4196.3542120026705</v>
      </c>
      <c r="P116" s="11">
        <v>81746.646765980317</v>
      </c>
      <c r="Q116" s="11">
        <v>43099.137535279333</v>
      </c>
      <c r="R116" s="11">
        <v>13438.526966233047</v>
      </c>
      <c r="S116" s="65"/>
      <c r="T116" s="8" t="s">
        <v>159</v>
      </c>
      <c r="U116" s="11">
        <v>3691.1014670474237</v>
      </c>
      <c r="V116" s="11">
        <v>1411.6570883853376</v>
      </c>
      <c r="W116" s="11">
        <v>1109.1964962466443</v>
      </c>
      <c r="X116" s="11">
        <v>2007.3770919400631</v>
      </c>
      <c r="Y116" s="11">
        <v>69965.055736405702</v>
      </c>
      <c r="Z116" s="11">
        <v>43628.904330895173</v>
      </c>
      <c r="AA116" s="11">
        <v>24058.480569056628</v>
      </c>
    </row>
    <row r="117" spans="2:27" x14ac:dyDescent="0.3">
      <c r="B117" s="8" t="s">
        <v>175</v>
      </c>
      <c r="C117" s="11">
        <v>9843.1620335874086</v>
      </c>
      <c r="D117" s="11">
        <v>23185.656925221418</v>
      </c>
      <c r="E117" s="11">
        <v>85937.43166274378</v>
      </c>
      <c r="F117" s="11">
        <v>2723.3887410148091</v>
      </c>
      <c r="G117" s="11">
        <v>4460.4973745646739</v>
      </c>
      <c r="H117" s="11">
        <v>41953.817906622688</v>
      </c>
      <c r="I117" s="11">
        <v>830.15944390618063</v>
      </c>
      <c r="K117" s="8" t="s">
        <v>175</v>
      </c>
      <c r="L117" s="11">
        <v>872.04812793520296</v>
      </c>
      <c r="M117" s="11">
        <v>46183.833728900485</v>
      </c>
      <c r="N117" s="11">
        <v>85712.625867886876</v>
      </c>
      <c r="O117" s="11">
        <v>3331.1350009298153</v>
      </c>
      <c r="P117" s="11">
        <v>5823.3534406585468</v>
      </c>
      <c r="Q117" s="11">
        <v>80013.0347771776</v>
      </c>
      <c r="R117" s="11">
        <v>454.04218658981762</v>
      </c>
      <c r="S117" s="65"/>
      <c r="T117" s="8" t="s">
        <v>175</v>
      </c>
      <c r="U117" s="11">
        <v>639.57642870102427</v>
      </c>
      <c r="V117" s="11">
        <v>14752.996424603956</v>
      </c>
      <c r="W117" s="11">
        <v>11351.862691170334</v>
      </c>
      <c r="X117" s="11">
        <v>4387.3553599864354</v>
      </c>
      <c r="Y117" s="11">
        <v>6734.5201616760887</v>
      </c>
      <c r="Z117" s="11">
        <v>156351.28977539996</v>
      </c>
      <c r="AA117" s="11">
        <v>573.76780103340093</v>
      </c>
    </row>
    <row r="118" spans="2:27" x14ac:dyDescent="0.3">
      <c r="B118" s="8" t="s">
        <v>160</v>
      </c>
      <c r="C118" s="11">
        <v>2865.1597434921882</v>
      </c>
      <c r="D118" s="11">
        <v>14981.639934339204</v>
      </c>
      <c r="E118" s="11">
        <v>22733.413503230713</v>
      </c>
      <c r="F118" s="11">
        <v>10070.138295470642</v>
      </c>
      <c r="G118" s="11">
        <v>556.41518444649535</v>
      </c>
      <c r="H118" s="11">
        <v>6273.0199657650237</v>
      </c>
      <c r="I118" s="11">
        <v>5934.0936782021918</v>
      </c>
      <c r="K118" s="8" t="s">
        <v>160</v>
      </c>
      <c r="L118" s="11">
        <v>537.02034207883287</v>
      </c>
      <c r="M118" s="11">
        <v>14790.178331494175</v>
      </c>
      <c r="N118" s="11">
        <v>36516.138072842317</v>
      </c>
      <c r="O118" s="11">
        <v>9159.8250450697051</v>
      </c>
      <c r="P118" s="11">
        <v>748.58484613395694</v>
      </c>
      <c r="Q118" s="11">
        <v>10499.517164015448</v>
      </c>
      <c r="R118" s="11">
        <v>1117.5299124721439</v>
      </c>
      <c r="S118" s="65"/>
      <c r="T118" s="8" t="s">
        <v>160</v>
      </c>
      <c r="U118" s="11">
        <v>465.15936107451006</v>
      </c>
      <c r="V118" s="11">
        <v>14792.904049228217</v>
      </c>
      <c r="W118" s="11">
        <v>58346.773341705681</v>
      </c>
      <c r="X118" s="11">
        <v>13123.549113445439</v>
      </c>
      <c r="Y118" s="11">
        <v>1322.1405063612431</v>
      </c>
      <c r="Z118" s="11">
        <v>20264.764617567893</v>
      </c>
      <c r="AA118" s="11">
        <v>1495.3576747369</v>
      </c>
    </row>
    <row r="119" spans="2:27" x14ac:dyDescent="0.3">
      <c r="B119" s="8" t="s">
        <v>176</v>
      </c>
      <c r="C119" s="11">
        <v>33322.945228479926</v>
      </c>
      <c r="D119" s="11">
        <v>81281.179122462199</v>
      </c>
      <c r="E119" s="11">
        <v>73255.20951494883</v>
      </c>
      <c r="F119" s="11">
        <v>65991.140836604201</v>
      </c>
      <c r="G119" s="11">
        <v>82674.714943001396</v>
      </c>
      <c r="H119" s="11">
        <v>61635.908064820811</v>
      </c>
      <c r="I119" s="11">
        <v>34585.176051402384</v>
      </c>
      <c r="K119" s="8" t="s">
        <v>176</v>
      </c>
      <c r="L119" s="11">
        <v>58807.459934586543</v>
      </c>
      <c r="M119" s="11">
        <v>60649.698332441956</v>
      </c>
      <c r="N119" s="11">
        <v>1012.3986528059946</v>
      </c>
      <c r="O119" s="11">
        <v>14192.447953535675</v>
      </c>
      <c r="P119" s="11">
        <v>32920.273853565246</v>
      </c>
      <c r="Q119" s="11">
        <v>70228.140829838652</v>
      </c>
      <c r="R119" s="11">
        <v>49182.044952027863</v>
      </c>
      <c r="S119" s="65"/>
      <c r="T119" s="8" t="s">
        <v>176</v>
      </c>
      <c r="U119" s="11">
        <v>99469.910651027792</v>
      </c>
      <c r="V119" s="11">
        <v>12843.162872888448</v>
      </c>
      <c r="W119" s="11">
        <v>1641.0526455395459</v>
      </c>
      <c r="X119" s="11">
        <v>20630.675761626309</v>
      </c>
      <c r="Y119" s="11">
        <v>11640.078265560902</v>
      </c>
      <c r="Z119" s="11">
        <v>36358.373188374637</v>
      </c>
      <c r="AA119" s="11">
        <v>54397.710504543458</v>
      </c>
    </row>
    <row r="120" spans="2:27" x14ac:dyDescent="0.3">
      <c r="B120" s="8" t="s">
        <v>177</v>
      </c>
      <c r="C120" s="11">
        <v>7750.3065555930116</v>
      </c>
      <c r="D120" s="11">
        <v>22610.329707888228</v>
      </c>
      <c r="E120" s="11">
        <v>11523.006646995202</v>
      </c>
      <c r="F120" s="11">
        <v>8280.3006863423707</v>
      </c>
      <c r="G120" s="11">
        <v>5649.4190910676361</v>
      </c>
      <c r="H120" s="11">
        <v>2461.0549790551472</v>
      </c>
      <c r="I120" s="11">
        <v>12339.284822157626</v>
      </c>
      <c r="K120" s="8" t="s">
        <v>177</v>
      </c>
      <c r="L120" s="11">
        <v>2487.9140705320833</v>
      </c>
      <c r="M120" s="11">
        <v>10215.65496814932</v>
      </c>
      <c r="N120" s="11">
        <v>10565.82985733255</v>
      </c>
      <c r="O120" s="11">
        <v>4798.5614773187508</v>
      </c>
      <c r="P120" s="11">
        <v>6078.4327407607889</v>
      </c>
      <c r="Q120" s="11">
        <v>1788.6340022624483</v>
      </c>
      <c r="R120" s="11">
        <v>23324.360893451194</v>
      </c>
      <c r="S120" s="65"/>
      <c r="T120" s="8" t="s">
        <v>177</v>
      </c>
      <c r="U120" s="11">
        <v>4412.0169425366475</v>
      </c>
      <c r="V120" s="11">
        <v>912.41854317333616</v>
      </c>
      <c r="W120" s="11">
        <v>4214.8732684466231</v>
      </c>
      <c r="X120" s="11">
        <v>5789.6165291010702</v>
      </c>
      <c r="Y120" s="11">
        <v>1405.7648240344106</v>
      </c>
      <c r="Z120" s="11">
        <v>2621.5726614633409</v>
      </c>
      <c r="AA120" s="11">
        <v>10206.962513076556</v>
      </c>
    </row>
    <row r="121" spans="2:27" x14ac:dyDescent="0.3">
      <c r="B121" s="8" t="s">
        <v>161</v>
      </c>
      <c r="C121" s="11">
        <v>169.52041688678193</v>
      </c>
      <c r="D121" s="11">
        <v>2012.218051359918</v>
      </c>
      <c r="E121" s="11">
        <v>3104.5452210659082</v>
      </c>
      <c r="F121" s="11">
        <v>4340.2779398454013</v>
      </c>
      <c r="G121" s="11">
        <v>1535.2326800741221</v>
      </c>
      <c r="H121" s="11">
        <v>6098.8198995086768</v>
      </c>
      <c r="I121" s="11">
        <v>427.61132233992765</v>
      </c>
      <c r="K121" s="8" t="s">
        <v>161</v>
      </c>
      <c r="L121" s="11">
        <v>242.97220453469032</v>
      </c>
      <c r="M121" s="11">
        <v>88.896246113277357</v>
      </c>
      <c r="N121" s="11">
        <v>2129.0629494042169</v>
      </c>
      <c r="O121" s="11">
        <v>4248.4569806693544</v>
      </c>
      <c r="P121" s="11">
        <v>557.8425197951708</v>
      </c>
      <c r="Q121" s="11">
        <v>11786.290928020637</v>
      </c>
      <c r="R121" s="11">
        <v>235.74955078443662</v>
      </c>
      <c r="S121" s="65"/>
      <c r="T121" s="8" t="s">
        <v>161</v>
      </c>
      <c r="U121" s="11">
        <v>376.07743040978426</v>
      </c>
      <c r="V121" s="11">
        <v>163.38267891585573</v>
      </c>
      <c r="W121" s="11">
        <v>4068.9984210984271</v>
      </c>
      <c r="X121" s="11">
        <v>7943.789141254455</v>
      </c>
      <c r="Y121" s="11">
        <v>1089.431499614021</v>
      </c>
      <c r="Z121" s="11">
        <v>18580.879515237852</v>
      </c>
      <c r="AA121" s="11">
        <v>179.18819954067069</v>
      </c>
    </row>
    <row r="122" spans="2:27" x14ac:dyDescent="0.3">
      <c r="B122" s="8" t="s">
        <v>162</v>
      </c>
      <c r="C122" s="11">
        <v>53193.480397678344</v>
      </c>
      <c r="D122" s="11">
        <v>5621.9103003546334</v>
      </c>
      <c r="E122" s="11">
        <v>79.603475020182543</v>
      </c>
      <c r="F122" s="11">
        <v>44653.098024952269</v>
      </c>
      <c r="G122" s="11">
        <v>95272.972988199006</v>
      </c>
      <c r="H122" s="11">
        <v>165074.04882584591</v>
      </c>
      <c r="I122" s="11">
        <v>26226.767642179122</v>
      </c>
      <c r="K122" s="8" t="s">
        <v>162</v>
      </c>
      <c r="L122" s="11">
        <v>59038.51302860435</v>
      </c>
      <c r="M122" s="11">
        <v>10366.654813012512</v>
      </c>
      <c r="N122" s="11">
        <v>85.516207025090765</v>
      </c>
      <c r="O122" s="11">
        <v>981.30850361845273</v>
      </c>
      <c r="P122" s="11">
        <v>21252.302184800392</v>
      </c>
      <c r="Q122" s="11">
        <v>111966.60747974247</v>
      </c>
      <c r="R122" s="11">
        <v>14614.932941325145</v>
      </c>
      <c r="S122" s="65"/>
      <c r="T122" s="8" t="s">
        <v>162</v>
      </c>
      <c r="U122" s="11">
        <v>15937.2964445037</v>
      </c>
      <c r="V122" s="11">
        <v>19394.162937136789</v>
      </c>
      <c r="W122" s="11">
        <v>170.35615017744442</v>
      </c>
      <c r="X122" s="11">
        <v>1197.5240256753946</v>
      </c>
      <c r="Y122" s="11">
        <v>33102.261654921509</v>
      </c>
      <c r="Z122" s="11">
        <v>108390.84366069808</v>
      </c>
      <c r="AA122" s="11">
        <v>27055.547367866431</v>
      </c>
    </row>
    <row r="123" spans="2:27" x14ac:dyDescent="0.3">
      <c r="B123" s="8" t="s">
        <v>163</v>
      </c>
      <c r="C123" s="11">
        <v>106768.39665610921</v>
      </c>
      <c r="D123" s="11">
        <v>12175.880645199151</v>
      </c>
      <c r="E123" s="11">
        <v>31521.816094465183</v>
      </c>
      <c r="F123" s="11">
        <v>5470.4781225068227</v>
      </c>
      <c r="G123" s="11">
        <v>18061.801883510896</v>
      </c>
      <c r="H123" s="11">
        <v>315688.39654276054</v>
      </c>
      <c r="I123" s="11">
        <v>7177.5372243368602</v>
      </c>
      <c r="K123" s="8" t="s">
        <v>163</v>
      </c>
      <c r="L123" s="11">
        <v>16043.195787835773</v>
      </c>
      <c r="M123" s="11">
        <v>13153.089434899344</v>
      </c>
      <c r="N123" s="11">
        <v>10165.501125472332</v>
      </c>
      <c r="O123" s="11">
        <v>5439.9161751858283</v>
      </c>
      <c r="P123" s="11">
        <v>15218.276881688002</v>
      </c>
      <c r="Q123" s="11">
        <v>172175.92761598673</v>
      </c>
      <c r="R123" s="11">
        <v>6763.0004214466171</v>
      </c>
      <c r="S123" s="65"/>
      <c r="T123" s="8" t="s">
        <v>163</v>
      </c>
      <c r="U123" s="11">
        <v>25086.720661404455</v>
      </c>
      <c r="V123" s="11">
        <v>21960.02980418583</v>
      </c>
      <c r="W123" s="11">
        <v>1334.0929378852513</v>
      </c>
      <c r="X123" s="11">
        <v>9296.7463305001038</v>
      </c>
      <c r="Y123" s="11">
        <v>15640.403670275251</v>
      </c>
      <c r="Z123" s="11">
        <v>31555.119793950951</v>
      </c>
      <c r="AA123" s="11">
        <v>11356.838956412323</v>
      </c>
    </row>
    <row r="124" spans="2:27" x14ac:dyDescent="0.3">
      <c r="B124" s="8" t="s">
        <v>164</v>
      </c>
      <c r="C124" s="11">
        <v>7974.7283237299725</v>
      </c>
      <c r="D124" s="11">
        <v>8025.0739658330385</v>
      </c>
      <c r="E124" s="11">
        <v>5200.6337293722718</v>
      </c>
      <c r="F124" s="11">
        <v>888.53947622492035</v>
      </c>
      <c r="G124" s="11">
        <v>5988.1254484407091</v>
      </c>
      <c r="H124" s="11">
        <v>4939.3457022385101</v>
      </c>
      <c r="I124" s="11">
        <v>2868.1328617275476</v>
      </c>
      <c r="K124" s="8" t="s">
        <v>164</v>
      </c>
      <c r="L124" s="11">
        <v>4209.4582339895305</v>
      </c>
      <c r="M124" s="11">
        <v>2856.0491061223252</v>
      </c>
      <c r="N124" s="11">
        <v>1708.5365763275804</v>
      </c>
      <c r="O124" s="11">
        <v>540.71534156247719</v>
      </c>
      <c r="P124" s="11">
        <v>9480.6801058714427</v>
      </c>
      <c r="Q124" s="11">
        <v>1532.9152898468337</v>
      </c>
      <c r="R124" s="11">
        <v>1781.7308378678683</v>
      </c>
      <c r="S124" s="65"/>
      <c r="T124" s="8" t="s">
        <v>164</v>
      </c>
      <c r="U124" s="11">
        <v>5276.0771653311967</v>
      </c>
      <c r="V124" s="11">
        <v>1231.7625740217461</v>
      </c>
      <c r="W124" s="11">
        <v>2045.0587089163223</v>
      </c>
      <c r="X124" s="11">
        <v>664.89326599618926</v>
      </c>
      <c r="Y124" s="11">
        <v>4380.050717158987</v>
      </c>
      <c r="Z124" s="11">
        <v>2505.9295080885104</v>
      </c>
      <c r="AA124" s="11">
        <v>1573.3420593814183</v>
      </c>
    </row>
    <row r="125" spans="2:27" x14ac:dyDescent="0.3">
      <c r="B125" s="8" t="s">
        <v>178</v>
      </c>
      <c r="C125" s="11">
        <v>10712.903608452936</v>
      </c>
      <c r="D125" s="11">
        <v>2849.1765355514353</v>
      </c>
      <c r="E125" s="11">
        <v>602.52810522465836</v>
      </c>
      <c r="F125" s="11">
        <v>6040.9617817696389</v>
      </c>
      <c r="G125" s="11">
        <v>7447.2947033702885</v>
      </c>
      <c r="H125" s="11">
        <v>16782.962977532661</v>
      </c>
      <c r="I125" s="11">
        <v>4869.4681273395945</v>
      </c>
      <c r="K125" s="8" t="s">
        <v>178</v>
      </c>
      <c r="L125" s="11">
        <v>18450.1293842296</v>
      </c>
      <c r="M125" s="11">
        <v>1801.8717063643776</v>
      </c>
      <c r="N125" s="11">
        <v>659.53717251295336</v>
      </c>
      <c r="O125" s="11">
        <v>5264.2850222100769</v>
      </c>
      <c r="P125" s="11">
        <v>6641.9183008282071</v>
      </c>
      <c r="Q125" s="11">
        <v>13744.426081017782</v>
      </c>
      <c r="R125" s="11">
        <v>3126.3759279548049</v>
      </c>
      <c r="S125" s="65"/>
      <c r="T125" s="8" t="s">
        <v>178</v>
      </c>
      <c r="U125" s="11">
        <v>35765.631242378171</v>
      </c>
      <c r="V125" s="11">
        <v>2199.4799439560079</v>
      </c>
      <c r="W125" s="11">
        <v>473.97298723661191</v>
      </c>
      <c r="X125" s="11">
        <v>1005.8755275219688</v>
      </c>
      <c r="Y125" s="11">
        <v>9093.464733697574</v>
      </c>
      <c r="Z125" s="11">
        <v>17102.424405801565</v>
      </c>
      <c r="AA125" s="11">
        <v>5066.0879423558436</v>
      </c>
    </row>
    <row r="126" spans="2:27" x14ac:dyDescent="0.3">
      <c r="B126" s="8" t="s">
        <v>165</v>
      </c>
      <c r="C126" s="11">
        <v>9664.9964316148798</v>
      </c>
      <c r="D126" s="11">
        <v>1928.6604147972776</v>
      </c>
      <c r="E126" s="11">
        <v>3959.4279777343399</v>
      </c>
      <c r="F126" s="11">
        <v>1398.7527700933504</v>
      </c>
      <c r="G126" s="11">
        <v>3.9926925753269291</v>
      </c>
      <c r="H126" s="11">
        <v>11175.444447038106</v>
      </c>
      <c r="I126" s="11">
        <v>166.81226379464275</v>
      </c>
      <c r="K126" s="8" t="s">
        <v>165</v>
      </c>
      <c r="L126" s="11">
        <v>3777.1519914609817</v>
      </c>
      <c r="M126" s="11">
        <v>1326.4536615700063</v>
      </c>
      <c r="N126" s="11">
        <v>4552.2111338724635</v>
      </c>
      <c r="O126" s="11">
        <v>822.99610704519421</v>
      </c>
      <c r="P126" s="11">
        <v>3.4112406499047192</v>
      </c>
      <c r="Q126" s="11">
        <v>13529.009471187552</v>
      </c>
      <c r="R126" s="11">
        <v>61.919808577119269</v>
      </c>
      <c r="S126" s="65"/>
      <c r="T126" s="8" t="s">
        <v>165</v>
      </c>
      <c r="U126" s="11">
        <v>3143.5778368089632</v>
      </c>
      <c r="V126" s="11">
        <v>136.57273798172841</v>
      </c>
      <c r="W126" s="11">
        <v>7678.6272819846899</v>
      </c>
      <c r="X126" s="11">
        <v>435.6435562341477</v>
      </c>
      <c r="Y126" s="11">
        <v>3.0711988396780234</v>
      </c>
      <c r="Z126" s="11">
        <v>24862.835253579244</v>
      </c>
      <c r="AA126" s="11">
        <v>94.638581855649761</v>
      </c>
    </row>
    <row r="127" spans="2:27" x14ac:dyDescent="0.3">
      <c r="B127" s="8" t="s">
        <v>166</v>
      </c>
      <c r="C127" s="11">
        <v>54623.098902980746</v>
      </c>
      <c r="D127" s="11">
        <v>6113.0490007608933</v>
      </c>
      <c r="E127" s="11">
        <v>31207.563300782611</v>
      </c>
      <c r="F127" s="11">
        <v>4149.6295452570539</v>
      </c>
      <c r="G127" s="11">
        <v>5021.952052620044</v>
      </c>
      <c r="H127" s="11">
        <v>33178.667439288962</v>
      </c>
      <c r="I127" s="11">
        <v>53724.001305192753</v>
      </c>
      <c r="K127" s="8" t="s">
        <v>166</v>
      </c>
      <c r="L127" s="11">
        <v>28484.107397683514</v>
      </c>
      <c r="M127" s="11">
        <v>11943.320454243873</v>
      </c>
      <c r="N127" s="11">
        <v>43381.813967230992</v>
      </c>
      <c r="O127" s="11">
        <v>1327.8942384127604</v>
      </c>
      <c r="P127" s="11">
        <v>5292.3589811634347</v>
      </c>
      <c r="Q127" s="11">
        <v>52337.044461368831</v>
      </c>
      <c r="R127" s="11">
        <v>106915.41219799696</v>
      </c>
      <c r="S127" s="65"/>
      <c r="T127" s="8" t="s">
        <v>166</v>
      </c>
      <c r="U127" s="11">
        <v>56963.131827204561</v>
      </c>
      <c r="V127" s="11">
        <v>596.33476521533453</v>
      </c>
      <c r="W127" s="11">
        <v>39909.981760294999</v>
      </c>
      <c r="X127" s="11">
        <v>2223.9148117471191</v>
      </c>
      <c r="Y127" s="11">
        <v>5984.5599735424958</v>
      </c>
      <c r="Z127" s="11">
        <v>26354.907919099944</v>
      </c>
      <c r="AA127" s="11">
        <v>25114.764956345385</v>
      </c>
    </row>
    <row r="128" spans="2:27" x14ac:dyDescent="0.3">
      <c r="B128" s="8" t="s">
        <v>167</v>
      </c>
      <c r="C128" s="11">
        <v>40914.471898698488</v>
      </c>
      <c r="D128" s="11">
        <v>99022.452735038867</v>
      </c>
      <c r="E128" s="11">
        <v>17004.170502230172</v>
      </c>
      <c r="F128" s="11">
        <v>4532.2120299413655</v>
      </c>
      <c r="G128" s="11">
        <v>2356.2437132009904</v>
      </c>
      <c r="H128" s="11">
        <v>32782.547839118721</v>
      </c>
      <c r="I128" s="11">
        <v>60369.095753811562</v>
      </c>
      <c r="K128" s="8" t="s">
        <v>167</v>
      </c>
      <c r="L128" s="11">
        <v>49115.843452015419</v>
      </c>
      <c r="M128" s="11">
        <v>64855.217319773546</v>
      </c>
      <c r="N128" s="11">
        <v>30807.924178815694</v>
      </c>
      <c r="O128" s="11">
        <v>7068.0225957508937</v>
      </c>
      <c r="P128" s="11">
        <v>505.91449410292722</v>
      </c>
      <c r="Q128" s="11">
        <v>64258.411389592402</v>
      </c>
      <c r="R128" s="11">
        <v>62056.440910448327</v>
      </c>
      <c r="S128" s="65"/>
      <c r="T128" s="8" t="s">
        <v>167</v>
      </c>
      <c r="U128" s="11">
        <v>39082.342294804665</v>
      </c>
      <c r="V128" s="11">
        <v>66522.959432011121</v>
      </c>
      <c r="W128" s="11">
        <v>9982.3107947505123</v>
      </c>
      <c r="X128" s="11">
        <v>4550.6463504932381</v>
      </c>
      <c r="Y128" s="11">
        <v>302.46625749452244</v>
      </c>
      <c r="Z128" s="11">
        <v>107690.011826398</v>
      </c>
      <c r="AA128" s="11">
        <v>98200.049197516826</v>
      </c>
    </row>
    <row r="129" spans="2:27" x14ac:dyDescent="0.3">
      <c r="B129" s="8" t="s">
        <v>168</v>
      </c>
      <c r="C129" s="11">
        <v>7936.7098589639172</v>
      </c>
      <c r="D129" s="11">
        <v>6315.216470130058</v>
      </c>
      <c r="E129" s="11">
        <v>8970.4367159596131</v>
      </c>
      <c r="F129" s="11">
        <v>20304.97994988651</v>
      </c>
      <c r="G129" s="11">
        <v>7916.892893446854</v>
      </c>
      <c r="H129" s="11">
        <v>1286.9211615241959</v>
      </c>
      <c r="I129" s="11">
        <v>80193.393826523476</v>
      </c>
      <c r="K129" s="8" t="s">
        <v>168</v>
      </c>
      <c r="L129" s="11">
        <v>8375.8886513724792</v>
      </c>
      <c r="M129" s="11">
        <v>7223.3486010154429</v>
      </c>
      <c r="N129" s="11">
        <v>12642.397351550413</v>
      </c>
      <c r="O129" s="11">
        <v>15785.449197298276</v>
      </c>
      <c r="P129" s="11">
        <v>5340.7405486905118</v>
      </c>
      <c r="Q129" s="11">
        <v>1802.2170028034448</v>
      </c>
      <c r="R129" s="11">
        <v>140695.73944982581</v>
      </c>
      <c r="S129" s="65"/>
      <c r="T129" s="8" t="s">
        <v>168</v>
      </c>
      <c r="U129" s="11">
        <v>14586.260057889762</v>
      </c>
      <c r="V129" s="11">
        <v>3883.0002873937838</v>
      </c>
      <c r="W129" s="11">
        <v>7748.5985547647379</v>
      </c>
      <c r="X129" s="11">
        <v>21935.870258942039</v>
      </c>
      <c r="Y129" s="11">
        <v>6071.1767913346375</v>
      </c>
      <c r="Z129" s="11">
        <v>2052.6562416633292</v>
      </c>
      <c r="AA129" s="11">
        <v>177860.33645338795</v>
      </c>
    </row>
    <row r="130" spans="2:27" x14ac:dyDescent="0.3">
      <c r="B130" s="8" t="s">
        <v>169</v>
      </c>
      <c r="C130" s="11">
        <v>122822.87240901044</v>
      </c>
      <c r="D130" s="11">
        <v>13430.919527851929</v>
      </c>
      <c r="E130" s="11">
        <v>291079.67920058285</v>
      </c>
      <c r="F130" s="11">
        <v>30178.655006442194</v>
      </c>
      <c r="G130" s="11">
        <v>137055.38545338003</v>
      </c>
      <c r="H130" s="11">
        <v>75345.417146864755</v>
      </c>
      <c r="I130" s="11">
        <v>35488.927567699873</v>
      </c>
      <c r="K130" s="8" t="s">
        <v>169</v>
      </c>
      <c r="L130" s="11">
        <v>212792.62703789686</v>
      </c>
      <c r="M130" s="11">
        <v>9891.3254075243585</v>
      </c>
      <c r="N130" s="11">
        <v>182272.76442289809</v>
      </c>
      <c r="O130" s="11">
        <v>7924.6344904602429</v>
      </c>
      <c r="P130" s="11">
        <v>221085.15373348974</v>
      </c>
      <c r="Q130" s="11">
        <v>22871.736977785549</v>
      </c>
      <c r="R130" s="11">
        <v>47804.697810151338</v>
      </c>
      <c r="S130" s="65"/>
      <c r="T130" s="8" t="s">
        <v>169</v>
      </c>
      <c r="U130" s="11">
        <v>182604.32048436103</v>
      </c>
      <c r="V130" s="11">
        <v>9314.4491679727089</v>
      </c>
      <c r="W130" s="11">
        <v>333367.96677075006</v>
      </c>
      <c r="X130" s="11">
        <v>239.94259835667489</v>
      </c>
      <c r="Y130" s="11">
        <v>126860.15588842228</v>
      </c>
      <c r="Z130" s="11">
        <v>19502.194625379441</v>
      </c>
      <c r="AA130" s="11">
        <v>30447.99812545707</v>
      </c>
    </row>
    <row r="131" spans="2:27" x14ac:dyDescent="0.3">
      <c r="B131" s="8" t="s">
        <v>179</v>
      </c>
      <c r="C131" s="11">
        <v>29014.119224033628</v>
      </c>
      <c r="D131" s="11">
        <v>9777.6109979773228</v>
      </c>
      <c r="E131" s="11">
        <v>18280.63684265604</v>
      </c>
      <c r="F131" s="11">
        <v>1705.648812868764</v>
      </c>
      <c r="G131" s="11">
        <v>7269.7678557609497</v>
      </c>
      <c r="H131" s="11">
        <v>4584.8571736738168</v>
      </c>
      <c r="I131" s="11">
        <v>21502.508224113677</v>
      </c>
      <c r="K131" s="8" t="s">
        <v>179</v>
      </c>
      <c r="L131" s="11">
        <v>2907.7351710462162</v>
      </c>
      <c r="M131" s="11">
        <v>12617.517592059512</v>
      </c>
      <c r="N131" s="11">
        <v>35773.790047177434</v>
      </c>
      <c r="O131" s="11">
        <v>2004.9488418085937</v>
      </c>
      <c r="P131" s="11">
        <v>4954.0986330410551</v>
      </c>
      <c r="Q131" s="11">
        <v>4576.2225536539845</v>
      </c>
      <c r="R131" s="11">
        <v>27457.467567595544</v>
      </c>
      <c r="S131" s="65"/>
      <c r="T131" s="8" t="s">
        <v>179</v>
      </c>
      <c r="U131" s="11">
        <v>2199.9641025741448</v>
      </c>
      <c r="V131" s="11">
        <v>7692.9450913723631</v>
      </c>
      <c r="W131" s="11">
        <v>53404.260031757811</v>
      </c>
      <c r="X131" s="11">
        <v>3866.1648880152484</v>
      </c>
      <c r="Y131" s="11">
        <v>1048.456602995723</v>
      </c>
      <c r="Z131" s="11">
        <v>8569.8626662185998</v>
      </c>
      <c r="AA131" s="11">
        <v>47325.962292092467</v>
      </c>
    </row>
    <row r="132" spans="2:27" x14ac:dyDescent="0.3">
      <c r="B132" s="8" t="s">
        <v>180</v>
      </c>
      <c r="C132" s="11">
        <v>230969.02136366261</v>
      </c>
      <c r="D132" s="11">
        <v>34374.296845164667</v>
      </c>
      <c r="E132" s="11">
        <v>879010.44245743763</v>
      </c>
      <c r="F132" s="11">
        <v>380843.68613997853</v>
      </c>
      <c r="G132" s="11">
        <v>301769.72804043844</v>
      </c>
      <c r="H132" s="11">
        <v>121337.80371919082</v>
      </c>
      <c r="I132" s="11">
        <v>24495.393212439249</v>
      </c>
      <c r="K132" s="8" t="s">
        <v>180</v>
      </c>
      <c r="L132" s="11">
        <v>175213.43603609107</v>
      </c>
      <c r="M132" s="11">
        <v>7070.5974891235246</v>
      </c>
      <c r="N132" s="11">
        <v>660844.81262113282</v>
      </c>
      <c r="O132" s="11">
        <v>143151.33117369912</v>
      </c>
      <c r="P132" s="11">
        <v>363484.37095436623</v>
      </c>
      <c r="Q132" s="11">
        <v>137870.92134213803</v>
      </c>
      <c r="R132" s="11">
        <v>13597.788975937696</v>
      </c>
      <c r="S132" s="65"/>
      <c r="T132" s="8" t="s">
        <v>180</v>
      </c>
      <c r="U132" s="11">
        <v>140994.84888351345</v>
      </c>
      <c r="V132" s="11">
        <v>1689.096098551822</v>
      </c>
      <c r="W132" s="11">
        <v>1230733.7163094284</v>
      </c>
      <c r="X132" s="11">
        <v>179452.80676940229</v>
      </c>
      <c r="Y132" s="11">
        <v>222919.22974379265</v>
      </c>
      <c r="Z132" s="11">
        <v>64018.350609096778</v>
      </c>
      <c r="AA132" s="11">
        <v>16070.385807173325</v>
      </c>
    </row>
    <row r="133" spans="2:27" x14ac:dyDescent="0.3">
      <c r="B133" s="8" t="s">
        <v>181</v>
      </c>
      <c r="C133" s="11">
        <v>135246.29638938245</v>
      </c>
      <c r="D133" s="11">
        <v>88250.250386396161</v>
      </c>
      <c r="E133" s="11">
        <v>189355.13451166105</v>
      </c>
      <c r="F133" s="11">
        <v>72992.308672413987</v>
      </c>
      <c r="G133" s="11">
        <v>7529.9902080432885</v>
      </c>
      <c r="H133" s="11">
        <v>15559.174598847954</v>
      </c>
      <c r="I133" s="11">
        <v>40993.450639557253</v>
      </c>
      <c r="K133" s="8" t="s">
        <v>181</v>
      </c>
      <c r="L133" s="11">
        <v>99439.91975768609</v>
      </c>
      <c r="M133" s="11">
        <v>38404.995235162387</v>
      </c>
      <c r="N133" s="11">
        <v>167386.86679470734</v>
      </c>
      <c r="O133" s="11">
        <v>130288.87077928334</v>
      </c>
      <c r="P133" s="11">
        <v>8305.716813390276</v>
      </c>
      <c r="Q133" s="11">
        <v>21334.421897637214</v>
      </c>
      <c r="R133" s="11">
        <v>59431.094307741449</v>
      </c>
      <c r="S133" s="65"/>
      <c r="T133" s="8" t="s">
        <v>181</v>
      </c>
      <c r="U133" s="11">
        <v>151560.75428091295</v>
      </c>
      <c r="V133" s="11">
        <v>67640.100811227516</v>
      </c>
      <c r="W133" s="11">
        <v>18679.821804398187</v>
      </c>
      <c r="X133" s="11">
        <v>174430.11831757618</v>
      </c>
      <c r="Y133" s="11">
        <v>3996.4014649648675</v>
      </c>
      <c r="Z133" s="11">
        <v>33545.216901580832</v>
      </c>
      <c r="AA133" s="11">
        <v>45396.435913149209</v>
      </c>
    </row>
    <row r="134" spans="2:27" x14ac:dyDescent="0.3">
      <c r="B134" s="8" t="s">
        <v>170</v>
      </c>
      <c r="C134" s="11">
        <v>7970.7294137150975</v>
      </c>
      <c r="D134" s="11">
        <v>2848.2148383399167</v>
      </c>
      <c r="E134" s="11">
        <v>5437.2261687989812</v>
      </c>
      <c r="F134" s="11">
        <v>556.26989284993931</v>
      </c>
      <c r="G134" s="11">
        <v>173.69568194198698</v>
      </c>
      <c r="H134" s="11">
        <v>603.11715776510357</v>
      </c>
      <c r="I134" s="11">
        <v>7753.9432134086264</v>
      </c>
      <c r="K134" s="8" t="s">
        <v>170</v>
      </c>
      <c r="L134" s="11">
        <v>9130.9985413265204</v>
      </c>
      <c r="M134" s="11">
        <v>1231.9130543245544</v>
      </c>
      <c r="N134" s="11">
        <v>1790.7363662676091</v>
      </c>
      <c r="O134" s="11">
        <v>15.215970713225559</v>
      </c>
      <c r="P134" s="11">
        <v>339.10775939364174</v>
      </c>
      <c r="Q134" s="11">
        <v>915.56549695733474</v>
      </c>
      <c r="R134" s="11">
        <v>14378.312151634045</v>
      </c>
      <c r="S134" s="65"/>
      <c r="T134" s="8" t="s">
        <v>170</v>
      </c>
      <c r="U134" s="11">
        <v>16636.911437441075</v>
      </c>
      <c r="V134" s="11">
        <v>680.33823165573381</v>
      </c>
      <c r="W134" s="11">
        <v>2967.6696829893522</v>
      </c>
      <c r="X134" s="11">
        <v>0.288697780349147</v>
      </c>
      <c r="Y134" s="11">
        <v>348.12263286079713</v>
      </c>
      <c r="Z134" s="11">
        <v>1461.2850000706826</v>
      </c>
      <c r="AA134" s="11">
        <v>13900.726221928191</v>
      </c>
    </row>
    <row r="135" spans="2:27" x14ac:dyDescent="0.3">
      <c r="B135" s="8" t="s">
        <v>171</v>
      </c>
      <c r="C135" s="11">
        <v>97775.273928621813</v>
      </c>
      <c r="D135" s="11">
        <v>43886.954148193938</v>
      </c>
      <c r="E135" s="11">
        <v>281498.00875873864</v>
      </c>
      <c r="F135" s="11">
        <v>137915.83958185502</v>
      </c>
      <c r="G135" s="11">
        <v>93110.569874554014</v>
      </c>
      <c r="H135" s="11">
        <v>190141.07128043624</v>
      </c>
      <c r="I135" s="11">
        <v>186871.74751663805</v>
      </c>
      <c r="K135" s="8" t="s">
        <v>171</v>
      </c>
      <c r="L135" s="11">
        <v>189914.30665084708</v>
      </c>
      <c r="M135" s="11">
        <v>66226.162440179149</v>
      </c>
      <c r="N135" s="11">
        <v>402209.62378330593</v>
      </c>
      <c r="O135" s="11">
        <v>28922.01800371462</v>
      </c>
      <c r="P135" s="11">
        <v>24309.918272591494</v>
      </c>
      <c r="Q135" s="11">
        <v>354697.50073696644</v>
      </c>
      <c r="R135" s="11">
        <v>340347.56783345365</v>
      </c>
      <c r="S135" s="65"/>
      <c r="T135" s="8" t="s">
        <v>171</v>
      </c>
      <c r="U135" s="11">
        <v>134763.4234521201</v>
      </c>
      <c r="V135" s="11">
        <v>8538.5710183017636</v>
      </c>
      <c r="W135" s="11">
        <v>673095.6306808067</v>
      </c>
      <c r="X135" s="11">
        <v>36805.60942761226</v>
      </c>
      <c r="Y135" s="11">
        <v>31543.858437882689</v>
      </c>
      <c r="Z135" s="11">
        <v>190090.7530255309</v>
      </c>
      <c r="AA135" s="11">
        <v>32786.757503222107</v>
      </c>
    </row>
    <row r="136" spans="2:27" x14ac:dyDescent="0.3">
      <c r="B136" s="8" t="s">
        <v>172</v>
      </c>
      <c r="C136" s="11">
        <v>36100.064463709874</v>
      </c>
      <c r="D136" s="11">
        <v>71492.876545377585</v>
      </c>
      <c r="E136" s="11">
        <v>368545.60377164383</v>
      </c>
      <c r="F136" s="11">
        <v>11908.774549552074</v>
      </c>
      <c r="G136" s="11">
        <v>137870.70751493608</v>
      </c>
      <c r="H136" s="11">
        <v>1261683.2197142232</v>
      </c>
      <c r="I136" s="11">
        <v>8203.450732128058</v>
      </c>
      <c r="K136" s="8" t="s">
        <v>172</v>
      </c>
      <c r="L136" s="11">
        <v>28611.170993050171</v>
      </c>
      <c r="M136" s="11">
        <v>2384.1139691897283</v>
      </c>
      <c r="N136" s="11">
        <v>204444.80749559958</v>
      </c>
      <c r="O136" s="11">
        <v>16393.300695424678</v>
      </c>
      <c r="P136" s="11">
        <v>150216.71668831218</v>
      </c>
      <c r="Q136" s="11">
        <v>1401991.751282129</v>
      </c>
      <c r="R136" s="11">
        <v>8935.4592323227043</v>
      </c>
      <c r="S136" s="65"/>
      <c r="T136" s="8" t="s">
        <v>172</v>
      </c>
      <c r="U136" s="11">
        <v>49195.371431773441</v>
      </c>
      <c r="V136" s="11">
        <v>1062.3024388658987</v>
      </c>
      <c r="W136" s="11">
        <v>364562.82389169617</v>
      </c>
      <c r="X136" s="11">
        <v>28610.494825904127</v>
      </c>
      <c r="Y136" s="11">
        <v>221162.74145622013</v>
      </c>
      <c r="Z136" s="11">
        <v>1793652.9790167327</v>
      </c>
      <c r="AA136" s="11">
        <v>16816.677043158925</v>
      </c>
    </row>
    <row r="137" spans="2:27" x14ac:dyDescent="0.3">
      <c r="B137" s="8" t="s">
        <v>173</v>
      </c>
      <c r="C137" s="11">
        <v>27012.809344519788</v>
      </c>
      <c r="D137" s="11">
        <v>196.71771444005759</v>
      </c>
      <c r="E137" s="11">
        <v>24906.945224387047</v>
      </c>
      <c r="F137" s="11">
        <v>10576.570612246584</v>
      </c>
      <c r="G137" s="11">
        <v>4176.5728253599764</v>
      </c>
      <c r="H137" s="11">
        <v>25009.072085404117</v>
      </c>
      <c r="I137" s="11">
        <v>24356.193757410998</v>
      </c>
      <c r="K137" s="8" t="s">
        <v>173</v>
      </c>
      <c r="L137" s="11">
        <v>38317.716295148894</v>
      </c>
      <c r="M137" s="11">
        <v>68.301877023845989</v>
      </c>
      <c r="N137" s="11">
        <v>28240.244829265641</v>
      </c>
      <c r="O137" s="11">
        <v>2642.1052006203786</v>
      </c>
      <c r="P137" s="11">
        <v>6249.3517582981258</v>
      </c>
      <c r="Q137" s="11">
        <v>43970.194468867638</v>
      </c>
      <c r="R137" s="11">
        <v>11474.000948213477</v>
      </c>
      <c r="S137" s="65"/>
      <c r="T137" s="8" t="s">
        <v>173</v>
      </c>
      <c r="U137" s="11">
        <v>41425.732361078131</v>
      </c>
      <c r="V137" s="11">
        <v>44.183089062602491</v>
      </c>
      <c r="W137" s="11">
        <v>33249.01766293848</v>
      </c>
      <c r="X137" s="11">
        <v>284.90646428869735</v>
      </c>
      <c r="Y137" s="11">
        <v>4790.1784452925858</v>
      </c>
      <c r="Z137" s="11">
        <v>76978.097199472468</v>
      </c>
      <c r="AA137" s="11">
        <v>18988.221050225806</v>
      </c>
    </row>
    <row r="138" spans="2:27" x14ac:dyDescent="0.3">
      <c r="B138" s="8" t="s">
        <v>174</v>
      </c>
      <c r="C138" s="11">
        <v>3834.5407247036283</v>
      </c>
      <c r="D138" s="11">
        <v>218.37169448620438</v>
      </c>
      <c r="E138" s="11">
        <v>1503.0479544746768</v>
      </c>
      <c r="F138" s="11">
        <v>1.0952814793609349</v>
      </c>
      <c r="G138" s="11">
        <v>661.11259494689386</v>
      </c>
      <c r="H138" s="11">
        <v>9467.309685192673</v>
      </c>
      <c r="I138" s="11">
        <v>2339.2022430167031</v>
      </c>
      <c r="K138" s="8" t="s">
        <v>174</v>
      </c>
      <c r="L138" s="11">
        <v>6169.7543260492921</v>
      </c>
      <c r="M138" s="11">
        <v>99.211499946407258</v>
      </c>
      <c r="N138" s="11">
        <v>871.09689844003708</v>
      </c>
      <c r="O138" s="11">
        <v>1.8752455807383659</v>
      </c>
      <c r="P138" s="11">
        <v>494.10675638863336</v>
      </c>
      <c r="Q138" s="11">
        <v>3633.7593665588979</v>
      </c>
      <c r="R138" s="11">
        <v>237.79674056112893</v>
      </c>
      <c r="S138" s="65"/>
      <c r="T138" s="8" t="s">
        <v>174</v>
      </c>
      <c r="U138" s="11">
        <v>10476.253807544579</v>
      </c>
      <c r="V138" s="11">
        <v>114.04338337929188</v>
      </c>
      <c r="W138" s="11">
        <v>456.35912715260741</v>
      </c>
      <c r="X138" s="11">
        <v>3.4561852068483714</v>
      </c>
      <c r="Y138" s="11">
        <v>866.25033105326668</v>
      </c>
      <c r="Z138" s="11">
        <v>3709.7562592536337</v>
      </c>
      <c r="AA138" s="11">
        <v>415.53314567070174</v>
      </c>
    </row>
    <row r="139" spans="2:27" x14ac:dyDescent="0.3">
      <c r="B139" s="8" t="s">
        <v>182</v>
      </c>
      <c r="C139" s="11">
        <v>23946.171498802589</v>
      </c>
      <c r="D139" s="11">
        <v>24241.569815183229</v>
      </c>
      <c r="E139" s="11">
        <v>361.19240477063681</v>
      </c>
      <c r="F139" s="11">
        <v>6558.4542673409696</v>
      </c>
      <c r="G139" s="11">
        <v>11718.373997800209</v>
      </c>
      <c r="H139" s="11">
        <v>76738.958400649819</v>
      </c>
      <c r="I139" s="11">
        <v>1162.970876288269</v>
      </c>
      <c r="K139" s="8" t="s">
        <v>182</v>
      </c>
      <c r="L139" s="11">
        <v>24892.078790909643</v>
      </c>
      <c r="M139" s="11">
        <v>14198.228710994821</v>
      </c>
      <c r="N139" s="11">
        <v>228.15134492919898</v>
      </c>
      <c r="O139" s="11">
        <v>8106.7113763320458</v>
      </c>
      <c r="P139" s="11">
        <v>5942.5545424461079</v>
      </c>
      <c r="Q139" s="11">
        <v>15323.493501727504</v>
      </c>
      <c r="R139" s="11">
        <v>2270.2695226219198</v>
      </c>
      <c r="S139" s="65"/>
      <c r="T139" s="8" t="s">
        <v>182</v>
      </c>
      <c r="U139" s="11">
        <v>22249.622144037359</v>
      </c>
      <c r="V139" s="11">
        <v>24835.718833308951</v>
      </c>
      <c r="W139" s="11">
        <v>12.759691980663979</v>
      </c>
      <c r="X139" s="11">
        <v>7119.4169847441526</v>
      </c>
      <c r="Y139" s="11">
        <v>11683.337999335887</v>
      </c>
      <c r="Z139" s="11">
        <v>4081.1228376707677</v>
      </c>
      <c r="AA139" s="11">
        <v>1972.19905838311</v>
      </c>
    </row>
    <row r="140" spans="2:27" x14ac:dyDescent="0.3">
      <c r="B140" s="8" t="s">
        <v>183</v>
      </c>
      <c r="C140" s="11">
        <v>18750.320171539341</v>
      </c>
      <c r="D140" s="11">
        <v>3566.5373920481225</v>
      </c>
      <c r="E140" s="11">
        <v>9177.5839756319856</v>
      </c>
      <c r="F140" s="11">
        <v>9662.1288560944831</v>
      </c>
      <c r="G140" s="11">
        <v>8175.9029292986552</v>
      </c>
      <c r="H140" s="11">
        <v>171.18779959951081</v>
      </c>
      <c r="I140" s="11">
        <v>15588.699878398236</v>
      </c>
      <c r="K140" s="8" t="s">
        <v>183</v>
      </c>
      <c r="L140" s="11">
        <v>33295.586840147946</v>
      </c>
      <c r="M140" s="11">
        <v>3443.389660512204</v>
      </c>
      <c r="N140" s="11">
        <v>16836.939697228008</v>
      </c>
      <c r="O140" s="11">
        <v>13100.780219061688</v>
      </c>
      <c r="P140" s="11">
        <v>4052.0675094707299</v>
      </c>
      <c r="Q140" s="11">
        <v>261.14890009793254</v>
      </c>
      <c r="R140" s="11">
        <v>2408.4347321823648</v>
      </c>
      <c r="S140" s="65"/>
      <c r="T140" s="8" t="s">
        <v>183</v>
      </c>
      <c r="U140" s="11">
        <v>2885.1830165290103</v>
      </c>
      <c r="V140" s="11">
        <v>5386.7833114398645</v>
      </c>
      <c r="W140" s="11">
        <v>15181.190148604152</v>
      </c>
      <c r="X140" s="11">
        <v>23535.285594269593</v>
      </c>
      <c r="Y140" s="11">
        <v>4303.1557750299307</v>
      </c>
      <c r="Z140" s="11">
        <v>279.76234510196105</v>
      </c>
      <c r="AA140" s="11">
        <v>638.52207998318192</v>
      </c>
    </row>
    <row r="141" spans="2:27" x14ac:dyDescent="0.3">
      <c r="B141" s="8" t="s">
        <v>184</v>
      </c>
      <c r="C141" s="11">
        <v>818.85822418591874</v>
      </c>
      <c r="D141" s="11">
        <v>886.57880170071451</v>
      </c>
      <c r="E141" s="11">
        <v>6762.12641061665</v>
      </c>
      <c r="F141" s="11">
        <v>597.95575818483894</v>
      </c>
      <c r="G141" s="11">
        <v>2920.2129321363041</v>
      </c>
      <c r="H141" s="11">
        <v>25.959124807179645</v>
      </c>
      <c r="I141" s="11">
        <v>171.11408928668519</v>
      </c>
      <c r="K141" s="8" t="s">
        <v>184</v>
      </c>
      <c r="L141" s="11">
        <v>954.47559464249889</v>
      </c>
      <c r="M141" s="11">
        <v>708.47545181695943</v>
      </c>
      <c r="N141" s="11">
        <v>9032.4270138048705</v>
      </c>
      <c r="O141" s="11">
        <v>638.87342876676485</v>
      </c>
      <c r="P141" s="11">
        <v>4759.2845386292383</v>
      </c>
      <c r="Q141" s="11">
        <v>15.424391858538057</v>
      </c>
      <c r="R141" s="11">
        <v>91.509772668800423</v>
      </c>
      <c r="S141" s="65"/>
      <c r="T141" s="8" t="s">
        <v>184</v>
      </c>
      <c r="U141" s="11">
        <v>1548.6195954197278</v>
      </c>
      <c r="V141" s="11">
        <v>721.80880309138377</v>
      </c>
      <c r="W141" s="11">
        <v>3240.0946422600632</v>
      </c>
      <c r="X141" s="11">
        <v>586.05367089069671</v>
      </c>
      <c r="Y141" s="11">
        <v>2168.8179211412044</v>
      </c>
      <c r="Z141" s="11">
        <v>24.390811474672482</v>
      </c>
      <c r="AA141" s="11">
        <v>66.78476221453262</v>
      </c>
    </row>
    <row r="142" spans="2:27" x14ac:dyDescent="0.3">
      <c r="B142" s="8" t="s">
        <v>159</v>
      </c>
      <c r="C142" s="11">
        <v>7479.1037578199985</v>
      </c>
      <c r="D142" s="11">
        <v>6552.2572862902698</v>
      </c>
      <c r="E142" s="11">
        <v>1063.1359147003686</v>
      </c>
      <c r="F142" s="11">
        <v>135.10846308571666</v>
      </c>
      <c r="G142" s="11">
        <v>2683.3415174653887</v>
      </c>
      <c r="H142" s="11">
        <v>28072.665364814955</v>
      </c>
      <c r="I142" s="11">
        <v>35010.896293076541</v>
      </c>
      <c r="K142" s="8" t="s">
        <v>159</v>
      </c>
      <c r="L142" s="11">
        <v>6869.7149898674479</v>
      </c>
      <c r="M142" s="11">
        <v>9417.1910612202573</v>
      </c>
      <c r="N142" s="11">
        <v>661.86224387329833</v>
      </c>
      <c r="O142" s="11">
        <v>233.29661225328675</v>
      </c>
      <c r="P142" s="11">
        <v>1399.7460703000236</v>
      </c>
      <c r="Q142" s="11">
        <v>11807.319556484877</v>
      </c>
      <c r="R142" s="11">
        <v>13650.517232977063</v>
      </c>
      <c r="S142" s="65"/>
      <c r="T142" s="8" t="s">
        <v>159</v>
      </c>
      <c r="U142" s="11">
        <v>2950.6943417739599</v>
      </c>
      <c r="V142" s="11">
        <v>907.47984248826697</v>
      </c>
      <c r="W142" s="11">
        <v>164.95454112803907</v>
      </c>
      <c r="X142" s="11">
        <v>249.50631954813593</v>
      </c>
      <c r="Y142" s="11">
        <v>1138.4918013351487</v>
      </c>
      <c r="Z142" s="11">
        <v>16393.133686062189</v>
      </c>
      <c r="AA142" s="11">
        <v>20782.869426747307</v>
      </c>
    </row>
    <row r="143" spans="2:27" x14ac:dyDescent="0.3">
      <c r="B143" s="8" t="s">
        <v>175</v>
      </c>
      <c r="C143" s="11">
        <v>3422.6210051834519</v>
      </c>
      <c r="D143" s="11">
        <v>3539.8741028587424</v>
      </c>
      <c r="E143" s="11">
        <v>24086.17458271619</v>
      </c>
      <c r="F143" s="11">
        <v>4789.8686228335218</v>
      </c>
      <c r="G143" s="11">
        <v>9937.3832749035118</v>
      </c>
      <c r="H143" s="11">
        <v>9369.6200462693087</v>
      </c>
      <c r="I143" s="11">
        <v>559.59157029245193</v>
      </c>
      <c r="K143" s="8" t="s">
        <v>175</v>
      </c>
      <c r="L143" s="11">
        <v>1597.928935993385</v>
      </c>
      <c r="M143" s="11">
        <v>1647.8872261592239</v>
      </c>
      <c r="N143" s="11">
        <v>25892.120438570888</v>
      </c>
      <c r="O143" s="11">
        <v>6182.762419047046</v>
      </c>
      <c r="P143" s="11">
        <v>7432.6772702152612</v>
      </c>
      <c r="Q143" s="11">
        <v>18618.46981353332</v>
      </c>
      <c r="R143" s="11">
        <v>981.61404042344577</v>
      </c>
      <c r="S143" s="65"/>
      <c r="T143" s="8" t="s">
        <v>175</v>
      </c>
      <c r="U143" s="11">
        <v>157.13391162318032</v>
      </c>
      <c r="V143" s="11">
        <v>906.58757382248314</v>
      </c>
      <c r="W143" s="11">
        <v>23359.642965280585</v>
      </c>
      <c r="X143" s="11">
        <v>7392.4059825655522</v>
      </c>
      <c r="Y143" s="11">
        <v>11463.187579998406</v>
      </c>
      <c r="Z143" s="11">
        <v>6535.260950864169</v>
      </c>
      <c r="AA143" s="11">
        <v>1053.971387772835</v>
      </c>
    </row>
    <row r="144" spans="2:27" x14ac:dyDescent="0.3">
      <c r="B144" s="8" t="s">
        <v>160</v>
      </c>
      <c r="C144" s="11">
        <v>253698.83261791145</v>
      </c>
      <c r="D144" s="11">
        <v>113241.50330443561</v>
      </c>
      <c r="E144" s="11">
        <v>291699.85821266088</v>
      </c>
      <c r="F144" s="11">
        <v>156051.54963442704</v>
      </c>
      <c r="G144" s="11">
        <v>274034.93796020804</v>
      </c>
      <c r="H144" s="11">
        <v>90826.390824173737</v>
      </c>
      <c r="I144" s="11">
        <v>196742.60959296321</v>
      </c>
      <c r="K144" s="8" t="s">
        <v>160</v>
      </c>
      <c r="L144" s="11">
        <v>25714.472852113537</v>
      </c>
      <c r="M144" s="11">
        <v>83727.647692574203</v>
      </c>
      <c r="N144" s="11">
        <v>43413.405304458858</v>
      </c>
      <c r="O144" s="11">
        <v>95682.821025171943</v>
      </c>
      <c r="P144" s="11">
        <v>215307.99153466776</v>
      </c>
      <c r="Q144" s="11">
        <v>10019.616818996396</v>
      </c>
      <c r="R144" s="11">
        <v>150024.35499302979</v>
      </c>
      <c r="S144" s="65"/>
      <c r="T144" s="8" t="s">
        <v>160</v>
      </c>
      <c r="U144" s="11">
        <v>17741.322727225986</v>
      </c>
      <c r="V144" s="11">
        <v>54799.179132718215</v>
      </c>
      <c r="W144" s="11">
        <v>30878.904712734504</v>
      </c>
      <c r="X144" s="11">
        <v>102564.82387821261</v>
      </c>
      <c r="Y144" s="11">
        <v>172637.97294458895</v>
      </c>
      <c r="Z144" s="11">
        <v>18255.237057307429</v>
      </c>
      <c r="AA144" s="11">
        <v>207806.74591863246</v>
      </c>
    </row>
    <row r="145" spans="2:27" x14ac:dyDescent="0.3">
      <c r="B145" s="8" t="s">
        <v>176</v>
      </c>
      <c r="C145" s="11">
        <v>8936.8114914508496</v>
      </c>
      <c r="D145" s="11">
        <v>1131.4719059012887</v>
      </c>
      <c r="E145" s="11">
        <v>13854.50518316844</v>
      </c>
      <c r="F145" s="11">
        <v>42152.5337381227</v>
      </c>
      <c r="G145" s="11">
        <v>21629.262602022809</v>
      </c>
      <c r="H145" s="11">
        <v>11273.335086469864</v>
      </c>
      <c r="I145" s="11">
        <v>56245.510034010964</v>
      </c>
      <c r="K145" s="8" t="s">
        <v>176</v>
      </c>
      <c r="L145" s="11">
        <v>2596.8488433344369</v>
      </c>
      <c r="M145" s="11">
        <v>1126.0068883878932</v>
      </c>
      <c r="N145" s="11">
        <v>652.58116995762077</v>
      </c>
      <c r="O145" s="11">
        <v>57169.472046145027</v>
      </c>
      <c r="P145" s="11">
        <v>14882.511610961286</v>
      </c>
      <c r="Q145" s="11">
        <v>21914.405240820855</v>
      </c>
      <c r="R145" s="11">
        <v>4055.7956179292792</v>
      </c>
      <c r="S145" s="65"/>
      <c r="T145" s="8" t="s">
        <v>176</v>
      </c>
      <c r="U145" s="11">
        <v>1125.2500736357258</v>
      </c>
      <c r="V145" s="11">
        <v>582.08267728501141</v>
      </c>
      <c r="W145" s="11">
        <v>1085.0574384887295</v>
      </c>
      <c r="X145" s="11">
        <v>78092.435557759702</v>
      </c>
      <c r="Y145" s="11">
        <v>16292.411723755586</v>
      </c>
      <c r="Z145" s="11">
        <v>17529.979748561283</v>
      </c>
      <c r="AA145" s="11">
        <v>7866.6206416409086</v>
      </c>
    </row>
    <row r="146" spans="2:27" x14ac:dyDescent="0.3">
      <c r="B146" s="8" t="s">
        <v>177</v>
      </c>
      <c r="C146" s="11">
        <v>427.6950698001134</v>
      </c>
      <c r="D146" s="11">
        <v>8691.2920826647787</v>
      </c>
      <c r="E146" s="11">
        <v>3071.7330732601417</v>
      </c>
      <c r="F146" s="11">
        <v>1172.901609310582</v>
      </c>
      <c r="G146" s="11">
        <v>154.1306843269297</v>
      </c>
      <c r="H146" s="11">
        <v>46052.405253252196</v>
      </c>
      <c r="I146" s="11">
        <v>6324.7816096871929</v>
      </c>
      <c r="K146" s="8" t="s">
        <v>177</v>
      </c>
      <c r="L146" s="11">
        <v>853.59406421855863</v>
      </c>
      <c r="M146" s="11">
        <v>12611.644687375283</v>
      </c>
      <c r="N146" s="11">
        <v>4248.858825922227</v>
      </c>
      <c r="O146" s="11">
        <v>2122.3632067636458</v>
      </c>
      <c r="P146" s="11">
        <v>281.64228865957961</v>
      </c>
      <c r="Q146" s="11">
        <v>37214.783421459062</v>
      </c>
      <c r="R146" s="11">
        <v>12354.538639016508</v>
      </c>
      <c r="S146" s="65"/>
      <c r="T146" s="8" t="s">
        <v>177</v>
      </c>
      <c r="U146" s="11">
        <v>677.7482778673957</v>
      </c>
      <c r="V146" s="11">
        <v>17208.039788504753</v>
      </c>
      <c r="W146" s="11">
        <v>3937.6811711165092</v>
      </c>
      <c r="X146" s="11">
        <v>2991.2252127820216</v>
      </c>
      <c r="Y146" s="11">
        <v>89.447948262870824</v>
      </c>
      <c r="Z146" s="11">
        <v>14796.099149120064</v>
      </c>
      <c r="AA146" s="11">
        <v>11998.134705374498</v>
      </c>
    </row>
    <row r="147" spans="2:27" x14ac:dyDescent="0.3">
      <c r="B147" s="8" t="s">
        <v>161</v>
      </c>
      <c r="C147" s="11">
        <v>1251.2973130046501</v>
      </c>
      <c r="D147" s="11">
        <v>9307.7901803313798</v>
      </c>
      <c r="E147" s="11">
        <v>83513.355246191175</v>
      </c>
      <c r="F147" s="11">
        <v>33054.173701240506</v>
      </c>
      <c r="G147" s="11">
        <v>35313.662484312095</v>
      </c>
      <c r="H147" s="11">
        <v>23483.880778135583</v>
      </c>
      <c r="I147" s="11">
        <v>11729.905880769564</v>
      </c>
      <c r="K147" s="8" t="s">
        <v>161</v>
      </c>
      <c r="L147" s="11">
        <v>1095.750585612856</v>
      </c>
      <c r="M147" s="11">
        <v>16128.465644283393</v>
      </c>
      <c r="N147" s="11">
        <v>78436.759375877693</v>
      </c>
      <c r="O147" s="11">
        <v>49289.139823143691</v>
      </c>
      <c r="P147" s="11">
        <v>35967.348047996013</v>
      </c>
      <c r="Q147" s="11">
        <v>10550.522416216671</v>
      </c>
      <c r="R147" s="11">
        <v>19146.217551767404</v>
      </c>
      <c r="S147" s="65"/>
      <c r="T147" s="8" t="s">
        <v>161</v>
      </c>
      <c r="U147" s="11">
        <v>525.88632805407201</v>
      </c>
      <c r="V147" s="11">
        <v>10398.514856708989</v>
      </c>
      <c r="W147" s="11">
        <v>87247.233481453412</v>
      </c>
      <c r="X147" s="11">
        <v>1524.7905773987948</v>
      </c>
      <c r="Y147" s="11">
        <v>29036.550546650873</v>
      </c>
      <c r="Z147" s="11">
        <v>13105.748313602653</v>
      </c>
      <c r="AA147" s="11">
        <v>1310.9405622276415</v>
      </c>
    </row>
    <row r="148" spans="2:27" x14ac:dyDescent="0.3">
      <c r="B148" s="8" t="s">
        <v>162</v>
      </c>
      <c r="C148" s="11">
        <v>2357.4084021220483</v>
      </c>
      <c r="D148" s="11">
        <v>1921.6495128384188</v>
      </c>
      <c r="E148" s="11">
        <v>8553.3697111746515</v>
      </c>
      <c r="F148" s="11">
        <v>27.786033422503746</v>
      </c>
      <c r="G148" s="11">
        <v>9545.5175061647824</v>
      </c>
      <c r="H148" s="11">
        <v>893.91482769764866</v>
      </c>
      <c r="I148" s="11">
        <v>2114.8824100773149</v>
      </c>
      <c r="K148" s="8" t="s">
        <v>162</v>
      </c>
      <c r="L148" s="11">
        <v>2425.3204212654368</v>
      </c>
      <c r="M148" s="11">
        <v>2991.3139507298247</v>
      </c>
      <c r="N148" s="11">
        <v>4778.736500428774</v>
      </c>
      <c r="O148" s="11">
        <v>13.86563141360436</v>
      </c>
      <c r="P148" s="11">
        <v>6239.6320176316822</v>
      </c>
      <c r="Q148" s="11">
        <v>1350.587145273013</v>
      </c>
      <c r="R148" s="11">
        <v>2146.4857483165542</v>
      </c>
      <c r="S148" s="65"/>
      <c r="T148" s="8" t="s">
        <v>162</v>
      </c>
      <c r="U148" s="11">
        <v>948.35551904079182</v>
      </c>
      <c r="V148" s="11">
        <v>801.01766626082883</v>
      </c>
      <c r="W148" s="11">
        <v>5114.0806046556654</v>
      </c>
      <c r="X148" s="11">
        <v>20.158181691143568</v>
      </c>
      <c r="Y148" s="11">
        <v>9178.2425487887413</v>
      </c>
      <c r="Z148" s="11">
        <v>1022.2689122348788</v>
      </c>
      <c r="AA148" s="11">
        <v>1176.0382707212614</v>
      </c>
    </row>
    <row r="149" spans="2:27" x14ac:dyDescent="0.3">
      <c r="B149" s="8" t="s">
        <v>163</v>
      </c>
      <c r="C149" s="11">
        <v>16900.391751317045</v>
      </c>
      <c r="D149" s="11">
        <v>23109.859601790005</v>
      </c>
      <c r="E149" s="11">
        <v>2144.0823636943555</v>
      </c>
      <c r="F149" s="11">
        <v>29661.363077774011</v>
      </c>
      <c r="G149" s="11">
        <v>14149.875146459051</v>
      </c>
      <c r="H149" s="11">
        <v>29.762146654607008</v>
      </c>
      <c r="I149" s="11">
        <v>29242.422330178244</v>
      </c>
      <c r="K149" s="8" t="s">
        <v>163</v>
      </c>
      <c r="L149" s="11">
        <v>20896.400497211976</v>
      </c>
      <c r="M149" s="11">
        <v>3803.9519084631697</v>
      </c>
      <c r="N149" s="11">
        <v>1549.2722664583862</v>
      </c>
      <c r="O149" s="11">
        <v>30354.52132552773</v>
      </c>
      <c r="P149" s="11">
        <v>21899.207849852504</v>
      </c>
      <c r="Q149" s="11">
        <v>20.943291414765607</v>
      </c>
      <c r="R149" s="11">
        <v>7638.2023119502483</v>
      </c>
      <c r="S149" s="65"/>
      <c r="T149" s="8" t="s">
        <v>163</v>
      </c>
      <c r="U149" s="11">
        <v>39219.329062865931</v>
      </c>
      <c r="V149" s="11">
        <v>18.234560866242454</v>
      </c>
      <c r="W149" s="11">
        <v>3046.0386297878281</v>
      </c>
      <c r="X149" s="11">
        <v>33969.891564022633</v>
      </c>
      <c r="Y149" s="11">
        <v>1471.8770887166443</v>
      </c>
      <c r="Z149" s="11">
        <v>29.660975761679534</v>
      </c>
      <c r="AA149" s="11">
        <v>2920.4990621243737</v>
      </c>
    </row>
    <row r="150" spans="2:27" x14ac:dyDescent="0.3">
      <c r="B150" s="8" t="s">
        <v>164</v>
      </c>
      <c r="C150" s="11">
        <v>8610.510724165224</v>
      </c>
      <c r="D150" s="11">
        <v>5225.4631521213842</v>
      </c>
      <c r="E150" s="11">
        <v>859.10774757084778</v>
      </c>
      <c r="F150" s="11">
        <v>411.56448802801663</v>
      </c>
      <c r="G150" s="11">
        <v>3349.7232713167423</v>
      </c>
      <c r="H150" s="11">
        <v>24505.968244863969</v>
      </c>
      <c r="I150" s="11">
        <v>5742.0525686600213</v>
      </c>
      <c r="K150" s="8" t="s">
        <v>164</v>
      </c>
      <c r="L150" s="11">
        <v>9458.1088317825397</v>
      </c>
      <c r="M150" s="11">
        <v>8612.2130267683388</v>
      </c>
      <c r="N150" s="11">
        <v>1186.5982810767277</v>
      </c>
      <c r="O150" s="11">
        <v>776.82716966217208</v>
      </c>
      <c r="P150" s="11">
        <v>4824.9622281210177</v>
      </c>
      <c r="Q150" s="11">
        <v>41892.403465152835</v>
      </c>
      <c r="R150" s="11">
        <v>7100.1994873609628</v>
      </c>
      <c r="S150" s="65"/>
      <c r="T150" s="8" t="s">
        <v>164</v>
      </c>
      <c r="U150" s="11">
        <v>11092.823006489958</v>
      </c>
      <c r="V150" s="11">
        <v>16930.586823172314</v>
      </c>
      <c r="W150" s="11">
        <v>354.40699435190396</v>
      </c>
      <c r="X150" s="11">
        <v>1035.0930031475648</v>
      </c>
      <c r="Y150" s="11">
        <v>8888.769796871873</v>
      </c>
      <c r="Z150" s="11">
        <v>44630.515093110414</v>
      </c>
      <c r="AA150" s="11">
        <v>12134.267281882798</v>
      </c>
    </row>
    <row r="151" spans="2:27" x14ac:dyDescent="0.3">
      <c r="B151" s="8" t="s">
        <v>178</v>
      </c>
      <c r="C151" s="11">
        <v>8371.1895112433867</v>
      </c>
      <c r="D151" s="11">
        <v>283.8266628249059</v>
      </c>
      <c r="E151" s="11">
        <v>6253.5051356723434</v>
      </c>
      <c r="F151" s="11">
        <v>350.96737384128909</v>
      </c>
      <c r="G151" s="11">
        <v>777.54713999753767</v>
      </c>
      <c r="H151" s="11">
        <v>30182.103988423925</v>
      </c>
      <c r="I151" s="11">
        <v>7079.5543399354856</v>
      </c>
      <c r="K151" s="8" t="s">
        <v>178</v>
      </c>
      <c r="L151" s="11">
        <v>8068.0966634032775</v>
      </c>
      <c r="M151" s="11">
        <v>503.98295967033476</v>
      </c>
      <c r="N151" s="11">
        <v>4095.8601876128055</v>
      </c>
      <c r="O151" s="11">
        <v>569.8092776252696</v>
      </c>
      <c r="P151" s="11">
        <v>1495.8908777851125</v>
      </c>
      <c r="Q151" s="11">
        <v>15070.521889751324</v>
      </c>
      <c r="R151" s="11">
        <v>9911.2232107335039</v>
      </c>
      <c r="S151" s="65"/>
      <c r="T151" s="8" t="s">
        <v>178</v>
      </c>
      <c r="U151" s="11">
        <v>8012.3671531494301</v>
      </c>
      <c r="V151" s="11">
        <v>584.97027602976527</v>
      </c>
      <c r="W151" s="11">
        <v>6567.1161166441225</v>
      </c>
      <c r="X151" s="11">
        <v>976.74999703939091</v>
      </c>
      <c r="Y151" s="11">
        <v>2868.1039967405936</v>
      </c>
      <c r="Z151" s="11">
        <v>21881.062861686481</v>
      </c>
      <c r="AA151" s="11">
        <v>4878.4342746456032</v>
      </c>
    </row>
    <row r="152" spans="2:27" x14ac:dyDescent="0.3">
      <c r="B152" s="8" t="s">
        <v>165</v>
      </c>
      <c r="C152" s="11">
        <v>2992.6300257578587</v>
      </c>
      <c r="D152" s="11">
        <v>235.60501020039618</v>
      </c>
      <c r="E152" s="11">
        <v>1405.4068827763056</v>
      </c>
      <c r="F152" s="11">
        <v>4000.2595368280986</v>
      </c>
      <c r="G152" s="11">
        <v>6091.5822001545357</v>
      </c>
      <c r="H152" s="11">
        <v>1005.7023776147344</v>
      </c>
      <c r="I152" s="11">
        <v>6752.6593649675269</v>
      </c>
      <c r="K152" s="8" t="s">
        <v>165</v>
      </c>
      <c r="L152" s="11">
        <v>5600.3255917328843</v>
      </c>
      <c r="M152" s="11">
        <v>369.13133129435209</v>
      </c>
      <c r="N152" s="11">
        <v>1150.4197265463524</v>
      </c>
      <c r="O152" s="11">
        <v>6487.325528948023</v>
      </c>
      <c r="P152" s="11">
        <v>10711.226730668253</v>
      </c>
      <c r="Q152" s="11">
        <v>369.00789920837275</v>
      </c>
      <c r="R152" s="11">
        <v>1056.5594613594326</v>
      </c>
      <c r="S152" s="65"/>
      <c r="T152" s="8" t="s">
        <v>165</v>
      </c>
      <c r="U152" s="11">
        <v>175.33167735196349</v>
      </c>
      <c r="V152" s="11">
        <v>29.349478002582849</v>
      </c>
      <c r="W152" s="11">
        <v>2245.3620757383833</v>
      </c>
      <c r="X152" s="11">
        <v>12475.304882904269</v>
      </c>
      <c r="Y152" s="11">
        <v>17678.854880836425</v>
      </c>
      <c r="Z152" s="11">
        <v>26.778281583602848</v>
      </c>
      <c r="AA152" s="11">
        <v>135.13288604991797</v>
      </c>
    </row>
    <row r="153" spans="2:27" x14ac:dyDescent="0.3">
      <c r="B153" s="8" t="s">
        <v>166</v>
      </c>
      <c r="C153" s="11">
        <v>13787.920545003382</v>
      </c>
      <c r="D153" s="11">
        <v>1043.9744029427852</v>
      </c>
      <c r="E153" s="11">
        <v>32820.249898870738</v>
      </c>
      <c r="F153" s="11">
        <v>30918.203556730386</v>
      </c>
      <c r="G153" s="11">
        <v>37649.450114389918</v>
      </c>
      <c r="H153" s="11">
        <v>191661.57431795838</v>
      </c>
      <c r="I153" s="11">
        <v>27151.077240832936</v>
      </c>
      <c r="K153" s="8" t="s">
        <v>166</v>
      </c>
      <c r="L153" s="11">
        <v>5872.0033740222898</v>
      </c>
      <c r="M153" s="11">
        <v>146.41139176999411</v>
      </c>
      <c r="N153" s="11">
        <v>30768.76616545103</v>
      </c>
      <c r="O153" s="11">
        <v>7639.8119889452391</v>
      </c>
      <c r="P153" s="11">
        <v>54449.243246354883</v>
      </c>
      <c r="Q153" s="11">
        <v>248379.98483367381</v>
      </c>
      <c r="R153" s="11">
        <v>15301.122268220595</v>
      </c>
      <c r="S153" s="65"/>
      <c r="T153" s="8" t="s">
        <v>166</v>
      </c>
      <c r="U153" s="11">
        <v>3627.8708067558882</v>
      </c>
      <c r="V153" s="11">
        <v>202.54312113331409</v>
      </c>
      <c r="W153" s="11">
        <v>21308.968638249771</v>
      </c>
      <c r="X153" s="11">
        <v>11709.532355854473</v>
      </c>
      <c r="Y153" s="11">
        <v>70988.446772350842</v>
      </c>
      <c r="Z153" s="11">
        <v>358444.53999251756</v>
      </c>
      <c r="AA153" s="11">
        <v>18902.18233447284</v>
      </c>
    </row>
    <row r="154" spans="2:27" x14ac:dyDescent="0.3">
      <c r="B154" s="8" t="s">
        <v>167</v>
      </c>
      <c r="C154" s="11">
        <v>7957.9083466469001</v>
      </c>
      <c r="D154" s="11">
        <v>5989.4067464534646</v>
      </c>
      <c r="E154" s="11">
        <v>4672.760521952534</v>
      </c>
      <c r="F154" s="11">
        <v>56863.487574405255</v>
      </c>
      <c r="G154" s="11">
        <v>20608.446870264674</v>
      </c>
      <c r="H154" s="11">
        <v>7354.1942956305329</v>
      </c>
      <c r="I154" s="11">
        <v>34068.341273368547</v>
      </c>
      <c r="K154" s="8" t="s">
        <v>167</v>
      </c>
      <c r="L154" s="11">
        <v>13517.600426743395</v>
      </c>
      <c r="M154" s="11">
        <v>11566.629505339899</v>
      </c>
      <c r="N154" s="11">
        <v>8894.7041206918384</v>
      </c>
      <c r="O154" s="11">
        <v>81660.292883652612</v>
      </c>
      <c r="P154" s="11">
        <v>26727.371437690366</v>
      </c>
      <c r="Q154" s="11">
        <v>1446.1356177477869</v>
      </c>
      <c r="R154" s="11">
        <v>4357.8334430448976</v>
      </c>
      <c r="S154" s="65"/>
      <c r="T154" s="8" t="s">
        <v>167</v>
      </c>
      <c r="U154" s="11">
        <v>15509.68096203628</v>
      </c>
      <c r="V154" s="11">
        <v>5943.3575140551475</v>
      </c>
      <c r="W154" s="11">
        <v>16830.723661820433</v>
      </c>
      <c r="X154" s="11">
        <v>131073.75181896021</v>
      </c>
      <c r="Y154" s="11">
        <v>23540.792021735349</v>
      </c>
      <c r="Z154" s="11">
        <v>164.02890165710869</v>
      </c>
      <c r="AA154" s="11">
        <v>8104.1440712462827</v>
      </c>
    </row>
    <row r="155" spans="2:27" x14ac:dyDescent="0.3">
      <c r="B155" s="8" t="s">
        <v>168</v>
      </c>
      <c r="C155" s="11">
        <v>13174.97256654298</v>
      </c>
      <c r="D155" s="11">
        <v>10912.382249289129</v>
      </c>
      <c r="E155" s="11">
        <v>7667.4195893940268</v>
      </c>
      <c r="F155" s="11">
        <v>3375.9406129757263</v>
      </c>
      <c r="G155" s="11">
        <v>37336.789231299706</v>
      </c>
      <c r="H155" s="11">
        <v>51708.417465605467</v>
      </c>
      <c r="I155" s="11">
        <v>14464.530798563348</v>
      </c>
      <c r="K155" s="8" t="s">
        <v>168</v>
      </c>
      <c r="L155" s="11">
        <v>8207.8903728942041</v>
      </c>
      <c r="M155" s="11">
        <v>6971.7917273405556</v>
      </c>
      <c r="N155" s="11">
        <v>513.10248876995445</v>
      </c>
      <c r="O155" s="11">
        <v>1937.684724085671</v>
      </c>
      <c r="P155" s="11">
        <v>3861.5207932077433</v>
      </c>
      <c r="Q155" s="11">
        <v>49759.71218542647</v>
      </c>
      <c r="R155" s="11">
        <v>3464.2789637478058</v>
      </c>
      <c r="S155" s="65"/>
      <c r="T155" s="8" t="s">
        <v>168</v>
      </c>
      <c r="U155" s="11">
        <v>1641.6918659969217</v>
      </c>
      <c r="V155" s="11">
        <v>11849.207964387499</v>
      </c>
      <c r="W155" s="11">
        <v>708.42169065292148</v>
      </c>
      <c r="X155" s="11">
        <v>1012.5020548226059</v>
      </c>
      <c r="Y155" s="11">
        <v>4925.8905310743303</v>
      </c>
      <c r="Z155" s="11">
        <v>20782.52739020473</v>
      </c>
      <c r="AA155" s="11">
        <v>223.03520765955133</v>
      </c>
    </row>
    <row r="156" spans="2:27" x14ac:dyDescent="0.3">
      <c r="B156" s="8" t="s">
        <v>169</v>
      </c>
      <c r="C156" s="11">
        <v>49397.819570188221</v>
      </c>
      <c r="D156" s="11">
        <v>30351.811942996992</v>
      </c>
      <c r="E156" s="11">
        <v>4215.2348539870518</v>
      </c>
      <c r="F156" s="11">
        <v>34409.61825841754</v>
      </c>
      <c r="G156" s="11">
        <v>64107.420320737489</v>
      </c>
      <c r="H156" s="11">
        <v>7708.3551974617867</v>
      </c>
      <c r="I156" s="11">
        <v>60686.323781363666</v>
      </c>
      <c r="K156" s="8" t="s">
        <v>169</v>
      </c>
      <c r="L156" s="11">
        <v>89012.672752351398</v>
      </c>
      <c r="M156" s="11">
        <v>57938.348437664208</v>
      </c>
      <c r="N156" s="11">
        <v>6939.9194713876404</v>
      </c>
      <c r="O156" s="11">
        <v>11384.348489185268</v>
      </c>
      <c r="P156" s="11">
        <v>85913.072681601625</v>
      </c>
      <c r="Q156" s="11">
        <v>11354.284836148725</v>
      </c>
      <c r="R156" s="11">
        <v>99979.860900787666</v>
      </c>
      <c r="S156" s="65"/>
      <c r="T156" s="8" t="s">
        <v>169</v>
      </c>
      <c r="U156" s="11">
        <v>60701.693547950781</v>
      </c>
      <c r="V156" s="11">
        <v>37295.827560844627</v>
      </c>
      <c r="W156" s="11">
        <v>5020.9649496134625</v>
      </c>
      <c r="X156" s="11">
        <v>21587.513273213674</v>
      </c>
      <c r="Y156" s="11">
        <v>31440.918820604511</v>
      </c>
      <c r="Z156" s="11">
        <v>2132.4577299284015</v>
      </c>
      <c r="AA156" s="11">
        <v>79261.6866211374</v>
      </c>
    </row>
    <row r="157" spans="2:27" x14ac:dyDescent="0.3">
      <c r="B157" s="8" t="s">
        <v>179</v>
      </c>
      <c r="C157" s="11">
        <v>23617.08287664242</v>
      </c>
      <c r="D157" s="11">
        <v>1342.2493675533005</v>
      </c>
      <c r="E157" s="11">
        <v>7386.3724001388764</v>
      </c>
      <c r="F157" s="11">
        <v>6451.1748523151546</v>
      </c>
      <c r="G157" s="11">
        <v>1193.107202060914</v>
      </c>
      <c r="H157" s="11">
        <v>18266.470896563627</v>
      </c>
      <c r="I157" s="11">
        <v>19312.444237573</v>
      </c>
      <c r="K157" s="8" t="s">
        <v>179</v>
      </c>
      <c r="L157" s="11">
        <v>25556.254629907471</v>
      </c>
      <c r="M157" s="11">
        <v>34.75481930342972</v>
      </c>
      <c r="N157" s="11">
        <v>12458.007208469544</v>
      </c>
      <c r="O157" s="11">
        <v>5539.5459844640318</v>
      </c>
      <c r="P157" s="11">
        <v>2008.5650902762009</v>
      </c>
      <c r="Q157" s="11">
        <v>35676.431482464017</v>
      </c>
      <c r="R157" s="11">
        <v>24425.868887531455</v>
      </c>
      <c r="S157" s="65"/>
      <c r="T157" s="8" t="s">
        <v>179</v>
      </c>
      <c r="U157" s="11">
        <v>13296.343421230786</v>
      </c>
      <c r="V157" s="11">
        <v>33.917214074632874</v>
      </c>
      <c r="W157" s="11">
        <v>22867.418243961696</v>
      </c>
      <c r="X157" s="11">
        <v>5660.7284027862443</v>
      </c>
      <c r="Y157" s="11">
        <v>1127.8238236820171</v>
      </c>
      <c r="Z157" s="11">
        <v>24801.956601473892</v>
      </c>
      <c r="AA157" s="11">
        <v>12582.32144505969</v>
      </c>
    </row>
    <row r="158" spans="2:27" x14ac:dyDescent="0.3">
      <c r="B158" s="8" t="s">
        <v>180</v>
      </c>
      <c r="C158" s="11">
        <v>1502.4645654445233</v>
      </c>
      <c r="D158" s="11">
        <v>21672.326129369863</v>
      </c>
      <c r="E158" s="11">
        <v>27537.690400286625</v>
      </c>
      <c r="F158" s="11">
        <v>11396.273664514019</v>
      </c>
      <c r="G158" s="11">
        <v>6407.2215206080637</v>
      </c>
      <c r="H158" s="11">
        <v>3916.9474418257314</v>
      </c>
      <c r="I158" s="11">
        <v>167.19618702925516</v>
      </c>
      <c r="K158" s="8" t="s">
        <v>180</v>
      </c>
      <c r="L158" s="11">
        <v>2849.4700531092594</v>
      </c>
      <c r="M158" s="11">
        <v>13452.89955679225</v>
      </c>
      <c r="N158" s="11">
        <v>3451.5649437383759</v>
      </c>
      <c r="O158" s="11">
        <v>15972.606403472868</v>
      </c>
      <c r="P158" s="11">
        <v>6755.9164014138196</v>
      </c>
      <c r="Q158" s="11">
        <v>5328.7674754516456</v>
      </c>
      <c r="R158" s="11">
        <v>126.48413156939945</v>
      </c>
      <c r="S158" s="65"/>
      <c r="T158" s="8" t="s">
        <v>180</v>
      </c>
      <c r="U158" s="11">
        <v>3537.7655066523653</v>
      </c>
      <c r="V158" s="11">
        <v>14614.460633052546</v>
      </c>
      <c r="W158" s="11">
        <v>1893.6487150188505</v>
      </c>
      <c r="X158" s="11">
        <v>23047.929825033028</v>
      </c>
      <c r="Y158" s="11">
        <v>6245.2785273300788</v>
      </c>
      <c r="Z158" s="11">
        <v>4132.2966238972767</v>
      </c>
      <c r="AA158" s="11">
        <v>150.57222564785249</v>
      </c>
    </row>
    <row r="159" spans="2:27" x14ac:dyDescent="0.3">
      <c r="B159" s="8" t="s">
        <v>181</v>
      </c>
      <c r="C159" s="11">
        <v>8312.8689525739737</v>
      </c>
      <c r="D159" s="11">
        <v>6068.823685302671</v>
      </c>
      <c r="E159" s="11">
        <v>18980.809233054108</v>
      </c>
      <c r="F159" s="11">
        <v>3351.5871051348863</v>
      </c>
      <c r="G159" s="11">
        <v>117715.57788602695</v>
      </c>
      <c r="H159" s="11">
        <v>52278.130775162266</v>
      </c>
      <c r="I159" s="11">
        <v>120216.50243186936</v>
      </c>
      <c r="K159" s="8" t="s">
        <v>181</v>
      </c>
      <c r="L159" s="11">
        <v>8951.1567687489296</v>
      </c>
      <c r="M159" s="11">
        <v>7534.9209148312657</v>
      </c>
      <c r="N159" s="11">
        <v>16906.149256636563</v>
      </c>
      <c r="O159" s="11">
        <v>3719.9163798325471</v>
      </c>
      <c r="P159" s="11">
        <v>19380.688665867008</v>
      </c>
      <c r="Q159" s="11">
        <v>18587.281540609012</v>
      </c>
      <c r="R159" s="11">
        <v>39667.662204258384</v>
      </c>
      <c r="S159" s="65"/>
      <c r="T159" s="8" t="s">
        <v>181</v>
      </c>
      <c r="U159" s="11">
        <v>17115.764195529751</v>
      </c>
      <c r="V159" s="11">
        <v>13156.573780352708</v>
      </c>
      <c r="W159" s="11">
        <v>1569.3919292823305</v>
      </c>
      <c r="X159" s="11">
        <v>5243.6963957162825</v>
      </c>
      <c r="Y159" s="11">
        <v>3175.8769120706397</v>
      </c>
      <c r="Z159" s="11">
        <v>20026.616107644244</v>
      </c>
      <c r="AA159" s="11">
        <v>1426.555889546067</v>
      </c>
    </row>
    <row r="160" spans="2:27" x14ac:dyDescent="0.3">
      <c r="B160" s="8" t="s">
        <v>170</v>
      </c>
      <c r="C160" s="11">
        <v>53507.176711182525</v>
      </c>
      <c r="D160" s="11">
        <v>9603.7693832053301</v>
      </c>
      <c r="E160" s="11">
        <v>105964.9162905507</v>
      </c>
      <c r="F160" s="11">
        <v>20466.191226408366</v>
      </c>
      <c r="G160" s="11">
        <v>4224.7161238010804</v>
      </c>
      <c r="H160" s="11">
        <v>191722.29352888025</v>
      </c>
      <c r="I160" s="11">
        <v>15742.99084010224</v>
      </c>
      <c r="K160" s="8" t="s">
        <v>170</v>
      </c>
      <c r="L160" s="11">
        <v>32893.28602927117</v>
      </c>
      <c r="M160" s="11">
        <v>17789.599454765725</v>
      </c>
      <c r="N160" s="11">
        <v>6646.8576348018241</v>
      </c>
      <c r="O160" s="11">
        <v>10365.906847108574</v>
      </c>
      <c r="P160" s="11">
        <v>7255.2878906581791</v>
      </c>
      <c r="Q160" s="11">
        <v>118836.4160352013</v>
      </c>
      <c r="R160" s="11">
        <v>18487.359985546707</v>
      </c>
      <c r="S160" s="65"/>
      <c r="T160" s="8" t="s">
        <v>170</v>
      </c>
      <c r="U160" s="11">
        <v>35165.976700957777</v>
      </c>
      <c r="V160" s="11">
        <v>7621.0306671498911</v>
      </c>
      <c r="W160" s="11">
        <v>9420.950033932575</v>
      </c>
      <c r="X160" s="11">
        <v>16166.905808596117</v>
      </c>
      <c r="Y160" s="11">
        <v>8653.0716594585338</v>
      </c>
      <c r="Z160" s="11">
        <v>61649.226135441793</v>
      </c>
      <c r="AA160" s="11">
        <v>4814.7597296035055</v>
      </c>
    </row>
    <row r="161" spans="2:27" x14ac:dyDescent="0.3">
      <c r="B161" s="8" t="s">
        <v>171</v>
      </c>
      <c r="C161" s="11">
        <v>3033.6499667752801</v>
      </c>
      <c r="D161" s="11">
        <v>4161.6297840670968</v>
      </c>
      <c r="E161" s="11">
        <v>19049.285592906759</v>
      </c>
      <c r="F161" s="11">
        <v>15229.756465873721</v>
      </c>
      <c r="G161" s="11">
        <v>2380.5042695690281</v>
      </c>
      <c r="H161" s="11">
        <v>36937.193671953726</v>
      </c>
      <c r="I161" s="11">
        <v>1248.9513776105923</v>
      </c>
      <c r="K161" s="8" t="s">
        <v>171</v>
      </c>
      <c r="L161" s="11">
        <v>639.27231694616728</v>
      </c>
      <c r="M161" s="11">
        <v>7564.3691573415399</v>
      </c>
      <c r="N161" s="11">
        <v>28157.712030370356</v>
      </c>
      <c r="O161" s="11">
        <v>4144.177575781433</v>
      </c>
      <c r="P161" s="11">
        <v>693.73168222469519</v>
      </c>
      <c r="Q161" s="11">
        <v>24479.495206083415</v>
      </c>
      <c r="R161" s="11">
        <v>653.98592210243157</v>
      </c>
      <c r="S161" s="65"/>
      <c r="T161" s="8" t="s">
        <v>171</v>
      </c>
      <c r="U161" s="11">
        <v>1266.0813051402924</v>
      </c>
      <c r="V161" s="11">
        <v>628.38424606117246</v>
      </c>
      <c r="W161" s="11">
        <v>53552.15031438665</v>
      </c>
      <c r="X161" s="11">
        <v>6496.1544652113062</v>
      </c>
      <c r="Y161" s="11">
        <v>108.48851916920769</v>
      </c>
      <c r="Z161" s="11">
        <v>15043.114973087493</v>
      </c>
      <c r="AA161" s="11">
        <v>1020.9842296636912</v>
      </c>
    </row>
    <row r="162" spans="2:27" x14ac:dyDescent="0.3">
      <c r="B162" s="8" t="s">
        <v>172</v>
      </c>
      <c r="C162" s="11">
        <v>28636.99129845346</v>
      </c>
      <c r="D162" s="11">
        <v>24466.497909023168</v>
      </c>
      <c r="E162" s="11">
        <v>1986.8694706337278</v>
      </c>
      <c r="F162" s="11">
        <v>40588.628157182604</v>
      </c>
      <c r="G162" s="11">
        <v>1808.1420038880415</v>
      </c>
      <c r="H162" s="11">
        <v>3785.2471300823167</v>
      </c>
      <c r="I162" s="11">
        <v>51699.825984414892</v>
      </c>
      <c r="K162" s="8" t="s">
        <v>172</v>
      </c>
      <c r="L162" s="11">
        <v>3003.0051609763022</v>
      </c>
      <c r="M162" s="11">
        <v>15675.939760197858</v>
      </c>
      <c r="N162" s="11">
        <v>2930.920530097409</v>
      </c>
      <c r="O162" s="11">
        <v>79041.756390876268</v>
      </c>
      <c r="P162" s="11">
        <v>2094.7762934830375</v>
      </c>
      <c r="Q162" s="11">
        <v>110.2076391859795</v>
      </c>
      <c r="R162" s="11">
        <v>19382.516357024197</v>
      </c>
      <c r="S162" s="65"/>
      <c r="T162" s="8" t="s">
        <v>172</v>
      </c>
      <c r="U162" s="11">
        <v>3012.5849719359262</v>
      </c>
      <c r="V162" s="11">
        <v>1680.1805133581722</v>
      </c>
      <c r="W162" s="11">
        <v>2177.4689005119008</v>
      </c>
      <c r="X162" s="11">
        <v>129348.91895638607</v>
      </c>
      <c r="Y162" s="11">
        <v>3943.7986486990226</v>
      </c>
      <c r="Z162" s="11">
        <v>119.05809076822995</v>
      </c>
      <c r="AA162" s="11">
        <v>19208.286435062313</v>
      </c>
    </row>
    <row r="163" spans="2:27" x14ac:dyDescent="0.3">
      <c r="B163" s="8" t="s">
        <v>173</v>
      </c>
      <c r="C163" s="11">
        <v>13924.916344110521</v>
      </c>
      <c r="D163" s="11">
        <v>14382.94317207164</v>
      </c>
      <c r="E163" s="11">
        <v>51123.341982826569</v>
      </c>
      <c r="F163" s="11">
        <v>2285.0214965468722</v>
      </c>
      <c r="G163" s="11">
        <v>1330.571549082877</v>
      </c>
      <c r="H163" s="11">
        <v>34993.517934830088</v>
      </c>
      <c r="I163" s="11">
        <v>38794.911131427827</v>
      </c>
      <c r="K163" s="8" t="s">
        <v>173</v>
      </c>
      <c r="L163" s="11">
        <v>9744.4289692156071</v>
      </c>
      <c r="M163" s="11">
        <v>24457.89216875517</v>
      </c>
      <c r="N163" s="11">
        <v>59406.777969297917</v>
      </c>
      <c r="O163" s="11">
        <v>1999.6447458653704</v>
      </c>
      <c r="P163" s="11">
        <v>1344.1542221466725</v>
      </c>
      <c r="Q163" s="11">
        <v>52343.070212901192</v>
      </c>
      <c r="R163" s="11">
        <v>47286.137168634559</v>
      </c>
      <c r="S163" s="65"/>
      <c r="T163" s="8" t="s">
        <v>173</v>
      </c>
      <c r="U163" s="11">
        <v>10974.940217851501</v>
      </c>
      <c r="V163" s="11">
        <v>37268.066926268257</v>
      </c>
      <c r="W163" s="11">
        <v>99992.019499373288</v>
      </c>
      <c r="X163" s="11">
        <v>27.425925215867167</v>
      </c>
      <c r="Y163" s="11">
        <v>44.511756163733459</v>
      </c>
      <c r="Z163" s="11">
        <v>60088.46146177136</v>
      </c>
      <c r="AA163" s="11">
        <v>36018.539354796689</v>
      </c>
    </row>
    <row r="164" spans="2:27" x14ac:dyDescent="0.3">
      <c r="B164" s="8" t="s">
        <v>174</v>
      </c>
      <c r="C164" s="11">
        <v>60789.565921997462</v>
      </c>
      <c r="D164" s="11">
        <v>67979.05622847061</v>
      </c>
      <c r="E164" s="11">
        <v>6849.1656884036174</v>
      </c>
      <c r="F164" s="11">
        <v>102552.18877017561</v>
      </c>
      <c r="G164" s="11">
        <v>11077.738825000741</v>
      </c>
      <c r="H164" s="11">
        <v>176432.79501892847</v>
      </c>
      <c r="I164" s="11">
        <v>186993.29080794225</v>
      </c>
      <c r="K164" s="8" t="s">
        <v>174</v>
      </c>
      <c r="L164" s="11">
        <v>89427.578973804004</v>
      </c>
      <c r="M164" s="11">
        <v>54034.558702300223</v>
      </c>
      <c r="N164" s="11">
        <v>2545.562951338522</v>
      </c>
      <c r="O164" s="11">
        <v>192232.28566173976</v>
      </c>
      <c r="P164" s="11">
        <v>8670.7346602928355</v>
      </c>
      <c r="Q164" s="11">
        <v>303720.77531385038</v>
      </c>
      <c r="R164" s="11">
        <v>163213.24441422909</v>
      </c>
      <c r="S164" s="65"/>
      <c r="T164" s="8" t="s">
        <v>174</v>
      </c>
      <c r="U164" s="11">
        <v>135999.19004232547</v>
      </c>
      <c r="V164" s="11">
        <v>80469.158794552044</v>
      </c>
      <c r="W164" s="11">
        <v>2644.9656662814505</v>
      </c>
      <c r="X164" s="11">
        <v>315250.5759070093</v>
      </c>
      <c r="Y164" s="11">
        <v>5837.0209786715241</v>
      </c>
      <c r="Z164" s="11">
        <v>291241.23402354895</v>
      </c>
      <c r="AA164" s="11">
        <v>287157.62999352644</v>
      </c>
    </row>
    <row r="165" spans="2:27" x14ac:dyDescent="0.3">
      <c r="B165" s="8" t="s">
        <v>182</v>
      </c>
      <c r="C165" s="11">
        <v>9372.1894098518533</v>
      </c>
      <c r="D165" s="11">
        <v>436.52695622062413</v>
      </c>
      <c r="E165" s="11">
        <v>374.4131299615064</v>
      </c>
      <c r="F165" s="11">
        <v>11070.398777389208</v>
      </c>
      <c r="G165" s="11">
        <v>4041.3686031064408</v>
      </c>
      <c r="H165" s="11">
        <v>703.52787103468927</v>
      </c>
      <c r="I165" s="11">
        <v>17284.986034218025</v>
      </c>
      <c r="K165" s="8" t="s">
        <v>182</v>
      </c>
      <c r="L165" s="11">
        <v>18557.156291338088</v>
      </c>
      <c r="M165" s="11">
        <v>188.28622528383323</v>
      </c>
      <c r="N165" s="11">
        <v>557.96692733042812</v>
      </c>
      <c r="O165" s="11">
        <v>15614.203903759917</v>
      </c>
      <c r="P165" s="11">
        <v>1191.0617496276523</v>
      </c>
      <c r="Q165" s="11">
        <v>1022.3885732878398</v>
      </c>
      <c r="R165" s="11">
        <v>6600.4874495552431</v>
      </c>
      <c r="S165" s="65"/>
      <c r="T165" s="8" t="s">
        <v>182</v>
      </c>
      <c r="U165" s="11">
        <v>27557.170545105211</v>
      </c>
      <c r="V165" s="11">
        <v>344.25327306540504</v>
      </c>
      <c r="W165" s="11">
        <v>234.77105020288451</v>
      </c>
      <c r="X165" s="11">
        <v>1953.3858969585108</v>
      </c>
      <c r="Y165" s="11">
        <v>2343.0761828511709</v>
      </c>
      <c r="Z165" s="11">
        <v>1208.5958237229665</v>
      </c>
      <c r="AA165" s="11">
        <v>10852.164479480369</v>
      </c>
    </row>
    <row r="166" spans="2:27" x14ac:dyDescent="0.3">
      <c r="B166" s="8" t="s">
        <v>183</v>
      </c>
      <c r="C166" s="11">
        <v>135213.62179774963</v>
      </c>
      <c r="D166" s="11">
        <v>106154.70445151957</v>
      </c>
      <c r="E166" s="11">
        <v>1064896.7624954886</v>
      </c>
      <c r="F166" s="11">
        <v>181932.07235922603</v>
      </c>
      <c r="G166" s="11">
        <v>355412.60607988836</v>
      </c>
      <c r="H166" s="11">
        <v>1304897.8654715787</v>
      </c>
      <c r="I166" s="11">
        <v>404923.91759546974</v>
      </c>
      <c r="K166" s="8" t="s">
        <v>183</v>
      </c>
      <c r="L166" s="11">
        <v>190683.04020112738</v>
      </c>
      <c r="M166" s="11">
        <v>142793.18628439272</v>
      </c>
      <c r="N166" s="11">
        <v>741754.40923261119</v>
      </c>
      <c r="O166" s="11">
        <v>114890.43972076361</v>
      </c>
      <c r="P166" s="11">
        <v>520975.16743033531</v>
      </c>
      <c r="Q166" s="11">
        <v>567917.35521557718</v>
      </c>
      <c r="R166" s="11">
        <v>160437.55117271777</v>
      </c>
      <c r="S166" s="65"/>
      <c r="T166" s="8" t="s">
        <v>183</v>
      </c>
      <c r="U166" s="11">
        <v>238819.36435411609</v>
      </c>
      <c r="V166" s="11">
        <v>217589.11508784795</v>
      </c>
      <c r="W166" s="11">
        <v>1051236.8737299251</v>
      </c>
      <c r="X166" s="11">
        <v>130497.54707209884</v>
      </c>
      <c r="Y166" s="11">
        <v>37211.793429577207</v>
      </c>
      <c r="Z166" s="11">
        <v>98565.133302410497</v>
      </c>
      <c r="AA166" s="11">
        <v>142142.20447992906</v>
      </c>
    </row>
    <row r="167" spans="2:27" x14ac:dyDescent="0.3">
      <c r="B167" s="8" t="s">
        <v>184</v>
      </c>
      <c r="C167" s="11">
        <v>51080.184443113983</v>
      </c>
      <c r="D167" s="11">
        <v>20129.081341978741</v>
      </c>
      <c r="E167" s="11">
        <v>22960.302303595105</v>
      </c>
      <c r="F167" s="11">
        <v>6164.6595097113259</v>
      </c>
      <c r="G167" s="11">
        <v>25810.677040095303</v>
      </c>
      <c r="H167" s="11">
        <v>24953.816898126752</v>
      </c>
      <c r="I167" s="11">
        <v>46334.277005039716</v>
      </c>
      <c r="K167" s="8" t="s">
        <v>184</v>
      </c>
      <c r="L167" s="11">
        <v>59877.273189784915</v>
      </c>
      <c r="M167" s="11">
        <v>26764.867498411171</v>
      </c>
      <c r="N167" s="11">
        <v>10918.605619727787</v>
      </c>
      <c r="O167" s="11">
        <v>3377.9113249929833</v>
      </c>
      <c r="P167" s="11">
        <v>49575.37325682128</v>
      </c>
      <c r="Q167" s="11">
        <v>950.74782282026467</v>
      </c>
      <c r="R167" s="11">
        <v>56876.275962468862</v>
      </c>
      <c r="S167" s="65"/>
      <c r="T167" s="8" t="s">
        <v>184</v>
      </c>
      <c r="U167" s="11">
        <v>80071.255950475825</v>
      </c>
      <c r="V167" s="11">
        <v>52780.551057354191</v>
      </c>
      <c r="W167" s="11">
        <v>11125.720452860351</v>
      </c>
      <c r="X167" s="11">
        <v>6210.6657078979015</v>
      </c>
      <c r="Y167" s="11">
        <v>23449.544986271569</v>
      </c>
      <c r="Z167" s="11">
        <v>1188.2891825913082</v>
      </c>
      <c r="AA167" s="11">
        <v>87040.492154472333</v>
      </c>
    </row>
    <row r="168" spans="2:27" x14ac:dyDescent="0.3">
      <c r="B168" s="8" t="s">
        <v>185</v>
      </c>
      <c r="C168" s="11">
        <v>1654.9075561219756</v>
      </c>
      <c r="D168" s="11">
        <v>752.37628843551613</v>
      </c>
      <c r="E168" s="11">
        <v>15078.533780628901</v>
      </c>
      <c r="F168" s="11">
        <v>8414.2673491450932</v>
      </c>
      <c r="G168" s="11">
        <v>1574.884023499257</v>
      </c>
      <c r="H168" s="11">
        <v>3676.4866024468824</v>
      </c>
      <c r="I168" s="11">
        <v>336.87226129538493</v>
      </c>
      <c r="K168" s="8" t="s">
        <v>185</v>
      </c>
      <c r="L168" s="11">
        <v>1056.8698887996029</v>
      </c>
      <c r="M168" s="11">
        <v>1289.5561877051052</v>
      </c>
      <c r="N168" s="11">
        <v>14898.691061061883</v>
      </c>
      <c r="O168" s="11">
        <v>15713.428239751958</v>
      </c>
      <c r="P168" s="11">
        <v>396.91329795487223</v>
      </c>
      <c r="Q168" s="11">
        <v>364.67201560493675</v>
      </c>
      <c r="R168" s="11">
        <v>554.72591765538118</v>
      </c>
      <c r="S168" s="65"/>
      <c r="T168" s="8" t="s">
        <v>185</v>
      </c>
      <c r="U168" s="11">
        <v>857.654981964336</v>
      </c>
      <c r="V168" s="11">
        <v>34.859647014125102</v>
      </c>
      <c r="W168" s="11">
        <v>14165.135779160826</v>
      </c>
      <c r="X168" s="11">
        <v>17239.945173778586</v>
      </c>
      <c r="Y168" s="11">
        <v>388.06132694786879</v>
      </c>
      <c r="Z168" s="11">
        <v>503.05332970511722</v>
      </c>
      <c r="AA168" s="11">
        <v>847.98272686698726</v>
      </c>
    </row>
    <row r="169" spans="2:27" x14ac:dyDescent="0.3">
      <c r="B169" s="8" t="s">
        <v>186</v>
      </c>
      <c r="C169" s="11">
        <v>6058.4444179383509</v>
      </c>
      <c r="D169" s="11">
        <v>8878.3553648954148</v>
      </c>
      <c r="E169" s="11">
        <v>11972.683759756224</v>
      </c>
      <c r="F169" s="11">
        <v>5718.8111579424276</v>
      </c>
      <c r="G169" s="11">
        <v>6902.0285192830006</v>
      </c>
      <c r="H169" s="11">
        <v>37192.385476082476</v>
      </c>
      <c r="I169" s="11">
        <v>2429.5905615585575</v>
      </c>
      <c r="K169" s="8" t="s">
        <v>186</v>
      </c>
      <c r="L169" s="11">
        <v>359.08129280304769</v>
      </c>
      <c r="M169" s="11">
        <v>10055.183256388284</v>
      </c>
      <c r="N169" s="11">
        <v>4493.1367750501213</v>
      </c>
      <c r="O169" s="11">
        <v>3191.4876789751952</v>
      </c>
      <c r="P169" s="11">
        <v>7287.87778788781</v>
      </c>
      <c r="Q169" s="11">
        <v>15987.999943783987</v>
      </c>
      <c r="R169" s="11">
        <v>3174.5140639417268</v>
      </c>
      <c r="S169" s="65"/>
      <c r="T169" s="8" t="s">
        <v>186</v>
      </c>
      <c r="U169" s="11">
        <v>545.10393840315351</v>
      </c>
      <c r="V169" s="11">
        <v>2917.4974178738548</v>
      </c>
      <c r="W169" s="11">
        <v>6389.4902676353859</v>
      </c>
      <c r="X169" s="11">
        <v>2187.8969249061333</v>
      </c>
      <c r="Y169" s="11">
        <v>3133.0877942909069</v>
      </c>
      <c r="Z169" s="11">
        <v>23942.86817439369</v>
      </c>
      <c r="AA169" s="11">
        <v>5905.9913707472833</v>
      </c>
    </row>
    <row r="170" spans="2:27" x14ac:dyDescent="0.3">
      <c r="B170" s="8" t="s">
        <v>187</v>
      </c>
      <c r="C170" s="11">
        <v>20499.119972379223</v>
      </c>
      <c r="D170" s="11">
        <v>4562.1706340537266</v>
      </c>
      <c r="E170" s="11">
        <v>25707.743829642866</v>
      </c>
      <c r="F170" s="11">
        <v>1159.7241938907607</v>
      </c>
      <c r="G170" s="11">
        <v>6910.9527902215741</v>
      </c>
      <c r="H170" s="11">
        <v>30047.428026031961</v>
      </c>
      <c r="I170" s="11">
        <v>2724.3709133566213</v>
      </c>
      <c r="K170" s="8" t="s">
        <v>187</v>
      </c>
      <c r="L170" s="11">
        <v>36510.147986787422</v>
      </c>
      <c r="M170" s="11">
        <v>6420.445517272824</v>
      </c>
      <c r="N170" s="11">
        <v>2387.2368210855843</v>
      </c>
      <c r="O170" s="11">
        <v>1991.5396943648386</v>
      </c>
      <c r="P170" s="11">
        <v>5306.6264784300001</v>
      </c>
      <c r="Q170" s="11">
        <v>42654.294074858655</v>
      </c>
      <c r="R170" s="11">
        <v>2675.8722942292943</v>
      </c>
      <c r="S170" s="65"/>
      <c r="T170" s="8" t="s">
        <v>187</v>
      </c>
      <c r="U170" s="11">
        <v>53718.287611559863</v>
      </c>
      <c r="V170" s="11">
        <v>8567.1307451875473</v>
      </c>
      <c r="W170" s="11">
        <v>68.471464889868983</v>
      </c>
      <c r="X170" s="11">
        <v>1126.2006049073404</v>
      </c>
      <c r="Y170" s="11">
        <v>9439.5255695093892</v>
      </c>
      <c r="Z170" s="11">
        <v>40979.63962051001</v>
      </c>
      <c r="AA170" s="11">
        <v>950.91342531927341</v>
      </c>
    </row>
    <row r="171" spans="2:27" x14ac:dyDescent="0.3">
      <c r="B171" s="8" t="s">
        <v>188</v>
      </c>
      <c r="C171" s="11">
        <v>357691.10513739928</v>
      </c>
      <c r="D171" s="11">
        <v>38945.461320278759</v>
      </c>
      <c r="E171" s="11">
        <v>123530.74082006536</v>
      </c>
      <c r="F171" s="11">
        <v>8833.873307706499</v>
      </c>
      <c r="G171" s="11">
        <v>227798.56199762743</v>
      </c>
      <c r="H171" s="11">
        <v>420447.42055869172</v>
      </c>
      <c r="I171" s="11">
        <v>207862.20060812408</v>
      </c>
      <c r="K171" s="8" t="s">
        <v>188</v>
      </c>
      <c r="L171" s="11">
        <v>48768.862062182605</v>
      </c>
      <c r="M171" s="11">
        <v>52163.586208123881</v>
      </c>
      <c r="N171" s="11">
        <v>149531.43393087576</v>
      </c>
      <c r="O171" s="11">
        <v>16891.185556696695</v>
      </c>
      <c r="P171" s="11">
        <v>57874.502069464877</v>
      </c>
      <c r="Q171" s="11">
        <v>223650.03700430033</v>
      </c>
      <c r="R171" s="11">
        <v>136722.62944499022</v>
      </c>
      <c r="S171" s="65"/>
      <c r="T171" s="8" t="s">
        <v>188</v>
      </c>
      <c r="U171" s="11">
        <v>46263.275217676914</v>
      </c>
      <c r="V171" s="11">
        <v>36487.794201949146</v>
      </c>
      <c r="W171" s="11">
        <v>113431.43733855707</v>
      </c>
      <c r="X171" s="11">
        <v>23258.755460866054</v>
      </c>
      <c r="Y171" s="11">
        <v>94661.41954127913</v>
      </c>
      <c r="Z171" s="11">
        <v>27686.555924776738</v>
      </c>
      <c r="AA171" s="11">
        <v>213874.83831311393</v>
      </c>
    </row>
    <row r="172" spans="2:27" x14ac:dyDescent="0.3">
      <c r="B172" s="8" t="s">
        <v>189</v>
      </c>
      <c r="C172" s="11">
        <v>93699.456144347685</v>
      </c>
      <c r="D172" s="11">
        <v>17257.298121118904</v>
      </c>
      <c r="E172" s="11">
        <v>121701.94741663252</v>
      </c>
      <c r="F172" s="11">
        <v>2407.8009001786213</v>
      </c>
      <c r="G172" s="11">
        <v>11618.521734435681</v>
      </c>
      <c r="H172" s="11">
        <v>40664.626073891712</v>
      </c>
      <c r="I172" s="11">
        <v>4155.1035038179371</v>
      </c>
      <c r="K172" s="8" t="s">
        <v>189</v>
      </c>
      <c r="L172" s="11">
        <v>83113.618180110803</v>
      </c>
      <c r="M172" s="11">
        <v>8142.0537710449844</v>
      </c>
      <c r="N172" s="11">
        <v>49034.071463774264</v>
      </c>
      <c r="O172" s="11">
        <v>2192.1538980606992</v>
      </c>
      <c r="P172" s="11">
        <v>9349.4265272194298</v>
      </c>
      <c r="Q172" s="11">
        <v>3013.3613319815577</v>
      </c>
      <c r="R172" s="11">
        <v>7784.1653898660197</v>
      </c>
      <c r="S172" s="65"/>
      <c r="T172" s="8" t="s">
        <v>189</v>
      </c>
      <c r="U172" s="11">
        <v>77709.066233434598</v>
      </c>
      <c r="V172" s="11">
        <v>10446.649380442415</v>
      </c>
      <c r="W172" s="11">
        <v>46968.602670688058</v>
      </c>
      <c r="X172" s="11">
        <v>4130.4398021240977</v>
      </c>
      <c r="Y172" s="11">
        <v>10929.636562312511</v>
      </c>
      <c r="Z172" s="11">
        <v>2601.9695601221028</v>
      </c>
      <c r="AA172" s="11">
        <v>8373.9348385031753</v>
      </c>
    </row>
    <row r="173" spans="2:27" x14ac:dyDescent="0.3">
      <c r="B173" s="8" t="s">
        <v>190</v>
      </c>
      <c r="C173" s="11">
        <v>1454.1717893948753</v>
      </c>
      <c r="D173" s="11">
        <v>291.27312975606128</v>
      </c>
      <c r="E173" s="11">
        <v>19367.03341498243</v>
      </c>
      <c r="F173" s="11">
        <v>3743.2892163310098</v>
      </c>
      <c r="G173" s="11">
        <v>767.12293925968891</v>
      </c>
      <c r="H173" s="11">
        <v>16779.943189051133</v>
      </c>
      <c r="I173" s="11">
        <v>11100.080066225688</v>
      </c>
      <c r="K173" s="8" t="s">
        <v>190</v>
      </c>
      <c r="L173" s="11">
        <v>2196.7976192415285</v>
      </c>
      <c r="M173" s="11">
        <v>563.75300354581373</v>
      </c>
      <c r="N173" s="11">
        <v>35547.054764247514</v>
      </c>
      <c r="O173" s="11">
        <v>6289.5699127554581</v>
      </c>
      <c r="P173" s="11">
        <v>1207.2717833015768</v>
      </c>
      <c r="Q173" s="11">
        <v>16670.23622715602</v>
      </c>
      <c r="R173" s="11">
        <v>9355.5065692257303</v>
      </c>
      <c r="S173" s="65"/>
      <c r="T173" s="8" t="s">
        <v>190</v>
      </c>
      <c r="U173" s="11">
        <v>995.60715133967767</v>
      </c>
      <c r="V173" s="11">
        <v>833.62769032280505</v>
      </c>
      <c r="W173" s="11">
        <v>17640.198932256902</v>
      </c>
      <c r="X173" s="11">
        <v>1892.0273298756169</v>
      </c>
      <c r="Y173" s="11">
        <v>514.00369314029626</v>
      </c>
      <c r="Z173" s="11">
        <v>13254.089836897498</v>
      </c>
      <c r="AA173" s="11">
        <v>12909.578625541692</v>
      </c>
    </row>
    <row r="174" spans="2:27" x14ac:dyDescent="0.3">
      <c r="B174" s="8" t="s">
        <v>191</v>
      </c>
      <c r="C174" s="11">
        <v>35662.456798834377</v>
      </c>
      <c r="D174" s="11">
        <v>5973.7222503124804</v>
      </c>
      <c r="E174" s="11">
        <v>52351.530279578525</v>
      </c>
      <c r="F174" s="11">
        <v>3161.0249963515239</v>
      </c>
      <c r="G174" s="11">
        <v>12752.613252327754</v>
      </c>
      <c r="H174" s="11">
        <v>26499.84126868071</v>
      </c>
      <c r="I174" s="11">
        <v>17220.651068246039</v>
      </c>
      <c r="K174" s="8" t="s">
        <v>191</v>
      </c>
      <c r="L174" s="11">
        <v>45013.735795604138</v>
      </c>
      <c r="M174" s="11">
        <v>3621.784657532005</v>
      </c>
      <c r="N174" s="11">
        <v>19784.881625474489</v>
      </c>
      <c r="O174" s="11">
        <v>6150.8300182451421</v>
      </c>
      <c r="P174" s="11">
        <v>22060.02960043151</v>
      </c>
      <c r="Q174" s="11">
        <v>35830.59005407396</v>
      </c>
      <c r="R174" s="11">
        <v>12761.296313739407</v>
      </c>
      <c r="S174" s="65"/>
      <c r="T174" s="8" t="s">
        <v>191</v>
      </c>
      <c r="U174" s="11">
        <v>28354.278486049963</v>
      </c>
      <c r="V174" s="11">
        <v>578.04454019123648</v>
      </c>
      <c r="W174" s="11">
        <v>5263.9041012797134</v>
      </c>
      <c r="X174" s="11">
        <v>41.257647570944144</v>
      </c>
      <c r="Y174" s="11">
        <v>42996.362078290578</v>
      </c>
      <c r="Z174" s="11">
        <v>21290.174088047213</v>
      </c>
      <c r="AA174" s="11">
        <v>14685.810521780028</v>
      </c>
    </row>
    <row r="175" spans="2:27" x14ac:dyDescent="0.3">
      <c r="B175" s="8" t="s">
        <v>192</v>
      </c>
      <c r="C175" s="11">
        <v>76620.922949347339</v>
      </c>
      <c r="D175" s="11">
        <v>27489.08831146935</v>
      </c>
      <c r="E175" s="11">
        <v>21003.446318532584</v>
      </c>
      <c r="F175" s="11">
        <v>20933.018923810232</v>
      </c>
      <c r="G175" s="11">
        <v>16326.366365489075</v>
      </c>
      <c r="H175" s="11">
        <v>9976.0537628779057</v>
      </c>
      <c r="I175" s="11">
        <v>40574.921472770679</v>
      </c>
      <c r="K175" s="8" t="s">
        <v>192</v>
      </c>
      <c r="L175" s="11">
        <v>150965.12299838697</v>
      </c>
      <c r="M175" s="11">
        <v>42185.293270736656</v>
      </c>
      <c r="N175" s="11">
        <v>39530.400794372399</v>
      </c>
      <c r="O175" s="11">
        <v>4024.3385637598658</v>
      </c>
      <c r="P175" s="11">
        <v>351.84979084583114</v>
      </c>
      <c r="Q175" s="11">
        <v>18125.222356152826</v>
      </c>
      <c r="R175" s="11">
        <v>3666.9363008292939</v>
      </c>
      <c r="S175" s="65"/>
      <c r="T175" s="8" t="s">
        <v>192</v>
      </c>
      <c r="U175" s="11">
        <v>107347.00484090428</v>
      </c>
      <c r="V175" s="11">
        <v>63857.563556314373</v>
      </c>
      <c r="W175" s="11">
        <v>30767.910864540776</v>
      </c>
      <c r="X175" s="11">
        <v>1539.6302105695595</v>
      </c>
      <c r="Y175" s="11">
        <v>665.31651377352011</v>
      </c>
      <c r="Z175" s="11">
        <v>3662.3975229840207</v>
      </c>
      <c r="AA175" s="11">
        <v>2080.3223046047037</v>
      </c>
    </row>
    <row r="176" spans="2:27" x14ac:dyDescent="0.3">
      <c r="B176" s="8" t="s">
        <v>193</v>
      </c>
      <c r="C176" s="11">
        <v>2236.8115630562352</v>
      </c>
      <c r="D176" s="11">
        <v>22149.045093365119</v>
      </c>
      <c r="E176" s="11">
        <v>13152.725924236724</v>
      </c>
      <c r="F176" s="11">
        <v>20114.501277975331</v>
      </c>
      <c r="G176" s="11">
        <v>4742.0206968669836</v>
      </c>
      <c r="H176" s="11">
        <v>47318.64602347419</v>
      </c>
      <c r="I176" s="11">
        <v>3692.3514884070337</v>
      </c>
      <c r="K176" s="8" t="s">
        <v>193</v>
      </c>
      <c r="L176" s="11">
        <v>1558.8160731421465</v>
      </c>
      <c r="M176" s="11">
        <v>11088.19733178352</v>
      </c>
      <c r="N176" s="11">
        <v>11967.929339314916</v>
      </c>
      <c r="O176" s="11">
        <v>8166.8955774660189</v>
      </c>
      <c r="P176" s="11">
        <v>4507.8426271484022</v>
      </c>
      <c r="Q176" s="11">
        <v>59480.324943899046</v>
      </c>
      <c r="R176" s="11">
        <v>5275.7969974432353</v>
      </c>
      <c r="S176" s="65"/>
      <c r="T176" s="8" t="s">
        <v>193</v>
      </c>
      <c r="U176" s="11">
        <v>2659.7013960910922</v>
      </c>
      <c r="V176" s="11">
        <v>75.882993769109959</v>
      </c>
      <c r="W176" s="11">
        <v>19521.687944439931</v>
      </c>
      <c r="X176" s="11">
        <v>1846.6971520194647</v>
      </c>
      <c r="Y176" s="11">
        <v>5861.7679124616452</v>
      </c>
      <c r="Z176" s="11">
        <v>39888.612227760619</v>
      </c>
      <c r="AA176" s="11">
        <v>8690.1929955833639</v>
      </c>
    </row>
    <row r="177" spans="2:27" x14ac:dyDescent="0.3">
      <c r="B177" s="8" t="s">
        <v>194</v>
      </c>
      <c r="C177" s="11">
        <v>5000.5573445254659</v>
      </c>
      <c r="D177" s="11">
        <v>1022.1458577593975</v>
      </c>
      <c r="E177" s="11">
        <v>228.88270890471941</v>
      </c>
      <c r="F177" s="11">
        <v>11253.06638589194</v>
      </c>
      <c r="G177" s="11">
        <v>4478.4415427889371</v>
      </c>
      <c r="H177" s="11">
        <v>15904.512515388542</v>
      </c>
      <c r="I177" s="11">
        <v>21878.607832481586</v>
      </c>
      <c r="K177" s="8" t="s">
        <v>194</v>
      </c>
      <c r="L177" s="11">
        <v>5023.6281463118921</v>
      </c>
      <c r="M177" s="11">
        <v>638.90197003973776</v>
      </c>
      <c r="N177" s="11">
        <v>427.1118211118831</v>
      </c>
      <c r="O177" s="11">
        <v>13037.223545874373</v>
      </c>
      <c r="P177" s="11">
        <v>4649.5468579388225</v>
      </c>
      <c r="Q177" s="11">
        <v>21938.998289366966</v>
      </c>
      <c r="R177" s="11">
        <v>4231.9382374151464</v>
      </c>
      <c r="S177" s="65"/>
      <c r="T177" s="8" t="s">
        <v>194</v>
      </c>
      <c r="U177" s="11">
        <v>8826.3476999281302</v>
      </c>
      <c r="V177" s="11">
        <v>1116.2078865430801</v>
      </c>
      <c r="W177" s="11">
        <v>748.72066530708844</v>
      </c>
      <c r="X177" s="11">
        <v>168.56500513731581</v>
      </c>
      <c r="Y177" s="11">
        <v>5443.4547574925691</v>
      </c>
      <c r="Z177" s="11">
        <v>24827.699843967366</v>
      </c>
      <c r="AA177" s="11">
        <v>544.88843470392999</v>
      </c>
    </row>
    <row r="178" spans="2:27" x14ac:dyDescent="0.3">
      <c r="B178" s="8" t="s">
        <v>195</v>
      </c>
      <c r="C178" s="11">
        <v>16131.515327388195</v>
      </c>
      <c r="D178" s="11">
        <v>13372.338401374445</v>
      </c>
      <c r="E178" s="11">
        <v>6581.0412582241097</v>
      </c>
      <c r="F178" s="11">
        <v>12180.571132044846</v>
      </c>
      <c r="G178" s="11">
        <v>5783.4351833975024</v>
      </c>
      <c r="H178" s="11">
        <v>1030.9167864890776</v>
      </c>
      <c r="I178" s="11">
        <v>4693.4671288094141</v>
      </c>
      <c r="K178" s="8" t="s">
        <v>195</v>
      </c>
      <c r="L178" s="11">
        <v>15263.658952175576</v>
      </c>
      <c r="M178" s="11">
        <v>21874.958429387083</v>
      </c>
      <c r="N178" s="11">
        <v>5830.3881924880179</v>
      </c>
      <c r="O178" s="11">
        <v>13773.118647957874</v>
      </c>
      <c r="P178" s="11">
        <v>6022.631579037532</v>
      </c>
      <c r="Q178" s="11">
        <v>1521.7650612706384</v>
      </c>
      <c r="R178" s="11">
        <v>1977.558771754065</v>
      </c>
      <c r="S178" s="65"/>
      <c r="T178" s="8" t="s">
        <v>195</v>
      </c>
      <c r="U178" s="11">
        <v>25787.538972978055</v>
      </c>
      <c r="V178" s="11">
        <v>26708.084667050291</v>
      </c>
      <c r="W178" s="11">
        <v>11252.920557533362</v>
      </c>
      <c r="X178" s="11">
        <v>8926.9008143567353</v>
      </c>
      <c r="Y178" s="11">
        <v>1725.3903027742074</v>
      </c>
      <c r="Z178" s="11">
        <v>1926.7000240298337</v>
      </c>
      <c r="AA178" s="11">
        <v>3484.4564234880677</v>
      </c>
    </row>
    <row r="179" spans="2:27" x14ac:dyDescent="0.3">
      <c r="B179" s="8" t="s">
        <v>196</v>
      </c>
      <c r="C179" s="11">
        <v>87631.551083617756</v>
      </c>
      <c r="D179" s="11">
        <v>4388.2148116367216</v>
      </c>
      <c r="E179" s="11">
        <v>38840.297133790875</v>
      </c>
      <c r="F179" s="11">
        <v>15773.337570720267</v>
      </c>
      <c r="G179" s="11">
        <v>64970.25800141153</v>
      </c>
      <c r="H179" s="11">
        <v>58857.185058324649</v>
      </c>
      <c r="I179" s="11">
        <v>52059.801867171438</v>
      </c>
      <c r="K179" s="8" t="s">
        <v>196</v>
      </c>
      <c r="L179" s="11">
        <v>100672.16943354926</v>
      </c>
      <c r="M179" s="11">
        <v>193.33966129129379</v>
      </c>
      <c r="N179" s="11">
        <v>29254.191627452219</v>
      </c>
      <c r="O179" s="11">
        <v>23536.608651459552</v>
      </c>
      <c r="P179" s="11">
        <v>75909.467789319096</v>
      </c>
      <c r="Q179" s="11">
        <v>55519.644292061872</v>
      </c>
      <c r="R179" s="11">
        <v>67859.042630694763</v>
      </c>
      <c r="S179" s="65"/>
      <c r="T179" s="8" t="s">
        <v>196</v>
      </c>
      <c r="U179" s="11">
        <v>59544.133935435966</v>
      </c>
      <c r="V179" s="11">
        <v>348.31404191363413</v>
      </c>
      <c r="W179" s="11">
        <v>21461.49376835463</v>
      </c>
      <c r="X179" s="11">
        <v>46894.135789332446</v>
      </c>
      <c r="Y179" s="11">
        <v>16110.144486634776</v>
      </c>
      <c r="Z179" s="11">
        <v>102412.61558805376</v>
      </c>
      <c r="AA179" s="11">
        <v>90756.402372159806</v>
      </c>
    </row>
    <row r="180" spans="2:27" x14ac:dyDescent="0.3">
      <c r="B180" s="8" t="s">
        <v>197</v>
      </c>
      <c r="C180" s="11">
        <v>28336.521476767015</v>
      </c>
      <c r="D180" s="11">
        <v>4610.7202834946638</v>
      </c>
      <c r="E180" s="11">
        <v>6270.5584460321825</v>
      </c>
      <c r="F180" s="11">
        <v>676.84773452417107</v>
      </c>
      <c r="G180" s="11">
        <v>4179.8135403837805</v>
      </c>
      <c r="H180" s="11">
        <v>21642.590500802085</v>
      </c>
      <c r="I180" s="11">
        <v>21408.784506036867</v>
      </c>
      <c r="K180" s="8" t="s">
        <v>197</v>
      </c>
      <c r="L180" s="11">
        <v>39909.97309800268</v>
      </c>
      <c r="M180" s="11">
        <v>8371.7806860246546</v>
      </c>
      <c r="N180" s="11">
        <v>9059.5770223942254</v>
      </c>
      <c r="O180" s="11">
        <v>1035.98558868855</v>
      </c>
      <c r="P180" s="11">
        <v>7021.1524206895356</v>
      </c>
      <c r="Q180" s="11">
        <v>10068.778959302228</v>
      </c>
      <c r="R180" s="11">
        <v>5961.9924528656684</v>
      </c>
      <c r="S180" s="65"/>
      <c r="T180" s="8" t="s">
        <v>197</v>
      </c>
      <c r="U180" s="11">
        <v>75056.055350539711</v>
      </c>
      <c r="V180" s="11">
        <v>7861.9920830475075</v>
      </c>
      <c r="W180" s="11">
        <v>16168.277299320249</v>
      </c>
      <c r="X180" s="11">
        <v>1138.0248513355639</v>
      </c>
      <c r="Y180" s="11">
        <v>6429.9600618505419</v>
      </c>
      <c r="Z180" s="11">
        <v>16799.838850690954</v>
      </c>
      <c r="AA180" s="11">
        <v>8035.3421436283916</v>
      </c>
    </row>
    <row r="181" spans="2:27" x14ac:dyDescent="0.3">
      <c r="B181" s="8" t="s">
        <v>198</v>
      </c>
      <c r="C181" s="11">
        <v>22016.59080986568</v>
      </c>
      <c r="D181" s="11">
        <v>5160.4777181891877</v>
      </c>
      <c r="E181" s="11">
        <v>52676.486877276962</v>
      </c>
      <c r="F181" s="11">
        <v>892.48273792550901</v>
      </c>
      <c r="G181" s="11">
        <v>70822.416445028051</v>
      </c>
      <c r="H181" s="11">
        <v>2707.980631474672</v>
      </c>
      <c r="I181" s="11">
        <v>60072.225418154318</v>
      </c>
      <c r="K181" s="8" t="s">
        <v>198</v>
      </c>
      <c r="L181" s="11">
        <v>40879.724336519175</v>
      </c>
      <c r="M181" s="11">
        <v>3096.0104413561266</v>
      </c>
      <c r="N181" s="11">
        <v>50439.228048948469</v>
      </c>
      <c r="O181" s="11">
        <v>907.72112641911406</v>
      </c>
      <c r="P181" s="11">
        <v>32901.135136823301</v>
      </c>
      <c r="Q181" s="11">
        <v>3941.8166265861532</v>
      </c>
      <c r="R181" s="11">
        <v>33238.765996076952</v>
      </c>
      <c r="S181" s="65"/>
      <c r="T181" s="8" t="s">
        <v>198</v>
      </c>
      <c r="U181" s="11">
        <v>60110.710935847354</v>
      </c>
      <c r="V181" s="11">
        <v>3478.1727884739144</v>
      </c>
      <c r="W181" s="11">
        <v>87351.921490040142</v>
      </c>
      <c r="X181" s="11">
        <v>1207.2854297334768</v>
      </c>
      <c r="Y181" s="11">
        <v>41315.06696210723</v>
      </c>
      <c r="Z181" s="11">
        <v>73.172454924886324</v>
      </c>
      <c r="AA181" s="11">
        <v>40989.18446972088</v>
      </c>
    </row>
    <row r="182" spans="2:27" x14ac:dyDescent="0.3">
      <c r="B182" s="8" t="s">
        <v>199</v>
      </c>
      <c r="C182" s="11">
        <v>7278.0824006883413</v>
      </c>
      <c r="D182" s="11">
        <v>71101.348210567274</v>
      </c>
      <c r="E182" s="11">
        <v>19336.721331478475</v>
      </c>
      <c r="F182" s="11">
        <v>22992.520877763822</v>
      </c>
      <c r="G182" s="11">
        <v>44410.523106384469</v>
      </c>
      <c r="H182" s="11">
        <v>3612.8077406576595</v>
      </c>
      <c r="I182" s="11">
        <v>16964.128442492314</v>
      </c>
      <c r="K182" s="8" t="s">
        <v>199</v>
      </c>
      <c r="L182" s="11">
        <v>11156.491942721948</v>
      </c>
      <c r="M182" s="11">
        <v>59652.967451804478</v>
      </c>
      <c r="N182" s="11">
        <v>34112.19982050141</v>
      </c>
      <c r="O182" s="11">
        <v>2531.8325168278598</v>
      </c>
      <c r="P182" s="11">
        <v>26288.919963562268</v>
      </c>
      <c r="Q182" s="11">
        <v>6662.8991020674257</v>
      </c>
      <c r="R182" s="11">
        <v>1007.501543936348</v>
      </c>
      <c r="S182" s="65"/>
      <c r="T182" s="8" t="s">
        <v>199</v>
      </c>
      <c r="U182" s="11">
        <v>12878.239883433451</v>
      </c>
      <c r="V182" s="11">
        <v>22387.109057138663</v>
      </c>
      <c r="W182" s="11">
        <v>56201.791120801834</v>
      </c>
      <c r="X182" s="11">
        <v>467.18495414644082</v>
      </c>
      <c r="Y182" s="11">
        <v>4741.5751807512188</v>
      </c>
      <c r="Z182" s="11">
        <v>2948.7283369475394</v>
      </c>
      <c r="AA182" s="11">
        <v>1491.1204040664713</v>
      </c>
    </row>
    <row r="183" spans="2:27" x14ac:dyDescent="0.3">
      <c r="B183" s="8" t="s">
        <v>200</v>
      </c>
      <c r="C183" s="11">
        <v>116846.51515856739</v>
      </c>
      <c r="D183" s="11">
        <v>99735.902078088053</v>
      </c>
      <c r="E183" s="11">
        <v>155435.93542026784</v>
      </c>
      <c r="F183" s="11">
        <v>60812.115188975513</v>
      </c>
      <c r="G183" s="11">
        <v>50612.853959329463</v>
      </c>
      <c r="H183" s="11">
        <v>101147.68912357233</v>
      </c>
      <c r="I183" s="11">
        <v>197174.68328255514</v>
      </c>
      <c r="K183" s="8" t="s">
        <v>200</v>
      </c>
      <c r="L183" s="11">
        <v>3220.2168161894961</v>
      </c>
      <c r="M183" s="11">
        <v>58189.788811715727</v>
      </c>
      <c r="N183" s="11">
        <v>289608.64179042529</v>
      </c>
      <c r="O183" s="11">
        <v>43161.921130993076</v>
      </c>
      <c r="P183" s="11">
        <v>34502.60746840349</v>
      </c>
      <c r="Q183" s="11">
        <v>79366.381900590059</v>
      </c>
      <c r="R183" s="11">
        <v>567.98467723064164</v>
      </c>
      <c r="S183" s="65"/>
      <c r="T183" s="8" t="s">
        <v>200</v>
      </c>
      <c r="U183" s="11">
        <v>4900.1583567650077</v>
      </c>
      <c r="V183" s="11">
        <v>92158.828622579924</v>
      </c>
      <c r="W183" s="11">
        <v>121145.5195980782</v>
      </c>
      <c r="X183" s="11">
        <v>1697.4147829501458</v>
      </c>
      <c r="Y183" s="11">
        <v>6990.7737307716116</v>
      </c>
      <c r="Z183" s="11">
        <v>102841.94206480646</v>
      </c>
      <c r="AA183" s="11">
        <v>375.69956016090862</v>
      </c>
    </row>
    <row r="184" spans="2:27" x14ac:dyDescent="0.3">
      <c r="B184" s="8" t="s">
        <v>201</v>
      </c>
      <c r="C184" s="11">
        <v>89567.65936389241</v>
      </c>
      <c r="D184" s="11">
        <v>31518.483010100674</v>
      </c>
      <c r="E184" s="11">
        <v>50853.442636646192</v>
      </c>
      <c r="F184" s="11">
        <v>21583.243048748445</v>
      </c>
      <c r="G184" s="11">
        <v>36847.144750985477</v>
      </c>
      <c r="H184" s="11">
        <v>187120.85336320885</v>
      </c>
      <c r="I184" s="11">
        <v>20947.20534984547</v>
      </c>
      <c r="K184" s="8" t="s">
        <v>201</v>
      </c>
      <c r="L184" s="11">
        <v>160387.67880798393</v>
      </c>
      <c r="M184" s="11">
        <v>4628.340349143552</v>
      </c>
      <c r="N184" s="11">
        <v>100910.33484208188</v>
      </c>
      <c r="O184" s="11">
        <v>2465.4072188321366</v>
      </c>
      <c r="P184" s="11">
        <v>37066.079492587778</v>
      </c>
      <c r="Q184" s="11">
        <v>289049.95196466916</v>
      </c>
      <c r="R184" s="11">
        <v>4218.298005480101</v>
      </c>
      <c r="S184" s="65"/>
      <c r="T184" s="8" t="s">
        <v>201</v>
      </c>
      <c r="U184" s="11">
        <v>257806.99721269374</v>
      </c>
      <c r="V184" s="11">
        <v>5912.71735484288</v>
      </c>
      <c r="W184" s="11">
        <v>85583.29366249514</v>
      </c>
      <c r="X184" s="11">
        <v>4239.0480531601579</v>
      </c>
      <c r="Y184" s="11">
        <v>3318.5342574245851</v>
      </c>
      <c r="Z184" s="11">
        <v>484053.67787868413</v>
      </c>
      <c r="AA184" s="11">
        <v>2055.3794640474903</v>
      </c>
    </row>
    <row r="185" spans="2:27" x14ac:dyDescent="0.3">
      <c r="B185" s="8" t="s">
        <v>202</v>
      </c>
      <c r="C185" s="11">
        <v>4772.4204318469901</v>
      </c>
      <c r="D185" s="11">
        <v>342.40833929400088</v>
      </c>
      <c r="E185" s="11">
        <v>1987.3842659709314</v>
      </c>
      <c r="F185" s="11">
        <v>613.18641029156288</v>
      </c>
      <c r="G185" s="11">
        <v>2103.5024657089562</v>
      </c>
      <c r="H185" s="11">
        <v>15.901619096095315</v>
      </c>
      <c r="I185" s="11">
        <v>1791.0011633817105</v>
      </c>
      <c r="K185" s="8" t="s">
        <v>202</v>
      </c>
      <c r="L185" s="11">
        <v>2668.306165247076</v>
      </c>
      <c r="M185" s="11">
        <v>559.3792206274187</v>
      </c>
      <c r="N185" s="11">
        <v>547.61725568034296</v>
      </c>
      <c r="O185" s="11">
        <v>288.53987183859476</v>
      </c>
      <c r="P185" s="11">
        <v>390.81072902800059</v>
      </c>
      <c r="Q185" s="11">
        <v>27.841196725834624</v>
      </c>
      <c r="R185" s="11">
        <v>1699.3819563727056</v>
      </c>
      <c r="S185" s="65"/>
      <c r="T185" s="8" t="s">
        <v>202</v>
      </c>
      <c r="U185" s="11">
        <v>3202.7011538771003</v>
      </c>
      <c r="V185" s="11">
        <v>463.29710421397891</v>
      </c>
      <c r="W185" s="11">
        <v>10.817390296888529</v>
      </c>
      <c r="X185" s="11">
        <v>238.39467799753433</v>
      </c>
      <c r="Y185" s="11">
        <v>566.44180306268879</v>
      </c>
      <c r="Z185" s="11">
        <v>34.623517540248208</v>
      </c>
      <c r="AA185" s="11">
        <v>1829.5104190781901</v>
      </c>
    </row>
    <row r="186" spans="2:27" x14ac:dyDescent="0.3">
      <c r="B186" s="8" t="s">
        <v>203</v>
      </c>
      <c r="C186" s="11">
        <v>5306.8127911914071</v>
      </c>
      <c r="D186" s="11">
        <v>1668.1908520743755</v>
      </c>
      <c r="E186" s="11">
        <v>8605.0569477359568</v>
      </c>
      <c r="F186" s="11">
        <v>558.18260465307264</v>
      </c>
      <c r="G186" s="11">
        <v>1096.4524415668116</v>
      </c>
      <c r="H186" s="11">
        <v>32122.117707721107</v>
      </c>
      <c r="I186" s="11">
        <v>1949.7221075790933</v>
      </c>
      <c r="K186" s="8" t="s">
        <v>203</v>
      </c>
      <c r="L186" s="11">
        <v>4837.0505483971783</v>
      </c>
      <c r="M186" s="11">
        <v>3200.8751788209697</v>
      </c>
      <c r="N186" s="11">
        <v>6947.1502738293493</v>
      </c>
      <c r="O186" s="11">
        <v>318.967706240523</v>
      </c>
      <c r="P186" s="11">
        <v>1354.0054003481418</v>
      </c>
      <c r="Q186" s="11">
        <v>7562.840870764564</v>
      </c>
      <c r="R186" s="11">
        <v>2267.093704213848</v>
      </c>
      <c r="S186" s="65"/>
      <c r="T186" s="8" t="s">
        <v>203</v>
      </c>
      <c r="U186" s="11">
        <v>6021.2755485263024</v>
      </c>
      <c r="V186" s="11">
        <v>2415.5223122408756</v>
      </c>
      <c r="W186" s="11">
        <v>9195.0502717601175</v>
      </c>
      <c r="X186" s="11">
        <v>484.14176657639513</v>
      </c>
      <c r="Y186" s="11">
        <v>2264.9836339911931</v>
      </c>
      <c r="Z186" s="11">
        <v>10452.033484100202</v>
      </c>
      <c r="AA186" s="11">
        <v>2686.8725230218415</v>
      </c>
    </row>
    <row r="187" spans="2:27" x14ac:dyDescent="0.3">
      <c r="B187" s="8" t="s">
        <v>204</v>
      </c>
      <c r="C187" s="11">
        <v>11127.093336279406</v>
      </c>
      <c r="D187" s="11">
        <v>9826.645628385224</v>
      </c>
      <c r="E187" s="11">
        <v>22535.104140648749</v>
      </c>
      <c r="F187" s="11">
        <v>9917.8513538097177</v>
      </c>
      <c r="G187" s="11">
        <v>46016.245644338138</v>
      </c>
      <c r="H187" s="11">
        <v>107827.2293569631</v>
      </c>
      <c r="I187" s="11">
        <v>95688.205426336222</v>
      </c>
      <c r="K187" s="8" t="s">
        <v>204</v>
      </c>
      <c r="L187" s="11">
        <v>17349.007280774607</v>
      </c>
      <c r="M187" s="11">
        <v>14984.869243619436</v>
      </c>
      <c r="N187" s="11">
        <v>22478.762615942516</v>
      </c>
      <c r="O187" s="11">
        <v>7560.6016924037758</v>
      </c>
      <c r="P187" s="11">
        <v>72527.80200126725</v>
      </c>
      <c r="Q187" s="11">
        <v>100904.09339508718</v>
      </c>
      <c r="R187" s="11">
        <v>115886.0274373617</v>
      </c>
      <c r="S187" s="65"/>
      <c r="T187" s="8" t="s">
        <v>204</v>
      </c>
      <c r="U187" s="11">
        <v>11677.110319285726</v>
      </c>
      <c r="V187" s="11">
        <v>11446.220317771196</v>
      </c>
      <c r="W187" s="11">
        <v>11004.281376177374</v>
      </c>
      <c r="X187" s="11">
        <v>2688.7931250836646</v>
      </c>
      <c r="Y187" s="11">
        <v>67386.621698601928</v>
      </c>
      <c r="Z187" s="11">
        <v>139333.66606144817</v>
      </c>
      <c r="AA187" s="11">
        <v>47196.181552691458</v>
      </c>
    </row>
    <row r="188" spans="2:27" x14ac:dyDescent="0.3">
      <c r="B188" s="8" t="s">
        <v>205</v>
      </c>
      <c r="C188" s="11">
        <v>19390.150521471547</v>
      </c>
      <c r="D188" s="11">
        <v>479.27139716263287</v>
      </c>
      <c r="E188" s="11">
        <v>6019.9624957494061</v>
      </c>
      <c r="F188" s="11">
        <v>642.20993730457019</v>
      </c>
      <c r="G188" s="11">
        <v>4117.7462003438595</v>
      </c>
      <c r="H188" s="11">
        <v>41007.636238322957</v>
      </c>
      <c r="I188" s="11">
        <v>37571.116103903842</v>
      </c>
      <c r="K188" s="8" t="s">
        <v>205</v>
      </c>
      <c r="L188" s="11">
        <v>10387.17879719986</v>
      </c>
      <c r="M188" s="11">
        <v>63.678314067653638</v>
      </c>
      <c r="N188" s="11">
        <v>2516.7496892799177</v>
      </c>
      <c r="O188" s="11">
        <v>714.8723546811857</v>
      </c>
      <c r="P188" s="11">
        <v>6969.9812798680168</v>
      </c>
      <c r="Q188" s="11">
        <v>32872.610028244766</v>
      </c>
      <c r="R188" s="11">
        <v>37208.849941612403</v>
      </c>
      <c r="S188" s="65"/>
      <c r="T188" s="8" t="s">
        <v>205</v>
      </c>
      <c r="U188" s="11">
        <v>14430.875406430252</v>
      </c>
      <c r="V188" s="11">
        <v>57.920571966631435</v>
      </c>
      <c r="W188" s="11">
        <v>2169.942627866727</v>
      </c>
      <c r="X188" s="11">
        <v>741.28230563516126</v>
      </c>
      <c r="Y188" s="11">
        <v>10041.481839641452</v>
      </c>
      <c r="Z188" s="11">
        <v>35631.761623950297</v>
      </c>
      <c r="AA188" s="11">
        <v>64528.028668141596</v>
      </c>
    </row>
    <row r="189" spans="2:27" x14ac:dyDescent="0.3">
      <c r="B189" s="8" t="s">
        <v>206</v>
      </c>
      <c r="C189" s="11">
        <v>24371.878291220171</v>
      </c>
      <c r="D189" s="11">
        <v>25450.775008366883</v>
      </c>
      <c r="E189" s="11">
        <v>16471.514712501961</v>
      </c>
      <c r="F189" s="11">
        <v>144294.40002392305</v>
      </c>
      <c r="G189" s="11">
        <v>129885.82139525609</v>
      </c>
      <c r="H189" s="11">
        <v>319548.23922754714</v>
      </c>
      <c r="I189" s="11">
        <v>69395.587366800086</v>
      </c>
      <c r="K189" s="8" t="s">
        <v>206</v>
      </c>
      <c r="L189" s="11">
        <v>16602.458739417569</v>
      </c>
      <c r="M189" s="11">
        <v>2486.9565643342539</v>
      </c>
      <c r="N189" s="11">
        <v>23238.454958520546</v>
      </c>
      <c r="O189" s="11">
        <v>146024.07278491688</v>
      </c>
      <c r="P189" s="11">
        <v>135804.31312028045</v>
      </c>
      <c r="Q189" s="11">
        <v>216190.46802769281</v>
      </c>
      <c r="R189" s="11">
        <v>2057.4266200881661</v>
      </c>
      <c r="S189" s="65"/>
      <c r="T189" s="8" t="s">
        <v>206</v>
      </c>
      <c r="U189" s="11">
        <v>26244.114425955438</v>
      </c>
      <c r="V189" s="11">
        <v>3487.489276872343</v>
      </c>
      <c r="W189" s="11">
        <v>21904.833250710515</v>
      </c>
      <c r="X189" s="11">
        <v>222728.42186033502</v>
      </c>
      <c r="Y189" s="11">
        <v>243248.27274903865</v>
      </c>
      <c r="Z189" s="11">
        <v>14971.760975454272</v>
      </c>
      <c r="AA189" s="11">
        <v>1998.228378450591</v>
      </c>
    </row>
    <row r="190" spans="2:27" x14ac:dyDescent="0.3">
      <c r="B190" s="8" t="s">
        <v>207</v>
      </c>
      <c r="C190" s="11">
        <v>105738.4840714552</v>
      </c>
      <c r="D190" s="11">
        <v>13504.04497418503</v>
      </c>
      <c r="E190" s="11">
        <v>23056.975237579049</v>
      </c>
      <c r="F190" s="11">
        <v>47777.346681783638</v>
      </c>
      <c r="G190" s="11">
        <v>1797.0982093043187</v>
      </c>
      <c r="H190" s="11">
        <v>59422.304483944608</v>
      </c>
      <c r="I190" s="11">
        <v>22175.551059436333</v>
      </c>
      <c r="K190" s="8" t="s">
        <v>207</v>
      </c>
      <c r="L190" s="11">
        <v>106259.60438045379</v>
      </c>
      <c r="M190" s="11">
        <v>2478.0447280842118</v>
      </c>
      <c r="N190" s="11">
        <v>27713.943047081866</v>
      </c>
      <c r="O190" s="11">
        <v>41420.053732520544</v>
      </c>
      <c r="P190" s="11">
        <v>1655.9695523823566</v>
      </c>
      <c r="Q190" s="11">
        <v>12132.926237611084</v>
      </c>
      <c r="R190" s="11">
        <v>21252.203748909938</v>
      </c>
      <c r="S190" s="65"/>
      <c r="T190" s="8" t="s">
        <v>207</v>
      </c>
      <c r="U190" s="11">
        <v>32911.033790334055</v>
      </c>
      <c r="V190" s="11">
        <v>4513.4501618084214</v>
      </c>
      <c r="W190" s="11">
        <v>3904.460320390895</v>
      </c>
      <c r="X190" s="11">
        <v>50649.848581631159</v>
      </c>
      <c r="Y190" s="11">
        <v>1083.1140391520471</v>
      </c>
      <c r="Z190" s="11">
        <v>7627.2904315348133</v>
      </c>
      <c r="AA190" s="11">
        <v>36141.665297819178</v>
      </c>
    </row>
    <row r="191" spans="2:27" x14ac:dyDescent="0.3">
      <c r="B191" s="8" t="s">
        <v>208</v>
      </c>
      <c r="C191" s="11">
        <v>58382.352425051526</v>
      </c>
      <c r="D191" s="11">
        <v>6959.4968477910588</v>
      </c>
      <c r="E191" s="11">
        <v>5912.0631061821086</v>
      </c>
      <c r="F191" s="11">
        <v>14675.260537395196</v>
      </c>
      <c r="G191" s="11">
        <v>29054.372314076008</v>
      </c>
      <c r="H191" s="11">
        <v>53636.426658408207</v>
      </c>
      <c r="I191" s="11">
        <v>51335.551140663832</v>
      </c>
      <c r="K191" s="8" t="s">
        <v>208</v>
      </c>
      <c r="L191" s="11">
        <v>62463.548574272652</v>
      </c>
      <c r="M191" s="11">
        <v>11727.230633604233</v>
      </c>
      <c r="N191" s="11">
        <v>11058.711860962158</v>
      </c>
      <c r="O191" s="11">
        <v>27356.044143193642</v>
      </c>
      <c r="P191" s="11">
        <v>12485.723103783095</v>
      </c>
      <c r="Q191" s="11">
        <v>24082.983259961075</v>
      </c>
      <c r="R191" s="11">
        <v>11439.677248208834</v>
      </c>
      <c r="S191" s="65"/>
      <c r="T191" s="8" t="s">
        <v>208</v>
      </c>
      <c r="U191" s="11">
        <v>86988.453622467685</v>
      </c>
      <c r="V191" s="11">
        <v>12981.266857246554</v>
      </c>
      <c r="W191" s="11">
        <v>6307.8848527685986</v>
      </c>
      <c r="X191" s="11">
        <v>43004.87415933911</v>
      </c>
      <c r="Y191" s="11">
        <v>21623.47324434837</v>
      </c>
      <c r="Z191" s="11">
        <v>24216.81058380365</v>
      </c>
      <c r="AA191" s="11">
        <v>1365.4787487642782</v>
      </c>
    </row>
    <row r="192" spans="2:27" x14ac:dyDescent="0.3">
      <c r="B192" s="8" t="s">
        <v>209</v>
      </c>
      <c r="C192" s="11">
        <v>8068.4253177592027</v>
      </c>
      <c r="D192" s="11">
        <v>11725.044856427709</v>
      </c>
      <c r="E192" s="11">
        <v>1654.8137854231079</v>
      </c>
      <c r="F192" s="11">
        <v>42709.679023512574</v>
      </c>
      <c r="G192" s="11">
        <v>25612.703652853521</v>
      </c>
      <c r="H192" s="11">
        <v>11607.002350494166</v>
      </c>
      <c r="I192" s="11">
        <v>3511.5618379944099</v>
      </c>
      <c r="K192" s="8" t="s">
        <v>209</v>
      </c>
      <c r="L192" s="11">
        <v>2142.2500639536825</v>
      </c>
      <c r="M192" s="11">
        <v>19565.411701458888</v>
      </c>
      <c r="N192" s="11">
        <v>475.57155887744335</v>
      </c>
      <c r="O192" s="11">
        <v>26974.322345233431</v>
      </c>
      <c r="P192" s="11">
        <v>40086.868620010129</v>
      </c>
      <c r="Q192" s="11">
        <v>74.126427770117502</v>
      </c>
      <c r="R192" s="11">
        <v>6202.050250284271</v>
      </c>
      <c r="S192" s="65"/>
      <c r="T192" s="8" t="s">
        <v>209</v>
      </c>
      <c r="U192" s="11">
        <v>489.84381782061183</v>
      </c>
      <c r="V192" s="11">
        <v>2597.2186779391977</v>
      </c>
      <c r="W192" s="11">
        <v>490.19517322000831</v>
      </c>
      <c r="X192" s="11">
        <v>13849.509086015087</v>
      </c>
      <c r="Y192" s="11">
        <v>68622.875774281827</v>
      </c>
      <c r="Z192" s="11">
        <v>92.511786530773705</v>
      </c>
      <c r="AA192" s="11">
        <v>1197.9384421712027</v>
      </c>
    </row>
    <row r="193" spans="2:27" x14ac:dyDescent="0.3">
      <c r="B193" s="8" t="s">
        <v>210</v>
      </c>
      <c r="C193" s="11">
        <v>54829.930812963241</v>
      </c>
      <c r="D193" s="11">
        <v>13427.327629421663</v>
      </c>
      <c r="E193" s="11">
        <v>33295.071302833909</v>
      </c>
      <c r="F193" s="11">
        <v>82988.100242882618</v>
      </c>
      <c r="G193" s="11">
        <v>143639.99496446684</v>
      </c>
      <c r="H193" s="11">
        <v>36763.304228479807</v>
      </c>
      <c r="I193" s="11">
        <v>76774.889269787833</v>
      </c>
      <c r="K193" s="8" t="s">
        <v>210</v>
      </c>
      <c r="L193" s="11">
        <v>27238.833111373533</v>
      </c>
      <c r="M193" s="11">
        <v>5147.5709327277946</v>
      </c>
      <c r="N193" s="11">
        <v>64803.355306102196</v>
      </c>
      <c r="O193" s="11">
        <v>38242.171360905741</v>
      </c>
      <c r="P193" s="11">
        <v>26341.634387946186</v>
      </c>
      <c r="Q193" s="11">
        <v>49001.452722065165</v>
      </c>
      <c r="R193" s="11">
        <v>71739.59488689946</v>
      </c>
      <c r="S193" s="65"/>
      <c r="T193" s="8" t="s">
        <v>210</v>
      </c>
      <c r="U193" s="11">
        <v>2125.5749152194817</v>
      </c>
      <c r="V193" s="11">
        <v>5935.5908711524517</v>
      </c>
      <c r="W193" s="11">
        <v>55441.835051342059</v>
      </c>
      <c r="X193" s="11">
        <v>19076.669998577159</v>
      </c>
      <c r="Y193" s="11">
        <v>7046.4024152937682</v>
      </c>
      <c r="Z193" s="11">
        <v>93124.625748882929</v>
      </c>
      <c r="AA193" s="11">
        <v>12908.384642623523</v>
      </c>
    </row>
    <row r="194" spans="2:27" x14ac:dyDescent="0.3">
      <c r="B194" s="8" t="s">
        <v>185</v>
      </c>
      <c r="C194" s="11">
        <v>3403.1402083225303</v>
      </c>
      <c r="D194" s="11">
        <v>227299.84174846698</v>
      </c>
      <c r="E194" s="11">
        <v>398432.32560671016</v>
      </c>
      <c r="F194" s="11">
        <v>149615.95722252064</v>
      </c>
      <c r="G194" s="11">
        <v>372295.1497954356</v>
      </c>
      <c r="H194" s="11">
        <v>4467.3231260312423</v>
      </c>
      <c r="I194" s="11">
        <v>44408.226633701233</v>
      </c>
      <c r="K194" s="8" t="s">
        <v>185</v>
      </c>
      <c r="L194" s="11">
        <v>3541.113479438186</v>
      </c>
      <c r="M194" s="11">
        <v>323073.1665159617</v>
      </c>
      <c r="N194" s="11">
        <v>768980.35513148969</v>
      </c>
      <c r="O194" s="11">
        <v>40699.798724814813</v>
      </c>
      <c r="P194" s="11">
        <v>210922.50411304637</v>
      </c>
      <c r="Q194" s="11">
        <v>1218.2032288943797</v>
      </c>
      <c r="R194" s="11">
        <v>58397.717589377171</v>
      </c>
      <c r="S194" s="65"/>
      <c r="T194" s="8" t="s">
        <v>185</v>
      </c>
      <c r="U194" s="11">
        <v>4837.5299411321284</v>
      </c>
      <c r="V194" s="11">
        <v>625123.13257169991</v>
      </c>
      <c r="W194" s="11">
        <v>794761.02551381662</v>
      </c>
      <c r="X194" s="11">
        <v>54542.248077696917</v>
      </c>
      <c r="Y194" s="11">
        <v>366085.0194499034</v>
      </c>
      <c r="Z194" s="11">
        <v>1309.4755762724035</v>
      </c>
      <c r="AA194" s="11">
        <v>101765.41774845353</v>
      </c>
    </row>
    <row r="195" spans="2:27" x14ac:dyDescent="0.3">
      <c r="B195" s="8" t="s">
        <v>186</v>
      </c>
      <c r="C195" s="11">
        <v>5144.9260455244985</v>
      </c>
      <c r="D195" s="11">
        <v>12226.89641965559</v>
      </c>
      <c r="E195" s="11">
        <v>75509.418727006647</v>
      </c>
      <c r="F195" s="11">
        <v>8924.0375585794172</v>
      </c>
      <c r="G195" s="11">
        <v>194734.5306982834</v>
      </c>
      <c r="H195" s="11">
        <v>91226.00544008323</v>
      </c>
      <c r="I195" s="11">
        <v>297995.48826609296</v>
      </c>
      <c r="K195" s="8" t="s">
        <v>186</v>
      </c>
      <c r="L195" s="11">
        <v>2417.9667213460857</v>
      </c>
      <c r="M195" s="11">
        <v>17807.407736353714</v>
      </c>
      <c r="N195" s="11">
        <v>77942.374520339625</v>
      </c>
      <c r="O195" s="11">
        <v>5630.1751295541198</v>
      </c>
      <c r="P195" s="11">
        <v>109595.65603656978</v>
      </c>
      <c r="Q195" s="11">
        <v>158699.64300124013</v>
      </c>
      <c r="R195" s="11">
        <v>374249.08332126576</v>
      </c>
      <c r="S195" s="65"/>
      <c r="T195" s="8" t="s">
        <v>186</v>
      </c>
      <c r="U195" s="11">
        <v>4179.9663607540533</v>
      </c>
      <c r="V195" s="11">
        <v>24769.633376773396</v>
      </c>
      <c r="W195" s="11">
        <v>2160.9794220310791</v>
      </c>
      <c r="X195" s="11">
        <v>2429.3005879069378</v>
      </c>
      <c r="Y195" s="11">
        <v>83535.234405553361</v>
      </c>
      <c r="Z195" s="11">
        <v>54777.25414196519</v>
      </c>
      <c r="AA195" s="11">
        <v>31155.988999864785</v>
      </c>
    </row>
    <row r="196" spans="2:27" x14ac:dyDescent="0.3">
      <c r="B196" s="8" t="s">
        <v>187</v>
      </c>
      <c r="C196" s="11">
        <v>182887.59047952353</v>
      </c>
      <c r="D196" s="11">
        <v>33710.83609580854</v>
      </c>
      <c r="E196" s="11">
        <v>518513.3591208763</v>
      </c>
      <c r="F196" s="11">
        <v>88707.299233698228</v>
      </c>
      <c r="G196" s="11">
        <v>224532.65854102076</v>
      </c>
      <c r="H196" s="11">
        <v>412737.35749531863</v>
      </c>
      <c r="I196" s="11">
        <v>402815.07695009944</v>
      </c>
      <c r="K196" s="8" t="s">
        <v>187</v>
      </c>
      <c r="L196" s="11">
        <v>350654.84937846038</v>
      </c>
      <c r="M196" s="11">
        <v>53207.756907041578</v>
      </c>
      <c r="N196" s="11">
        <v>400796.72916660266</v>
      </c>
      <c r="O196" s="11">
        <v>94061.85793466591</v>
      </c>
      <c r="P196" s="11">
        <v>158572.98538953072</v>
      </c>
      <c r="Q196" s="11">
        <v>342081.23530856188</v>
      </c>
      <c r="R196" s="11">
        <v>25166.200572088648</v>
      </c>
      <c r="S196" s="65"/>
      <c r="T196" s="8" t="s">
        <v>187</v>
      </c>
      <c r="U196" s="11">
        <v>185563.64682087171</v>
      </c>
      <c r="V196" s="11">
        <v>73079.938846621895</v>
      </c>
      <c r="W196" s="11">
        <v>790421.41685575002</v>
      </c>
      <c r="X196" s="11">
        <v>66501.264865319608</v>
      </c>
      <c r="Y196" s="11">
        <v>31966.821256546998</v>
      </c>
      <c r="Z196" s="11">
        <v>43188.400608361939</v>
      </c>
      <c r="AA196" s="11">
        <v>15061.302667423119</v>
      </c>
    </row>
    <row r="197" spans="2:27" x14ac:dyDescent="0.3">
      <c r="B197" s="8" t="s">
        <v>188</v>
      </c>
      <c r="C197" s="11">
        <v>47488.994012382471</v>
      </c>
      <c r="D197" s="11">
        <v>14047.975080057244</v>
      </c>
      <c r="E197" s="11">
        <v>135528.98558305952</v>
      </c>
      <c r="F197" s="11">
        <v>4060.9851480598804</v>
      </c>
      <c r="G197" s="11">
        <v>89210.782477780944</v>
      </c>
      <c r="H197" s="11">
        <v>33445.368565296383</v>
      </c>
      <c r="I197" s="11">
        <v>90916.948909467057</v>
      </c>
      <c r="K197" s="8" t="s">
        <v>188</v>
      </c>
      <c r="L197" s="11">
        <v>80534.103061650851</v>
      </c>
      <c r="M197" s="11">
        <v>476.57776228978076</v>
      </c>
      <c r="N197" s="11">
        <v>71099.790191697772</v>
      </c>
      <c r="O197" s="11">
        <v>2519.0807738570857</v>
      </c>
      <c r="P197" s="11">
        <v>30678.999753484339</v>
      </c>
      <c r="Q197" s="11">
        <v>35549.487024594666</v>
      </c>
      <c r="R197" s="11">
        <v>94641.535095918705</v>
      </c>
      <c r="S197" s="65"/>
      <c r="T197" s="8" t="s">
        <v>188</v>
      </c>
      <c r="U197" s="11">
        <v>35424.782430949854</v>
      </c>
      <c r="V197" s="11">
        <v>204.18480918022183</v>
      </c>
      <c r="W197" s="11">
        <v>61212.860550201971</v>
      </c>
      <c r="X197" s="11">
        <v>1563.2496634866679</v>
      </c>
      <c r="Y197" s="11">
        <v>59903.82634253984</v>
      </c>
      <c r="Z197" s="11">
        <v>30487.619276483678</v>
      </c>
      <c r="AA197" s="11">
        <v>3583.4295169882648</v>
      </c>
    </row>
    <row r="198" spans="2:27" x14ac:dyDescent="0.3">
      <c r="B198" s="8" t="s">
        <v>189</v>
      </c>
      <c r="C198" s="11">
        <v>12559.535798943738</v>
      </c>
      <c r="D198" s="11">
        <v>20697.742683018812</v>
      </c>
      <c r="E198" s="11">
        <v>163579.15031948657</v>
      </c>
      <c r="F198" s="11">
        <v>65097.733331527896</v>
      </c>
      <c r="G198" s="11">
        <v>76186.39760238264</v>
      </c>
      <c r="H198" s="11">
        <v>24130.156133504654</v>
      </c>
      <c r="I198" s="11">
        <v>65748.731411729095</v>
      </c>
      <c r="K198" s="8" t="s">
        <v>189</v>
      </c>
      <c r="L198" s="11">
        <v>24177.653381259443</v>
      </c>
      <c r="M198" s="11">
        <v>37264.310969973361</v>
      </c>
      <c r="N198" s="11">
        <v>228666.70713383384</v>
      </c>
      <c r="O198" s="11">
        <v>27756.74761462583</v>
      </c>
      <c r="P198" s="11">
        <v>60062.803853567428</v>
      </c>
      <c r="Q198" s="11">
        <v>703.98130818969184</v>
      </c>
      <c r="R198" s="11">
        <v>15831.702562845778</v>
      </c>
      <c r="S198" s="65"/>
      <c r="T198" s="8" t="s">
        <v>189</v>
      </c>
      <c r="U198" s="11">
        <v>33527.615026658772</v>
      </c>
      <c r="V198" s="11">
        <v>49367.262384006841</v>
      </c>
      <c r="W198" s="11">
        <v>82991.249294617824</v>
      </c>
      <c r="X198" s="11">
        <v>42318.152035057879</v>
      </c>
      <c r="Y198" s="11">
        <v>86479.945626408226</v>
      </c>
      <c r="Z198" s="11">
        <v>1330.6716805269537</v>
      </c>
      <c r="AA198" s="11">
        <v>23693.819853776171</v>
      </c>
    </row>
    <row r="199" spans="2:27" x14ac:dyDescent="0.3">
      <c r="B199" s="8" t="s">
        <v>190</v>
      </c>
      <c r="C199" s="11">
        <v>27994.304552879956</v>
      </c>
      <c r="D199" s="11">
        <v>18871.686385319652</v>
      </c>
      <c r="E199" s="11">
        <v>21693.707835354315</v>
      </c>
      <c r="F199" s="11">
        <v>5903.1829965947081</v>
      </c>
      <c r="G199" s="11">
        <v>37918.033448876762</v>
      </c>
      <c r="H199" s="11">
        <v>21215.619651582878</v>
      </c>
      <c r="I199" s="11">
        <v>5253.2819402289133</v>
      </c>
      <c r="K199" s="8" t="s">
        <v>190</v>
      </c>
      <c r="L199" s="11">
        <v>28754.059548842357</v>
      </c>
      <c r="M199" s="11">
        <v>23651.935682426491</v>
      </c>
      <c r="N199" s="11">
        <v>22963.906947140174</v>
      </c>
      <c r="O199" s="11">
        <v>1741.0924772336707</v>
      </c>
      <c r="P199" s="11">
        <v>39514.079335768103</v>
      </c>
      <c r="Q199" s="11">
        <v>13051.701395455828</v>
      </c>
      <c r="R199" s="11">
        <v>8200.3623052640614</v>
      </c>
      <c r="S199" s="65"/>
      <c r="T199" s="8" t="s">
        <v>190</v>
      </c>
      <c r="U199" s="11">
        <v>54936.820407552397</v>
      </c>
      <c r="V199" s="11">
        <v>44432.501284655853</v>
      </c>
      <c r="W199" s="11">
        <v>29734.590845564086</v>
      </c>
      <c r="X199" s="11">
        <v>928.14587218041083</v>
      </c>
      <c r="Y199" s="11">
        <v>47987.34745404416</v>
      </c>
      <c r="Z199" s="11">
        <v>9583.4523526363191</v>
      </c>
      <c r="AA199" s="11">
        <v>12115.020345474029</v>
      </c>
    </row>
    <row r="200" spans="2:27" x14ac:dyDescent="0.3">
      <c r="B200" s="8" t="s">
        <v>191</v>
      </c>
      <c r="C200" s="11">
        <v>17961.6743096719</v>
      </c>
      <c r="D200" s="11">
        <v>4319.0029026639404</v>
      </c>
      <c r="E200" s="11">
        <v>5429.48749739915</v>
      </c>
      <c r="F200" s="11">
        <v>224.75259234736538</v>
      </c>
      <c r="G200" s="11">
        <v>4368.5393514198404</v>
      </c>
      <c r="H200" s="11">
        <v>27591.866253371092</v>
      </c>
      <c r="I200" s="11">
        <v>5417.1342107315368</v>
      </c>
      <c r="K200" s="8" t="s">
        <v>191</v>
      </c>
      <c r="L200" s="11">
        <v>4354.3592531567665</v>
      </c>
      <c r="M200" s="11">
        <v>420.82900190311886</v>
      </c>
      <c r="N200" s="11">
        <v>6026.2504338107101</v>
      </c>
      <c r="O200" s="11">
        <v>249.79266976075613</v>
      </c>
      <c r="P200" s="11">
        <v>1097.3281872065163</v>
      </c>
      <c r="Q200" s="11">
        <v>51407.378128196498</v>
      </c>
      <c r="R200" s="11">
        <v>9458.2936379142884</v>
      </c>
      <c r="S200" s="65"/>
      <c r="T200" s="8" t="s">
        <v>191</v>
      </c>
      <c r="U200" s="11">
        <v>4709.3151699720274</v>
      </c>
      <c r="V200" s="11">
        <v>183.68850491227897</v>
      </c>
      <c r="W200" s="11">
        <v>3621.461208297118</v>
      </c>
      <c r="X200" s="11">
        <v>299.74184543314306</v>
      </c>
      <c r="Y200" s="11">
        <v>1329.131819509294</v>
      </c>
      <c r="Z200" s="11">
        <v>77203.696339997492</v>
      </c>
      <c r="AA200" s="11">
        <v>8937.5874518264845</v>
      </c>
    </row>
    <row r="201" spans="2:27" x14ac:dyDescent="0.3">
      <c r="B201" s="8" t="s">
        <v>192</v>
      </c>
      <c r="C201" s="11">
        <v>34963.96033361632</v>
      </c>
      <c r="D201" s="11">
        <v>5975.7697712538129</v>
      </c>
      <c r="E201" s="11">
        <v>170912.40192986076</v>
      </c>
      <c r="F201" s="11">
        <v>2044.4557828825414</v>
      </c>
      <c r="G201" s="11">
        <v>2489.2336992112646</v>
      </c>
      <c r="H201" s="11">
        <v>96824.880000349876</v>
      </c>
      <c r="I201" s="11">
        <v>13955.747230106668</v>
      </c>
      <c r="K201" s="8" t="s">
        <v>192</v>
      </c>
      <c r="L201" s="11">
        <v>62913.503946099598</v>
      </c>
      <c r="M201" s="11">
        <v>11497.050920033245</v>
      </c>
      <c r="N201" s="11">
        <v>152291.74525199897</v>
      </c>
      <c r="O201" s="11">
        <v>4012.9597705834585</v>
      </c>
      <c r="P201" s="11">
        <v>2143.255486052667</v>
      </c>
      <c r="Q201" s="11">
        <v>33701.897858025215</v>
      </c>
      <c r="R201" s="11">
        <v>12198.106899462526</v>
      </c>
      <c r="S201" s="65"/>
      <c r="T201" s="8" t="s">
        <v>192</v>
      </c>
      <c r="U201" s="11">
        <v>24714.538358337479</v>
      </c>
      <c r="V201" s="11">
        <v>5732.9133454907806</v>
      </c>
      <c r="W201" s="11">
        <v>25745.720934764176</v>
      </c>
      <c r="X201" s="11">
        <v>522.26119798025309</v>
      </c>
      <c r="Y201" s="11">
        <v>837.56798035798454</v>
      </c>
      <c r="Z201" s="11">
        <v>30912.408883136417</v>
      </c>
      <c r="AA201" s="11">
        <v>11127.558396394097</v>
      </c>
    </row>
    <row r="202" spans="2:27" x14ac:dyDescent="0.3">
      <c r="B202" s="8" t="s">
        <v>193</v>
      </c>
      <c r="C202" s="11">
        <v>3241.6104848112486</v>
      </c>
      <c r="D202" s="11">
        <v>5707.4956625990226</v>
      </c>
      <c r="E202" s="11">
        <v>21.942237026753951</v>
      </c>
      <c r="F202" s="11">
        <v>405.02771507423506</v>
      </c>
      <c r="G202" s="11">
        <v>3396.3570065804711</v>
      </c>
      <c r="H202" s="11">
        <v>6910.5896678168465</v>
      </c>
      <c r="I202" s="11">
        <v>1490.7194602392688</v>
      </c>
      <c r="K202" s="8" t="s">
        <v>193</v>
      </c>
      <c r="L202" s="11">
        <v>253.25184944345477</v>
      </c>
      <c r="M202" s="11">
        <v>95.733026693981941</v>
      </c>
      <c r="N202" s="11">
        <v>27.872890810111748</v>
      </c>
      <c r="O202" s="11">
        <v>313.11966714744318</v>
      </c>
      <c r="P202" s="11">
        <v>4473.2259424452614</v>
      </c>
      <c r="Q202" s="11">
        <v>2195.5860469345612</v>
      </c>
      <c r="R202" s="11">
        <v>2602.6939740057569</v>
      </c>
      <c r="S202" s="65"/>
      <c r="T202" s="8" t="s">
        <v>193</v>
      </c>
      <c r="U202" s="11">
        <v>392.58108687685689</v>
      </c>
      <c r="V202" s="11">
        <v>158.41187539731331</v>
      </c>
      <c r="W202" s="11">
        <v>23.844499117300089</v>
      </c>
      <c r="X202" s="11">
        <v>256.00809667555268</v>
      </c>
      <c r="Y202" s="11">
        <v>108.90793018224741</v>
      </c>
      <c r="Z202" s="11">
        <v>1591.9866809263658</v>
      </c>
      <c r="AA202" s="11">
        <v>4184.4843578837726</v>
      </c>
    </row>
    <row r="203" spans="2:27" x14ac:dyDescent="0.3">
      <c r="B203" s="8" t="s">
        <v>194</v>
      </c>
      <c r="C203" s="11">
        <v>477.33054869521339</v>
      </c>
      <c r="D203" s="11">
        <v>4909.6134403317692</v>
      </c>
      <c r="E203" s="11">
        <v>616.92312448117116</v>
      </c>
      <c r="F203" s="11">
        <v>2040.0810942549813</v>
      </c>
      <c r="G203" s="11">
        <v>4867.6294047640631</v>
      </c>
      <c r="H203" s="11">
        <v>18371.256236927347</v>
      </c>
      <c r="I203" s="11">
        <v>4192.3135276436142</v>
      </c>
      <c r="K203" s="8" t="s">
        <v>194</v>
      </c>
      <c r="L203" s="11">
        <v>84.857530716447584</v>
      </c>
      <c r="M203" s="11">
        <v>3731.4309397605716</v>
      </c>
      <c r="N203" s="11">
        <v>242.50685133242371</v>
      </c>
      <c r="O203" s="11">
        <v>1769.6900789147946</v>
      </c>
      <c r="P203" s="11">
        <v>1053.4845496065736</v>
      </c>
      <c r="Q203" s="11">
        <v>2941.3642231241338</v>
      </c>
      <c r="R203" s="11">
        <v>8122.158426926796</v>
      </c>
      <c r="S203" s="65"/>
      <c r="T203" s="8" t="s">
        <v>194</v>
      </c>
      <c r="U203" s="11">
        <v>137.5724177381465</v>
      </c>
      <c r="V203" s="11">
        <v>7168.0540493469471</v>
      </c>
      <c r="W203" s="11">
        <v>40.802769781048653</v>
      </c>
      <c r="X203" s="11">
        <v>1277.3157035008712</v>
      </c>
      <c r="Y203" s="11">
        <v>34.941499893456374</v>
      </c>
      <c r="Z203" s="11">
        <v>853.68964027208938</v>
      </c>
      <c r="AA203" s="11">
        <v>3301.0970474988039</v>
      </c>
    </row>
    <row r="204" spans="2:27" x14ac:dyDescent="0.3">
      <c r="B204" s="8" t="s">
        <v>195</v>
      </c>
      <c r="C204" s="11">
        <v>24.063958282260892</v>
      </c>
      <c r="D204" s="11">
        <v>27363.911343059019</v>
      </c>
      <c r="E204" s="11">
        <v>91583.362899133208</v>
      </c>
      <c r="F204" s="11">
        <v>69335.105155650308</v>
      </c>
      <c r="G204" s="11">
        <v>29966.43194000328</v>
      </c>
      <c r="H204" s="11">
        <v>28012.370173125117</v>
      </c>
      <c r="I204" s="11">
        <v>1671.8415439387982</v>
      </c>
      <c r="K204" s="8" t="s">
        <v>195</v>
      </c>
      <c r="L204" s="11">
        <v>7.9661067221580497</v>
      </c>
      <c r="M204" s="11">
        <v>38898.708933895883</v>
      </c>
      <c r="N204" s="11">
        <v>33310.150020074441</v>
      </c>
      <c r="O204" s="11">
        <v>98694.730471992807</v>
      </c>
      <c r="P204" s="11">
        <v>55207.079118813723</v>
      </c>
      <c r="Q204" s="11">
        <v>30007.103054740397</v>
      </c>
      <c r="R204" s="11">
        <v>1328.4742518603896</v>
      </c>
      <c r="S204" s="65"/>
      <c r="T204" s="8" t="s">
        <v>195</v>
      </c>
      <c r="U204" s="11">
        <v>3.9402540527097072</v>
      </c>
      <c r="V204" s="11">
        <v>39420.623374838935</v>
      </c>
      <c r="W204" s="11">
        <v>29511.515884516837</v>
      </c>
      <c r="X204" s="11">
        <v>181880.98517506907</v>
      </c>
      <c r="Y204" s="11">
        <v>5197.1174220072444</v>
      </c>
      <c r="Z204" s="11">
        <v>35114.202953060507</v>
      </c>
      <c r="AA204" s="11">
        <v>2135.6303222896163</v>
      </c>
    </row>
    <row r="205" spans="2:27" x14ac:dyDescent="0.3">
      <c r="B205" s="8" t="s">
        <v>196</v>
      </c>
      <c r="C205" s="11">
        <v>2421.2396616319534</v>
      </c>
      <c r="D205" s="11">
        <v>2718.6981283446999</v>
      </c>
      <c r="E205" s="11">
        <v>222.29290750243132</v>
      </c>
      <c r="F205" s="11">
        <v>16451.573362268053</v>
      </c>
      <c r="G205" s="11">
        <v>3217.8315738164774</v>
      </c>
      <c r="H205" s="11">
        <v>6850.9291505825595</v>
      </c>
      <c r="I205" s="11">
        <v>9515.8948823251085</v>
      </c>
      <c r="K205" s="8" t="s">
        <v>196</v>
      </c>
      <c r="L205" s="11">
        <v>2455.5812922451378</v>
      </c>
      <c r="M205" s="11">
        <v>3269.4641925215374</v>
      </c>
      <c r="N205" s="11">
        <v>105.67528508814468</v>
      </c>
      <c r="O205" s="11">
        <v>28933.743440171198</v>
      </c>
      <c r="P205" s="11">
        <v>116.09600859776614</v>
      </c>
      <c r="Q205" s="11">
        <v>10766.917609780772</v>
      </c>
      <c r="R205" s="11">
        <v>325.45728569986187</v>
      </c>
      <c r="S205" s="65"/>
      <c r="T205" s="8" t="s">
        <v>196</v>
      </c>
      <c r="U205" s="11">
        <v>914.69556210315443</v>
      </c>
      <c r="V205" s="11">
        <v>5886.5441842260871</v>
      </c>
      <c r="W205" s="11">
        <v>44.727655434301873</v>
      </c>
      <c r="X205" s="11">
        <v>46504.662992006939</v>
      </c>
      <c r="Y205" s="11">
        <v>84.240933021978194</v>
      </c>
      <c r="Z205" s="11">
        <v>7772.3470179506412</v>
      </c>
      <c r="AA205" s="11">
        <v>137.90614289028423</v>
      </c>
    </row>
    <row r="206" spans="2:27" x14ac:dyDescent="0.3">
      <c r="B206" s="8" t="s">
        <v>197</v>
      </c>
      <c r="C206" s="11">
        <v>10307.570133220366</v>
      </c>
      <c r="D206" s="11">
        <v>61809.289741909291</v>
      </c>
      <c r="E206" s="11">
        <v>129094.47070252232</v>
      </c>
      <c r="F206" s="11">
        <v>39126.877648015681</v>
      </c>
      <c r="G206" s="11">
        <v>57010.38182136244</v>
      </c>
      <c r="H206" s="11">
        <v>12020.246568674474</v>
      </c>
      <c r="I206" s="11">
        <v>126861.90713721522</v>
      </c>
      <c r="K206" s="8" t="s">
        <v>197</v>
      </c>
      <c r="L206" s="11">
        <v>6548.0259424368551</v>
      </c>
      <c r="M206" s="11">
        <v>103327.71321154515</v>
      </c>
      <c r="N206" s="11">
        <v>140907.25641572813</v>
      </c>
      <c r="O206" s="11">
        <v>47066.161333451346</v>
      </c>
      <c r="P206" s="11">
        <v>59830.973343036785</v>
      </c>
      <c r="Q206" s="11">
        <v>17007.635888239023</v>
      </c>
      <c r="R206" s="11">
        <v>221781.44193080414</v>
      </c>
      <c r="S206" s="65"/>
      <c r="T206" s="8" t="s">
        <v>197</v>
      </c>
      <c r="U206" s="11">
        <v>12972.441261732876</v>
      </c>
      <c r="V206" s="11">
        <v>64971.824231592778</v>
      </c>
      <c r="W206" s="11">
        <v>174293.97766578873</v>
      </c>
      <c r="X206" s="11">
        <v>76414.650261109884</v>
      </c>
      <c r="Y206" s="11">
        <v>33960.739513088847</v>
      </c>
      <c r="Z206" s="11">
        <v>23429.46730258135</v>
      </c>
      <c r="AA206" s="11">
        <v>252184.67665953646</v>
      </c>
    </row>
    <row r="207" spans="2:27" x14ac:dyDescent="0.3">
      <c r="B207" s="8" t="s">
        <v>198</v>
      </c>
      <c r="C207" s="11">
        <v>32558.673031722221</v>
      </c>
      <c r="D207" s="11">
        <v>3824.6832550328259</v>
      </c>
      <c r="E207" s="11">
        <v>32002.22751228913</v>
      </c>
      <c r="F207" s="11">
        <v>26989.736480042495</v>
      </c>
      <c r="G207" s="11">
        <v>14167.898959574748</v>
      </c>
      <c r="H207" s="11">
        <v>27731.052914299318</v>
      </c>
      <c r="I207" s="11">
        <v>20393.68739183147</v>
      </c>
      <c r="K207" s="8" t="s">
        <v>198</v>
      </c>
      <c r="L207" s="11">
        <v>19982.349019020385</v>
      </c>
      <c r="M207" s="11">
        <v>945.23589265193266</v>
      </c>
      <c r="N207" s="11">
        <v>13201.829849399057</v>
      </c>
      <c r="O207" s="11">
        <v>39985.918187793795</v>
      </c>
      <c r="P207" s="11">
        <v>20352.921685008765</v>
      </c>
      <c r="Q207" s="11">
        <v>42661.748936849086</v>
      </c>
      <c r="R207" s="11">
        <v>33061.247153631091</v>
      </c>
      <c r="S207" s="65"/>
      <c r="T207" s="8" t="s">
        <v>198</v>
      </c>
      <c r="U207" s="11">
        <v>28363.482077510558</v>
      </c>
      <c r="V207" s="11">
        <v>1564.3280477942058</v>
      </c>
      <c r="W207" s="11">
        <v>9320.5554191413121</v>
      </c>
      <c r="X207" s="11">
        <v>54393.852375079114</v>
      </c>
      <c r="Y207" s="11">
        <v>39878.933214266595</v>
      </c>
      <c r="Z207" s="11">
        <v>78963.169278311732</v>
      </c>
      <c r="AA207" s="11">
        <v>51501.036538951521</v>
      </c>
    </row>
    <row r="208" spans="2:27" x14ac:dyDescent="0.3">
      <c r="B208" s="8" t="s">
        <v>199</v>
      </c>
      <c r="C208" s="11">
        <v>14167.228845309988</v>
      </c>
      <c r="D208" s="11">
        <v>12964.107807909922</v>
      </c>
      <c r="E208" s="11">
        <v>3687.8809348631708</v>
      </c>
      <c r="F208" s="11">
        <v>3999.2920533278148</v>
      </c>
      <c r="G208" s="11">
        <v>8677.8457037608914</v>
      </c>
      <c r="H208" s="11">
        <v>33650.990259325088</v>
      </c>
      <c r="I208" s="11">
        <v>994.48028295373251</v>
      </c>
      <c r="K208" s="8" t="s">
        <v>199</v>
      </c>
      <c r="L208" s="11">
        <v>18774.571375131014</v>
      </c>
      <c r="M208" s="11">
        <v>45.153596941730008</v>
      </c>
      <c r="N208" s="11">
        <v>1792.2334271127309</v>
      </c>
      <c r="O208" s="11">
        <v>5480.6636951421451</v>
      </c>
      <c r="P208" s="11">
        <v>7089.6427379909273</v>
      </c>
      <c r="Q208" s="11">
        <v>50856.289743363704</v>
      </c>
      <c r="R208" s="11">
        <v>1943.6825713859703</v>
      </c>
      <c r="S208" s="65"/>
      <c r="T208" s="8" t="s">
        <v>199</v>
      </c>
      <c r="U208" s="11">
        <v>14649.797529933156</v>
      </c>
      <c r="V208" s="11">
        <v>13.260218652831165</v>
      </c>
      <c r="W208" s="11">
        <v>2978.3556999986595</v>
      </c>
      <c r="X208" s="11">
        <v>2664.5453356325856</v>
      </c>
      <c r="Y208" s="11">
        <v>12722.498277286631</v>
      </c>
      <c r="Z208" s="11">
        <v>34551.93697540796</v>
      </c>
      <c r="AA208" s="11">
        <v>143.15247469983314</v>
      </c>
    </row>
    <row r="209" spans="2:27" x14ac:dyDescent="0.3">
      <c r="B209" s="8" t="s">
        <v>200</v>
      </c>
      <c r="C209" s="11">
        <v>78.684411142657595</v>
      </c>
      <c r="D209" s="11">
        <v>1799.2496993021939</v>
      </c>
      <c r="E209" s="11">
        <v>10269.842604038769</v>
      </c>
      <c r="F209" s="11">
        <v>4881.6228069928629</v>
      </c>
      <c r="G209" s="11">
        <v>7223.0910979898163</v>
      </c>
      <c r="H209" s="11">
        <v>497.85513288830214</v>
      </c>
      <c r="I209" s="11">
        <v>163.5132550305336</v>
      </c>
      <c r="K209" s="8" t="s">
        <v>200</v>
      </c>
      <c r="L209" s="11">
        <v>30.330147543284195</v>
      </c>
      <c r="M209" s="11">
        <v>2935.0107841836548</v>
      </c>
      <c r="N209" s="11">
        <v>11431.031186151688</v>
      </c>
      <c r="O209" s="11">
        <v>739.33785351358983</v>
      </c>
      <c r="P209" s="11">
        <v>11764.659762187935</v>
      </c>
      <c r="Q209" s="11">
        <v>90.170466724829168</v>
      </c>
      <c r="R209" s="11">
        <v>143.08061031503237</v>
      </c>
      <c r="S209" s="65"/>
      <c r="T209" s="8" t="s">
        <v>200</v>
      </c>
      <c r="U209" s="11">
        <v>45.889155608370544</v>
      </c>
      <c r="V209" s="11">
        <v>2926.4710520148788</v>
      </c>
      <c r="W209" s="11">
        <v>7110.5040639744129</v>
      </c>
      <c r="X209" s="11">
        <v>791.00447687377141</v>
      </c>
      <c r="Y209" s="11">
        <v>9772.7991917600793</v>
      </c>
      <c r="Z209" s="11">
        <v>135.30453991958495</v>
      </c>
      <c r="AA209" s="11">
        <v>176.39085911738152</v>
      </c>
    </row>
    <row r="210" spans="2:27" x14ac:dyDescent="0.3">
      <c r="B210" s="8" t="s">
        <v>201</v>
      </c>
      <c r="C210" s="11">
        <v>12546.267480768012</v>
      </c>
      <c r="D210" s="11">
        <v>2900.9854568004253</v>
      </c>
      <c r="E210" s="11">
        <v>34912.17409933461</v>
      </c>
      <c r="F210" s="11">
        <v>507.82732843232139</v>
      </c>
      <c r="G210" s="11">
        <v>707.98507297674701</v>
      </c>
      <c r="H210" s="11">
        <v>30906.979724492638</v>
      </c>
      <c r="I210" s="11">
        <v>43850.437632002278</v>
      </c>
      <c r="K210" s="8" t="s">
        <v>201</v>
      </c>
      <c r="L210" s="11">
        <v>12951.110354980827</v>
      </c>
      <c r="M210" s="11">
        <v>2531.4684433179045</v>
      </c>
      <c r="N210" s="11">
        <v>5048.7659990525872</v>
      </c>
      <c r="O210" s="11">
        <v>342.94565269879195</v>
      </c>
      <c r="P210" s="11">
        <v>937.28641974433322</v>
      </c>
      <c r="Q210" s="11">
        <v>60801.702948019862</v>
      </c>
      <c r="R210" s="11">
        <v>82549.985006895135</v>
      </c>
      <c r="S210" s="65"/>
      <c r="T210" s="8" t="s">
        <v>201</v>
      </c>
      <c r="U210" s="11">
        <v>7215.0939795582763</v>
      </c>
      <c r="V210" s="11">
        <v>503.77623531878891</v>
      </c>
      <c r="W210" s="11">
        <v>6416.4501104774981</v>
      </c>
      <c r="X210" s="11">
        <v>122.16635427863426</v>
      </c>
      <c r="Y210" s="11">
        <v>1146.4651280666492</v>
      </c>
      <c r="Z210" s="11">
        <v>41782.101735585966</v>
      </c>
      <c r="AA210" s="11">
        <v>40085.593335437617</v>
      </c>
    </row>
    <row r="211" spans="2:27" x14ac:dyDescent="0.3">
      <c r="B211" s="8" t="s">
        <v>202</v>
      </c>
      <c r="C211" s="11">
        <v>759.41366932953406</v>
      </c>
      <c r="D211" s="11">
        <v>5953.306325536335</v>
      </c>
      <c r="E211" s="11">
        <v>6094.7682959577896</v>
      </c>
      <c r="F211" s="11">
        <v>126.15573615777761</v>
      </c>
      <c r="G211" s="11">
        <v>5829.7308869387889</v>
      </c>
      <c r="H211" s="11">
        <v>2996.6835270294641</v>
      </c>
      <c r="I211" s="11">
        <v>7116.867847251543</v>
      </c>
      <c r="K211" s="8" t="s">
        <v>202</v>
      </c>
      <c r="L211" s="11">
        <v>710.50097817025562</v>
      </c>
      <c r="M211" s="11">
        <v>11356.269989524859</v>
      </c>
      <c r="N211" s="11">
        <v>10291.915090774519</v>
      </c>
      <c r="O211" s="11">
        <v>70.43006957471988</v>
      </c>
      <c r="P211" s="11">
        <v>1749.8933983617653</v>
      </c>
      <c r="Q211" s="11">
        <v>517.14593952964924</v>
      </c>
      <c r="R211" s="11">
        <v>646.00645307850243</v>
      </c>
      <c r="S211" s="65"/>
      <c r="T211" s="8" t="s">
        <v>202</v>
      </c>
      <c r="U211" s="11">
        <v>1056.782597558321</v>
      </c>
      <c r="V211" s="11">
        <v>13212.468312675785</v>
      </c>
      <c r="W211" s="11">
        <v>15435.905207587417</v>
      </c>
      <c r="X211" s="11">
        <v>138.96028985087338</v>
      </c>
      <c r="Y211" s="11">
        <v>79.087689992715511</v>
      </c>
      <c r="Z211" s="11">
        <v>223.86253720721592</v>
      </c>
      <c r="AA211" s="11">
        <v>594.33687113891517</v>
      </c>
    </row>
    <row r="212" spans="2:27" x14ac:dyDescent="0.3">
      <c r="B212" s="8" t="s">
        <v>203</v>
      </c>
      <c r="C212" s="11">
        <v>5152.3889247597672</v>
      </c>
      <c r="D212" s="11">
        <v>943.26498192566009</v>
      </c>
      <c r="E212" s="11">
        <v>25623.35949777377</v>
      </c>
      <c r="F212" s="11">
        <v>263.58751705144317</v>
      </c>
      <c r="G212" s="11">
        <v>560.50547821110229</v>
      </c>
      <c r="H212" s="11">
        <v>745.97953640035587</v>
      </c>
      <c r="I212" s="11">
        <v>1241.5680411293797</v>
      </c>
      <c r="K212" s="8" t="s">
        <v>203</v>
      </c>
      <c r="L212" s="11">
        <v>8289.5659970034667</v>
      </c>
      <c r="M212" s="11">
        <v>8.8300062686307061</v>
      </c>
      <c r="N212" s="11">
        <v>39421.324649187103</v>
      </c>
      <c r="O212" s="11">
        <v>374.0043692562985</v>
      </c>
      <c r="P212" s="11">
        <v>1019.5986429311181</v>
      </c>
      <c r="Q212" s="11">
        <v>804.3250989602551</v>
      </c>
      <c r="R212" s="11">
        <v>630.20736648690877</v>
      </c>
      <c r="S212" s="65"/>
      <c r="T212" s="8" t="s">
        <v>203</v>
      </c>
      <c r="U212" s="11">
        <v>5135.4240942744918</v>
      </c>
      <c r="V212" s="11">
        <v>0.75681651000991046</v>
      </c>
      <c r="W212" s="11">
        <v>61884.934195982591</v>
      </c>
      <c r="X212" s="11">
        <v>332.15556544775717</v>
      </c>
      <c r="Y212" s="11">
        <v>1520.9300818769202</v>
      </c>
      <c r="Z212" s="11">
        <v>994.34008228779601</v>
      </c>
      <c r="AA212" s="11">
        <v>521.03506621651979</v>
      </c>
    </row>
    <row r="213" spans="2:27" x14ac:dyDescent="0.3">
      <c r="B213" s="8" t="s">
        <v>204</v>
      </c>
      <c r="C213" s="11">
        <v>219985.87160078553</v>
      </c>
      <c r="D213" s="11">
        <v>245.38306135089039</v>
      </c>
      <c r="E213" s="11">
        <v>456205.04317863262</v>
      </c>
      <c r="F213" s="11">
        <v>47654.052034818349</v>
      </c>
      <c r="G213" s="11">
        <v>40571.625487400001</v>
      </c>
      <c r="H213" s="11">
        <v>1361262.1507759423</v>
      </c>
      <c r="I213" s="11">
        <v>163313.46307738021</v>
      </c>
      <c r="K213" s="8" t="s">
        <v>204</v>
      </c>
      <c r="L213" s="11">
        <v>91510.871087238324</v>
      </c>
      <c r="M213" s="11">
        <v>290.31853409638381</v>
      </c>
      <c r="N213" s="11">
        <v>4962.4663893017105</v>
      </c>
      <c r="O213" s="11">
        <v>58336.017297953782</v>
      </c>
      <c r="P213" s="11">
        <v>24581.547375398633</v>
      </c>
      <c r="Q213" s="11">
        <v>1470661.7048997749</v>
      </c>
      <c r="R213" s="11">
        <v>219355.20317090952</v>
      </c>
      <c r="S213" s="65"/>
      <c r="T213" s="8" t="s">
        <v>204</v>
      </c>
      <c r="U213" s="11">
        <v>41853.909863679917</v>
      </c>
      <c r="V213" s="11">
        <v>341.28518275662833</v>
      </c>
      <c r="W213" s="11">
        <v>8514.7304097468441</v>
      </c>
      <c r="X213" s="11">
        <v>28837.305122745271</v>
      </c>
      <c r="Y213" s="11">
        <v>41211.315701210086</v>
      </c>
      <c r="Z213" s="11">
        <v>643710.03210100613</v>
      </c>
      <c r="AA213" s="11">
        <v>282753.3196185549</v>
      </c>
    </row>
    <row r="214" spans="2:27" x14ac:dyDescent="0.3">
      <c r="B214" s="8" t="s">
        <v>205</v>
      </c>
      <c r="C214" s="11">
        <v>13505.21041335556</v>
      </c>
      <c r="D214" s="11">
        <v>4602.349813079446</v>
      </c>
      <c r="E214" s="11">
        <v>15518.559347774459</v>
      </c>
      <c r="F214" s="11">
        <v>19285.449245778251</v>
      </c>
      <c r="G214" s="11">
        <v>18356.158087056487</v>
      </c>
      <c r="H214" s="11">
        <v>711.2162858103261</v>
      </c>
      <c r="I214" s="11">
        <v>521.44732602004729</v>
      </c>
      <c r="K214" s="8" t="s">
        <v>205</v>
      </c>
      <c r="L214" s="11">
        <v>5565.2247066117234</v>
      </c>
      <c r="M214" s="11">
        <v>2021.2089306892001</v>
      </c>
      <c r="N214" s="11">
        <v>3598.3581991050928</v>
      </c>
      <c r="O214" s="11">
        <v>19762.055164974561</v>
      </c>
      <c r="P214" s="11">
        <v>29096.431879569976</v>
      </c>
      <c r="Q214" s="11">
        <v>263.93587707212691</v>
      </c>
      <c r="R214" s="11">
        <v>817.23506029154169</v>
      </c>
      <c r="S214" s="65"/>
      <c r="T214" s="8" t="s">
        <v>205</v>
      </c>
      <c r="U214" s="11">
        <v>10241.260340261817</v>
      </c>
      <c r="V214" s="11">
        <v>3421.2249722909005</v>
      </c>
      <c r="W214" s="11">
        <v>2813.9330479413029</v>
      </c>
      <c r="X214" s="11">
        <v>7151.9258159902438</v>
      </c>
      <c r="Y214" s="11">
        <v>11412.994657538729</v>
      </c>
      <c r="Z214" s="11">
        <v>329.95742679537443</v>
      </c>
      <c r="AA214" s="11">
        <v>570.0648598813118</v>
      </c>
    </row>
    <row r="215" spans="2:27" x14ac:dyDescent="0.3">
      <c r="B215" s="8" t="s">
        <v>206</v>
      </c>
      <c r="C215" s="11">
        <v>665774.63783721323</v>
      </c>
      <c r="D215" s="11">
        <v>122428.84463135837</v>
      </c>
      <c r="E215" s="11">
        <v>44436.028394397508</v>
      </c>
      <c r="F215" s="11">
        <v>745592.16802282538</v>
      </c>
      <c r="G215" s="11">
        <v>646834.24229594204</v>
      </c>
      <c r="H215" s="11">
        <v>50245.544772903566</v>
      </c>
      <c r="I215" s="11">
        <v>207873.05811303266</v>
      </c>
      <c r="K215" s="8" t="s">
        <v>206</v>
      </c>
      <c r="L215" s="11">
        <v>1245126.2426729156</v>
      </c>
      <c r="M215" s="11">
        <v>62248.901271070237</v>
      </c>
      <c r="N215" s="11">
        <v>51809.991464164785</v>
      </c>
      <c r="O215" s="11">
        <v>1391713.8120591396</v>
      </c>
      <c r="P215" s="11">
        <v>729232.30351369327</v>
      </c>
      <c r="Q215" s="11">
        <v>16678.033613589487</v>
      </c>
      <c r="R215" s="11">
        <v>2843.5308112143866</v>
      </c>
      <c r="S215" s="65"/>
      <c r="T215" s="8" t="s">
        <v>206</v>
      </c>
      <c r="U215" s="11">
        <v>1727423.7057217176</v>
      </c>
      <c r="V215" s="11">
        <v>18089.275204592315</v>
      </c>
      <c r="W215" s="11">
        <v>60484.284819692431</v>
      </c>
      <c r="X215" s="11">
        <v>856705.29088262655</v>
      </c>
      <c r="Y215" s="11">
        <v>1212924.2840718087</v>
      </c>
      <c r="Z215" s="11">
        <v>30181.86503443911</v>
      </c>
      <c r="AA215" s="11">
        <v>4389.7375259426644</v>
      </c>
    </row>
    <row r="216" spans="2:27" x14ac:dyDescent="0.3">
      <c r="B216" s="8" t="s">
        <v>207</v>
      </c>
      <c r="C216" s="11">
        <v>4061.0518281801042</v>
      </c>
      <c r="D216" s="11">
        <v>358389.3489412521</v>
      </c>
      <c r="E216" s="11">
        <v>19680.076416052856</v>
      </c>
      <c r="F216" s="11">
        <v>312124.48243535042</v>
      </c>
      <c r="G216" s="11">
        <v>123179.55409371601</v>
      </c>
      <c r="H216" s="11">
        <v>379633.37817365298</v>
      </c>
      <c r="I216" s="11">
        <v>39390.913741376746</v>
      </c>
      <c r="K216" s="8" t="s">
        <v>207</v>
      </c>
      <c r="L216" s="11">
        <v>231.09636038690405</v>
      </c>
      <c r="M216" s="11">
        <v>325266.34664056159</v>
      </c>
      <c r="N216" s="11">
        <v>33232.53428561586</v>
      </c>
      <c r="O216" s="11">
        <v>136188.28310426339</v>
      </c>
      <c r="P216" s="11">
        <v>71437.091629994567</v>
      </c>
      <c r="Q216" s="11">
        <v>716035.09615486674</v>
      </c>
      <c r="R216" s="11">
        <v>54558.518143760899</v>
      </c>
      <c r="S216" s="65"/>
      <c r="T216" s="8" t="s">
        <v>207</v>
      </c>
      <c r="U216" s="11">
        <v>300.18129515899568</v>
      </c>
      <c r="V216" s="11">
        <v>545323.77641390683</v>
      </c>
      <c r="W216" s="11">
        <v>14940.590869700352</v>
      </c>
      <c r="X216" s="11">
        <v>240715.28855057078</v>
      </c>
      <c r="Y216" s="11">
        <v>91546.928632226307</v>
      </c>
      <c r="Z216" s="11">
        <v>224844.48008488596</v>
      </c>
      <c r="AA216" s="11">
        <v>94718.364125973152</v>
      </c>
    </row>
    <row r="217" spans="2:27" x14ac:dyDescent="0.3">
      <c r="B217" s="8" t="s">
        <v>208</v>
      </c>
      <c r="C217" s="11">
        <v>1780.8265035101056</v>
      </c>
      <c r="D217" s="11">
        <v>92695.887258824092</v>
      </c>
      <c r="E217" s="11">
        <v>90481.7661563562</v>
      </c>
      <c r="F217" s="11">
        <v>40946.445079393452</v>
      </c>
      <c r="G217" s="11">
        <v>105084.74447489186</v>
      </c>
      <c r="H217" s="11">
        <v>58844.105151101299</v>
      </c>
      <c r="I217" s="11">
        <v>75948.331548030401</v>
      </c>
      <c r="K217" s="8" t="s">
        <v>208</v>
      </c>
      <c r="L217" s="11">
        <v>537.76486548683977</v>
      </c>
      <c r="M217" s="11">
        <v>126213.11264481957</v>
      </c>
      <c r="N217" s="11">
        <v>37071.34169722435</v>
      </c>
      <c r="O217" s="11">
        <v>71580.37042344152</v>
      </c>
      <c r="P217" s="11">
        <v>27918.819703594691</v>
      </c>
      <c r="Q217" s="11">
        <v>71669.233094948417</v>
      </c>
      <c r="R217" s="11">
        <v>105089.19656866603</v>
      </c>
      <c r="S217" s="65"/>
      <c r="T217" s="8" t="s">
        <v>208</v>
      </c>
      <c r="U217" s="11">
        <v>314.82684528439455</v>
      </c>
      <c r="V217" s="11">
        <v>243750.88123950985</v>
      </c>
      <c r="W217" s="11">
        <v>69156.62817450166</v>
      </c>
      <c r="X217" s="11">
        <v>55051.901860006743</v>
      </c>
      <c r="Y217" s="11">
        <v>54208.023055185433</v>
      </c>
      <c r="Z217" s="11">
        <v>78990.802872656102</v>
      </c>
      <c r="AA217" s="11">
        <v>154765.84590547392</v>
      </c>
    </row>
    <row r="218" spans="2:27" x14ac:dyDescent="0.3">
      <c r="B218" s="8" t="s">
        <v>209</v>
      </c>
      <c r="C218" s="11">
        <v>57701.097383061213</v>
      </c>
      <c r="D218" s="11">
        <v>36916.388995515372</v>
      </c>
      <c r="E218" s="11">
        <v>42412.794271337429</v>
      </c>
      <c r="F218" s="11">
        <v>3065.7288316628396</v>
      </c>
      <c r="G218" s="11">
        <v>60721.275502060707</v>
      </c>
      <c r="H218" s="11">
        <v>35957.400700511731</v>
      </c>
      <c r="I218" s="11">
        <v>70235.324254148276</v>
      </c>
      <c r="K218" s="8" t="s">
        <v>209</v>
      </c>
      <c r="L218" s="11">
        <v>104239.42824753081</v>
      </c>
      <c r="M218" s="11">
        <v>60208.01105209034</v>
      </c>
      <c r="N218" s="11">
        <v>55353.028355989656</v>
      </c>
      <c r="O218" s="11">
        <v>582.04527019042393</v>
      </c>
      <c r="P218" s="11">
        <v>66060.155779195789</v>
      </c>
      <c r="Q218" s="11">
        <v>25183.598546233297</v>
      </c>
      <c r="R218" s="11">
        <v>27491.869649282784</v>
      </c>
      <c r="S218" s="65"/>
      <c r="T218" s="8" t="s">
        <v>209</v>
      </c>
      <c r="U218" s="11">
        <v>95500.184098417376</v>
      </c>
      <c r="V218" s="11">
        <v>82802.230355351552</v>
      </c>
      <c r="W218" s="11">
        <v>54952.566054237956</v>
      </c>
      <c r="X218" s="11">
        <v>939.61878466544761</v>
      </c>
      <c r="Y218" s="11">
        <v>76797.004295698585</v>
      </c>
      <c r="Z218" s="11">
        <v>2576.3612910722741</v>
      </c>
      <c r="AA218" s="11">
        <v>24065.435255346365</v>
      </c>
    </row>
    <row r="219" spans="2:27" x14ac:dyDescent="0.3">
      <c r="B219" s="8" t="s">
        <v>210</v>
      </c>
      <c r="C219" s="11">
        <v>190320.83065441743</v>
      </c>
      <c r="D219" s="11">
        <v>3463.6480646276382</v>
      </c>
      <c r="E219" s="11">
        <v>201952.5653584798</v>
      </c>
      <c r="F219" s="11">
        <v>2218.2767119570576</v>
      </c>
      <c r="G219" s="11">
        <v>3190.3070811236857</v>
      </c>
      <c r="H219" s="11">
        <v>239180.46794468447</v>
      </c>
      <c r="I219" s="11">
        <v>5843.1142806362604</v>
      </c>
      <c r="K219" s="8" t="s">
        <v>210</v>
      </c>
      <c r="L219" s="11">
        <v>231526.20815964957</v>
      </c>
      <c r="M219" s="11">
        <v>3055.2498515066836</v>
      </c>
      <c r="N219" s="11">
        <v>119589.5949299004</v>
      </c>
      <c r="O219" s="11">
        <v>3008.2369523485904</v>
      </c>
      <c r="P219" s="11">
        <v>6073.5786807318464</v>
      </c>
      <c r="Q219" s="11">
        <v>368061.45839694003</v>
      </c>
      <c r="R219" s="11">
        <v>3298.7110357991373</v>
      </c>
      <c r="S219" s="65"/>
      <c r="T219" s="8" t="s">
        <v>210</v>
      </c>
      <c r="U219" s="11">
        <v>461048.84722525923</v>
      </c>
      <c r="V219" s="11">
        <v>155.53719939185723</v>
      </c>
      <c r="W219" s="11">
        <v>45919.174274545825</v>
      </c>
      <c r="X219" s="11">
        <v>3883.5723673051702</v>
      </c>
      <c r="Y219" s="11">
        <v>10714.133646111355</v>
      </c>
      <c r="Z219" s="11">
        <v>251574.15935472766</v>
      </c>
      <c r="AA219" s="11">
        <v>1670.1965153557583</v>
      </c>
    </row>
    <row r="220" spans="2:27" x14ac:dyDescent="0.3">
      <c r="B220" s="8" t="s">
        <v>211</v>
      </c>
      <c r="C220" s="11">
        <v>103794.52146983494</v>
      </c>
      <c r="D220" s="11">
        <v>120095.53790149422</v>
      </c>
      <c r="E220" s="11">
        <v>43202.992606390872</v>
      </c>
      <c r="F220" s="11">
        <v>1978.1808924921418</v>
      </c>
      <c r="G220" s="11">
        <v>28746.668047862528</v>
      </c>
      <c r="H220" s="11">
        <v>97061.259531774005</v>
      </c>
      <c r="I220" s="11">
        <v>28723.29012633708</v>
      </c>
      <c r="K220" s="8" t="s">
        <v>211</v>
      </c>
      <c r="L220" s="11">
        <v>38975.916388570564</v>
      </c>
      <c r="M220" s="11">
        <v>233609.05177284798</v>
      </c>
      <c r="N220" s="11">
        <v>42482.012796670744</v>
      </c>
      <c r="O220" s="11">
        <v>2299.6743918508605</v>
      </c>
      <c r="P220" s="11">
        <v>50087.991970848525</v>
      </c>
      <c r="Q220" s="11">
        <v>117497.17310064271</v>
      </c>
      <c r="R220" s="11">
        <v>312.07739224767357</v>
      </c>
      <c r="S220" s="65"/>
      <c r="T220" s="8" t="s">
        <v>211</v>
      </c>
      <c r="U220" s="11">
        <v>59414.492688855287</v>
      </c>
      <c r="V220" s="11">
        <v>332490.0220697826</v>
      </c>
      <c r="W220" s="11">
        <v>70630.221311166475</v>
      </c>
      <c r="X220" s="11">
        <v>2052.4700530084083</v>
      </c>
      <c r="Y220" s="11">
        <v>37890.67040844656</v>
      </c>
      <c r="Z220" s="11">
        <v>72608.058060098905</v>
      </c>
      <c r="AA220" s="11">
        <v>15.780600783017601</v>
      </c>
    </row>
    <row r="221" spans="2:27" x14ac:dyDescent="0.3">
      <c r="B221" s="8" t="s">
        <v>212</v>
      </c>
      <c r="C221" s="11">
        <v>31815.205109186987</v>
      </c>
      <c r="D221" s="11">
        <v>31298.315232773144</v>
      </c>
      <c r="E221" s="11">
        <v>28968.892711318324</v>
      </c>
      <c r="F221" s="11">
        <v>4436.801588603711</v>
      </c>
      <c r="G221" s="11">
        <v>2333.6386450588657</v>
      </c>
      <c r="H221" s="11">
        <v>308105.86785331176</v>
      </c>
      <c r="I221" s="11">
        <v>86641.556469696894</v>
      </c>
      <c r="K221" s="8" t="s">
        <v>212</v>
      </c>
      <c r="L221" s="11">
        <v>46683.70770105649</v>
      </c>
      <c r="M221" s="11">
        <v>28656.986028405463</v>
      </c>
      <c r="N221" s="11">
        <v>40272.003112147911</v>
      </c>
      <c r="O221" s="11">
        <v>7878.1859035425605</v>
      </c>
      <c r="P221" s="11">
        <v>1184.6527955670688</v>
      </c>
      <c r="Q221" s="11">
        <v>571613.09429802652</v>
      </c>
      <c r="R221" s="11">
        <v>126284.51721468639</v>
      </c>
      <c r="S221" s="65"/>
      <c r="T221" s="8" t="s">
        <v>212</v>
      </c>
      <c r="U221" s="11">
        <v>40586.598713859588</v>
      </c>
      <c r="V221" s="11">
        <v>33746.274958199501</v>
      </c>
      <c r="W221" s="11">
        <v>68617.442469383808</v>
      </c>
      <c r="X221" s="11">
        <v>13280.117964056331</v>
      </c>
      <c r="Y221" s="11">
        <v>1528.1749596746836</v>
      </c>
      <c r="Z221" s="11">
        <v>615876.84181286709</v>
      </c>
      <c r="AA221" s="11">
        <v>131594.98597177083</v>
      </c>
    </row>
    <row r="222" spans="2:27" x14ac:dyDescent="0.3">
      <c r="B222" s="8" t="s">
        <v>213</v>
      </c>
      <c r="C222" s="11">
        <v>161146.95791554748</v>
      </c>
      <c r="D222" s="11">
        <v>17501.278736485598</v>
      </c>
      <c r="E222" s="11">
        <v>298071.24075855693</v>
      </c>
      <c r="F222" s="11">
        <v>27959.711684518446</v>
      </c>
      <c r="G222" s="11">
        <v>275826.58830778307</v>
      </c>
      <c r="H222" s="11">
        <v>43986.582169527413</v>
      </c>
      <c r="I222" s="11">
        <v>253603.87658805421</v>
      </c>
      <c r="K222" s="8" t="s">
        <v>213</v>
      </c>
      <c r="L222" s="11">
        <v>77978.820085118947</v>
      </c>
      <c r="M222" s="11">
        <v>28403.274318844033</v>
      </c>
      <c r="N222" s="11">
        <v>166042.3365782731</v>
      </c>
      <c r="O222" s="11">
        <v>30273.87719626131</v>
      </c>
      <c r="P222" s="11">
        <v>202820.30161731553</v>
      </c>
      <c r="Q222" s="11">
        <v>46123.101857610003</v>
      </c>
      <c r="R222" s="11">
        <v>402841.87079845642</v>
      </c>
      <c r="S222" s="65"/>
      <c r="T222" s="8" t="s">
        <v>213</v>
      </c>
      <c r="U222" s="11">
        <v>73895.493480706922</v>
      </c>
      <c r="V222" s="11">
        <v>15080.088443699891</v>
      </c>
      <c r="W222" s="11">
        <v>197130.92281269439</v>
      </c>
      <c r="X222" s="11">
        <v>37605.116894750267</v>
      </c>
      <c r="Y222" s="11">
        <v>256705.07523734862</v>
      </c>
      <c r="Z222" s="11">
        <v>58799.306675919201</v>
      </c>
      <c r="AA222" s="11">
        <v>66890.054466782487</v>
      </c>
    </row>
    <row r="223" spans="2:27" x14ac:dyDescent="0.3">
      <c r="B223" s="8" t="s">
        <v>214</v>
      </c>
      <c r="C223" s="11">
        <v>48956.775176088173</v>
      </c>
      <c r="D223" s="11">
        <v>22811.030073979084</v>
      </c>
      <c r="E223" s="11">
        <v>20053.244243253874</v>
      </c>
      <c r="F223" s="11">
        <v>58465.073539375408</v>
      </c>
      <c r="G223" s="11">
        <v>10179.602254340965</v>
      </c>
      <c r="H223" s="11">
        <v>10252.067292556992</v>
      </c>
      <c r="I223" s="11">
        <v>20994.544508625688</v>
      </c>
      <c r="K223" s="8" t="s">
        <v>214</v>
      </c>
      <c r="L223" s="11">
        <v>63475.421300265385</v>
      </c>
      <c r="M223" s="11">
        <v>35304.840874730748</v>
      </c>
      <c r="N223" s="11">
        <v>20312.622442116433</v>
      </c>
      <c r="O223" s="11">
        <v>81074.540514751672</v>
      </c>
      <c r="P223" s="11">
        <v>233.63153726293314</v>
      </c>
      <c r="Q223" s="11">
        <v>3192.5388663363237</v>
      </c>
      <c r="R223" s="11">
        <v>16016.735572169957</v>
      </c>
      <c r="S223" s="65"/>
      <c r="T223" s="8" t="s">
        <v>214</v>
      </c>
      <c r="U223" s="11">
        <v>78210.232925118631</v>
      </c>
      <c r="V223" s="11">
        <v>49561.622344074254</v>
      </c>
      <c r="W223" s="11">
        <v>22445.92777525173</v>
      </c>
      <c r="X223" s="11">
        <v>97103.574651102463</v>
      </c>
      <c r="Y223" s="11">
        <v>381.09748793717608</v>
      </c>
      <c r="Z223" s="11">
        <v>4193.1335671270353</v>
      </c>
      <c r="AA223" s="11">
        <v>17142.031087588406</v>
      </c>
    </row>
    <row r="224" spans="2:27" x14ac:dyDescent="0.3">
      <c r="B224" s="8" t="s">
        <v>215</v>
      </c>
      <c r="C224" s="11">
        <v>10878.469677636127</v>
      </c>
      <c r="D224" s="11">
        <v>1071.8635141537725</v>
      </c>
      <c r="E224" s="11">
        <v>20970.960569668427</v>
      </c>
      <c r="F224" s="11">
        <v>14773.167922841367</v>
      </c>
      <c r="G224" s="11">
        <v>1033.6828870506165</v>
      </c>
      <c r="H224" s="11">
        <v>32245.155932667254</v>
      </c>
      <c r="I224" s="11">
        <v>2460.2165842344516</v>
      </c>
      <c r="K224" s="8" t="s">
        <v>215</v>
      </c>
      <c r="L224" s="11">
        <v>15097.054606189791</v>
      </c>
      <c r="M224" s="11">
        <v>1499.2378345239808</v>
      </c>
      <c r="N224" s="11">
        <v>7237.1772042707471</v>
      </c>
      <c r="O224" s="11">
        <v>18570.271394013816</v>
      </c>
      <c r="P224" s="11">
        <v>997.77235593445675</v>
      </c>
      <c r="Q224" s="11">
        <v>37991.966841962938</v>
      </c>
      <c r="R224" s="11">
        <v>4415.035006149692</v>
      </c>
      <c r="S224" s="65"/>
      <c r="T224" s="8" t="s">
        <v>215</v>
      </c>
      <c r="U224" s="11">
        <v>4070.8828876162061</v>
      </c>
      <c r="V224" s="11">
        <v>35.419972719221917</v>
      </c>
      <c r="W224" s="11">
        <v>14446.30835237575</v>
      </c>
      <c r="X224" s="11">
        <v>16039.711599428592</v>
      </c>
      <c r="Y224" s="11">
        <v>1937.3613090054614</v>
      </c>
      <c r="Z224" s="11">
        <v>18295.21938370253</v>
      </c>
      <c r="AA224" s="11">
        <v>7781.0978393975056</v>
      </c>
    </row>
    <row r="225" spans="2:27" x14ac:dyDescent="0.3">
      <c r="B225" s="8" t="s">
        <v>216</v>
      </c>
      <c r="C225" s="11">
        <v>14214.379025589165</v>
      </c>
      <c r="D225" s="11">
        <v>7193.3644449871736</v>
      </c>
      <c r="E225" s="11">
        <v>38969.143602261291</v>
      </c>
      <c r="F225" s="11">
        <v>9724.3432847078275</v>
      </c>
      <c r="G225" s="11">
        <v>3350.9847409325344</v>
      </c>
      <c r="H225" s="11">
        <v>11339.973334638378</v>
      </c>
      <c r="I225" s="11">
        <v>41702.154304530064</v>
      </c>
      <c r="K225" s="8" t="s">
        <v>216</v>
      </c>
      <c r="L225" s="11">
        <v>2148.2449440744158</v>
      </c>
      <c r="M225" s="11">
        <v>8497.9068190954549</v>
      </c>
      <c r="N225" s="11">
        <v>61535.915829659178</v>
      </c>
      <c r="O225" s="11">
        <v>18110.340946230248</v>
      </c>
      <c r="P225" s="11">
        <v>2368.552606752326</v>
      </c>
      <c r="Q225" s="11">
        <v>15926.36718885271</v>
      </c>
      <c r="R225" s="11">
        <v>6812.0622241885567</v>
      </c>
      <c r="S225" s="65"/>
      <c r="T225" s="8" t="s">
        <v>216</v>
      </c>
      <c r="U225" s="11">
        <v>2582.3249463677907</v>
      </c>
      <c r="V225" s="11">
        <v>14501.133452693366</v>
      </c>
      <c r="W225" s="11">
        <v>66910.036477576781</v>
      </c>
      <c r="X225" s="11">
        <v>24675.025740395886</v>
      </c>
      <c r="Y225" s="11">
        <v>2219.1243829799359</v>
      </c>
      <c r="Z225" s="11">
        <v>22690.617076866853</v>
      </c>
      <c r="AA225" s="11">
        <v>12328.67922201775</v>
      </c>
    </row>
    <row r="226" spans="2:27" x14ac:dyDescent="0.3">
      <c r="B226" s="8" t="s">
        <v>217</v>
      </c>
      <c r="C226" s="65"/>
      <c r="D226" s="65"/>
      <c r="E226" s="65"/>
      <c r="F226" s="65"/>
      <c r="G226" s="65"/>
      <c r="H226" s="65"/>
      <c r="I226" s="65"/>
      <c r="K226" s="8" t="s">
        <v>217</v>
      </c>
      <c r="L226" s="65"/>
      <c r="M226" s="65"/>
      <c r="N226" s="65"/>
      <c r="O226" s="65"/>
      <c r="P226" s="65"/>
      <c r="Q226" s="65"/>
      <c r="R226" s="65"/>
      <c r="S226" s="65"/>
      <c r="T226" s="8" t="s">
        <v>217</v>
      </c>
      <c r="U226" s="65"/>
      <c r="V226" s="65"/>
      <c r="W226" s="65"/>
      <c r="X226" s="65"/>
      <c r="Y226" s="65"/>
      <c r="Z226" s="65"/>
      <c r="AA226" s="65"/>
    </row>
    <row r="227" spans="2:27" x14ac:dyDescent="0.3">
      <c r="B227" s="8" t="s">
        <v>218</v>
      </c>
      <c r="C227" s="65"/>
      <c r="D227" s="65"/>
      <c r="E227" s="65"/>
      <c r="F227" s="65"/>
      <c r="G227" s="65"/>
      <c r="H227" s="65"/>
      <c r="I227" s="65"/>
      <c r="K227" s="8" t="s">
        <v>218</v>
      </c>
      <c r="L227" s="65"/>
      <c r="M227" s="65"/>
      <c r="N227" s="65"/>
      <c r="O227" s="65"/>
      <c r="P227" s="65"/>
      <c r="Q227" s="65"/>
      <c r="R227" s="65"/>
      <c r="S227" s="65"/>
      <c r="T227" s="8" t="s">
        <v>218</v>
      </c>
      <c r="U227" s="65"/>
      <c r="V227" s="65"/>
      <c r="W227" s="65"/>
      <c r="X227" s="65"/>
      <c r="Y227" s="65"/>
      <c r="Z227" s="65"/>
      <c r="AA227" s="65"/>
    </row>
  </sheetData>
  <mergeCells count="1">
    <mergeCell ref="A95:E98"/>
  </mergeCells>
  <phoneticPr fontId="8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9441-08D6-4081-8D82-761A98103CB2}">
  <sheetPr codeName="Sheet3">
    <tabColor theme="5" tint="0.39997558519241921"/>
  </sheetPr>
  <dimension ref="A1:AO2571"/>
  <sheetViews>
    <sheetView zoomScale="54" zoomScaleNormal="55" workbookViewId="0">
      <selection sqref="A1:E4"/>
    </sheetView>
  </sheetViews>
  <sheetFormatPr defaultRowHeight="14.4" x14ac:dyDescent="0.3"/>
  <cols>
    <col min="1" max="1" width="25" style="5" bestFit="1" customWidth="1"/>
    <col min="2" max="2" width="46.88671875" style="65" bestFit="1" customWidth="1"/>
    <col min="3" max="3" width="17" style="65" bestFit="1" customWidth="1"/>
    <col min="4" max="4" width="42.21875" style="65" bestFit="1" customWidth="1"/>
    <col min="5" max="5" width="18.33203125" style="65" bestFit="1" customWidth="1"/>
    <col min="6" max="6" width="36.33203125" style="65" bestFit="1" customWidth="1"/>
    <col min="7" max="7" width="27" style="65" bestFit="1" customWidth="1"/>
    <col min="8" max="8" width="18.21875" style="6" bestFit="1" customWidth="1"/>
    <col min="9" max="9" width="13.77734375" style="65" bestFit="1" customWidth="1"/>
    <col min="10" max="10" width="32.5546875" style="1" bestFit="1" customWidth="1"/>
    <col min="11" max="11" width="42.109375" style="57" bestFit="1" customWidth="1"/>
    <col min="12" max="12" width="42.21875" style="58" bestFit="1" customWidth="1"/>
    <col min="13" max="13" width="45.109375" style="65" bestFit="1" customWidth="1"/>
    <col min="14" max="14" width="6.6640625" style="1" customWidth="1"/>
    <col min="15" max="15" width="47.109375" style="57" bestFit="1" customWidth="1"/>
    <col min="16" max="16" width="7.109375" style="13" bestFit="1" customWidth="1"/>
    <col min="17" max="17" width="11.21875" style="65" bestFit="1" customWidth="1"/>
    <col min="18" max="18" width="31.21875" style="65" bestFit="1" customWidth="1"/>
    <col min="19" max="19" width="6.21875" style="65" bestFit="1" customWidth="1"/>
    <col min="20" max="21" width="6.109375" style="65" bestFit="1" customWidth="1"/>
    <col min="22" max="22" width="25" style="5" bestFit="1" customWidth="1"/>
    <col min="23" max="23" width="46.88671875" style="65" bestFit="1" customWidth="1"/>
    <col min="24" max="24" width="17" style="65" bestFit="1" customWidth="1"/>
    <col min="25" max="25" width="42.21875" style="65" bestFit="1" customWidth="1"/>
    <col min="26" max="26" width="18.33203125" style="65" bestFit="1" customWidth="1"/>
    <col min="27" max="27" width="36.33203125" style="65" bestFit="1" customWidth="1"/>
    <col min="28" max="28" width="27" style="65" bestFit="1" customWidth="1"/>
    <col min="29" max="29" width="18.21875" style="6" bestFit="1" customWidth="1"/>
    <col min="30" max="30" width="13.77734375" style="65" bestFit="1" customWidth="1"/>
    <col min="31" max="31" width="32.5546875" style="1" bestFit="1" customWidth="1"/>
    <col min="32" max="32" width="42.109375" style="57" bestFit="1" customWidth="1"/>
    <col min="33" max="33" width="42.21875" style="58" bestFit="1" customWidth="1"/>
    <col min="34" max="34" width="45.109375" style="65" bestFit="1" customWidth="1"/>
    <col min="35" max="35" width="6.6640625" style="1" customWidth="1"/>
    <col min="36" max="36" width="47.109375" style="57" bestFit="1" customWidth="1"/>
    <col min="37" max="37" width="7.109375" style="13" bestFit="1" customWidth="1"/>
    <col min="38" max="38" width="11.21875" style="65" bestFit="1" customWidth="1"/>
    <col min="39" max="39" width="31.21875" style="65" bestFit="1" customWidth="1"/>
    <col min="40" max="84" width="6.21875" style="65" bestFit="1" customWidth="1"/>
    <col min="85" max="225" width="6.33203125" style="65" bestFit="1" customWidth="1"/>
    <col min="226" max="305" width="6.44140625" style="65" bestFit="1" customWidth="1"/>
    <col min="306" max="318" width="5.77734375" style="65" bestFit="1" customWidth="1"/>
    <col min="319" max="322" width="6.44140625" style="65" bestFit="1" customWidth="1"/>
    <col min="323" max="389" width="5.77734375" style="65" bestFit="1" customWidth="1"/>
    <col min="390" max="406" width="5.44140625" style="65" bestFit="1" customWidth="1"/>
    <col min="407" max="431" width="5.88671875" style="65" bestFit="1" customWidth="1"/>
    <col min="432" max="469" width="6.109375" style="65" bestFit="1" customWidth="1"/>
    <col min="470" max="481" width="6.33203125" style="65" bestFit="1" customWidth="1"/>
    <col min="482" max="617" width="7.109375" style="65" bestFit="1" customWidth="1"/>
    <col min="618" max="632" width="6.77734375" style="65" bestFit="1" customWidth="1"/>
    <col min="633" max="645" width="6.44140625" style="65" bestFit="1" customWidth="1"/>
    <col min="646" max="658" width="6.5546875" style="65" bestFit="1" customWidth="1"/>
    <col min="659" max="669" width="6.33203125" style="65" bestFit="1" customWidth="1"/>
    <col min="670" max="684" width="7.109375" style="65" bestFit="1" customWidth="1"/>
    <col min="685" max="708" width="6.5546875" style="65" bestFit="1" customWidth="1"/>
    <col min="709" max="824" width="6.44140625" style="65" bestFit="1" customWidth="1"/>
    <col min="825" max="825" width="6.109375" style="65" bestFit="1" customWidth="1"/>
    <col min="826" max="839" width="6.21875" style="65" bestFit="1" customWidth="1"/>
    <col min="840" max="870" width="6.33203125" style="65" bestFit="1" customWidth="1"/>
    <col min="871" max="929" width="6.109375" style="65" bestFit="1" customWidth="1"/>
    <col min="930" max="989" width="6.33203125" style="65" bestFit="1" customWidth="1"/>
    <col min="990" max="992" width="6.44140625" style="65" bestFit="1" customWidth="1"/>
    <col min="993" max="1141" width="7" style="65" bestFit="1" customWidth="1"/>
    <col min="1142" max="1230" width="6.33203125" style="65" bestFit="1" customWidth="1"/>
    <col min="1231" max="1240" width="6.77734375" style="65" bestFit="1" customWidth="1"/>
    <col min="1241" max="1241" width="7" style="65" bestFit="1" customWidth="1"/>
    <col min="1242" max="1242" width="10.77734375" style="65" bestFit="1" customWidth="1"/>
    <col min="1243" max="16384" width="8.88671875" style="65"/>
  </cols>
  <sheetData>
    <row r="1" spans="1:41" ht="14.4" customHeight="1" x14ac:dyDescent="0.3">
      <c r="A1" s="387" t="s">
        <v>402</v>
      </c>
      <c r="B1" s="387"/>
      <c r="C1" s="387"/>
      <c r="D1" s="387"/>
      <c r="E1" s="387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V1" s="303"/>
      <c r="W1" s="303"/>
      <c r="X1" s="303"/>
      <c r="Y1" s="303"/>
      <c r="Z1" s="303"/>
      <c r="AA1" s="303"/>
      <c r="AB1" s="303"/>
      <c r="AC1" s="303"/>
      <c r="AD1" s="303"/>
      <c r="AE1" s="303"/>
      <c r="AF1" s="303"/>
      <c r="AG1" s="303"/>
      <c r="AH1" s="303"/>
      <c r="AI1" s="303"/>
      <c r="AJ1" s="303"/>
      <c r="AK1" s="303"/>
      <c r="AL1" s="303"/>
      <c r="AM1" s="303"/>
      <c r="AN1" s="303"/>
      <c r="AO1" s="303"/>
    </row>
    <row r="2" spans="1:41" ht="14.4" customHeight="1" x14ac:dyDescent="0.3">
      <c r="A2" s="387"/>
      <c r="B2" s="387"/>
      <c r="C2" s="387"/>
      <c r="D2" s="387"/>
      <c r="E2" s="387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</row>
    <row r="3" spans="1:41" ht="14.4" customHeight="1" x14ac:dyDescent="0.3">
      <c r="A3" s="387"/>
      <c r="B3" s="387"/>
      <c r="C3" s="387"/>
      <c r="D3" s="387"/>
      <c r="E3" s="387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V3" s="303"/>
      <c r="W3" s="303"/>
      <c r="X3" s="303"/>
      <c r="Y3" s="303"/>
      <c r="Z3" s="303"/>
      <c r="AA3" s="303"/>
      <c r="AB3" s="303"/>
      <c r="AC3" s="303"/>
      <c r="AD3" s="303"/>
      <c r="AE3" s="303"/>
      <c r="AF3" s="303"/>
      <c r="AG3" s="303"/>
      <c r="AH3" s="303"/>
      <c r="AI3" s="303"/>
      <c r="AJ3" s="303"/>
      <c r="AK3" s="303"/>
      <c r="AL3" s="303"/>
      <c r="AM3" s="303"/>
      <c r="AN3" s="303"/>
      <c r="AO3" s="303"/>
    </row>
    <row r="4" spans="1:41" ht="14.4" customHeight="1" x14ac:dyDescent="0.3">
      <c r="A4" s="387"/>
      <c r="B4" s="387"/>
      <c r="C4" s="387"/>
      <c r="D4" s="387"/>
      <c r="E4" s="387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</row>
    <row r="5" spans="1:41" ht="14.4" customHeight="1" x14ac:dyDescent="0.3">
      <c r="A5" s="303"/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303"/>
      <c r="V5" s="303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  <c r="AH5" s="303"/>
      <c r="AI5" s="303"/>
      <c r="AJ5" s="303"/>
      <c r="AK5" s="303"/>
      <c r="AL5" s="303"/>
      <c r="AM5" s="303"/>
      <c r="AN5" s="303"/>
      <c r="AO5" s="303"/>
    </row>
    <row r="6" spans="1:41" x14ac:dyDescent="0.3">
      <c r="J6" s="65"/>
      <c r="K6" s="65"/>
      <c r="L6" s="65"/>
      <c r="O6" s="65"/>
      <c r="P6" s="65"/>
      <c r="AE6" s="65"/>
      <c r="AF6" s="65"/>
      <c r="AG6" s="65"/>
      <c r="AJ6" s="65"/>
      <c r="AK6" s="65"/>
    </row>
    <row r="7" spans="1:41" x14ac:dyDescent="0.3">
      <c r="J7" s="65"/>
      <c r="K7" s="65"/>
      <c r="L7" s="65"/>
      <c r="O7" s="65"/>
      <c r="P7" s="65"/>
      <c r="AE7" s="65"/>
      <c r="AF7" s="65"/>
      <c r="AG7" s="65"/>
      <c r="AJ7" s="65"/>
      <c r="AK7" s="65"/>
    </row>
    <row r="9" spans="1:41" ht="14.4" customHeight="1" x14ac:dyDescent="0.3">
      <c r="A9" s="302"/>
      <c r="B9" s="302"/>
      <c r="C9" s="302"/>
      <c r="D9" s="302"/>
      <c r="E9" s="302"/>
      <c r="F9" s="301"/>
      <c r="G9" s="301"/>
      <c r="J9" s="56"/>
      <c r="K9" s="56"/>
      <c r="L9" s="56"/>
      <c r="M9" s="56"/>
      <c r="O9" s="56"/>
      <c r="P9" s="56"/>
      <c r="Q9" s="56"/>
      <c r="R9" s="56"/>
      <c r="V9" s="302"/>
      <c r="W9" s="302"/>
      <c r="X9" s="302"/>
      <c r="Y9" s="302"/>
      <c r="Z9" s="302"/>
      <c r="AA9" s="301"/>
      <c r="AB9" s="301"/>
      <c r="AE9" s="56"/>
      <c r="AF9" s="56"/>
      <c r="AG9" s="56"/>
      <c r="AH9" s="56"/>
      <c r="AJ9" s="56"/>
      <c r="AK9" s="56"/>
      <c r="AL9" s="56"/>
      <c r="AM9" s="56"/>
    </row>
    <row r="10" spans="1:41" ht="14.4" customHeight="1" x14ac:dyDescent="0.3">
      <c r="A10" s="302"/>
      <c r="B10" s="302"/>
      <c r="C10" s="302"/>
      <c r="D10" s="302"/>
      <c r="E10" s="302"/>
      <c r="F10" s="301"/>
      <c r="G10" s="301"/>
      <c r="H10" s="300"/>
      <c r="J10" s="56"/>
      <c r="K10" s="56"/>
      <c r="L10" s="56"/>
      <c r="M10" s="56"/>
      <c r="N10" s="65"/>
      <c r="O10" s="56"/>
      <c r="P10" s="56"/>
      <c r="Q10" s="56"/>
      <c r="R10" s="56"/>
      <c r="V10" s="302"/>
      <c r="W10" s="302"/>
      <c r="X10" s="302"/>
      <c r="Y10" s="302"/>
      <c r="Z10" s="302"/>
      <c r="AA10" s="301"/>
      <c r="AB10" s="301"/>
      <c r="AC10" s="300"/>
      <c r="AE10" s="56"/>
      <c r="AF10" s="56"/>
      <c r="AG10" s="56"/>
      <c r="AH10" s="56"/>
      <c r="AI10" s="65"/>
      <c r="AJ10" s="56"/>
      <c r="AK10" s="56"/>
      <c r="AL10" s="56"/>
      <c r="AM10" s="56"/>
    </row>
    <row r="11" spans="1:41" x14ac:dyDescent="0.3">
      <c r="A11" s="256" t="s">
        <v>55</v>
      </c>
      <c r="B11" s="256" t="s">
        <v>28</v>
      </c>
      <c r="C11" s="256" t="s">
        <v>10</v>
      </c>
      <c r="D11" s="256" t="s">
        <v>48</v>
      </c>
      <c r="E11" s="256" t="s">
        <v>62</v>
      </c>
      <c r="F11" s="256" t="s">
        <v>78</v>
      </c>
      <c r="G11" s="256" t="s">
        <v>79</v>
      </c>
      <c r="J11" s="256" t="s">
        <v>10</v>
      </c>
      <c r="K11" s="257" t="s">
        <v>28</v>
      </c>
      <c r="L11" s="256" t="s">
        <v>48</v>
      </c>
      <c r="M11" s="256" t="s">
        <v>61</v>
      </c>
      <c r="N11" s="258"/>
      <c r="O11" s="256" t="s">
        <v>28</v>
      </c>
      <c r="P11" s="256" t="s">
        <v>10</v>
      </c>
      <c r="Q11" s="256" t="s">
        <v>48</v>
      </c>
      <c r="R11" s="256" t="s">
        <v>61</v>
      </c>
      <c r="T11" s="256"/>
      <c r="V11" s="256" t="s">
        <v>55</v>
      </c>
      <c r="W11" s="256" t="s">
        <v>28</v>
      </c>
      <c r="X11" s="256" t="s">
        <v>10</v>
      </c>
      <c r="Y11" s="256" t="s">
        <v>48</v>
      </c>
      <c r="Z11" s="256" t="s">
        <v>62</v>
      </c>
      <c r="AA11" s="256" t="s">
        <v>78</v>
      </c>
      <c r="AB11" s="256" t="s">
        <v>79</v>
      </c>
      <c r="AE11" s="256" t="s">
        <v>10</v>
      </c>
      <c r="AF11" s="257" t="s">
        <v>28</v>
      </c>
      <c r="AG11" s="256" t="s">
        <v>48</v>
      </c>
      <c r="AH11" s="256" t="s">
        <v>61</v>
      </c>
      <c r="AI11" s="258"/>
      <c r="AJ11" s="256" t="s">
        <v>28</v>
      </c>
      <c r="AK11" s="256" t="s">
        <v>10</v>
      </c>
      <c r="AL11" s="256" t="s">
        <v>48</v>
      </c>
      <c r="AM11" s="256" t="s">
        <v>61</v>
      </c>
    </row>
    <row r="12" spans="1:41" x14ac:dyDescent="0.3">
      <c r="A12" s="53" t="s">
        <v>325</v>
      </c>
      <c r="B12" s="54" t="s">
        <v>176</v>
      </c>
      <c r="C12" s="65" t="s">
        <v>231</v>
      </c>
      <c r="D12" s="65">
        <f ca="1">INT(RAND()*4)+1</f>
        <v>3</v>
      </c>
      <c r="E12" s="3">
        <f ca="1">RAND()</f>
        <v>0.64289244557566805</v>
      </c>
      <c r="F12" s="6">
        <f ca="1">RAND()*200000</f>
        <v>138303.48347641731</v>
      </c>
      <c r="G12" s="6">
        <f ca="1">RAND()*2000</f>
        <v>571.49284472014017</v>
      </c>
      <c r="I12" s="65" t="s">
        <v>243</v>
      </c>
      <c r="J12" s="65" t="s">
        <v>242</v>
      </c>
      <c r="K12" s="65" t="s">
        <v>159</v>
      </c>
      <c r="L12" s="65">
        <f ca="1">INT(RAND()*4)+1</f>
        <v>1</v>
      </c>
      <c r="M12" s="3">
        <f ca="1">RAND()</f>
        <v>0.27649201028292747</v>
      </c>
      <c r="O12" s="1" t="s">
        <v>183</v>
      </c>
      <c r="P12" s="65" t="s">
        <v>219</v>
      </c>
      <c r="Q12" s="65">
        <f ca="1">INT(RAND()*4)+1</f>
        <v>4</v>
      </c>
      <c r="R12" s="3">
        <f ca="1">RAND()</f>
        <v>0.36222803777945678</v>
      </c>
      <c r="V12" s="53" t="s">
        <v>325</v>
      </c>
      <c r="W12" s="54" t="s">
        <v>176</v>
      </c>
      <c r="X12" s="65" t="s">
        <v>231</v>
      </c>
      <c r="Y12" s="65">
        <f ca="1">INT(RAND()*4)+1</f>
        <v>4</v>
      </c>
      <c r="Z12" s="3">
        <f ca="1">RAND()</f>
        <v>0.25493400028490287</v>
      </c>
      <c r="AA12" s="6">
        <f ca="1">RAND()*200000</f>
        <v>165650.00472800015</v>
      </c>
      <c r="AB12" s="6">
        <f ca="1">RAND()*2000</f>
        <v>279.64276524314346</v>
      </c>
      <c r="AD12" s="65" t="s">
        <v>243</v>
      </c>
      <c r="AE12" s="65" t="s">
        <v>242</v>
      </c>
      <c r="AF12" s="65" t="s">
        <v>159</v>
      </c>
      <c r="AG12" s="65">
        <f ca="1">INT(RAND()*4)+1</f>
        <v>4</v>
      </c>
      <c r="AH12" s="3">
        <f ca="1">RAND()</f>
        <v>0.40692533616199611</v>
      </c>
      <c r="AJ12" s="1" t="s">
        <v>183</v>
      </c>
      <c r="AK12" s="65" t="s">
        <v>219</v>
      </c>
      <c r="AL12" s="65">
        <f ca="1">INT(RAND()*4)+1</f>
        <v>4</v>
      </c>
      <c r="AM12" s="3">
        <f ca="1">RAND()</f>
        <v>0.99735886413710106</v>
      </c>
    </row>
    <row r="13" spans="1:41" x14ac:dyDescent="0.3">
      <c r="A13" s="53" t="s">
        <v>363</v>
      </c>
      <c r="B13" s="54" t="s">
        <v>176</v>
      </c>
      <c r="C13" s="65" t="s">
        <v>231</v>
      </c>
      <c r="D13" s="65">
        <f t="shared" ref="D13:D76" ca="1" si="0">INT(RAND()*4)+1</f>
        <v>2</v>
      </c>
      <c r="E13" s="3">
        <f t="shared" ref="E13:E76" ca="1" si="1">RAND()</f>
        <v>0.87673399894914839</v>
      </c>
      <c r="F13" s="6">
        <f t="shared" ref="F13:F76" ca="1" si="2">RAND()*200000</f>
        <v>62937.755854823306</v>
      </c>
      <c r="G13" s="6">
        <f t="shared" ref="G13:G76" ca="1" si="3">RAND()*2000</f>
        <v>401.03626876293299</v>
      </c>
      <c r="I13" s="65" t="s">
        <v>244</v>
      </c>
      <c r="J13" s="65"/>
      <c r="K13" s="65" t="s">
        <v>175</v>
      </c>
      <c r="L13" s="65">
        <f t="shared" ref="L13:L41" ca="1" si="4">INT(RAND()*4)+1</f>
        <v>1</v>
      </c>
      <c r="M13" s="3">
        <f t="shared" ref="M13:M42" ca="1" si="5">RAND()</f>
        <v>0.17767444891649598</v>
      </c>
      <c r="O13" s="1" t="s">
        <v>198</v>
      </c>
      <c r="P13" s="65" t="s">
        <v>219</v>
      </c>
      <c r="Q13" s="65">
        <f t="shared" ref="Q13:Q76" ca="1" si="6">INT(RAND()*4)+1</f>
        <v>1</v>
      </c>
      <c r="R13" s="3">
        <f t="shared" ref="R13:R76" ca="1" si="7">RAND()</f>
        <v>0.89091952715023959</v>
      </c>
      <c r="V13" s="53" t="s">
        <v>363</v>
      </c>
      <c r="W13" s="54" t="s">
        <v>176</v>
      </c>
      <c r="X13" s="65" t="s">
        <v>231</v>
      </c>
      <c r="Y13" s="65">
        <f t="shared" ref="Y13:Y76" ca="1" si="8">INT(RAND()*4)+1</f>
        <v>4</v>
      </c>
      <c r="Z13" s="3">
        <f t="shared" ref="Z13:Z76" ca="1" si="9">RAND()</f>
        <v>0.92441769140663188</v>
      </c>
      <c r="AA13" s="6">
        <f t="shared" ref="AA13:AA76" ca="1" si="10">RAND()*200000</f>
        <v>33437.012648658929</v>
      </c>
      <c r="AB13" s="6">
        <f t="shared" ref="AB13:AB76" ca="1" si="11">RAND()*2000</f>
        <v>485.13003385352602</v>
      </c>
      <c r="AD13" s="65" t="s">
        <v>244</v>
      </c>
      <c r="AE13" s="65"/>
      <c r="AF13" s="65" t="s">
        <v>175</v>
      </c>
      <c r="AG13" s="65">
        <f t="shared" ref="AG13:AG41" ca="1" si="12">INT(RAND()*4)+1</f>
        <v>3</v>
      </c>
      <c r="AH13" s="3">
        <f t="shared" ref="AH13:AH42" ca="1" si="13">RAND()</f>
        <v>0.80596333591056002</v>
      </c>
      <c r="AJ13" s="1" t="s">
        <v>198</v>
      </c>
      <c r="AK13" s="65" t="s">
        <v>219</v>
      </c>
      <c r="AL13" s="65">
        <f t="shared" ref="AL13:AL76" ca="1" si="14">INT(RAND()*4)+1</f>
        <v>2</v>
      </c>
      <c r="AM13" s="3">
        <f t="shared" ref="AM13:AM76" ca="1" si="15">RAND()</f>
        <v>0.7208227091450945</v>
      </c>
    </row>
    <row r="14" spans="1:41" x14ac:dyDescent="0.3">
      <c r="A14" s="53" t="s">
        <v>327</v>
      </c>
      <c r="B14" s="54" t="s">
        <v>161</v>
      </c>
      <c r="C14" s="65" t="s">
        <v>231</v>
      </c>
      <c r="D14" s="65">
        <f t="shared" ca="1" si="0"/>
        <v>3</v>
      </c>
      <c r="E14" s="3">
        <f t="shared" ca="1" si="1"/>
        <v>0.405415634827197</v>
      </c>
      <c r="F14" s="6">
        <f t="shared" ca="1" si="2"/>
        <v>130298.76330864232</v>
      </c>
      <c r="G14" s="6">
        <f t="shared" ca="1" si="3"/>
        <v>1746.2378270907063</v>
      </c>
      <c r="I14" s="65" t="s">
        <v>245</v>
      </c>
      <c r="J14" s="65"/>
      <c r="K14" s="65" t="s">
        <v>160</v>
      </c>
      <c r="L14" s="65">
        <f t="shared" ca="1" si="4"/>
        <v>2</v>
      </c>
      <c r="M14" s="3">
        <f t="shared" ca="1" si="5"/>
        <v>0.54068935583431998</v>
      </c>
      <c r="O14" s="1" t="s">
        <v>204</v>
      </c>
      <c r="P14" s="65" t="s">
        <v>219</v>
      </c>
      <c r="Q14" s="65">
        <f t="shared" ca="1" si="6"/>
        <v>2</v>
      </c>
      <c r="R14" s="3">
        <f t="shared" ca="1" si="7"/>
        <v>0.6939342903760134</v>
      </c>
      <c r="V14" s="53" t="s">
        <v>327</v>
      </c>
      <c r="W14" s="54" t="s">
        <v>161</v>
      </c>
      <c r="X14" s="65" t="s">
        <v>231</v>
      </c>
      <c r="Y14" s="65">
        <f t="shared" ca="1" si="8"/>
        <v>1</v>
      </c>
      <c r="Z14" s="3">
        <f t="shared" ca="1" si="9"/>
        <v>0.57064392782489259</v>
      </c>
      <c r="AA14" s="6">
        <f t="shared" ca="1" si="10"/>
        <v>127641.93951488778</v>
      </c>
      <c r="AB14" s="6">
        <f t="shared" ca="1" si="11"/>
        <v>1226.2184210272792</v>
      </c>
      <c r="AD14" s="65" t="s">
        <v>245</v>
      </c>
      <c r="AE14" s="65"/>
      <c r="AF14" s="65" t="s">
        <v>160</v>
      </c>
      <c r="AG14" s="65">
        <f t="shared" ca="1" si="12"/>
        <v>2</v>
      </c>
      <c r="AH14" s="3">
        <f t="shared" ca="1" si="13"/>
        <v>0.3096447078286132</v>
      </c>
      <c r="AJ14" s="1" t="s">
        <v>204</v>
      </c>
      <c r="AK14" s="65" t="s">
        <v>219</v>
      </c>
      <c r="AL14" s="65">
        <f t="shared" ca="1" si="14"/>
        <v>1</v>
      </c>
      <c r="AM14" s="3">
        <f t="shared" ca="1" si="15"/>
        <v>6.5066804514588905E-2</v>
      </c>
    </row>
    <row r="15" spans="1:41" x14ac:dyDescent="0.3">
      <c r="A15" s="53" t="s">
        <v>323</v>
      </c>
      <c r="B15" s="54" t="s">
        <v>176</v>
      </c>
      <c r="C15" s="65" t="s">
        <v>231</v>
      </c>
      <c r="D15" s="65">
        <f t="shared" ca="1" si="0"/>
        <v>4</v>
      </c>
      <c r="E15" s="3">
        <f t="shared" ca="1" si="1"/>
        <v>0.66878586503029058</v>
      </c>
      <c r="F15" s="6">
        <f t="shared" ca="1" si="2"/>
        <v>82403.103605840806</v>
      </c>
      <c r="G15" s="6">
        <f t="shared" ca="1" si="3"/>
        <v>370.90839616903025</v>
      </c>
      <c r="I15" s="65" t="s">
        <v>246</v>
      </c>
      <c r="J15" s="65"/>
      <c r="K15" s="65" t="s">
        <v>176</v>
      </c>
      <c r="L15" s="65">
        <f t="shared" ca="1" si="4"/>
        <v>3</v>
      </c>
      <c r="M15" s="3">
        <f t="shared" ca="1" si="5"/>
        <v>0.62931506641328727</v>
      </c>
      <c r="O15" s="1" t="s">
        <v>269</v>
      </c>
      <c r="P15" s="65" t="s">
        <v>219</v>
      </c>
      <c r="Q15" s="65">
        <f t="shared" ca="1" si="6"/>
        <v>1</v>
      </c>
      <c r="R15" s="3">
        <f t="shared" ca="1" si="7"/>
        <v>0.75112436097135404</v>
      </c>
      <c r="V15" s="53" t="s">
        <v>323</v>
      </c>
      <c r="W15" s="54" t="s">
        <v>176</v>
      </c>
      <c r="X15" s="65" t="s">
        <v>231</v>
      </c>
      <c r="Y15" s="65">
        <f t="shared" ca="1" si="8"/>
        <v>2</v>
      </c>
      <c r="Z15" s="3">
        <f t="shared" ca="1" si="9"/>
        <v>7.1825463579886284E-2</v>
      </c>
      <c r="AA15" s="6">
        <f t="shared" ca="1" si="10"/>
        <v>128535.15913566643</v>
      </c>
      <c r="AB15" s="6">
        <f t="shared" ca="1" si="11"/>
        <v>1270.5521208046123</v>
      </c>
      <c r="AD15" s="65" t="s">
        <v>246</v>
      </c>
      <c r="AE15" s="65"/>
      <c r="AF15" s="65" t="s">
        <v>176</v>
      </c>
      <c r="AG15" s="65">
        <f t="shared" ca="1" si="12"/>
        <v>4</v>
      </c>
      <c r="AH15" s="3">
        <f t="shared" ca="1" si="13"/>
        <v>0.55390833094610026</v>
      </c>
      <c r="AJ15" s="1" t="s">
        <v>269</v>
      </c>
      <c r="AK15" s="65" t="s">
        <v>219</v>
      </c>
      <c r="AL15" s="65">
        <f t="shared" ca="1" si="14"/>
        <v>4</v>
      </c>
      <c r="AM15" s="3">
        <f t="shared" ca="1" si="15"/>
        <v>0.78239643008151727</v>
      </c>
    </row>
    <row r="16" spans="1:41" x14ac:dyDescent="0.3">
      <c r="A16" s="53" t="s">
        <v>376</v>
      </c>
      <c r="B16" s="54" t="s">
        <v>176</v>
      </c>
      <c r="C16" s="65" t="s">
        <v>231</v>
      </c>
      <c r="D16" s="65">
        <f t="shared" ca="1" si="0"/>
        <v>1</v>
      </c>
      <c r="E16" s="3">
        <f t="shared" ca="1" si="1"/>
        <v>0.39374494785231895</v>
      </c>
      <c r="F16" s="6">
        <f t="shared" ca="1" si="2"/>
        <v>131523.59078787369</v>
      </c>
      <c r="G16" s="6">
        <f t="shared" ca="1" si="3"/>
        <v>1947.4747318064428</v>
      </c>
      <c r="I16" s="65" t="s">
        <v>247</v>
      </c>
      <c r="J16" s="65"/>
      <c r="K16" s="65" t="s">
        <v>177</v>
      </c>
      <c r="L16" s="65">
        <f t="shared" ca="1" si="4"/>
        <v>4</v>
      </c>
      <c r="M16" s="3">
        <f t="shared" ca="1" si="5"/>
        <v>0.88055353380729151</v>
      </c>
      <c r="O16" s="1" t="s">
        <v>205</v>
      </c>
      <c r="P16" s="65" t="s">
        <v>219</v>
      </c>
      <c r="Q16" s="65">
        <f t="shared" ca="1" si="6"/>
        <v>3</v>
      </c>
      <c r="R16" s="3">
        <f t="shared" ca="1" si="7"/>
        <v>0.31121777457092414</v>
      </c>
      <c r="V16" s="53" t="s">
        <v>376</v>
      </c>
      <c r="W16" s="54" t="s">
        <v>176</v>
      </c>
      <c r="X16" s="65" t="s">
        <v>231</v>
      </c>
      <c r="Y16" s="65">
        <f t="shared" ca="1" si="8"/>
        <v>1</v>
      </c>
      <c r="Z16" s="3">
        <f t="shared" ca="1" si="9"/>
        <v>6.2959756398484168E-2</v>
      </c>
      <c r="AA16" s="6">
        <f t="shared" ca="1" si="10"/>
        <v>160684.47267038393</v>
      </c>
      <c r="AB16" s="6">
        <f t="shared" ca="1" si="11"/>
        <v>72.755673135538331</v>
      </c>
      <c r="AD16" s="65" t="s">
        <v>247</v>
      </c>
      <c r="AE16" s="65"/>
      <c r="AF16" s="65" t="s">
        <v>177</v>
      </c>
      <c r="AG16" s="65">
        <f t="shared" ca="1" si="12"/>
        <v>1</v>
      </c>
      <c r="AH16" s="3">
        <f t="shared" ca="1" si="13"/>
        <v>0.16006679777095834</v>
      </c>
      <c r="AJ16" s="1" t="s">
        <v>205</v>
      </c>
      <c r="AK16" s="65" t="s">
        <v>219</v>
      </c>
      <c r="AL16" s="65">
        <f t="shared" ca="1" si="14"/>
        <v>4</v>
      </c>
      <c r="AM16" s="3">
        <f t="shared" ca="1" si="15"/>
        <v>0.73435321814712673</v>
      </c>
    </row>
    <row r="17" spans="1:39" x14ac:dyDescent="0.3">
      <c r="A17" s="53" t="s">
        <v>338</v>
      </c>
      <c r="B17" s="54" t="s">
        <v>177</v>
      </c>
      <c r="C17" s="65" t="s">
        <v>231</v>
      </c>
      <c r="D17" s="65">
        <f t="shared" ca="1" si="0"/>
        <v>2</v>
      </c>
      <c r="E17" s="3">
        <f t="shared" ca="1" si="1"/>
        <v>0.926656782244213</v>
      </c>
      <c r="F17" s="6">
        <f t="shared" ca="1" si="2"/>
        <v>122574.64854706275</v>
      </c>
      <c r="G17" s="6">
        <f t="shared" ca="1" si="3"/>
        <v>481.3552811832933</v>
      </c>
      <c r="I17" s="65" t="s">
        <v>248</v>
      </c>
      <c r="J17" s="65"/>
      <c r="K17" s="65" t="s">
        <v>161</v>
      </c>
      <c r="L17" s="65">
        <f t="shared" ca="1" si="4"/>
        <v>1</v>
      </c>
      <c r="M17" s="3">
        <f t="shared" ca="1" si="5"/>
        <v>0.93972771160895685</v>
      </c>
      <c r="O17" s="1" t="s">
        <v>207</v>
      </c>
      <c r="P17" s="65" t="s">
        <v>219</v>
      </c>
      <c r="Q17" s="65">
        <f t="shared" ca="1" si="6"/>
        <v>3</v>
      </c>
      <c r="R17" s="3">
        <f t="shared" ca="1" si="7"/>
        <v>0.997295971180158</v>
      </c>
      <c r="V17" s="53" t="s">
        <v>338</v>
      </c>
      <c r="W17" s="54" t="s">
        <v>177</v>
      </c>
      <c r="X17" s="65" t="s">
        <v>231</v>
      </c>
      <c r="Y17" s="65">
        <f t="shared" ca="1" si="8"/>
        <v>4</v>
      </c>
      <c r="Z17" s="3">
        <f t="shared" ca="1" si="9"/>
        <v>0.82559548479219658</v>
      </c>
      <c r="AA17" s="6">
        <f t="shared" ca="1" si="10"/>
        <v>75093.235424705097</v>
      </c>
      <c r="AB17" s="6">
        <f t="shared" ca="1" si="11"/>
        <v>509.20914056428603</v>
      </c>
      <c r="AD17" s="65" t="s">
        <v>248</v>
      </c>
      <c r="AE17" s="65"/>
      <c r="AF17" s="65" t="s">
        <v>161</v>
      </c>
      <c r="AG17" s="65">
        <f t="shared" ca="1" si="12"/>
        <v>4</v>
      </c>
      <c r="AH17" s="3">
        <f t="shared" ca="1" si="13"/>
        <v>0.57543298493077988</v>
      </c>
      <c r="AJ17" s="1" t="s">
        <v>207</v>
      </c>
      <c r="AK17" s="65" t="s">
        <v>219</v>
      </c>
      <c r="AL17" s="65">
        <f t="shared" ca="1" si="14"/>
        <v>4</v>
      </c>
      <c r="AM17" s="3">
        <f t="shared" ca="1" si="15"/>
        <v>0.97508957705861177</v>
      </c>
    </row>
    <row r="18" spans="1:39" x14ac:dyDescent="0.3">
      <c r="A18" s="53" t="s">
        <v>360</v>
      </c>
      <c r="B18" s="54" t="s">
        <v>176</v>
      </c>
      <c r="C18" s="65" t="s">
        <v>231</v>
      </c>
      <c r="D18" s="65">
        <f t="shared" ca="1" si="0"/>
        <v>1</v>
      </c>
      <c r="E18" s="3">
        <f t="shared" ca="1" si="1"/>
        <v>5.9220427568173251E-2</v>
      </c>
      <c r="F18" s="6">
        <f t="shared" ca="1" si="2"/>
        <v>99486.748563036701</v>
      </c>
      <c r="G18" s="6">
        <f t="shared" ca="1" si="3"/>
        <v>553.68789487413994</v>
      </c>
      <c r="I18" s="65" t="s">
        <v>249</v>
      </c>
      <c r="J18" s="65"/>
      <c r="K18" s="65" t="s">
        <v>162</v>
      </c>
      <c r="L18" s="65">
        <f t="shared" ca="1" si="4"/>
        <v>4</v>
      </c>
      <c r="M18" s="3">
        <f t="shared" ca="1" si="5"/>
        <v>0.40722242464947422</v>
      </c>
      <c r="O18" s="1" t="s">
        <v>275</v>
      </c>
      <c r="P18" s="65" t="s">
        <v>219</v>
      </c>
      <c r="Q18" s="65">
        <f t="shared" ca="1" si="6"/>
        <v>4</v>
      </c>
      <c r="R18" s="3">
        <f t="shared" ca="1" si="7"/>
        <v>0.87343109433546684</v>
      </c>
      <c r="V18" s="53" t="s">
        <v>360</v>
      </c>
      <c r="W18" s="54" t="s">
        <v>176</v>
      </c>
      <c r="X18" s="65" t="s">
        <v>231</v>
      </c>
      <c r="Y18" s="65">
        <f t="shared" ca="1" si="8"/>
        <v>2</v>
      </c>
      <c r="Z18" s="3">
        <f t="shared" ca="1" si="9"/>
        <v>0.32419191800085667</v>
      </c>
      <c r="AA18" s="6">
        <f t="shared" ca="1" si="10"/>
        <v>25210.011801288299</v>
      </c>
      <c r="AB18" s="6">
        <f t="shared" ca="1" si="11"/>
        <v>255.60498462946035</v>
      </c>
      <c r="AD18" s="65" t="s">
        <v>249</v>
      </c>
      <c r="AE18" s="65"/>
      <c r="AF18" s="65" t="s">
        <v>162</v>
      </c>
      <c r="AG18" s="65">
        <f t="shared" ca="1" si="12"/>
        <v>1</v>
      </c>
      <c r="AH18" s="3">
        <f t="shared" ca="1" si="13"/>
        <v>0.73547312625711492</v>
      </c>
      <c r="AJ18" s="1" t="s">
        <v>275</v>
      </c>
      <c r="AK18" s="65" t="s">
        <v>219</v>
      </c>
      <c r="AL18" s="65">
        <f t="shared" ca="1" si="14"/>
        <v>4</v>
      </c>
      <c r="AM18" s="3">
        <f t="shared" ca="1" si="15"/>
        <v>0.55740470949172605</v>
      </c>
    </row>
    <row r="19" spans="1:39" x14ac:dyDescent="0.3">
      <c r="A19" s="53" t="s">
        <v>341</v>
      </c>
      <c r="B19" s="54" t="s">
        <v>176</v>
      </c>
      <c r="C19" s="65" t="s">
        <v>231</v>
      </c>
      <c r="D19" s="65">
        <f t="shared" ca="1" si="0"/>
        <v>4</v>
      </c>
      <c r="E19" s="3">
        <f t="shared" ca="1" si="1"/>
        <v>0.1529053489564095</v>
      </c>
      <c r="F19" s="6">
        <f t="shared" ca="1" si="2"/>
        <v>113227.61322707748</v>
      </c>
      <c r="G19" s="6">
        <f t="shared" ca="1" si="3"/>
        <v>851.27098528784347</v>
      </c>
      <c r="I19" s="65" t="s">
        <v>250</v>
      </c>
      <c r="J19" s="65"/>
      <c r="K19" s="65" t="s">
        <v>163</v>
      </c>
      <c r="L19" s="65">
        <f t="shared" ca="1" si="4"/>
        <v>1</v>
      </c>
      <c r="M19" s="3">
        <f t="shared" ca="1" si="5"/>
        <v>0.89075763642538408</v>
      </c>
      <c r="O19" s="1" t="s">
        <v>204</v>
      </c>
      <c r="P19" s="65" t="s">
        <v>219</v>
      </c>
      <c r="Q19" s="65">
        <f t="shared" ca="1" si="6"/>
        <v>1</v>
      </c>
      <c r="R19" s="3">
        <f t="shared" ca="1" si="7"/>
        <v>0.62013819665188585</v>
      </c>
      <c r="V19" s="53" t="s">
        <v>341</v>
      </c>
      <c r="W19" s="54" t="s">
        <v>176</v>
      </c>
      <c r="X19" s="65" t="s">
        <v>231</v>
      </c>
      <c r="Y19" s="65">
        <f t="shared" ca="1" si="8"/>
        <v>3</v>
      </c>
      <c r="Z19" s="3">
        <f t="shared" ca="1" si="9"/>
        <v>0.33533610887755017</v>
      </c>
      <c r="AA19" s="6">
        <f t="shared" ca="1" si="10"/>
        <v>182049.2613264758</v>
      </c>
      <c r="AB19" s="6">
        <f t="shared" ca="1" si="11"/>
        <v>1273.6896165030776</v>
      </c>
      <c r="AD19" s="65" t="s">
        <v>250</v>
      </c>
      <c r="AE19" s="65"/>
      <c r="AF19" s="65" t="s">
        <v>163</v>
      </c>
      <c r="AG19" s="65">
        <f t="shared" ca="1" si="12"/>
        <v>1</v>
      </c>
      <c r="AH19" s="3">
        <f t="shared" ca="1" si="13"/>
        <v>0.83334478844194082</v>
      </c>
      <c r="AJ19" s="1" t="s">
        <v>204</v>
      </c>
      <c r="AK19" s="65" t="s">
        <v>219</v>
      </c>
      <c r="AL19" s="65">
        <f t="shared" ca="1" si="14"/>
        <v>2</v>
      </c>
      <c r="AM19" s="3">
        <f t="shared" ca="1" si="15"/>
        <v>4.2379487371871916E-2</v>
      </c>
    </row>
    <row r="20" spans="1:39" x14ac:dyDescent="0.3">
      <c r="A20" s="53" t="s">
        <v>334</v>
      </c>
      <c r="B20" s="54" t="s">
        <v>177</v>
      </c>
      <c r="C20" s="65" t="s">
        <v>231</v>
      </c>
      <c r="D20" s="65">
        <f t="shared" ca="1" si="0"/>
        <v>3</v>
      </c>
      <c r="E20" s="3">
        <f t="shared" ca="1" si="1"/>
        <v>0.6055435345833724</v>
      </c>
      <c r="F20" s="6">
        <f t="shared" ca="1" si="2"/>
        <v>15732.295679911924</v>
      </c>
      <c r="G20" s="6">
        <f t="shared" ca="1" si="3"/>
        <v>908.6133066262372</v>
      </c>
      <c r="I20" s="65" t="s">
        <v>251</v>
      </c>
      <c r="J20" s="65"/>
      <c r="K20" s="65" t="s">
        <v>164</v>
      </c>
      <c r="L20" s="65">
        <f t="shared" ca="1" si="4"/>
        <v>1</v>
      </c>
      <c r="M20" s="3">
        <f t="shared" ca="1" si="5"/>
        <v>0.52270126608808487</v>
      </c>
      <c r="O20" s="1" t="s">
        <v>206</v>
      </c>
      <c r="P20" s="65" t="s">
        <v>219</v>
      </c>
      <c r="Q20" s="65">
        <f t="shared" ca="1" si="6"/>
        <v>4</v>
      </c>
      <c r="R20" s="3">
        <f t="shared" ca="1" si="7"/>
        <v>0.19399436219994903</v>
      </c>
      <c r="V20" s="53" t="s">
        <v>334</v>
      </c>
      <c r="W20" s="54" t="s">
        <v>177</v>
      </c>
      <c r="X20" s="65" t="s">
        <v>231</v>
      </c>
      <c r="Y20" s="65">
        <f t="shared" ca="1" si="8"/>
        <v>3</v>
      </c>
      <c r="Z20" s="3">
        <f t="shared" ca="1" si="9"/>
        <v>0.95960321727695641</v>
      </c>
      <c r="AA20" s="6">
        <f t="shared" ca="1" si="10"/>
        <v>62954.294339835906</v>
      </c>
      <c r="AB20" s="6">
        <f t="shared" ca="1" si="11"/>
        <v>248.4028125779063</v>
      </c>
      <c r="AD20" s="65" t="s">
        <v>251</v>
      </c>
      <c r="AE20" s="65"/>
      <c r="AF20" s="65" t="s">
        <v>164</v>
      </c>
      <c r="AG20" s="65">
        <f t="shared" ca="1" si="12"/>
        <v>1</v>
      </c>
      <c r="AH20" s="3">
        <f t="shared" ca="1" si="13"/>
        <v>0.34345237186775224</v>
      </c>
      <c r="AJ20" s="1" t="s">
        <v>206</v>
      </c>
      <c r="AK20" s="65" t="s">
        <v>219</v>
      </c>
      <c r="AL20" s="65">
        <f t="shared" ca="1" si="14"/>
        <v>2</v>
      </c>
      <c r="AM20" s="3">
        <f t="shared" ca="1" si="15"/>
        <v>0.35185077476796223</v>
      </c>
    </row>
    <row r="21" spans="1:39" x14ac:dyDescent="0.3">
      <c r="A21" s="53" t="s">
        <v>397</v>
      </c>
      <c r="B21" s="54" t="s">
        <v>176</v>
      </c>
      <c r="C21" s="65" t="s">
        <v>231</v>
      </c>
      <c r="D21" s="65">
        <f t="shared" ca="1" si="0"/>
        <v>2</v>
      </c>
      <c r="E21" s="3">
        <f t="shared" ca="1" si="1"/>
        <v>0.59642133826228017</v>
      </c>
      <c r="F21" s="6">
        <f t="shared" ca="1" si="2"/>
        <v>164997.43237487786</v>
      </c>
      <c r="G21" s="6">
        <f t="shared" ca="1" si="3"/>
        <v>1236.96345035629</v>
      </c>
      <c r="I21" s="65" t="s">
        <v>252</v>
      </c>
      <c r="J21" s="65"/>
      <c r="K21" s="65" t="s">
        <v>178</v>
      </c>
      <c r="L21" s="65">
        <f t="shared" ca="1" si="4"/>
        <v>1</v>
      </c>
      <c r="M21" s="3">
        <f t="shared" ca="1" si="5"/>
        <v>0.48928896971901137</v>
      </c>
      <c r="O21" s="1" t="s">
        <v>192</v>
      </c>
      <c r="P21" s="65" t="s">
        <v>219</v>
      </c>
      <c r="Q21" s="65">
        <f t="shared" ca="1" si="6"/>
        <v>1</v>
      </c>
      <c r="R21" s="3">
        <f t="shared" ca="1" si="7"/>
        <v>0.45096627414882973</v>
      </c>
      <c r="V21" s="53" t="s">
        <v>397</v>
      </c>
      <c r="W21" s="54" t="s">
        <v>176</v>
      </c>
      <c r="X21" s="65" t="s">
        <v>231</v>
      </c>
      <c r="Y21" s="65">
        <f t="shared" ca="1" si="8"/>
        <v>2</v>
      </c>
      <c r="Z21" s="3">
        <f t="shared" ca="1" si="9"/>
        <v>0.90151245493939158</v>
      </c>
      <c r="AA21" s="6">
        <f t="shared" ca="1" si="10"/>
        <v>177105.52194898421</v>
      </c>
      <c r="AB21" s="6">
        <f t="shared" ca="1" si="11"/>
        <v>985.38937391265449</v>
      </c>
      <c r="AD21" s="65" t="s">
        <v>252</v>
      </c>
      <c r="AE21" s="65"/>
      <c r="AF21" s="65" t="s">
        <v>178</v>
      </c>
      <c r="AG21" s="65">
        <f t="shared" ca="1" si="12"/>
        <v>2</v>
      </c>
      <c r="AH21" s="3">
        <f t="shared" ca="1" si="13"/>
        <v>0.75430728499776367</v>
      </c>
      <c r="AJ21" s="1" t="s">
        <v>192</v>
      </c>
      <c r="AK21" s="65" t="s">
        <v>219</v>
      </c>
      <c r="AL21" s="65">
        <f t="shared" ca="1" si="14"/>
        <v>1</v>
      </c>
      <c r="AM21" s="3">
        <f t="shared" ca="1" si="15"/>
        <v>0.78951081000683465</v>
      </c>
    </row>
    <row r="22" spans="1:39" x14ac:dyDescent="0.3">
      <c r="A22" s="53" t="s">
        <v>337</v>
      </c>
      <c r="B22" s="54" t="s">
        <v>176</v>
      </c>
      <c r="C22" s="65" t="s">
        <v>231</v>
      </c>
      <c r="D22" s="65">
        <f t="shared" ca="1" si="0"/>
        <v>2</v>
      </c>
      <c r="E22" s="3">
        <f t="shared" ca="1" si="1"/>
        <v>1.576628544161407E-3</v>
      </c>
      <c r="F22" s="6">
        <f t="shared" ca="1" si="2"/>
        <v>152018.05758506176</v>
      </c>
      <c r="G22" s="6">
        <f t="shared" ca="1" si="3"/>
        <v>969.48782977237659</v>
      </c>
      <c r="I22" s="65" t="s">
        <v>221</v>
      </c>
      <c r="J22" s="65" t="s">
        <v>219</v>
      </c>
      <c r="K22" s="65" t="s">
        <v>165</v>
      </c>
      <c r="L22" s="65">
        <f t="shared" ca="1" si="4"/>
        <v>4</v>
      </c>
      <c r="M22" s="3">
        <f t="shared" ca="1" si="5"/>
        <v>0.4022838238735027</v>
      </c>
      <c r="O22" s="1" t="s">
        <v>207</v>
      </c>
      <c r="P22" s="65" t="s">
        <v>219</v>
      </c>
      <c r="Q22" s="65">
        <f t="shared" ca="1" si="6"/>
        <v>1</v>
      </c>
      <c r="R22" s="3">
        <f t="shared" ca="1" si="7"/>
        <v>0.82456883905811673</v>
      </c>
      <c r="V22" s="53" t="s">
        <v>337</v>
      </c>
      <c r="W22" s="54" t="s">
        <v>176</v>
      </c>
      <c r="X22" s="65" t="s">
        <v>231</v>
      </c>
      <c r="Y22" s="65">
        <f t="shared" ca="1" si="8"/>
        <v>4</v>
      </c>
      <c r="Z22" s="3">
        <f t="shared" ca="1" si="9"/>
        <v>0.25219264462912849</v>
      </c>
      <c r="AA22" s="6">
        <f t="shared" ca="1" si="10"/>
        <v>199791.60665633707</v>
      </c>
      <c r="AB22" s="6">
        <f t="shared" ca="1" si="11"/>
        <v>944.30720963116801</v>
      </c>
      <c r="AD22" s="65" t="s">
        <v>221</v>
      </c>
      <c r="AE22" s="65" t="s">
        <v>219</v>
      </c>
      <c r="AF22" s="65" t="s">
        <v>165</v>
      </c>
      <c r="AG22" s="65">
        <f t="shared" ca="1" si="12"/>
        <v>2</v>
      </c>
      <c r="AH22" s="3">
        <f t="shared" ca="1" si="13"/>
        <v>0.9800915867420702</v>
      </c>
      <c r="AJ22" s="1" t="s">
        <v>207</v>
      </c>
      <c r="AK22" s="65" t="s">
        <v>219</v>
      </c>
      <c r="AL22" s="65">
        <f t="shared" ca="1" si="14"/>
        <v>1</v>
      </c>
      <c r="AM22" s="3">
        <f t="shared" ca="1" si="15"/>
        <v>0.52682710444615544</v>
      </c>
    </row>
    <row r="23" spans="1:39" x14ac:dyDescent="0.3">
      <c r="A23" s="53" t="s">
        <v>355</v>
      </c>
      <c r="B23" s="54" t="s">
        <v>175</v>
      </c>
      <c r="C23" s="65" t="s">
        <v>219</v>
      </c>
      <c r="D23" s="65">
        <f t="shared" ca="1" si="0"/>
        <v>3</v>
      </c>
      <c r="E23" s="3">
        <f t="shared" ca="1" si="1"/>
        <v>0.99899118607257953</v>
      </c>
      <c r="F23" s="6">
        <f t="shared" ca="1" si="2"/>
        <v>125924.76741547656</v>
      </c>
      <c r="G23" s="6">
        <f t="shared" ca="1" si="3"/>
        <v>8.2096892619472062</v>
      </c>
      <c r="I23" s="65" t="s">
        <v>222</v>
      </c>
      <c r="J23" s="65"/>
      <c r="K23" s="65" t="s">
        <v>166</v>
      </c>
      <c r="L23" s="65">
        <f t="shared" ca="1" si="4"/>
        <v>1</v>
      </c>
      <c r="M23" s="3">
        <f t="shared" ca="1" si="5"/>
        <v>0.1904611569519401</v>
      </c>
      <c r="O23" s="1" t="s">
        <v>177</v>
      </c>
      <c r="P23" s="65" t="s">
        <v>231</v>
      </c>
      <c r="Q23" s="65">
        <f t="shared" ca="1" si="6"/>
        <v>3</v>
      </c>
      <c r="R23" s="3">
        <f t="shared" ca="1" si="7"/>
        <v>0.13467616444000452</v>
      </c>
      <c r="V23" s="53" t="s">
        <v>355</v>
      </c>
      <c r="W23" s="54" t="s">
        <v>175</v>
      </c>
      <c r="X23" s="65" t="s">
        <v>219</v>
      </c>
      <c r="Y23" s="65">
        <f t="shared" ca="1" si="8"/>
        <v>4</v>
      </c>
      <c r="Z23" s="3">
        <f t="shared" ca="1" si="9"/>
        <v>0.81893610581660747</v>
      </c>
      <c r="AA23" s="6">
        <f t="shared" ca="1" si="10"/>
        <v>142412.46711596931</v>
      </c>
      <c r="AB23" s="6">
        <f t="shared" ca="1" si="11"/>
        <v>703.5868095379094</v>
      </c>
      <c r="AD23" s="65" t="s">
        <v>222</v>
      </c>
      <c r="AE23" s="65"/>
      <c r="AF23" s="65" t="s">
        <v>166</v>
      </c>
      <c r="AG23" s="65">
        <f t="shared" ca="1" si="12"/>
        <v>3</v>
      </c>
      <c r="AH23" s="3">
        <f t="shared" ca="1" si="13"/>
        <v>0.1091571060957599</v>
      </c>
      <c r="AJ23" s="1" t="s">
        <v>177</v>
      </c>
      <c r="AK23" s="65" t="s">
        <v>231</v>
      </c>
      <c r="AL23" s="65">
        <f t="shared" ca="1" si="14"/>
        <v>4</v>
      </c>
      <c r="AM23" s="3">
        <f t="shared" ca="1" si="15"/>
        <v>0.85914730142718754</v>
      </c>
    </row>
    <row r="24" spans="1:39" x14ac:dyDescent="0.3">
      <c r="A24" s="53" t="s">
        <v>328</v>
      </c>
      <c r="B24" s="54" t="s">
        <v>175</v>
      </c>
      <c r="C24" s="65" t="s">
        <v>219</v>
      </c>
      <c r="D24" s="65">
        <f t="shared" ca="1" si="0"/>
        <v>3</v>
      </c>
      <c r="E24" s="3">
        <f t="shared" ca="1" si="1"/>
        <v>0.44972961481895324</v>
      </c>
      <c r="F24" s="6">
        <f t="shared" ca="1" si="2"/>
        <v>73754.495894987544</v>
      </c>
      <c r="G24" s="6">
        <f t="shared" ca="1" si="3"/>
        <v>1166.3381814114707</v>
      </c>
      <c r="I24" s="65" t="s">
        <v>223</v>
      </c>
      <c r="J24" s="65"/>
      <c r="K24" s="65" t="s">
        <v>167</v>
      </c>
      <c r="L24" s="65">
        <f t="shared" ca="1" si="4"/>
        <v>2</v>
      </c>
      <c r="M24" s="3">
        <f t="shared" ca="1" si="5"/>
        <v>0.74659936717253672</v>
      </c>
      <c r="O24" s="1" t="s">
        <v>201</v>
      </c>
      <c r="P24" s="65" t="s">
        <v>219</v>
      </c>
      <c r="Q24" s="65">
        <f t="shared" ca="1" si="6"/>
        <v>1</v>
      </c>
      <c r="R24" s="3">
        <f t="shared" ca="1" si="7"/>
        <v>0.30557402352944862</v>
      </c>
      <c r="V24" s="53" t="s">
        <v>328</v>
      </c>
      <c r="W24" s="54" t="s">
        <v>175</v>
      </c>
      <c r="X24" s="65" t="s">
        <v>219</v>
      </c>
      <c r="Y24" s="65">
        <f t="shared" ca="1" si="8"/>
        <v>2</v>
      </c>
      <c r="Z24" s="3">
        <f t="shared" ca="1" si="9"/>
        <v>0.9107875762081965</v>
      </c>
      <c r="AA24" s="6">
        <f t="shared" ca="1" si="10"/>
        <v>16056.446854623573</v>
      </c>
      <c r="AB24" s="6">
        <f t="shared" ca="1" si="11"/>
        <v>1385.8799415723438</v>
      </c>
      <c r="AD24" s="65" t="s">
        <v>223</v>
      </c>
      <c r="AE24" s="65"/>
      <c r="AF24" s="65" t="s">
        <v>167</v>
      </c>
      <c r="AG24" s="65">
        <f t="shared" ca="1" si="12"/>
        <v>1</v>
      </c>
      <c r="AH24" s="3">
        <f t="shared" ca="1" si="13"/>
        <v>0.50616602982704184</v>
      </c>
      <c r="AJ24" s="1" t="s">
        <v>201</v>
      </c>
      <c r="AK24" s="65" t="s">
        <v>219</v>
      </c>
      <c r="AL24" s="65">
        <f t="shared" ca="1" si="14"/>
        <v>1</v>
      </c>
      <c r="AM24" s="3">
        <f t="shared" ca="1" si="15"/>
        <v>0.8079028104268734</v>
      </c>
    </row>
    <row r="25" spans="1:39" x14ac:dyDescent="0.3">
      <c r="A25" s="53" t="s">
        <v>318</v>
      </c>
      <c r="B25" s="54" t="s">
        <v>175</v>
      </c>
      <c r="C25" s="65" t="s">
        <v>219</v>
      </c>
      <c r="D25" s="65">
        <f t="shared" ca="1" si="0"/>
        <v>1</v>
      </c>
      <c r="E25" s="3">
        <f t="shared" ca="1" si="1"/>
        <v>2.6922651050140578E-2</v>
      </c>
      <c r="F25" s="6">
        <f t="shared" ca="1" si="2"/>
        <v>135032.36040646434</v>
      </c>
      <c r="G25" s="6">
        <f t="shared" ca="1" si="3"/>
        <v>1988.8934121742116</v>
      </c>
      <c r="I25" s="65" t="s">
        <v>224</v>
      </c>
      <c r="J25" s="65"/>
      <c r="K25" s="65" t="s">
        <v>168</v>
      </c>
      <c r="L25" s="65">
        <f t="shared" ca="1" si="4"/>
        <v>2</v>
      </c>
      <c r="M25" s="3">
        <f t="shared" ca="1" si="5"/>
        <v>0.91734662222504448</v>
      </c>
      <c r="O25" s="1" t="s">
        <v>210</v>
      </c>
      <c r="P25" s="65" t="s">
        <v>219</v>
      </c>
      <c r="Q25" s="65">
        <f t="shared" ca="1" si="6"/>
        <v>2</v>
      </c>
      <c r="R25" s="3">
        <f t="shared" ca="1" si="7"/>
        <v>0.34424242878879396</v>
      </c>
      <c r="V25" s="53" t="s">
        <v>318</v>
      </c>
      <c r="W25" s="54" t="s">
        <v>175</v>
      </c>
      <c r="X25" s="65" t="s">
        <v>219</v>
      </c>
      <c r="Y25" s="65">
        <f t="shared" ca="1" si="8"/>
        <v>1</v>
      </c>
      <c r="Z25" s="3">
        <f t="shared" ca="1" si="9"/>
        <v>0.51836642923005649</v>
      </c>
      <c r="AA25" s="6">
        <f t="shared" ca="1" si="10"/>
        <v>9135.9432377749799</v>
      </c>
      <c r="AB25" s="6">
        <f t="shared" ca="1" si="11"/>
        <v>938.82567879011549</v>
      </c>
      <c r="AD25" s="65" t="s">
        <v>224</v>
      </c>
      <c r="AE25" s="65"/>
      <c r="AF25" s="65" t="s">
        <v>168</v>
      </c>
      <c r="AG25" s="65">
        <f t="shared" ca="1" si="12"/>
        <v>4</v>
      </c>
      <c r="AH25" s="3">
        <f t="shared" ca="1" si="13"/>
        <v>0.10676138174396876</v>
      </c>
      <c r="AJ25" s="1" t="s">
        <v>210</v>
      </c>
      <c r="AK25" s="65" t="s">
        <v>219</v>
      </c>
      <c r="AL25" s="65">
        <f t="shared" ca="1" si="14"/>
        <v>2</v>
      </c>
      <c r="AM25" s="3">
        <f t="shared" ca="1" si="15"/>
        <v>9.6634182970359528E-2</v>
      </c>
    </row>
    <row r="26" spans="1:39" x14ac:dyDescent="0.3">
      <c r="A26" s="53" t="s">
        <v>361</v>
      </c>
      <c r="B26" s="54" t="s">
        <v>175</v>
      </c>
      <c r="C26" s="65" t="s">
        <v>219</v>
      </c>
      <c r="D26" s="65">
        <f t="shared" ca="1" si="0"/>
        <v>4</v>
      </c>
      <c r="E26" s="3">
        <f t="shared" ca="1" si="1"/>
        <v>8.6152221006245977E-3</v>
      </c>
      <c r="F26" s="6">
        <f t="shared" ca="1" si="2"/>
        <v>185624.496921985</v>
      </c>
      <c r="G26" s="6">
        <f t="shared" ca="1" si="3"/>
        <v>1627.3585717592125</v>
      </c>
      <c r="I26" s="65" t="s">
        <v>225</v>
      </c>
      <c r="J26" s="65"/>
      <c r="K26" s="65" t="s">
        <v>169</v>
      </c>
      <c r="L26" s="65">
        <f t="shared" ca="1" si="4"/>
        <v>1</v>
      </c>
      <c r="M26" s="3">
        <f t="shared" ca="1" si="5"/>
        <v>0.732488245669208</v>
      </c>
      <c r="O26" s="1" t="s">
        <v>205</v>
      </c>
      <c r="P26" s="65" t="s">
        <v>219</v>
      </c>
      <c r="Q26" s="65">
        <f t="shared" ca="1" si="6"/>
        <v>1</v>
      </c>
      <c r="R26" s="3">
        <f t="shared" ca="1" si="7"/>
        <v>0.71790796257843104</v>
      </c>
      <c r="V26" s="53" t="s">
        <v>361</v>
      </c>
      <c r="W26" s="54" t="s">
        <v>175</v>
      </c>
      <c r="X26" s="65" t="s">
        <v>219</v>
      </c>
      <c r="Y26" s="65">
        <f t="shared" ca="1" si="8"/>
        <v>2</v>
      </c>
      <c r="Z26" s="3">
        <f t="shared" ca="1" si="9"/>
        <v>0.64378729842073246</v>
      </c>
      <c r="AA26" s="6">
        <f t="shared" ca="1" si="10"/>
        <v>38419.119098468625</v>
      </c>
      <c r="AB26" s="6">
        <f t="shared" ca="1" si="11"/>
        <v>1207.5887416003898</v>
      </c>
      <c r="AD26" s="65" t="s">
        <v>225</v>
      </c>
      <c r="AE26" s="65"/>
      <c r="AF26" s="65" t="s">
        <v>169</v>
      </c>
      <c r="AG26" s="65">
        <f t="shared" ca="1" si="12"/>
        <v>4</v>
      </c>
      <c r="AH26" s="3">
        <f t="shared" ca="1" si="13"/>
        <v>0.11821253633203499</v>
      </c>
      <c r="AJ26" s="1" t="s">
        <v>205</v>
      </c>
      <c r="AK26" s="65" t="s">
        <v>219</v>
      </c>
      <c r="AL26" s="65">
        <f t="shared" ca="1" si="14"/>
        <v>2</v>
      </c>
      <c r="AM26" s="3">
        <f t="shared" ca="1" si="15"/>
        <v>0.15313918073990118</v>
      </c>
    </row>
    <row r="27" spans="1:39" x14ac:dyDescent="0.3">
      <c r="A27" s="53" t="s">
        <v>391</v>
      </c>
      <c r="B27" s="54" t="s">
        <v>160</v>
      </c>
      <c r="C27" s="65" t="s">
        <v>219</v>
      </c>
      <c r="D27" s="65">
        <f t="shared" ca="1" si="0"/>
        <v>3</v>
      </c>
      <c r="E27" s="3">
        <f t="shared" ca="1" si="1"/>
        <v>0.69407478203803519</v>
      </c>
      <c r="F27" s="6">
        <f t="shared" ca="1" si="2"/>
        <v>114606.11667555624</v>
      </c>
      <c r="G27" s="6">
        <f t="shared" ca="1" si="3"/>
        <v>121.92373331867113</v>
      </c>
      <c r="I27" s="65" t="s">
        <v>226</v>
      </c>
      <c r="J27" s="65"/>
      <c r="K27" s="65" t="s">
        <v>179</v>
      </c>
      <c r="L27" s="65">
        <f t="shared" ca="1" si="4"/>
        <v>3</v>
      </c>
      <c r="M27" s="3">
        <f t="shared" ca="1" si="5"/>
        <v>0.81079989498683824</v>
      </c>
      <c r="O27" s="1" t="s">
        <v>200</v>
      </c>
      <c r="P27" s="65" t="s">
        <v>219</v>
      </c>
      <c r="Q27" s="65">
        <f t="shared" ca="1" si="6"/>
        <v>1</v>
      </c>
      <c r="R27" s="3">
        <f t="shared" ca="1" si="7"/>
        <v>0.83753998297455101</v>
      </c>
      <c r="V27" s="53" t="s">
        <v>391</v>
      </c>
      <c r="W27" s="54" t="s">
        <v>160</v>
      </c>
      <c r="X27" s="65" t="s">
        <v>219</v>
      </c>
      <c r="Y27" s="65">
        <f t="shared" ca="1" si="8"/>
        <v>1</v>
      </c>
      <c r="Z27" s="3">
        <f t="shared" ca="1" si="9"/>
        <v>0.90060769992900935</v>
      </c>
      <c r="AA27" s="6">
        <f t="shared" ca="1" si="10"/>
        <v>195275.47497084251</v>
      </c>
      <c r="AB27" s="6">
        <f t="shared" ca="1" si="11"/>
        <v>1586.4729598803897</v>
      </c>
      <c r="AD27" s="65" t="s">
        <v>226</v>
      </c>
      <c r="AE27" s="65"/>
      <c r="AF27" s="65" t="s">
        <v>179</v>
      </c>
      <c r="AG27" s="65">
        <f t="shared" ca="1" si="12"/>
        <v>3</v>
      </c>
      <c r="AH27" s="3">
        <f t="shared" ca="1" si="13"/>
        <v>0.28826636512553039</v>
      </c>
      <c r="AJ27" s="1" t="s">
        <v>200</v>
      </c>
      <c r="AK27" s="65" t="s">
        <v>219</v>
      </c>
      <c r="AL27" s="65">
        <f t="shared" ca="1" si="14"/>
        <v>4</v>
      </c>
      <c r="AM27" s="3">
        <f t="shared" ca="1" si="15"/>
        <v>0.59314088560423706</v>
      </c>
    </row>
    <row r="28" spans="1:39" x14ac:dyDescent="0.3">
      <c r="A28" s="53" t="s">
        <v>343</v>
      </c>
      <c r="B28" s="54" t="s">
        <v>175</v>
      </c>
      <c r="C28" s="65" t="s">
        <v>219</v>
      </c>
      <c r="D28" s="65">
        <f t="shared" ca="1" si="0"/>
        <v>4</v>
      </c>
      <c r="E28" s="3">
        <f t="shared" ca="1" si="1"/>
        <v>0.47490461024386965</v>
      </c>
      <c r="F28" s="6">
        <f t="shared" ca="1" si="2"/>
        <v>176890.3506024591</v>
      </c>
      <c r="G28" s="6">
        <f t="shared" ca="1" si="3"/>
        <v>338.30845441285919</v>
      </c>
      <c r="I28" s="65" t="s">
        <v>227</v>
      </c>
      <c r="J28" s="65"/>
      <c r="K28" s="65" t="s">
        <v>180</v>
      </c>
      <c r="L28" s="65">
        <f t="shared" ca="1" si="4"/>
        <v>3</v>
      </c>
      <c r="M28" s="3">
        <f t="shared" ca="1" si="5"/>
        <v>0.14741502573768506</v>
      </c>
      <c r="O28" s="1" t="s">
        <v>199</v>
      </c>
      <c r="P28" s="65" t="s">
        <v>219</v>
      </c>
      <c r="Q28" s="65">
        <f t="shared" ca="1" si="6"/>
        <v>1</v>
      </c>
      <c r="R28" s="3">
        <f t="shared" ca="1" si="7"/>
        <v>0.41612292176808474</v>
      </c>
      <c r="V28" s="53" t="s">
        <v>343</v>
      </c>
      <c r="W28" s="54" t="s">
        <v>175</v>
      </c>
      <c r="X28" s="65" t="s">
        <v>219</v>
      </c>
      <c r="Y28" s="65">
        <f t="shared" ca="1" si="8"/>
        <v>3</v>
      </c>
      <c r="Z28" s="3">
        <f t="shared" ca="1" si="9"/>
        <v>0.4448144616177051</v>
      </c>
      <c r="AA28" s="6">
        <f t="shared" ca="1" si="10"/>
        <v>177587.98893651736</v>
      </c>
      <c r="AB28" s="6">
        <f t="shared" ca="1" si="11"/>
        <v>181.99866032821643</v>
      </c>
      <c r="AD28" s="65" t="s">
        <v>227</v>
      </c>
      <c r="AE28" s="65"/>
      <c r="AF28" s="65" t="s">
        <v>180</v>
      </c>
      <c r="AG28" s="65">
        <f t="shared" ca="1" si="12"/>
        <v>2</v>
      </c>
      <c r="AH28" s="3">
        <f t="shared" ca="1" si="13"/>
        <v>0.89967953249970389</v>
      </c>
      <c r="AJ28" s="1" t="s">
        <v>199</v>
      </c>
      <c r="AK28" s="65" t="s">
        <v>219</v>
      </c>
      <c r="AL28" s="65">
        <f t="shared" ca="1" si="14"/>
        <v>1</v>
      </c>
      <c r="AM28" s="3">
        <f t="shared" ca="1" si="15"/>
        <v>0.83472755749357064</v>
      </c>
    </row>
    <row r="29" spans="1:39" x14ac:dyDescent="0.3">
      <c r="A29" s="53" t="s">
        <v>389</v>
      </c>
      <c r="B29" s="54" t="s">
        <v>175</v>
      </c>
      <c r="C29" s="65" t="s">
        <v>219</v>
      </c>
      <c r="D29" s="65">
        <f t="shared" ca="1" si="0"/>
        <v>4</v>
      </c>
      <c r="E29" s="3">
        <f t="shared" ca="1" si="1"/>
        <v>0.61791882300335188</v>
      </c>
      <c r="F29" s="6">
        <f t="shared" ca="1" si="2"/>
        <v>36642.167057172359</v>
      </c>
      <c r="G29" s="6">
        <f t="shared" ca="1" si="3"/>
        <v>1422.5684348995401</v>
      </c>
      <c r="I29" s="65" t="s">
        <v>228</v>
      </c>
      <c r="J29" s="65"/>
      <c r="K29" s="65" t="s">
        <v>181</v>
      </c>
      <c r="L29" s="65">
        <f t="shared" ca="1" si="4"/>
        <v>4</v>
      </c>
      <c r="M29" s="3">
        <f t="shared" ca="1" si="5"/>
        <v>0.25599745198263468</v>
      </c>
      <c r="O29" s="1" t="s">
        <v>188</v>
      </c>
      <c r="P29" s="65" t="s">
        <v>219</v>
      </c>
      <c r="Q29" s="65">
        <f t="shared" ca="1" si="6"/>
        <v>2</v>
      </c>
      <c r="R29" s="3">
        <f t="shared" ca="1" si="7"/>
        <v>0.43415479979373028</v>
      </c>
      <c r="V29" s="53" t="s">
        <v>389</v>
      </c>
      <c r="W29" s="54" t="s">
        <v>175</v>
      </c>
      <c r="X29" s="65" t="s">
        <v>219</v>
      </c>
      <c r="Y29" s="65">
        <f t="shared" ca="1" si="8"/>
        <v>1</v>
      </c>
      <c r="Z29" s="3">
        <f t="shared" ca="1" si="9"/>
        <v>0.50060695458175464</v>
      </c>
      <c r="AA29" s="6">
        <f t="shared" ca="1" si="10"/>
        <v>39697.088914168147</v>
      </c>
      <c r="AB29" s="6">
        <f t="shared" ca="1" si="11"/>
        <v>1016.1596058015081</v>
      </c>
      <c r="AD29" s="65" t="s">
        <v>228</v>
      </c>
      <c r="AE29" s="65"/>
      <c r="AF29" s="65" t="s">
        <v>181</v>
      </c>
      <c r="AG29" s="65">
        <f t="shared" ca="1" si="12"/>
        <v>2</v>
      </c>
      <c r="AH29" s="3">
        <f t="shared" ca="1" si="13"/>
        <v>0.47239271892260237</v>
      </c>
      <c r="AJ29" s="1" t="s">
        <v>188</v>
      </c>
      <c r="AK29" s="65" t="s">
        <v>219</v>
      </c>
      <c r="AL29" s="65">
        <f t="shared" ca="1" si="14"/>
        <v>1</v>
      </c>
      <c r="AM29" s="3">
        <f t="shared" ca="1" si="15"/>
        <v>0.28639275383238727</v>
      </c>
    </row>
    <row r="30" spans="1:39" x14ac:dyDescent="0.3">
      <c r="A30" s="53" t="s">
        <v>358</v>
      </c>
      <c r="B30" s="54" t="s">
        <v>175</v>
      </c>
      <c r="C30" s="65" t="s">
        <v>219</v>
      </c>
      <c r="D30" s="65">
        <f t="shared" ca="1" si="0"/>
        <v>2</v>
      </c>
      <c r="E30" s="3">
        <f t="shared" ca="1" si="1"/>
        <v>3.6078171936485992E-2</v>
      </c>
      <c r="F30" s="6">
        <f t="shared" ca="1" si="2"/>
        <v>164108.72494495753</v>
      </c>
      <c r="G30" s="6">
        <f t="shared" ca="1" si="3"/>
        <v>1060.1578753794174</v>
      </c>
      <c r="I30" s="65" t="s">
        <v>229</v>
      </c>
      <c r="J30" s="65"/>
      <c r="K30" s="65" t="s">
        <v>170</v>
      </c>
      <c r="L30" s="65">
        <f t="shared" ca="1" si="4"/>
        <v>2</v>
      </c>
      <c r="M30" s="3">
        <f t="shared" ca="1" si="5"/>
        <v>0.59296407483652347</v>
      </c>
      <c r="O30" s="1" t="s">
        <v>201</v>
      </c>
      <c r="P30" s="65" t="s">
        <v>242</v>
      </c>
      <c r="Q30" s="65">
        <f t="shared" ca="1" si="6"/>
        <v>4</v>
      </c>
      <c r="R30" s="3">
        <f t="shared" ca="1" si="7"/>
        <v>0.45895183508683857</v>
      </c>
      <c r="V30" s="53" t="s">
        <v>358</v>
      </c>
      <c r="W30" s="54" t="s">
        <v>175</v>
      </c>
      <c r="X30" s="65" t="s">
        <v>219</v>
      </c>
      <c r="Y30" s="65">
        <f t="shared" ca="1" si="8"/>
        <v>2</v>
      </c>
      <c r="Z30" s="3">
        <f t="shared" ca="1" si="9"/>
        <v>0.7380617215746722</v>
      </c>
      <c r="AA30" s="6">
        <f t="shared" ca="1" si="10"/>
        <v>120586.7925660082</v>
      </c>
      <c r="AB30" s="6">
        <f t="shared" ca="1" si="11"/>
        <v>1781.3950837472626</v>
      </c>
      <c r="AD30" s="65" t="s">
        <v>229</v>
      </c>
      <c r="AE30" s="65"/>
      <c r="AF30" s="65" t="s">
        <v>170</v>
      </c>
      <c r="AG30" s="65">
        <f t="shared" ca="1" si="12"/>
        <v>2</v>
      </c>
      <c r="AH30" s="3">
        <f t="shared" ca="1" si="13"/>
        <v>0.24971621521332388</v>
      </c>
      <c r="AJ30" s="1" t="s">
        <v>201</v>
      </c>
      <c r="AK30" s="65" t="s">
        <v>242</v>
      </c>
      <c r="AL30" s="65">
        <f t="shared" ca="1" si="14"/>
        <v>1</v>
      </c>
      <c r="AM30" s="3">
        <f t="shared" ca="1" si="15"/>
        <v>0.31554205235850008</v>
      </c>
    </row>
    <row r="31" spans="1:39" x14ac:dyDescent="0.3">
      <c r="A31" s="53" t="s">
        <v>298</v>
      </c>
      <c r="B31" s="54" t="s">
        <v>160</v>
      </c>
      <c r="C31" s="65" t="s">
        <v>219</v>
      </c>
      <c r="D31" s="65">
        <f t="shared" ca="1" si="0"/>
        <v>1</v>
      </c>
      <c r="E31" s="3">
        <f t="shared" ca="1" si="1"/>
        <v>0.997265497759245</v>
      </c>
      <c r="F31" s="6">
        <f t="shared" ca="1" si="2"/>
        <v>63372.903908266133</v>
      </c>
      <c r="G31" s="6">
        <f t="shared" ca="1" si="3"/>
        <v>226.47623627104795</v>
      </c>
      <c r="I31" s="65" t="s">
        <v>230</v>
      </c>
      <c r="J31" s="65"/>
      <c r="K31" s="65" t="s">
        <v>171</v>
      </c>
      <c r="L31" s="65">
        <f t="shared" ca="1" si="4"/>
        <v>2</v>
      </c>
      <c r="M31" s="3">
        <f t="shared" ca="1" si="5"/>
        <v>0.83424284469445831</v>
      </c>
      <c r="O31" s="1" t="s">
        <v>203</v>
      </c>
      <c r="P31" s="65" t="s">
        <v>219</v>
      </c>
      <c r="Q31" s="65">
        <f t="shared" ca="1" si="6"/>
        <v>2</v>
      </c>
      <c r="R31" s="3">
        <f t="shared" ca="1" si="7"/>
        <v>0.50108149003782099</v>
      </c>
      <c r="V31" s="53" t="s">
        <v>298</v>
      </c>
      <c r="W31" s="54" t="s">
        <v>160</v>
      </c>
      <c r="X31" s="65" t="s">
        <v>219</v>
      </c>
      <c r="Y31" s="65">
        <f t="shared" ca="1" si="8"/>
        <v>2</v>
      </c>
      <c r="Z31" s="3">
        <f t="shared" ca="1" si="9"/>
        <v>0.37678812864347844</v>
      </c>
      <c r="AA31" s="6">
        <f t="shared" ca="1" si="10"/>
        <v>16152.104993789319</v>
      </c>
      <c r="AB31" s="6">
        <f t="shared" ca="1" si="11"/>
        <v>1842.1777055268419</v>
      </c>
      <c r="AD31" s="65" t="s">
        <v>230</v>
      </c>
      <c r="AE31" s="65"/>
      <c r="AF31" s="65" t="s">
        <v>171</v>
      </c>
      <c r="AG31" s="65">
        <f t="shared" ca="1" si="12"/>
        <v>4</v>
      </c>
      <c r="AH31" s="3">
        <f t="shared" ca="1" si="13"/>
        <v>0.27695726531320874</v>
      </c>
      <c r="AJ31" s="1" t="s">
        <v>203</v>
      </c>
      <c r="AK31" s="65" t="s">
        <v>219</v>
      </c>
      <c r="AL31" s="65">
        <f t="shared" ca="1" si="14"/>
        <v>3</v>
      </c>
      <c r="AM31" s="3">
        <f t="shared" ca="1" si="15"/>
        <v>0.13135165585276765</v>
      </c>
    </row>
    <row r="32" spans="1:39" x14ac:dyDescent="0.3">
      <c r="A32" s="53" t="s">
        <v>357</v>
      </c>
      <c r="B32" s="54" t="s">
        <v>159</v>
      </c>
      <c r="C32" s="65" t="s">
        <v>219</v>
      </c>
      <c r="D32" s="65">
        <f t="shared" ca="1" si="0"/>
        <v>3</v>
      </c>
      <c r="E32" s="3">
        <f t="shared" ca="1" si="1"/>
        <v>0.20832242476719121</v>
      </c>
      <c r="F32" s="6">
        <f t="shared" ca="1" si="2"/>
        <v>59565.963484311491</v>
      </c>
      <c r="G32" s="6">
        <f t="shared" ca="1" si="3"/>
        <v>1987.0895669837971</v>
      </c>
      <c r="I32" s="65" t="s">
        <v>232</v>
      </c>
      <c r="J32" s="65" t="s">
        <v>231</v>
      </c>
      <c r="K32" s="65" t="s">
        <v>172</v>
      </c>
      <c r="L32" s="65">
        <f t="shared" ca="1" si="4"/>
        <v>3</v>
      </c>
      <c r="M32" s="3">
        <f t="shared" ca="1" si="5"/>
        <v>6.6190395293039272E-2</v>
      </c>
      <c r="O32" s="1" t="s">
        <v>161</v>
      </c>
      <c r="P32" s="65" t="s">
        <v>231</v>
      </c>
      <c r="Q32" s="65">
        <f t="shared" ca="1" si="6"/>
        <v>3</v>
      </c>
      <c r="R32" s="3">
        <f t="shared" ca="1" si="7"/>
        <v>0.28701906876889749</v>
      </c>
      <c r="V32" s="53" t="s">
        <v>357</v>
      </c>
      <c r="W32" s="54" t="s">
        <v>159</v>
      </c>
      <c r="X32" s="65" t="s">
        <v>219</v>
      </c>
      <c r="Y32" s="65">
        <f t="shared" ca="1" si="8"/>
        <v>1</v>
      </c>
      <c r="Z32" s="3">
        <f t="shared" ca="1" si="9"/>
        <v>0.16121214228392233</v>
      </c>
      <c r="AA32" s="6">
        <f t="shared" ca="1" si="10"/>
        <v>113476.54922919488</v>
      </c>
      <c r="AB32" s="6">
        <f t="shared" ca="1" si="11"/>
        <v>410.98542363938594</v>
      </c>
      <c r="AD32" s="65" t="s">
        <v>232</v>
      </c>
      <c r="AE32" s="65" t="s">
        <v>231</v>
      </c>
      <c r="AF32" s="65" t="s">
        <v>172</v>
      </c>
      <c r="AG32" s="65">
        <f t="shared" ca="1" si="12"/>
        <v>3</v>
      </c>
      <c r="AH32" s="3">
        <f t="shared" ca="1" si="13"/>
        <v>0.27024178649373576</v>
      </c>
      <c r="AJ32" s="1" t="s">
        <v>161</v>
      </c>
      <c r="AK32" s="65" t="s">
        <v>231</v>
      </c>
      <c r="AL32" s="65">
        <f t="shared" ca="1" si="14"/>
        <v>3</v>
      </c>
      <c r="AM32" s="3">
        <f t="shared" ca="1" si="15"/>
        <v>0.33565045055159404</v>
      </c>
    </row>
    <row r="33" spans="1:39" x14ac:dyDescent="0.3">
      <c r="A33" s="53" t="s">
        <v>320</v>
      </c>
      <c r="B33" s="54" t="s">
        <v>159</v>
      </c>
      <c r="C33" s="65" t="s">
        <v>219</v>
      </c>
      <c r="D33" s="65">
        <f t="shared" ca="1" si="0"/>
        <v>2</v>
      </c>
      <c r="E33" s="3">
        <f t="shared" ca="1" si="1"/>
        <v>9.1706252659951359E-2</v>
      </c>
      <c r="F33" s="6">
        <f t="shared" ca="1" si="2"/>
        <v>177437.64628380994</v>
      </c>
      <c r="G33" s="6">
        <f t="shared" ca="1" si="3"/>
        <v>431.04239373475764</v>
      </c>
      <c r="I33" s="65" t="s">
        <v>233</v>
      </c>
      <c r="J33" s="65"/>
      <c r="K33" s="65" t="s">
        <v>173</v>
      </c>
      <c r="L33" s="65">
        <f t="shared" ca="1" si="4"/>
        <v>1</v>
      </c>
      <c r="M33" s="3">
        <f t="shared" ca="1" si="5"/>
        <v>5.4529100214136816E-3</v>
      </c>
      <c r="O33" s="1" t="s">
        <v>193</v>
      </c>
      <c r="P33" s="65" t="s">
        <v>219</v>
      </c>
      <c r="Q33" s="65">
        <f t="shared" ca="1" si="6"/>
        <v>2</v>
      </c>
      <c r="R33" s="3">
        <f t="shared" ca="1" si="7"/>
        <v>0.13209075402249704</v>
      </c>
      <c r="V33" s="53" t="s">
        <v>320</v>
      </c>
      <c r="W33" s="54" t="s">
        <v>159</v>
      </c>
      <c r="X33" s="65" t="s">
        <v>219</v>
      </c>
      <c r="Y33" s="65">
        <f t="shared" ca="1" si="8"/>
        <v>2</v>
      </c>
      <c r="Z33" s="3">
        <f t="shared" ca="1" si="9"/>
        <v>0.83266754054925451</v>
      </c>
      <c r="AA33" s="6">
        <f t="shared" ca="1" si="10"/>
        <v>29586.713267054933</v>
      </c>
      <c r="AB33" s="6">
        <f t="shared" ca="1" si="11"/>
        <v>1016.9295101135818</v>
      </c>
      <c r="AD33" s="65" t="s">
        <v>233</v>
      </c>
      <c r="AE33" s="65"/>
      <c r="AF33" s="65" t="s">
        <v>173</v>
      </c>
      <c r="AG33" s="65">
        <f t="shared" ca="1" si="12"/>
        <v>2</v>
      </c>
      <c r="AH33" s="3">
        <f t="shared" ca="1" si="13"/>
        <v>2.9545098504097367E-2</v>
      </c>
      <c r="AJ33" s="1" t="s">
        <v>193</v>
      </c>
      <c r="AK33" s="65" t="s">
        <v>219</v>
      </c>
      <c r="AL33" s="65">
        <f t="shared" ca="1" si="14"/>
        <v>2</v>
      </c>
      <c r="AM33" s="3">
        <f t="shared" ca="1" si="15"/>
        <v>0.36055693824451851</v>
      </c>
    </row>
    <row r="34" spans="1:39" x14ac:dyDescent="0.3">
      <c r="A34" s="53" t="s">
        <v>312</v>
      </c>
      <c r="B34" s="54" t="s">
        <v>159</v>
      </c>
      <c r="C34" s="65" t="s">
        <v>219</v>
      </c>
      <c r="D34" s="65">
        <f t="shared" ca="1" si="0"/>
        <v>4</v>
      </c>
      <c r="E34" s="3">
        <f t="shared" ca="1" si="1"/>
        <v>0.68531782881009273</v>
      </c>
      <c r="F34" s="6">
        <f t="shared" ca="1" si="2"/>
        <v>7743.5132151601583</v>
      </c>
      <c r="G34" s="6">
        <f t="shared" ca="1" si="3"/>
        <v>413.58597920560936</v>
      </c>
      <c r="I34" s="65" t="s">
        <v>234</v>
      </c>
      <c r="J34" s="65"/>
      <c r="K34" s="65" t="s">
        <v>174</v>
      </c>
      <c r="L34" s="65">
        <f t="shared" ca="1" si="4"/>
        <v>3</v>
      </c>
      <c r="M34" s="3">
        <f t="shared" ca="1" si="5"/>
        <v>0.30019699825844526</v>
      </c>
      <c r="O34" s="1" t="s">
        <v>163</v>
      </c>
      <c r="P34" s="65" t="s">
        <v>242</v>
      </c>
      <c r="Q34" s="65">
        <f t="shared" ca="1" si="6"/>
        <v>2</v>
      </c>
      <c r="R34" s="3">
        <f t="shared" ca="1" si="7"/>
        <v>0.44530474751829074</v>
      </c>
      <c r="V34" s="53" t="s">
        <v>312</v>
      </c>
      <c r="W34" s="54" t="s">
        <v>159</v>
      </c>
      <c r="X34" s="65" t="s">
        <v>219</v>
      </c>
      <c r="Y34" s="65">
        <f t="shared" ca="1" si="8"/>
        <v>1</v>
      </c>
      <c r="Z34" s="3">
        <f t="shared" ca="1" si="9"/>
        <v>0.79835277393324533</v>
      </c>
      <c r="AA34" s="6">
        <f t="shared" ca="1" si="10"/>
        <v>193604.50047535659</v>
      </c>
      <c r="AB34" s="6">
        <f t="shared" ca="1" si="11"/>
        <v>1267.4079951094923</v>
      </c>
      <c r="AD34" s="65" t="s">
        <v>234</v>
      </c>
      <c r="AE34" s="65"/>
      <c r="AF34" s="65" t="s">
        <v>174</v>
      </c>
      <c r="AG34" s="65">
        <f t="shared" ca="1" si="12"/>
        <v>2</v>
      </c>
      <c r="AH34" s="3">
        <f t="shared" ca="1" si="13"/>
        <v>6.7333379381686931E-2</v>
      </c>
      <c r="AJ34" s="1" t="s">
        <v>163</v>
      </c>
      <c r="AK34" s="65" t="s">
        <v>242</v>
      </c>
      <c r="AL34" s="65">
        <f t="shared" ca="1" si="14"/>
        <v>3</v>
      </c>
      <c r="AM34" s="3">
        <f t="shared" ca="1" si="15"/>
        <v>0.48374925735745933</v>
      </c>
    </row>
    <row r="35" spans="1:39" x14ac:dyDescent="0.3">
      <c r="A35" s="53" t="s">
        <v>304</v>
      </c>
      <c r="B35" s="54" t="s">
        <v>159</v>
      </c>
      <c r="C35" s="65" t="s">
        <v>219</v>
      </c>
      <c r="D35" s="65">
        <f t="shared" ca="1" si="0"/>
        <v>1</v>
      </c>
      <c r="E35" s="3">
        <f t="shared" ca="1" si="1"/>
        <v>0.39219914169253656</v>
      </c>
      <c r="F35" s="6">
        <f t="shared" ca="1" si="2"/>
        <v>29075.943638994704</v>
      </c>
      <c r="G35" s="6">
        <f t="shared" ca="1" si="3"/>
        <v>454.11605478893534</v>
      </c>
      <c r="I35" s="65" t="s">
        <v>235</v>
      </c>
      <c r="J35" s="65"/>
      <c r="K35" s="65" t="s">
        <v>182</v>
      </c>
      <c r="L35" s="65">
        <f t="shared" ca="1" si="4"/>
        <v>2</v>
      </c>
      <c r="M35" s="3">
        <f t="shared" ca="1" si="5"/>
        <v>0.16159877467913819</v>
      </c>
      <c r="O35" s="1" t="s">
        <v>175</v>
      </c>
      <c r="P35" s="65" t="s">
        <v>219</v>
      </c>
      <c r="Q35" s="65">
        <f t="shared" ca="1" si="6"/>
        <v>1</v>
      </c>
      <c r="R35" s="3">
        <f t="shared" ca="1" si="7"/>
        <v>0.57649665151335161</v>
      </c>
      <c r="V35" s="53" t="s">
        <v>304</v>
      </c>
      <c r="W35" s="54" t="s">
        <v>159</v>
      </c>
      <c r="X35" s="65" t="s">
        <v>219</v>
      </c>
      <c r="Y35" s="65">
        <f t="shared" ca="1" si="8"/>
        <v>3</v>
      </c>
      <c r="Z35" s="3">
        <f t="shared" ca="1" si="9"/>
        <v>0.30918176870377667</v>
      </c>
      <c r="AA35" s="6">
        <f t="shared" ca="1" si="10"/>
        <v>34458.537953712723</v>
      </c>
      <c r="AB35" s="6">
        <f t="shared" ca="1" si="11"/>
        <v>1810.5494526404379</v>
      </c>
      <c r="AD35" s="65" t="s">
        <v>235</v>
      </c>
      <c r="AE35" s="65"/>
      <c r="AF35" s="65" t="s">
        <v>182</v>
      </c>
      <c r="AG35" s="65">
        <f t="shared" ca="1" si="12"/>
        <v>4</v>
      </c>
      <c r="AH35" s="3">
        <f t="shared" ca="1" si="13"/>
        <v>6.9772496961744146E-3</v>
      </c>
      <c r="AJ35" s="1" t="s">
        <v>175</v>
      </c>
      <c r="AK35" s="65" t="s">
        <v>219</v>
      </c>
      <c r="AL35" s="65">
        <f t="shared" ca="1" si="14"/>
        <v>4</v>
      </c>
      <c r="AM35" s="3">
        <f t="shared" ca="1" si="15"/>
        <v>0.42633245836965417</v>
      </c>
    </row>
    <row r="36" spans="1:39" x14ac:dyDescent="0.3">
      <c r="A36" s="53" t="s">
        <v>316</v>
      </c>
      <c r="B36" s="54" t="s">
        <v>159</v>
      </c>
      <c r="C36" s="65" t="s">
        <v>219</v>
      </c>
      <c r="D36" s="65">
        <f t="shared" ca="1" si="0"/>
        <v>2</v>
      </c>
      <c r="E36" s="3">
        <f t="shared" ca="1" si="1"/>
        <v>1.9806499692718305E-3</v>
      </c>
      <c r="F36" s="6">
        <f t="shared" ca="1" si="2"/>
        <v>138591.31340452802</v>
      </c>
      <c r="G36" s="6">
        <f t="shared" ca="1" si="3"/>
        <v>1799.8296331340969</v>
      </c>
      <c r="I36" s="65" t="s">
        <v>236</v>
      </c>
      <c r="J36" s="65"/>
      <c r="K36" s="65" t="s">
        <v>183</v>
      </c>
      <c r="L36" s="65">
        <f t="shared" ca="1" si="4"/>
        <v>3</v>
      </c>
      <c r="M36" s="3">
        <f t="shared" ca="1" si="5"/>
        <v>0.39649143261544018</v>
      </c>
      <c r="O36" s="1" t="s">
        <v>277</v>
      </c>
      <c r="P36" s="65" t="s">
        <v>219</v>
      </c>
      <c r="Q36" s="65">
        <f t="shared" ca="1" si="6"/>
        <v>3</v>
      </c>
      <c r="R36" s="3">
        <f t="shared" ca="1" si="7"/>
        <v>0.85076704181312113</v>
      </c>
      <c r="V36" s="53" t="s">
        <v>316</v>
      </c>
      <c r="W36" s="54" t="s">
        <v>159</v>
      </c>
      <c r="X36" s="65" t="s">
        <v>219</v>
      </c>
      <c r="Y36" s="65">
        <f t="shared" ca="1" si="8"/>
        <v>1</v>
      </c>
      <c r="Z36" s="3">
        <f t="shared" ca="1" si="9"/>
        <v>0.67656549008050548</v>
      </c>
      <c r="AA36" s="6">
        <f t="shared" ca="1" si="10"/>
        <v>89922.774221642569</v>
      </c>
      <c r="AB36" s="6">
        <f t="shared" ca="1" si="11"/>
        <v>1872.9705063040301</v>
      </c>
      <c r="AD36" s="65" t="s">
        <v>236</v>
      </c>
      <c r="AE36" s="65"/>
      <c r="AF36" s="65" t="s">
        <v>183</v>
      </c>
      <c r="AG36" s="65">
        <f t="shared" ca="1" si="12"/>
        <v>4</v>
      </c>
      <c r="AH36" s="3">
        <f t="shared" ca="1" si="13"/>
        <v>0.46100680380209413</v>
      </c>
      <c r="AJ36" s="1" t="s">
        <v>277</v>
      </c>
      <c r="AK36" s="65" t="s">
        <v>219</v>
      </c>
      <c r="AL36" s="65">
        <f t="shared" ca="1" si="14"/>
        <v>3</v>
      </c>
      <c r="AM36" s="3">
        <f t="shared" ca="1" si="15"/>
        <v>0.62906852437387717</v>
      </c>
    </row>
    <row r="37" spans="1:39" x14ac:dyDescent="0.3">
      <c r="A37" s="53" t="s">
        <v>300</v>
      </c>
      <c r="B37" s="54" t="s">
        <v>175</v>
      </c>
      <c r="C37" s="65" t="s">
        <v>219</v>
      </c>
      <c r="D37" s="65">
        <f t="shared" ca="1" si="0"/>
        <v>2</v>
      </c>
      <c r="E37" s="3">
        <f t="shared" ca="1" si="1"/>
        <v>0.85157141918045021</v>
      </c>
      <c r="F37" s="6">
        <f t="shared" ca="1" si="2"/>
        <v>72395.845780671647</v>
      </c>
      <c r="G37" s="6">
        <f t="shared" ca="1" si="3"/>
        <v>1412.7557269862568</v>
      </c>
      <c r="I37" s="65" t="s">
        <v>237</v>
      </c>
      <c r="J37" s="65"/>
      <c r="K37" s="65" t="s">
        <v>184</v>
      </c>
      <c r="L37" s="65">
        <f t="shared" ca="1" si="4"/>
        <v>4</v>
      </c>
      <c r="M37" s="3">
        <f t="shared" ca="1" si="5"/>
        <v>0.63972032920569888</v>
      </c>
      <c r="O37" s="1" t="s">
        <v>186</v>
      </c>
      <c r="P37" s="65" t="s">
        <v>219</v>
      </c>
      <c r="Q37" s="65">
        <f t="shared" ca="1" si="6"/>
        <v>3</v>
      </c>
      <c r="R37" s="3">
        <f t="shared" ca="1" si="7"/>
        <v>8.2539212400241313E-2</v>
      </c>
      <c r="V37" s="53" t="s">
        <v>300</v>
      </c>
      <c r="W37" s="54" t="s">
        <v>175</v>
      </c>
      <c r="X37" s="65" t="s">
        <v>219</v>
      </c>
      <c r="Y37" s="65">
        <f t="shared" ca="1" si="8"/>
        <v>3</v>
      </c>
      <c r="Z37" s="3">
        <f t="shared" ca="1" si="9"/>
        <v>0.92695527368511776</v>
      </c>
      <c r="AA37" s="6">
        <f t="shared" ca="1" si="10"/>
        <v>12477.760397938531</v>
      </c>
      <c r="AB37" s="6">
        <f t="shared" ca="1" si="11"/>
        <v>1984.3934951942474</v>
      </c>
      <c r="AD37" s="65" t="s">
        <v>237</v>
      </c>
      <c r="AE37" s="65"/>
      <c r="AF37" s="65" t="s">
        <v>184</v>
      </c>
      <c r="AG37" s="65">
        <f t="shared" ca="1" si="12"/>
        <v>4</v>
      </c>
      <c r="AH37" s="3">
        <f t="shared" ca="1" si="13"/>
        <v>0.41243514679752846</v>
      </c>
      <c r="AJ37" s="1" t="s">
        <v>186</v>
      </c>
      <c r="AK37" s="65" t="s">
        <v>219</v>
      </c>
      <c r="AL37" s="65">
        <f t="shared" ca="1" si="14"/>
        <v>4</v>
      </c>
      <c r="AM37" s="3">
        <f t="shared" ca="1" si="15"/>
        <v>0.65336836390566611</v>
      </c>
    </row>
    <row r="38" spans="1:39" x14ac:dyDescent="0.3">
      <c r="A38" s="53" t="s">
        <v>332</v>
      </c>
      <c r="B38" s="54" t="s">
        <v>159</v>
      </c>
      <c r="C38" s="65" t="s">
        <v>219</v>
      </c>
      <c r="D38" s="65">
        <f t="shared" ca="1" si="0"/>
        <v>3</v>
      </c>
      <c r="E38" s="3">
        <f t="shared" ca="1" si="1"/>
        <v>0.80039483662498556</v>
      </c>
      <c r="F38" s="6">
        <f t="shared" ca="1" si="2"/>
        <v>107471.76725113713</v>
      </c>
      <c r="G38" s="6">
        <f t="shared" ca="1" si="3"/>
        <v>744.75976545715389</v>
      </c>
      <c r="I38" s="65" t="s">
        <v>238</v>
      </c>
      <c r="J38" s="65"/>
      <c r="K38" s="65" t="s">
        <v>185</v>
      </c>
      <c r="L38" s="65">
        <f t="shared" ca="1" si="4"/>
        <v>1</v>
      </c>
      <c r="M38" s="3">
        <f t="shared" ca="1" si="5"/>
        <v>0.60284515357830193</v>
      </c>
      <c r="O38" s="1" t="s">
        <v>159</v>
      </c>
      <c r="P38" s="65" t="s">
        <v>219</v>
      </c>
      <c r="Q38" s="65">
        <f t="shared" ca="1" si="6"/>
        <v>1</v>
      </c>
      <c r="R38" s="3">
        <f t="shared" ca="1" si="7"/>
        <v>0.20662968574647655</v>
      </c>
      <c r="V38" s="53" t="s">
        <v>332</v>
      </c>
      <c r="W38" s="54" t="s">
        <v>159</v>
      </c>
      <c r="X38" s="65" t="s">
        <v>219</v>
      </c>
      <c r="Y38" s="65">
        <f t="shared" ca="1" si="8"/>
        <v>4</v>
      </c>
      <c r="Z38" s="3">
        <f t="shared" ca="1" si="9"/>
        <v>0.93198548043653306</v>
      </c>
      <c r="AA38" s="6">
        <f t="shared" ca="1" si="10"/>
        <v>196927.71781196262</v>
      </c>
      <c r="AB38" s="6">
        <f t="shared" ca="1" si="11"/>
        <v>1091.6123394583449</v>
      </c>
      <c r="AD38" s="65" t="s">
        <v>238</v>
      </c>
      <c r="AE38" s="65"/>
      <c r="AF38" s="65" t="s">
        <v>185</v>
      </c>
      <c r="AG38" s="65">
        <f t="shared" ca="1" si="12"/>
        <v>3</v>
      </c>
      <c r="AH38" s="3">
        <f t="shared" ca="1" si="13"/>
        <v>0.73563622280862284</v>
      </c>
      <c r="AJ38" s="1" t="s">
        <v>159</v>
      </c>
      <c r="AK38" s="65" t="s">
        <v>219</v>
      </c>
      <c r="AL38" s="65">
        <f t="shared" ca="1" si="14"/>
        <v>1</v>
      </c>
      <c r="AM38" s="3">
        <f t="shared" ca="1" si="15"/>
        <v>0.68550251052202793</v>
      </c>
    </row>
    <row r="39" spans="1:39" x14ac:dyDescent="0.3">
      <c r="A39" s="53" t="s">
        <v>390</v>
      </c>
      <c r="B39" s="54" t="s">
        <v>175</v>
      </c>
      <c r="C39" s="65" t="s">
        <v>219</v>
      </c>
      <c r="D39" s="65">
        <f t="shared" ca="1" si="0"/>
        <v>1</v>
      </c>
      <c r="E39" s="3">
        <f t="shared" ca="1" si="1"/>
        <v>0.11741503385067553</v>
      </c>
      <c r="F39" s="6">
        <f t="shared" ca="1" si="2"/>
        <v>153694.05097041768</v>
      </c>
      <c r="G39" s="6">
        <f t="shared" ca="1" si="3"/>
        <v>1751.6931754244538</v>
      </c>
      <c r="I39" s="65" t="s">
        <v>239</v>
      </c>
      <c r="J39" s="65"/>
      <c r="K39" s="65" t="s">
        <v>186</v>
      </c>
      <c r="L39" s="65">
        <f t="shared" ca="1" si="4"/>
        <v>3</v>
      </c>
      <c r="M39" s="3">
        <f t="shared" ca="1" si="5"/>
        <v>4.5238514676465669E-2</v>
      </c>
      <c r="O39" s="1" t="s">
        <v>197</v>
      </c>
      <c r="P39" s="65" t="s">
        <v>219</v>
      </c>
      <c r="Q39" s="65">
        <f t="shared" ca="1" si="6"/>
        <v>1</v>
      </c>
      <c r="R39" s="3">
        <f t="shared" ca="1" si="7"/>
        <v>0.93569511700293195</v>
      </c>
      <c r="V39" s="53" t="s">
        <v>390</v>
      </c>
      <c r="W39" s="54" t="s">
        <v>175</v>
      </c>
      <c r="X39" s="65" t="s">
        <v>219</v>
      </c>
      <c r="Y39" s="65">
        <f t="shared" ca="1" si="8"/>
        <v>2</v>
      </c>
      <c r="Z39" s="3">
        <f t="shared" ca="1" si="9"/>
        <v>0.61300715282352214</v>
      </c>
      <c r="AA39" s="6">
        <f t="shared" ca="1" si="10"/>
        <v>23234.585154470766</v>
      </c>
      <c r="AB39" s="6">
        <f t="shared" ca="1" si="11"/>
        <v>999.45227070709609</v>
      </c>
      <c r="AD39" s="65" t="s">
        <v>239</v>
      </c>
      <c r="AE39" s="65"/>
      <c r="AF39" s="65" t="s">
        <v>186</v>
      </c>
      <c r="AG39" s="65">
        <f t="shared" ca="1" si="12"/>
        <v>2</v>
      </c>
      <c r="AH39" s="3">
        <f t="shared" ca="1" si="13"/>
        <v>0.76458468378102029</v>
      </c>
      <c r="AJ39" s="1" t="s">
        <v>197</v>
      </c>
      <c r="AK39" s="65" t="s">
        <v>219</v>
      </c>
      <c r="AL39" s="65">
        <f t="shared" ca="1" si="14"/>
        <v>2</v>
      </c>
      <c r="AM39" s="3">
        <f t="shared" ca="1" si="15"/>
        <v>0.71164680543606962</v>
      </c>
    </row>
    <row r="40" spans="1:39" x14ac:dyDescent="0.3">
      <c r="A40" s="53" t="s">
        <v>313</v>
      </c>
      <c r="B40" s="54" t="s">
        <v>175</v>
      </c>
      <c r="C40" s="65" t="s">
        <v>219</v>
      </c>
      <c r="D40" s="65">
        <f t="shared" ca="1" si="0"/>
        <v>4</v>
      </c>
      <c r="E40" s="3">
        <f t="shared" ca="1" si="1"/>
        <v>0.88459182391289126</v>
      </c>
      <c r="F40" s="6">
        <f t="shared" ca="1" si="2"/>
        <v>190066.65376894572</v>
      </c>
      <c r="G40" s="6">
        <f t="shared" ca="1" si="3"/>
        <v>1864.9402114038892</v>
      </c>
      <c r="I40" s="65" t="s">
        <v>240</v>
      </c>
      <c r="J40" s="65"/>
      <c r="K40" s="65" t="s">
        <v>187</v>
      </c>
      <c r="L40" s="65">
        <f t="shared" ca="1" si="4"/>
        <v>2</v>
      </c>
      <c r="M40" s="3">
        <f t="shared" ca="1" si="5"/>
        <v>0.52244388145228837</v>
      </c>
      <c r="O40" s="1" t="s">
        <v>162</v>
      </c>
      <c r="P40" s="65" t="s">
        <v>242</v>
      </c>
      <c r="Q40" s="65">
        <f t="shared" ca="1" si="6"/>
        <v>1</v>
      </c>
      <c r="R40" s="3">
        <f t="shared" ca="1" si="7"/>
        <v>0.84710738185719436</v>
      </c>
      <c r="V40" s="53" t="s">
        <v>313</v>
      </c>
      <c r="W40" s="54" t="s">
        <v>175</v>
      </c>
      <c r="X40" s="65" t="s">
        <v>219</v>
      </c>
      <c r="Y40" s="65">
        <f t="shared" ca="1" si="8"/>
        <v>2</v>
      </c>
      <c r="Z40" s="3">
        <f t="shared" ca="1" si="9"/>
        <v>0.21804973305107356</v>
      </c>
      <c r="AA40" s="6">
        <f t="shared" ca="1" si="10"/>
        <v>76292.225970805564</v>
      </c>
      <c r="AB40" s="6">
        <f t="shared" ca="1" si="11"/>
        <v>1923.018548267507</v>
      </c>
      <c r="AD40" s="65" t="s">
        <v>240</v>
      </c>
      <c r="AE40" s="65"/>
      <c r="AF40" s="65" t="s">
        <v>187</v>
      </c>
      <c r="AG40" s="65">
        <f t="shared" ca="1" si="12"/>
        <v>1</v>
      </c>
      <c r="AH40" s="3">
        <f t="shared" ca="1" si="13"/>
        <v>0.6549746737998251</v>
      </c>
      <c r="AJ40" s="1" t="s">
        <v>162</v>
      </c>
      <c r="AK40" s="65" t="s">
        <v>242</v>
      </c>
      <c r="AL40" s="65">
        <f t="shared" ca="1" si="14"/>
        <v>4</v>
      </c>
      <c r="AM40" s="3">
        <f t="shared" ca="1" si="15"/>
        <v>0.73661960166781126</v>
      </c>
    </row>
    <row r="41" spans="1:39" x14ac:dyDescent="0.3">
      <c r="A41" s="53" t="s">
        <v>301</v>
      </c>
      <c r="B41" s="54" t="s">
        <v>160</v>
      </c>
      <c r="C41" s="65" t="s">
        <v>219</v>
      </c>
      <c r="D41" s="65">
        <f t="shared" ca="1" si="0"/>
        <v>2</v>
      </c>
      <c r="E41" s="3">
        <f t="shared" ca="1" si="1"/>
        <v>0.23961177844394033</v>
      </c>
      <c r="F41" s="6">
        <f t="shared" ca="1" si="2"/>
        <v>158327.31126154319</v>
      </c>
      <c r="G41" s="6">
        <f t="shared" ca="1" si="3"/>
        <v>1187.1771539870613</v>
      </c>
      <c r="I41" s="65" t="s">
        <v>241</v>
      </c>
      <c r="J41" s="65"/>
      <c r="K41" s="65" t="s">
        <v>188</v>
      </c>
      <c r="L41" s="65">
        <f t="shared" ca="1" si="4"/>
        <v>1</v>
      </c>
      <c r="M41" s="3">
        <f t="shared" ca="1" si="5"/>
        <v>0.59497784278675647</v>
      </c>
      <c r="O41" s="1" t="s">
        <v>192</v>
      </c>
      <c r="P41" s="65" t="s">
        <v>219</v>
      </c>
      <c r="Q41" s="65">
        <f t="shared" ca="1" si="6"/>
        <v>1</v>
      </c>
      <c r="R41" s="3">
        <f t="shared" ca="1" si="7"/>
        <v>0.39176720640881324</v>
      </c>
      <c r="V41" s="53" t="s">
        <v>301</v>
      </c>
      <c r="W41" s="54" t="s">
        <v>160</v>
      </c>
      <c r="X41" s="65" t="s">
        <v>219</v>
      </c>
      <c r="Y41" s="65">
        <f t="shared" ca="1" si="8"/>
        <v>2</v>
      </c>
      <c r="Z41" s="3">
        <f t="shared" ca="1" si="9"/>
        <v>0.92334052865769645</v>
      </c>
      <c r="AA41" s="6">
        <f t="shared" ca="1" si="10"/>
        <v>67656.112653731441</v>
      </c>
      <c r="AB41" s="6">
        <f t="shared" ca="1" si="11"/>
        <v>821.84724652736872</v>
      </c>
      <c r="AD41" s="65" t="s">
        <v>241</v>
      </c>
      <c r="AE41" s="65"/>
      <c r="AF41" s="65" t="s">
        <v>188</v>
      </c>
      <c r="AG41" s="65">
        <f t="shared" ca="1" si="12"/>
        <v>2</v>
      </c>
      <c r="AH41" s="3">
        <f t="shared" ca="1" si="13"/>
        <v>0.84134842723179226</v>
      </c>
      <c r="AJ41" s="1" t="s">
        <v>192</v>
      </c>
      <c r="AK41" s="65" t="s">
        <v>219</v>
      </c>
      <c r="AL41" s="65">
        <f t="shared" ca="1" si="14"/>
        <v>2</v>
      </c>
      <c r="AM41" s="3">
        <f t="shared" ca="1" si="15"/>
        <v>0.72677742946309931</v>
      </c>
    </row>
    <row r="42" spans="1:39" x14ac:dyDescent="0.3">
      <c r="A42" s="53" t="s">
        <v>352</v>
      </c>
      <c r="B42" s="54" t="s">
        <v>160</v>
      </c>
      <c r="C42" s="65" t="s">
        <v>219</v>
      </c>
      <c r="D42" s="65">
        <f t="shared" ca="1" si="0"/>
        <v>1</v>
      </c>
      <c r="E42" s="3">
        <f t="shared" ca="1" si="1"/>
        <v>0.82144654320218558</v>
      </c>
      <c r="F42" s="6">
        <f t="shared" ca="1" si="2"/>
        <v>191468.44588003826</v>
      </c>
      <c r="G42" s="6">
        <f t="shared" ca="1" si="3"/>
        <v>1191.7198165845045</v>
      </c>
      <c r="J42" s="63" t="s">
        <v>12</v>
      </c>
      <c r="K42" s="63"/>
      <c r="L42" s="63"/>
      <c r="M42" s="3">
        <f t="shared" ca="1" si="5"/>
        <v>0.98665434017331743</v>
      </c>
      <c r="O42" s="1" t="s">
        <v>182</v>
      </c>
      <c r="P42" s="65" t="s">
        <v>219</v>
      </c>
      <c r="Q42" s="65">
        <f t="shared" ca="1" si="6"/>
        <v>1</v>
      </c>
      <c r="R42" s="3">
        <f t="shared" ca="1" si="7"/>
        <v>0.43982107698021022</v>
      </c>
      <c r="V42" s="53" t="s">
        <v>352</v>
      </c>
      <c r="W42" s="54" t="s">
        <v>160</v>
      </c>
      <c r="X42" s="65" t="s">
        <v>219</v>
      </c>
      <c r="Y42" s="65">
        <f t="shared" ca="1" si="8"/>
        <v>2</v>
      </c>
      <c r="Z42" s="3">
        <f t="shared" ca="1" si="9"/>
        <v>0.97608875005571505</v>
      </c>
      <c r="AA42" s="6">
        <f t="shared" ca="1" si="10"/>
        <v>164884.27432729589</v>
      </c>
      <c r="AB42" s="6">
        <f t="shared" ca="1" si="11"/>
        <v>1551.0012042651022</v>
      </c>
      <c r="AE42" s="63" t="s">
        <v>12</v>
      </c>
      <c r="AF42" s="63"/>
      <c r="AG42" s="63"/>
      <c r="AH42" s="3">
        <f t="shared" ca="1" si="13"/>
        <v>0.25942598133358585</v>
      </c>
      <c r="AJ42" s="1" t="s">
        <v>182</v>
      </c>
      <c r="AK42" s="65" t="s">
        <v>219</v>
      </c>
      <c r="AL42" s="65">
        <f t="shared" ca="1" si="14"/>
        <v>4</v>
      </c>
      <c r="AM42" s="3">
        <f t="shared" ca="1" si="15"/>
        <v>0.26654500466864861</v>
      </c>
    </row>
    <row r="43" spans="1:39" x14ac:dyDescent="0.3">
      <c r="A43" s="53" t="s">
        <v>314</v>
      </c>
      <c r="B43" s="54" t="s">
        <v>159</v>
      </c>
      <c r="C43" s="65" t="s">
        <v>219</v>
      </c>
      <c r="D43" s="65">
        <f t="shared" ca="1" si="0"/>
        <v>3</v>
      </c>
      <c r="E43" s="3">
        <f t="shared" ca="1" si="1"/>
        <v>0.31706114441654454</v>
      </c>
      <c r="F43" s="6">
        <f t="shared" ca="1" si="2"/>
        <v>122720.95043459494</v>
      </c>
      <c r="G43" s="6">
        <f t="shared" ca="1" si="3"/>
        <v>1569.1073511317209</v>
      </c>
      <c r="O43" s="1" t="s">
        <v>176</v>
      </c>
      <c r="P43" s="65" t="s">
        <v>231</v>
      </c>
      <c r="Q43" s="65">
        <f t="shared" ca="1" si="6"/>
        <v>3</v>
      </c>
      <c r="R43" s="3">
        <f t="shared" ca="1" si="7"/>
        <v>8.5415824586926758E-2</v>
      </c>
      <c r="V43" s="53" t="s">
        <v>314</v>
      </c>
      <c r="W43" s="54" t="s">
        <v>159</v>
      </c>
      <c r="X43" s="65" t="s">
        <v>219</v>
      </c>
      <c r="Y43" s="65">
        <f t="shared" ca="1" si="8"/>
        <v>2</v>
      </c>
      <c r="Z43" s="3">
        <f t="shared" ca="1" si="9"/>
        <v>0.28254823073903079</v>
      </c>
      <c r="AA43" s="6">
        <f t="shared" ca="1" si="10"/>
        <v>49702.138325432912</v>
      </c>
      <c r="AB43" s="6">
        <f t="shared" ca="1" si="11"/>
        <v>920.03470501472259</v>
      </c>
      <c r="AJ43" s="1" t="s">
        <v>176</v>
      </c>
      <c r="AK43" s="65" t="s">
        <v>231</v>
      </c>
      <c r="AL43" s="65">
        <f t="shared" ca="1" si="14"/>
        <v>2</v>
      </c>
      <c r="AM43" s="3">
        <f t="shared" ca="1" si="15"/>
        <v>0.34414360246625608</v>
      </c>
    </row>
    <row r="44" spans="1:39" x14ac:dyDescent="0.3">
      <c r="A44" s="53" t="s">
        <v>305</v>
      </c>
      <c r="B44" s="54" t="s">
        <v>178</v>
      </c>
      <c r="C44" s="65" t="s">
        <v>219</v>
      </c>
      <c r="D44" s="65">
        <f t="shared" ca="1" si="0"/>
        <v>2</v>
      </c>
      <c r="E44" s="3">
        <f t="shared" ca="1" si="1"/>
        <v>0.32427392458751014</v>
      </c>
      <c r="F44" s="6">
        <f t="shared" ca="1" si="2"/>
        <v>185391.92590362864</v>
      </c>
      <c r="G44" s="6">
        <f t="shared" ca="1" si="3"/>
        <v>1549.1105233591406</v>
      </c>
      <c r="O44" s="1" t="s">
        <v>293</v>
      </c>
      <c r="P44" s="65" t="s">
        <v>242</v>
      </c>
      <c r="Q44" s="65">
        <f t="shared" ca="1" si="6"/>
        <v>1</v>
      </c>
      <c r="R44" s="3">
        <f t="shared" ca="1" si="7"/>
        <v>0.71106448230910213</v>
      </c>
      <c r="V44" s="53" t="s">
        <v>305</v>
      </c>
      <c r="W44" s="54" t="s">
        <v>178</v>
      </c>
      <c r="X44" s="65" t="s">
        <v>219</v>
      </c>
      <c r="Y44" s="65">
        <f t="shared" ca="1" si="8"/>
        <v>3</v>
      </c>
      <c r="Z44" s="3">
        <f t="shared" ca="1" si="9"/>
        <v>0.74834558462914436</v>
      </c>
      <c r="AA44" s="6">
        <f t="shared" ca="1" si="10"/>
        <v>20667.996711168456</v>
      </c>
      <c r="AB44" s="6">
        <f t="shared" ca="1" si="11"/>
        <v>1563.4113132516584</v>
      </c>
      <c r="AJ44" s="1" t="s">
        <v>293</v>
      </c>
      <c r="AK44" s="65" t="s">
        <v>242</v>
      </c>
      <c r="AL44" s="65">
        <f t="shared" ca="1" si="14"/>
        <v>4</v>
      </c>
      <c r="AM44" s="3">
        <f t="shared" ca="1" si="15"/>
        <v>0.18502831748913506</v>
      </c>
    </row>
    <row r="45" spans="1:39" x14ac:dyDescent="0.3">
      <c r="A45" s="53" t="s">
        <v>369</v>
      </c>
      <c r="B45" s="54" t="s">
        <v>178</v>
      </c>
      <c r="C45" s="65" t="s">
        <v>219</v>
      </c>
      <c r="D45" s="65">
        <f t="shared" ca="1" si="0"/>
        <v>3</v>
      </c>
      <c r="E45" s="3">
        <f t="shared" ca="1" si="1"/>
        <v>0.80785649351569844</v>
      </c>
      <c r="F45" s="6">
        <f t="shared" ca="1" si="2"/>
        <v>110889.57463732026</v>
      </c>
      <c r="G45" s="6">
        <f t="shared" ca="1" si="3"/>
        <v>32.876117202151221</v>
      </c>
      <c r="O45" s="1" t="s">
        <v>292</v>
      </c>
      <c r="P45" s="65" t="s">
        <v>242</v>
      </c>
      <c r="Q45" s="65">
        <f t="shared" ca="1" si="6"/>
        <v>2</v>
      </c>
      <c r="R45" s="3">
        <f t="shared" ca="1" si="7"/>
        <v>0.48711480478200042</v>
      </c>
      <c r="V45" s="53" t="s">
        <v>369</v>
      </c>
      <c r="W45" s="54" t="s">
        <v>178</v>
      </c>
      <c r="X45" s="65" t="s">
        <v>219</v>
      </c>
      <c r="Y45" s="65">
        <f t="shared" ca="1" si="8"/>
        <v>3</v>
      </c>
      <c r="Z45" s="3">
        <f t="shared" ca="1" si="9"/>
        <v>0.37189576134873559</v>
      </c>
      <c r="AA45" s="6">
        <f t="shared" ca="1" si="10"/>
        <v>37147.310168258671</v>
      </c>
      <c r="AB45" s="6">
        <f t="shared" ca="1" si="11"/>
        <v>1309.8863715541925</v>
      </c>
      <c r="AJ45" s="1" t="s">
        <v>292</v>
      </c>
      <c r="AK45" s="65" t="s">
        <v>242</v>
      </c>
      <c r="AL45" s="65">
        <f t="shared" ca="1" si="14"/>
        <v>1</v>
      </c>
      <c r="AM45" s="3">
        <f t="shared" ca="1" si="15"/>
        <v>9.3905817743160314E-2</v>
      </c>
    </row>
    <row r="46" spans="1:39" x14ac:dyDescent="0.3">
      <c r="A46" s="53" t="s">
        <v>329</v>
      </c>
      <c r="B46" s="54" t="s">
        <v>178</v>
      </c>
      <c r="C46" s="65" t="s">
        <v>219</v>
      </c>
      <c r="D46" s="65">
        <f t="shared" ca="1" si="0"/>
        <v>3</v>
      </c>
      <c r="E46" s="3">
        <f t="shared" ca="1" si="1"/>
        <v>0.81179077079606932</v>
      </c>
      <c r="F46" s="6">
        <f t="shared" ca="1" si="2"/>
        <v>139721.67646107444</v>
      </c>
      <c r="G46" s="6">
        <f t="shared" ca="1" si="3"/>
        <v>212.1993252008003</v>
      </c>
      <c r="J46" s="15" t="s">
        <v>60</v>
      </c>
      <c r="K46" s="15" t="s">
        <v>61</v>
      </c>
      <c r="L46" s="15" t="s">
        <v>63</v>
      </c>
      <c r="O46" s="1" t="s">
        <v>172</v>
      </c>
      <c r="P46" s="65" t="s">
        <v>242</v>
      </c>
      <c r="Q46" s="65">
        <f t="shared" ca="1" si="6"/>
        <v>2</v>
      </c>
      <c r="R46" s="3">
        <f t="shared" ca="1" si="7"/>
        <v>0.67806370023221252</v>
      </c>
      <c r="V46" s="53" t="s">
        <v>329</v>
      </c>
      <c r="W46" s="54" t="s">
        <v>178</v>
      </c>
      <c r="X46" s="65" t="s">
        <v>219</v>
      </c>
      <c r="Y46" s="65">
        <f t="shared" ca="1" si="8"/>
        <v>4</v>
      </c>
      <c r="Z46" s="3">
        <f t="shared" ca="1" si="9"/>
        <v>9.3148361601312013E-2</v>
      </c>
      <c r="AA46" s="6">
        <f t="shared" ca="1" si="10"/>
        <v>26505.660174609537</v>
      </c>
      <c r="AB46" s="6">
        <f t="shared" ca="1" si="11"/>
        <v>371.34418253017066</v>
      </c>
      <c r="AE46" s="15" t="s">
        <v>60</v>
      </c>
      <c r="AF46" s="15" t="s">
        <v>61</v>
      </c>
      <c r="AG46" s="15" t="s">
        <v>63</v>
      </c>
      <c r="AJ46" s="1" t="s">
        <v>172</v>
      </c>
      <c r="AK46" s="65" t="s">
        <v>242</v>
      </c>
      <c r="AL46" s="65">
        <f t="shared" ca="1" si="14"/>
        <v>2</v>
      </c>
      <c r="AM46" s="3">
        <f t="shared" ca="1" si="15"/>
        <v>0.43138854507529489</v>
      </c>
    </row>
    <row r="47" spans="1:39" x14ac:dyDescent="0.3">
      <c r="A47" s="53" t="s">
        <v>388</v>
      </c>
      <c r="B47" s="54" t="s">
        <v>190</v>
      </c>
      <c r="C47" s="65" t="s">
        <v>219</v>
      </c>
      <c r="D47" s="65">
        <f t="shared" ca="1" si="0"/>
        <v>4</v>
      </c>
      <c r="E47" s="3">
        <f t="shared" ca="1" si="1"/>
        <v>4.3854494941597877E-2</v>
      </c>
      <c r="F47" s="6">
        <f t="shared" ca="1" si="2"/>
        <v>67704.325363006748</v>
      </c>
      <c r="G47" s="6">
        <f t="shared" ca="1" si="3"/>
        <v>908.11411375143814</v>
      </c>
      <c r="J47" s="55" t="s">
        <v>242</v>
      </c>
      <c r="K47" s="65">
        <f ca="1">RAND()</f>
        <v>0.5040334001199025</v>
      </c>
      <c r="L47" s="65">
        <f ca="1">RAND()*2000</f>
        <v>420.06130123264728</v>
      </c>
      <c r="N47" s="65"/>
      <c r="O47" s="1" t="s">
        <v>190</v>
      </c>
      <c r="P47" s="65" t="s">
        <v>219</v>
      </c>
      <c r="Q47" s="65">
        <f t="shared" ca="1" si="6"/>
        <v>3</v>
      </c>
      <c r="R47" s="3">
        <f t="shared" ca="1" si="7"/>
        <v>0.16431151276173683</v>
      </c>
      <c r="V47" s="53" t="s">
        <v>388</v>
      </c>
      <c r="W47" s="54" t="s">
        <v>190</v>
      </c>
      <c r="X47" s="65" t="s">
        <v>219</v>
      </c>
      <c r="Y47" s="65">
        <f t="shared" ca="1" si="8"/>
        <v>3</v>
      </c>
      <c r="Z47" s="3">
        <f t="shared" ca="1" si="9"/>
        <v>0.54055314936076548</v>
      </c>
      <c r="AA47" s="6">
        <f t="shared" ca="1" si="10"/>
        <v>72322.550842352241</v>
      </c>
      <c r="AB47" s="6">
        <f t="shared" ca="1" si="11"/>
        <v>341.92090180796629</v>
      </c>
      <c r="AE47" s="55" t="s">
        <v>242</v>
      </c>
      <c r="AF47" s="65">
        <f ca="1">RAND()</f>
        <v>0.7943087542261188</v>
      </c>
      <c r="AG47" s="65">
        <f ca="1">RAND()*2000</f>
        <v>1173.4192366942959</v>
      </c>
      <c r="AI47" s="65"/>
      <c r="AJ47" s="1" t="s">
        <v>190</v>
      </c>
      <c r="AK47" s="65" t="s">
        <v>219</v>
      </c>
      <c r="AL47" s="65">
        <f t="shared" ca="1" si="14"/>
        <v>4</v>
      </c>
      <c r="AM47" s="3">
        <f t="shared" ca="1" si="15"/>
        <v>3.285302521530209E-2</v>
      </c>
    </row>
    <row r="48" spans="1:39" x14ac:dyDescent="0.3">
      <c r="A48" s="53" t="s">
        <v>354</v>
      </c>
      <c r="B48" s="54" t="s">
        <v>165</v>
      </c>
      <c r="C48" s="65" t="s">
        <v>219</v>
      </c>
      <c r="D48" s="65">
        <f t="shared" ca="1" si="0"/>
        <v>4</v>
      </c>
      <c r="E48" s="3">
        <f t="shared" ca="1" si="1"/>
        <v>0.4985455856451394</v>
      </c>
      <c r="F48" s="6">
        <f t="shared" ca="1" si="2"/>
        <v>175870.31048388631</v>
      </c>
      <c r="G48" s="6">
        <f t="shared" ca="1" si="3"/>
        <v>1546.417919354976</v>
      </c>
      <c r="J48" s="55" t="s">
        <v>219</v>
      </c>
      <c r="K48" s="65">
        <f t="shared" ref="K48:K50" ca="1" si="16">RAND()</f>
        <v>0.28735803383816616</v>
      </c>
      <c r="L48" s="65">
        <f t="shared" ref="L48:L50" ca="1" si="17">RAND()*2000</f>
        <v>1774.722734181855</v>
      </c>
      <c r="N48" s="65"/>
      <c r="O48" s="1" t="s">
        <v>270</v>
      </c>
      <c r="P48" s="65" t="s">
        <v>231</v>
      </c>
      <c r="Q48" s="65">
        <f t="shared" ca="1" si="6"/>
        <v>4</v>
      </c>
      <c r="R48" s="3">
        <f t="shared" ca="1" si="7"/>
        <v>0.31830812919263329</v>
      </c>
      <c r="V48" s="53" t="s">
        <v>354</v>
      </c>
      <c r="W48" s="54" t="s">
        <v>165</v>
      </c>
      <c r="X48" s="65" t="s">
        <v>219</v>
      </c>
      <c r="Y48" s="65">
        <f t="shared" ca="1" si="8"/>
        <v>4</v>
      </c>
      <c r="Z48" s="3">
        <f t="shared" ca="1" si="9"/>
        <v>8.1707991433647376E-2</v>
      </c>
      <c r="AA48" s="6">
        <f t="shared" ca="1" si="10"/>
        <v>43580.466977757482</v>
      </c>
      <c r="AB48" s="6">
        <f t="shared" ca="1" si="11"/>
        <v>932.27326058138817</v>
      </c>
      <c r="AE48" s="55" t="s">
        <v>219</v>
      </c>
      <c r="AF48" s="65">
        <f t="shared" ref="AF48:AF50" ca="1" si="18">RAND()</f>
        <v>0.80382751260018337</v>
      </c>
      <c r="AG48" s="65">
        <f t="shared" ref="AG48:AG50" ca="1" si="19">RAND()*2000</f>
        <v>461.24414607093797</v>
      </c>
      <c r="AI48" s="65"/>
      <c r="AJ48" s="1" t="s">
        <v>270</v>
      </c>
      <c r="AK48" s="65" t="s">
        <v>231</v>
      </c>
      <c r="AL48" s="65">
        <f t="shared" ca="1" si="14"/>
        <v>4</v>
      </c>
      <c r="AM48" s="3">
        <f t="shared" ca="1" si="15"/>
        <v>2.305668452650067E-2</v>
      </c>
    </row>
    <row r="49" spans="1:39" x14ac:dyDescent="0.3">
      <c r="A49" s="53" t="s">
        <v>364</v>
      </c>
      <c r="B49" s="54" t="s">
        <v>165</v>
      </c>
      <c r="C49" s="65" t="s">
        <v>219</v>
      </c>
      <c r="D49" s="65">
        <f t="shared" ca="1" si="0"/>
        <v>3</v>
      </c>
      <c r="E49" s="3">
        <f t="shared" ca="1" si="1"/>
        <v>0.37930557694375655</v>
      </c>
      <c r="F49" s="6">
        <f t="shared" ca="1" si="2"/>
        <v>189182.11441618652</v>
      </c>
      <c r="G49" s="6">
        <f t="shared" ca="1" si="3"/>
        <v>994.49570922924636</v>
      </c>
      <c r="J49" s="55" t="s">
        <v>231</v>
      </c>
      <c r="K49" s="65">
        <f t="shared" ca="1" si="16"/>
        <v>0.90958997214991366</v>
      </c>
      <c r="L49" s="65">
        <f t="shared" ca="1" si="17"/>
        <v>51.234491101005865</v>
      </c>
      <c r="N49" s="65"/>
      <c r="O49" s="1" t="s">
        <v>278</v>
      </c>
      <c r="P49" s="65" t="s">
        <v>219</v>
      </c>
      <c r="Q49" s="65">
        <f t="shared" ca="1" si="6"/>
        <v>1</v>
      </c>
      <c r="R49" s="3">
        <f t="shared" ca="1" si="7"/>
        <v>0.48247217964583955</v>
      </c>
      <c r="V49" s="53" t="s">
        <v>364</v>
      </c>
      <c r="W49" s="54" t="s">
        <v>165</v>
      </c>
      <c r="X49" s="65" t="s">
        <v>219</v>
      </c>
      <c r="Y49" s="65">
        <f t="shared" ca="1" si="8"/>
        <v>2</v>
      </c>
      <c r="Z49" s="3">
        <f t="shared" ca="1" si="9"/>
        <v>0.56371834662042941</v>
      </c>
      <c r="AA49" s="6">
        <f t="shared" ca="1" si="10"/>
        <v>13762.03068976034</v>
      </c>
      <c r="AB49" s="6">
        <f t="shared" ca="1" si="11"/>
        <v>588.83447299042916</v>
      </c>
      <c r="AE49" s="55" t="s">
        <v>231</v>
      </c>
      <c r="AF49" s="65">
        <f t="shared" ca="1" si="18"/>
        <v>0.59550509238739535</v>
      </c>
      <c r="AG49" s="65">
        <f t="shared" ca="1" si="19"/>
        <v>1675.9405048463855</v>
      </c>
      <c r="AI49" s="65"/>
      <c r="AJ49" s="1" t="s">
        <v>278</v>
      </c>
      <c r="AK49" s="65" t="s">
        <v>219</v>
      </c>
      <c r="AL49" s="65">
        <f t="shared" ca="1" si="14"/>
        <v>1</v>
      </c>
      <c r="AM49" s="3">
        <f t="shared" ca="1" si="15"/>
        <v>0.38478186587578045</v>
      </c>
    </row>
    <row r="50" spans="1:39" x14ac:dyDescent="0.3">
      <c r="A50" s="53" t="s">
        <v>371</v>
      </c>
      <c r="B50" s="54" t="s">
        <v>162</v>
      </c>
      <c r="C50" s="65" t="s">
        <v>242</v>
      </c>
      <c r="D50" s="65">
        <f t="shared" ca="1" si="0"/>
        <v>2</v>
      </c>
      <c r="E50" s="3">
        <f t="shared" ca="1" si="1"/>
        <v>0.8361796461395844</v>
      </c>
      <c r="F50" s="6">
        <f t="shared" ca="1" si="2"/>
        <v>40200.644064410306</v>
      </c>
      <c r="G50" s="6">
        <f t="shared" ca="1" si="3"/>
        <v>539.65580282577321</v>
      </c>
      <c r="J50" s="55" t="s">
        <v>12</v>
      </c>
      <c r="K50" s="65">
        <f t="shared" ca="1" si="16"/>
        <v>0.67609596046440978</v>
      </c>
      <c r="L50" s="65">
        <f t="shared" ca="1" si="17"/>
        <v>1463.6517859711582</v>
      </c>
      <c r="N50" s="65"/>
      <c r="O50" s="1" t="s">
        <v>289</v>
      </c>
      <c r="P50" s="65" t="s">
        <v>219</v>
      </c>
      <c r="Q50" s="65">
        <f t="shared" ca="1" si="6"/>
        <v>3</v>
      </c>
      <c r="R50" s="3">
        <f t="shared" ca="1" si="7"/>
        <v>0.23857606112737817</v>
      </c>
      <c r="V50" s="53" t="s">
        <v>371</v>
      </c>
      <c r="W50" s="54" t="s">
        <v>162</v>
      </c>
      <c r="X50" s="65" t="s">
        <v>242</v>
      </c>
      <c r="Y50" s="65">
        <f t="shared" ca="1" si="8"/>
        <v>2</v>
      </c>
      <c r="Z50" s="3">
        <f t="shared" ca="1" si="9"/>
        <v>0.43909388630838753</v>
      </c>
      <c r="AA50" s="6">
        <f t="shared" ca="1" si="10"/>
        <v>63183.108752578555</v>
      </c>
      <c r="AB50" s="6">
        <f t="shared" ca="1" si="11"/>
        <v>818.52686473123356</v>
      </c>
      <c r="AE50" s="55" t="s">
        <v>12</v>
      </c>
      <c r="AF50" s="65">
        <f t="shared" ca="1" si="18"/>
        <v>0.37478088637074081</v>
      </c>
      <c r="AG50" s="65">
        <f t="shared" ca="1" si="19"/>
        <v>319.3164660877186</v>
      </c>
      <c r="AI50" s="65"/>
      <c r="AJ50" s="1" t="s">
        <v>289</v>
      </c>
      <c r="AK50" s="65" t="s">
        <v>219</v>
      </c>
      <c r="AL50" s="65">
        <f t="shared" ca="1" si="14"/>
        <v>4</v>
      </c>
      <c r="AM50" s="3">
        <f t="shared" ca="1" si="15"/>
        <v>0.98155941509544808</v>
      </c>
    </row>
    <row r="51" spans="1:39" x14ac:dyDescent="0.3">
      <c r="A51" s="53" t="s">
        <v>384</v>
      </c>
      <c r="B51" s="54" t="s">
        <v>162</v>
      </c>
      <c r="C51" s="65" t="s">
        <v>242</v>
      </c>
      <c r="D51" s="65">
        <f t="shared" ca="1" si="0"/>
        <v>2</v>
      </c>
      <c r="E51" s="3">
        <f t="shared" ca="1" si="1"/>
        <v>0.5602691277086419</v>
      </c>
      <c r="F51" s="6">
        <f t="shared" ca="1" si="2"/>
        <v>18761.378787153892</v>
      </c>
      <c r="G51" s="6">
        <f t="shared" ca="1" si="3"/>
        <v>320.4061656933057</v>
      </c>
      <c r="K51" s="65"/>
      <c r="L51" s="65"/>
      <c r="O51" s="1" t="s">
        <v>285</v>
      </c>
      <c r="P51" s="65" t="s">
        <v>242</v>
      </c>
      <c r="Q51" s="65">
        <f t="shared" ca="1" si="6"/>
        <v>3</v>
      </c>
      <c r="R51" s="3">
        <f t="shared" ca="1" si="7"/>
        <v>0.97329547689315288</v>
      </c>
      <c r="V51" s="53" t="s">
        <v>384</v>
      </c>
      <c r="W51" s="54" t="s">
        <v>162</v>
      </c>
      <c r="X51" s="65" t="s">
        <v>242</v>
      </c>
      <c r="Y51" s="65">
        <f t="shared" ca="1" si="8"/>
        <v>4</v>
      </c>
      <c r="Z51" s="3">
        <f t="shared" ca="1" si="9"/>
        <v>2.5943041324442251E-2</v>
      </c>
      <c r="AA51" s="6">
        <f t="shared" ca="1" si="10"/>
        <v>46008.08749165912</v>
      </c>
      <c r="AB51" s="6">
        <f t="shared" ca="1" si="11"/>
        <v>912.89349185816309</v>
      </c>
      <c r="AF51" s="65"/>
      <c r="AG51" s="65"/>
      <c r="AJ51" s="1" t="s">
        <v>285</v>
      </c>
      <c r="AK51" s="65" t="s">
        <v>242</v>
      </c>
      <c r="AL51" s="65">
        <f t="shared" ca="1" si="14"/>
        <v>1</v>
      </c>
      <c r="AM51" s="3">
        <f t="shared" ca="1" si="15"/>
        <v>0.26567479796255833</v>
      </c>
    </row>
    <row r="52" spans="1:39" x14ac:dyDescent="0.3">
      <c r="A52" s="53" t="s">
        <v>302</v>
      </c>
      <c r="B52" s="54" t="s">
        <v>162</v>
      </c>
      <c r="C52" s="65" t="s">
        <v>242</v>
      </c>
      <c r="D52" s="65">
        <f t="shared" ca="1" si="0"/>
        <v>3</v>
      </c>
      <c r="E52" s="3">
        <f t="shared" ca="1" si="1"/>
        <v>0.19820155914332971</v>
      </c>
      <c r="F52" s="6">
        <f t="shared" ca="1" si="2"/>
        <v>153316.41067858154</v>
      </c>
      <c r="G52" s="6">
        <f t="shared" ca="1" si="3"/>
        <v>298.8589031329729</v>
      </c>
      <c r="J52" s="15" t="s">
        <v>60</v>
      </c>
      <c r="K52" s="15" t="s">
        <v>61</v>
      </c>
      <c r="L52" s="65"/>
      <c r="O52" s="1" t="s">
        <v>213</v>
      </c>
      <c r="P52" s="65" t="s">
        <v>219</v>
      </c>
      <c r="Q52" s="65">
        <f t="shared" ca="1" si="6"/>
        <v>2</v>
      </c>
      <c r="R52" s="3">
        <f t="shared" ca="1" si="7"/>
        <v>0.66324851647562211</v>
      </c>
      <c r="V52" s="53" t="s">
        <v>302</v>
      </c>
      <c r="W52" s="54" t="s">
        <v>162</v>
      </c>
      <c r="X52" s="65" t="s">
        <v>242</v>
      </c>
      <c r="Y52" s="65">
        <f t="shared" ca="1" si="8"/>
        <v>4</v>
      </c>
      <c r="Z52" s="3">
        <f t="shared" ca="1" si="9"/>
        <v>0.74425598138513571</v>
      </c>
      <c r="AA52" s="6">
        <f t="shared" ca="1" si="10"/>
        <v>98587.558653871543</v>
      </c>
      <c r="AB52" s="6">
        <f t="shared" ca="1" si="11"/>
        <v>392.24551085342398</v>
      </c>
      <c r="AE52" s="15" t="s">
        <v>60</v>
      </c>
      <c r="AF52" s="15" t="s">
        <v>61</v>
      </c>
      <c r="AG52" s="65"/>
      <c r="AJ52" s="1" t="s">
        <v>213</v>
      </c>
      <c r="AK52" s="65" t="s">
        <v>219</v>
      </c>
      <c r="AL52" s="65">
        <f t="shared" ca="1" si="14"/>
        <v>4</v>
      </c>
      <c r="AM52" s="3">
        <f t="shared" ca="1" si="15"/>
        <v>0.42160698794998985</v>
      </c>
    </row>
    <row r="53" spans="1:39" x14ac:dyDescent="0.3">
      <c r="A53" s="53" t="s">
        <v>339</v>
      </c>
      <c r="B53" s="54" t="s">
        <v>162</v>
      </c>
      <c r="C53" s="65" t="s">
        <v>242</v>
      </c>
      <c r="D53" s="65">
        <f t="shared" ca="1" si="0"/>
        <v>3</v>
      </c>
      <c r="E53" s="3">
        <f t="shared" ca="1" si="1"/>
        <v>0.46419407211027264</v>
      </c>
      <c r="F53" s="6">
        <f t="shared" ca="1" si="2"/>
        <v>25481.186263209966</v>
      </c>
      <c r="G53" s="6">
        <f t="shared" ca="1" si="3"/>
        <v>765.46844609894208</v>
      </c>
      <c r="J53" s="65" t="s">
        <v>59</v>
      </c>
      <c r="K53" s="65">
        <f ca="1">RAND()</f>
        <v>0.89958842563165697</v>
      </c>
      <c r="L53" s="65"/>
      <c r="O53" s="1" t="s">
        <v>214</v>
      </c>
      <c r="P53" s="65" t="s">
        <v>219</v>
      </c>
      <c r="Q53" s="65">
        <f t="shared" ca="1" si="6"/>
        <v>1</v>
      </c>
      <c r="R53" s="3">
        <f t="shared" ca="1" si="7"/>
        <v>0.53000981333071251</v>
      </c>
      <c r="V53" s="53" t="s">
        <v>339</v>
      </c>
      <c r="W53" s="54" t="s">
        <v>162</v>
      </c>
      <c r="X53" s="65" t="s">
        <v>242</v>
      </c>
      <c r="Y53" s="65">
        <f t="shared" ca="1" si="8"/>
        <v>4</v>
      </c>
      <c r="Z53" s="3">
        <f t="shared" ca="1" si="9"/>
        <v>0.81613174616331363</v>
      </c>
      <c r="AA53" s="6">
        <f t="shared" ca="1" si="10"/>
        <v>90802.493683961933</v>
      </c>
      <c r="AB53" s="6">
        <f t="shared" ca="1" si="11"/>
        <v>819.10787407506211</v>
      </c>
      <c r="AE53" s="65" t="s">
        <v>59</v>
      </c>
      <c r="AF53" s="65">
        <f ca="1">RAND()</f>
        <v>0.39644589028982191</v>
      </c>
      <c r="AG53" s="65"/>
      <c r="AJ53" s="1" t="s">
        <v>214</v>
      </c>
      <c r="AK53" s="65" t="s">
        <v>219</v>
      </c>
      <c r="AL53" s="65">
        <f t="shared" ca="1" si="14"/>
        <v>4</v>
      </c>
      <c r="AM53" s="3">
        <f t="shared" ca="1" si="15"/>
        <v>0.98833802649080615</v>
      </c>
    </row>
    <row r="54" spans="1:39" x14ac:dyDescent="0.3">
      <c r="A54" s="53" t="s">
        <v>308</v>
      </c>
      <c r="B54" s="54" t="s">
        <v>162</v>
      </c>
      <c r="C54" s="65" t="s">
        <v>242</v>
      </c>
      <c r="D54" s="65">
        <f t="shared" ca="1" si="0"/>
        <v>1</v>
      </c>
      <c r="E54" s="3">
        <f t="shared" ca="1" si="1"/>
        <v>0.89013448516832405</v>
      </c>
      <c r="F54" s="6">
        <f t="shared" ca="1" si="2"/>
        <v>76531.315635476931</v>
      </c>
      <c r="G54" s="6">
        <f t="shared" ca="1" si="3"/>
        <v>434.73889166479893</v>
      </c>
      <c r="J54" s="65" t="s">
        <v>58</v>
      </c>
      <c r="K54" s="65">
        <f t="shared" ref="K54:K55" ca="1" si="20">RAND()</f>
        <v>0.17950385475499164</v>
      </c>
      <c r="O54" s="1" t="s">
        <v>171</v>
      </c>
      <c r="P54" s="65" t="s">
        <v>242</v>
      </c>
      <c r="Q54" s="65">
        <f t="shared" ca="1" si="6"/>
        <v>2</v>
      </c>
      <c r="R54" s="3">
        <f t="shared" ca="1" si="7"/>
        <v>0.97354795634248636</v>
      </c>
      <c r="V54" s="53" t="s">
        <v>308</v>
      </c>
      <c r="W54" s="54" t="s">
        <v>162</v>
      </c>
      <c r="X54" s="65" t="s">
        <v>242</v>
      </c>
      <c r="Y54" s="65">
        <f t="shared" ca="1" si="8"/>
        <v>2</v>
      </c>
      <c r="Z54" s="3">
        <f t="shared" ca="1" si="9"/>
        <v>0.2518644995592676</v>
      </c>
      <c r="AA54" s="6">
        <f t="shared" ca="1" si="10"/>
        <v>43592.980556335802</v>
      </c>
      <c r="AB54" s="6">
        <f t="shared" ca="1" si="11"/>
        <v>1393.6856783341227</v>
      </c>
      <c r="AE54" s="65" t="s">
        <v>58</v>
      </c>
      <c r="AF54" s="65">
        <f t="shared" ref="AF54:AF55" ca="1" si="21">RAND()</f>
        <v>0.12468612933421563</v>
      </c>
      <c r="AJ54" s="1" t="s">
        <v>171</v>
      </c>
      <c r="AK54" s="65" t="s">
        <v>242</v>
      </c>
      <c r="AL54" s="65">
        <f t="shared" ca="1" si="14"/>
        <v>3</v>
      </c>
      <c r="AM54" s="3">
        <f t="shared" ca="1" si="15"/>
        <v>0.92340712249681522</v>
      </c>
    </row>
    <row r="55" spans="1:39" x14ac:dyDescent="0.3">
      <c r="A55" s="53" t="s">
        <v>348</v>
      </c>
      <c r="B55" s="54" t="s">
        <v>162</v>
      </c>
      <c r="C55" s="65" t="s">
        <v>242</v>
      </c>
      <c r="D55" s="65">
        <f t="shared" ca="1" si="0"/>
        <v>3</v>
      </c>
      <c r="E55" s="3">
        <f t="shared" ca="1" si="1"/>
        <v>0.21153379078154544</v>
      </c>
      <c r="F55" s="6">
        <f t="shared" ca="1" si="2"/>
        <v>24200.633546374494</v>
      </c>
      <c r="G55" s="6">
        <f t="shared" ca="1" si="3"/>
        <v>1456.6773905789371</v>
      </c>
      <c r="J55" s="65" t="s">
        <v>12</v>
      </c>
      <c r="K55" s="65">
        <f t="shared" ca="1" si="20"/>
        <v>0.47347845381685327</v>
      </c>
      <c r="O55" s="1" t="s">
        <v>173</v>
      </c>
      <c r="P55" s="65" t="s">
        <v>242</v>
      </c>
      <c r="Q55" s="65">
        <f t="shared" ca="1" si="6"/>
        <v>3</v>
      </c>
      <c r="R55" s="3">
        <f t="shared" ca="1" si="7"/>
        <v>0.87666959393277966</v>
      </c>
      <c r="V55" s="53" t="s">
        <v>348</v>
      </c>
      <c r="W55" s="54" t="s">
        <v>162</v>
      </c>
      <c r="X55" s="65" t="s">
        <v>242</v>
      </c>
      <c r="Y55" s="65">
        <f t="shared" ca="1" si="8"/>
        <v>1</v>
      </c>
      <c r="Z55" s="3">
        <f t="shared" ca="1" si="9"/>
        <v>8.5507145491583003E-2</v>
      </c>
      <c r="AA55" s="6">
        <f t="shared" ca="1" si="10"/>
        <v>132867.53410756655</v>
      </c>
      <c r="AB55" s="6">
        <f t="shared" ca="1" si="11"/>
        <v>1317.1681221907247</v>
      </c>
      <c r="AE55" s="65" t="s">
        <v>12</v>
      </c>
      <c r="AF55" s="65">
        <f t="shared" ca="1" si="21"/>
        <v>0.64096417068786216</v>
      </c>
      <c r="AJ55" s="1" t="s">
        <v>173</v>
      </c>
      <c r="AK55" s="65" t="s">
        <v>242</v>
      </c>
      <c r="AL55" s="65">
        <f t="shared" ca="1" si="14"/>
        <v>1</v>
      </c>
      <c r="AM55" s="3">
        <f t="shared" ca="1" si="15"/>
        <v>0.31492997973786241</v>
      </c>
    </row>
    <row r="56" spans="1:39" x14ac:dyDescent="0.3">
      <c r="A56" s="53" t="s">
        <v>303</v>
      </c>
      <c r="B56" s="54" t="s">
        <v>162</v>
      </c>
      <c r="C56" s="65" t="s">
        <v>242</v>
      </c>
      <c r="D56" s="65">
        <f t="shared" ca="1" si="0"/>
        <v>3</v>
      </c>
      <c r="E56" s="3">
        <f t="shared" ca="1" si="1"/>
        <v>0.42164788530034125</v>
      </c>
      <c r="F56" s="6">
        <f t="shared" ca="1" si="2"/>
        <v>109624.05019879935</v>
      </c>
      <c r="G56" s="6">
        <f t="shared" ca="1" si="3"/>
        <v>1685.2088742738758</v>
      </c>
      <c r="J56" s="65"/>
      <c r="K56" s="65"/>
      <c r="O56" s="1" t="s">
        <v>189</v>
      </c>
      <c r="P56" s="65" t="s">
        <v>219</v>
      </c>
      <c r="Q56" s="65">
        <f t="shared" ca="1" si="6"/>
        <v>4</v>
      </c>
      <c r="R56" s="3">
        <f t="shared" ca="1" si="7"/>
        <v>0.42011036211092723</v>
      </c>
      <c r="V56" s="53" t="s">
        <v>303</v>
      </c>
      <c r="W56" s="54" t="s">
        <v>162</v>
      </c>
      <c r="X56" s="65" t="s">
        <v>242</v>
      </c>
      <c r="Y56" s="65">
        <f t="shared" ca="1" si="8"/>
        <v>1</v>
      </c>
      <c r="Z56" s="3">
        <f t="shared" ca="1" si="9"/>
        <v>0.50548599741019318</v>
      </c>
      <c r="AA56" s="6">
        <f t="shared" ca="1" si="10"/>
        <v>189827.77774471577</v>
      </c>
      <c r="AB56" s="6">
        <f t="shared" ca="1" si="11"/>
        <v>163.64003188068233</v>
      </c>
      <c r="AE56" s="65"/>
      <c r="AF56" s="65"/>
      <c r="AJ56" s="1" t="s">
        <v>189</v>
      </c>
      <c r="AK56" s="65" t="s">
        <v>219</v>
      </c>
      <c r="AL56" s="65">
        <f t="shared" ca="1" si="14"/>
        <v>4</v>
      </c>
      <c r="AM56" s="3">
        <f t="shared" ca="1" si="15"/>
        <v>0.57143288749197374</v>
      </c>
    </row>
    <row r="57" spans="1:39" x14ac:dyDescent="0.3">
      <c r="A57" s="53" t="s">
        <v>356</v>
      </c>
      <c r="B57" s="54" t="s">
        <v>162</v>
      </c>
      <c r="C57" s="65" t="s">
        <v>242</v>
      </c>
      <c r="D57" s="65">
        <f t="shared" ca="1" si="0"/>
        <v>2</v>
      </c>
      <c r="E57" s="3">
        <f t="shared" ca="1" si="1"/>
        <v>0.56880154415615991</v>
      </c>
      <c r="F57" s="6">
        <f t="shared" ca="1" si="2"/>
        <v>95985.330225295169</v>
      </c>
      <c r="G57" s="6">
        <f t="shared" ca="1" si="3"/>
        <v>651.13122573638611</v>
      </c>
      <c r="J57" s="65"/>
      <c r="K57" s="1"/>
      <c r="O57" s="1" t="s">
        <v>294</v>
      </c>
      <c r="P57" s="65" t="s">
        <v>242</v>
      </c>
      <c r="Q57" s="65">
        <f t="shared" ca="1" si="6"/>
        <v>4</v>
      </c>
      <c r="R57" s="3">
        <f t="shared" ca="1" si="7"/>
        <v>0.99646864340112173</v>
      </c>
      <c r="V57" s="53" t="s">
        <v>356</v>
      </c>
      <c r="W57" s="54" t="s">
        <v>162</v>
      </c>
      <c r="X57" s="65" t="s">
        <v>242</v>
      </c>
      <c r="Y57" s="65">
        <f t="shared" ca="1" si="8"/>
        <v>1</v>
      </c>
      <c r="Z57" s="3">
        <f t="shared" ca="1" si="9"/>
        <v>0.26967604128693323</v>
      </c>
      <c r="AA57" s="6">
        <f t="shared" ca="1" si="10"/>
        <v>184938.90443006245</v>
      </c>
      <c r="AB57" s="6">
        <f t="shared" ca="1" si="11"/>
        <v>94.997065605715079</v>
      </c>
      <c r="AE57" s="65"/>
      <c r="AF57" s="1"/>
      <c r="AJ57" s="1" t="s">
        <v>294</v>
      </c>
      <c r="AK57" s="65" t="s">
        <v>242</v>
      </c>
      <c r="AL57" s="65">
        <f t="shared" ca="1" si="14"/>
        <v>2</v>
      </c>
      <c r="AM57" s="3">
        <f t="shared" ca="1" si="15"/>
        <v>0.59688489739990946</v>
      </c>
    </row>
    <row r="58" spans="1:39" x14ac:dyDescent="0.3">
      <c r="A58" s="53" t="s">
        <v>307</v>
      </c>
      <c r="B58" s="54" t="s">
        <v>162</v>
      </c>
      <c r="C58" s="65" t="s">
        <v>242</v>
      </c>
      <c r="D58" s="65">
        <f t="shared" ca="1" si="0"/>
        <v>2</v>
      </c>
      <c r="E58" s="3">
        <f t="shared" ca="1" si="1"/>
        <v>0.14284412556530579</v>
      </c>
      <c r="F58" s="6">
        <f t="shared" ca="1" si="2"/>
        <v>149174.24502746627</v>
      </c>
      <c r="G58" s="6">
        <f t="shared" ca="1" si="3"/>
        <v>237.19868384067965</v>
      </c>
      <c r="O58" s="1" t="s">
        <v>290</v>
      </c>
      <c r="P58" s="65" t="s">
        <v>219</v>
      </c>
      <c r="Q58" s="65">
        <f t="shared" ca="1" si="6"/>
        <v>3</v>
      </c>
      <c r="R58" s="3">
        <f t="shared" ca="1" si="7"/>
        <v>0.75886670261927947</v>
      </c>
      <c r="V58" s="53" t="s">
        <v>307</v>
      </c>
      <c r="W58" s="54" t="s">
        <v>162</v>
      </c>
      <c r="X58" s="65" t="s">
        <v>242</v>
      </c>
      <c r="Y58" s="65">
        <f t="shared" ca="1" si="8"/>
        <v>3</v>
      </c>
      <c r="Z58" s="3">
        <f t="shared" ca="1" si="9"/>
        <v>0.53669426515647745</v>
      </c>
      <c r="AA58" s="6">
        <f t="shared" ca="1" si="10"/>
        <v>155546.57271422492</v>
      </c>
      <c r="AB58" s="6">
        <f t="shared" ca="1" si="11"/>
        <v>1378.1478446401854</v>
      </c>
      <c r="AJ58" s="1" t="s">
        <v>290</v>
      </c>
      <c r="AK58" s="65" t="s">
        <v>219</v>
      </c>
      <c r="AL58" s="65">
        <f t="shared" ca="1" si="14"/>
        <v>3</v>
      </c>
      <c r="AM58" s="3">
        <f t="shared" ca="1" si="15"/>
        <v>0.43198937315831609</v>
      </c>
    </row>
    <row r="59" spans="1:39" x14ac:dyDescent="0.3">
      <c r="A59" s="53" t="s">
        <v>353</v>
      </c>
      <c r="B59" s="54" t="s">
        <v>163</v>
      </c>
      <c r="C59" s="65" t="s">
        <v>242</v>
      </c>
      <c r="D59" s="65">
        <f t="shared" ca="1" si="0"/>
        <v>1</v>
      </c>
      <c r="E59" s="3">
        <f t="shared" ca="1" si="1"/>
        <v>0.92714346291369909</v>
      </c>
      <c r="F59" s="6">
        <f t="shared" ca="1" si="2"/>
        <v>24118.490630437918</v>
      </c>
      <c r="G59" s="6">
        <f t="shared" ca="1" si="3"/>
        <v>1076.091694978616</v>
      </c>
      <c r="O59" s="1" t="s">
        <v>216</v>
      </c>
      <c r="P59" s="65" t="s">
        <v>219</v>
      </c>
      <c r="Q59" s="65">
        <f t="shared" ca="1" si="6"/>
        <v>4</v>
      </c>
      <c r="R59" s="3">
        <f t="shared" ca="1" si="7"/>
        <v>0.48675583211981233</v>
      </c>
      <c r="V59" s="53" t="s">
        <v>353</v>
      </c>
      <c r="W59" s="54" t="s">
        <v>163</v>
      </c>
      <c r="X59" s="65" t="s">
        <v>242</v>
      </c>
      <c r="Y59" s="65">
        <f t="shared" ca="1" si="8"/>
        <v>3</v>
      </c>
      <c r="Z59" s="3">
        <f t="shared" ca="1" si="9"/>
        <v>0.95258651085856483</v>
      </c>
      <c r="AA59" s="6">
        <f t="shared" ca="1" si="10"/>
        <v>125747.06699168983</v>
      </c>
      <c r="AB59" s="6">
        <f t="shared" ca="1" si="11"/>
        <v>398.6231404772613</v>
      </c>
      <c r="AJ59" s="1" t="s">
        <v>216</v>
      </c>
      <c r="AK59" s="65" t="s">
        <v>219</v>
      </c>
      <c r="AL59" s="65">
        <f t="shared" ca="1" si="14"/>
        <v>4</v>
      </c>
      <c r="AM59" s="3">
        <f t="shared" ca="1" si="15"/>
        <v>0.87986507922198265</v>
      </c>
    </row>
    <row r="60" spans="1:39" x14ac:dyDescent="0.3">
      <c r="A60" s="53" t="s">
        <v>335</v>
      </c>
      <c r="B60" s="54" t="s">
        <v>162</v>
      </c>
      <c r="C60" s="65" t="s">
        <v>242</v>
      </c>
      <c r="D60" s="65">
        <f t="shared" ca="1" si="0"/>
        <v>2</v>
      </c>
      <c r="E60" s="3">
        <f t="shared" ca="1" si="1"/>
        <v>0.54034192083640364</v>
      </c>
      <c r="F60" s="6">
        <f t="shared" ca="1" si="2"/>
        <v>191215.32542433208</v>
      </c>
      <c r="G60" s="6">
        <f t="shared" ca="1" si="3"/>
        <v>1270.9324912151255</v>
      </c>
      <c r="O60" s="1" t="s">
        <v>208</v>
      </c>
      <c r="P60" s="65" t="s">
        <v>242</v>
      </c>
      <c r="Q60" s="65">
        <f t="shared" ca="1" si="6"/>
        <v>1</v>
      </c>
      <c r="R60" s="3">
        <f t="shared" ca="1" si="7"/>
        <v>0.90583659400740557</v>
      </c>
      <c r="V60" s="53" t="s">
        <v>335</v>
      </c>
      <c r="W60" s="54" t="s">
        <v>162</v>
      </c>
      <c r="X60" s="65" t="s">
        <v>242</v>
      </c>
      <c r="Y60" s="65">
        <f t="shared" ca="1" si="8"/>
        <v>3</v>
      </c>
      <c r="Z60" s="3">
        <f t="shared" ca="1" si="9"/>
        <v>0.36364212651183947</v>
      </c>
      <c r="AA60" s="6">
        <f t="shared" ca="1" si="10"/>
        <v>10915.310004936529</v>
      </c>
      <c r="AB60" s="6">
        <f t="shared" ca="1" si="11"/>
        <v>721.452728458509</v>
      </c>
      <c r="AJ60" s="1" t="s">
        <v>208</v>
      </c>
      <c r="AK60" s="65" t="s">
        <v>242</v>
      </c>
      <c r="AL60" s="65">
        <f t="shared" ca="1" si="14"/>
        <v>4</v>
      </c>
      <c r="AM60" s="3">
        <f t="shared" ca="1" si="15"/>
        <v>0.92961162945856357</v>
      </c>
    </row>
    <row r="61" spans="1:39" x14ac:dyDescent="0.3">
      <c r="A61" s="53" t="s">
        <v>372</v>
      </c>
      <c r="B61" s="54" t="s">
        <v>163</v>
      </c>
      <c r="C61" s="65" t="s">
        <v>242</v>
      </c>
      <c r="D61" s="65">
        <f t="shared" ca="1" si="0"/>
        <v>2</v>
      </c>
      <c r="E61" s="3">
        <f t="shared" ca="1" si="1"/>
        <v>7.6664258028779297E-2</v>
      </c>
      <c r="F61" s="6">
        <f t="shared" ca="1" si="2"/>
        <v>15896.246418553983</v>
      </c>
      <c r="G61" s="6">
        <f t="shared" ca="1" si="3"/>
        <v>1670.4805379920872</v>
      </c>
      <c r="O61" s="1" t="s">
        <v>283</v>
      </c>
      <c r="P61" s="65" t="s">
        <v>242</v>
      </c>
      <c r="Q61" s="65">
        <f t="shared" ca="1" si="6"/>
        <v>1</v>
      </c>
      <c r="R61" s="3">
        <f t="shared" ca="1" si="7"/>
        <v>0.33751234139008957</v>
      </c>
      <c r="V61" s="53" t="s">
        <v>372</v>
      </c>
      <c r="W61" s="54" t="s">
        <v>163</v>
      </c>
      <c r="X61" s="65" t="s">
        <v>242</v>
      </c>
      <c r="Y61" s="65">
        <f t="shared" ca="1" si="8"/>
        <v>1</v>
      </c>
      <c r="Z61" s="3">
        <f t="shared" ca="1" si="9"/>
        <v>0.59374145727107552</v>
      </c>
      <c r="AA61" s="6">
        <f t="shared" ca="1" si="10"/>
        <v>119896.45961683297</v>
      </c>
      <c r="AB61" s="6">
        <f t="shared" ca="1" si="11"/>
        <v>1237.0829302993827</v>
      </c>
      <c r="AJ61" s="1" t="s">
        <v>283</v>
      </c>
      <c r="AK61" s="65" t="s">
        <v>242</v>
      </c>
      <c r="AL61" s="65">
        <f t="shared" ca="1" si="14"/>
        <v>4</v>
      </c>
      <c r="AM61" s="3">
        <f t="shared" ca="1" si="15"/>
        <v>0.12125288295001113</v>
      </c>
    </row>
    <row r="62" spans="1:39" x14ac:dyDescent="0.3">
      <c r="A62" s="53" t="s">
        <v>377</v>
      </c>
      <c r="B62" s="54" t="s">
        <v>163</v>
      </c>
      <c r="C62" s="65" t="s">
        <v>242</v>
      </c>
      <c r="D62" s="65">
        <f t="shared" ca="1" si="0"/>
        <v>4</v>
      </c>
      <c r="E62" s="3">
        <f t="shared" ca="1" si="1"/>
        <v>0.14856585732575167</v>
      </c>
      <c r="F62" s="6">
        <f t="shared" ca="1" si="2"/>
        <v>118899.9847525916</v>
      </c>
      <c r="G62" s="6">
        <f t="shared" ca="1" si="3"/>
        <v>335.29629849142339</v>
      </c>
      <c r="O62" s="1" t="s">
        <v>187</v>
      </c>
      <c r="P62" s="65" t="s">
        <v>219</v>
      </c>
      <c r="Q62" s="65">
        <f t="shared" ca="1" si="6"/>
        <v>2</v>
      </c>
      <c r="R62" s="3">
        <f t="shared" ca="1" si="7"/>
        <v>0.94089462661457923</v>
      </c>
      <c r="V62" s="53" t="s">
        <v>377</v>
      </c>
      <c r="W62" s="54" t="s">
        <v>163</v>
      </c>
      <c r="X62" s="65" t="s">
        <v>242</v>
      </c>
      <c r="Y62" s="65">
        <f t="shared" ca="1" si="8"/>
        <v>3</v>
      </c>
      <c r="Z62" s="3">
        <f t="shared" ca="1" si="9"/>
        <v>0.27212754327514399</v>
      </c>
      <c r="AA62" s="6">
        <f t="shared" ca="1" si="10"/>
        <v>144403.23571522196</v>
      </c>
      <c r="AB62" s="6">
        <f t="shared" ca="1" si="11"/>
        <v>305.28854356372671</v>
      </c>
      <c r="AJ62" s="1" t="s">
        <v>187</v>
      </c>
      <c r="AK62" s="65" t="s">
        <v>219</v>
      </c>
      <c r="AL62" s="65">
        <f t="shared" ca="1" si="14"/>
        <v>4</v>
      </c>
      <c r="AM62" s="3">
        <f t="shared" ca="1" si="15"/>
        <v>0.75502330117809147</v>
      </c>
    </row>
    <row r="63" spans="1:39" x14ac:dyDescent="0.3">
      <c r="A63" s="53" t="s">
        <v>306</v>
      </c>
      <c r="B63" s="54" t="s">
        <v>162</v>
      </c>
      <c r="C63" s="65" t="s">
        <v>242</v>
      </c>
      <c r="D63" s="65">
        <f t="shared" ca="1" si="0"/>
        <v>4</v>
      </c>
      <c r="E63" s="3">
        <f t="shared" ca="1" si="1"/>
        <v>0.21238766671165721</v>
      </c>
      <c r="F63" s="6">
        <f t="shared" ca="1" si="2"/>
        <v>38260.118445910375</v>
      </c>
      <c r="G63" s="6">
        <f t="shared" ca="1" si="3"/>
        <v>1777.2336772978579</v>
      </c>
      <c r="O63" s="1" t="s">
        <v>203</v>
      </c>
      <c r="P63" s="65" t="s">
        <v>242</v>
      </c>
      <c r="Q63" s="65">
        <f t="shared" ca="1" si="6"/>
        <v>2</v>
      </c>
      <c r="R63" s="3">
        <f t="shared" ca="1" si="7"/>
        <v>0.71774886062605125</v>
      </c>
      <c r="V63" s="53" t="s">
        <v>306</v>
      </c>
      <c r="W63" s="54" t="s">
        <v>162</v>
      </c>
      <c r="X63" s="65" t="s">
        <v>242</v>
      </c>
      <c r="Y63" s="65">
        <f t="shared" ca="1" si="8"/>
        <v>1</v>
      </c>
      <c r="Z63" s="3">
        <f t="shared" ca="1" si="9"/>
        <v>2.7481348171292441E-2</v>
      </c>
      <c r="AA63" s="6">
        <f t="shared" ca="1" si="10"/>
        <v>78127.252606759095</v>
      </c>
      <c r="AB63" s="6">
        <f t="shared" ca="1" si="11"/>
        <v>1241.6014525997684</v>
      </c>
      <c r="AJ63" s="1" t="s">
        <v>203</v>
      </c>
      <c r="AK63" s="65" t="s">
        <v>242</v>
      </c>
      <c r="AL63" s="65">
        <f t="shared" ca="1" si="14"/>
        <v>4</v>
      </c>
      <c r="AM63" s="3">
        <f t="shared" ca="1" si="15"/>
        <v>0.75306898163105129</v>
      </c>
    </row>
    <row r="64" spans="1:39" x14ac:dyDescent="0.3">
      <c r="A64" s="53" t="s">
        <v>316</v>
      </c>
      <c r="B64" s="54" t="s">
        <v>162</v>
      </c>
      <c r="C64" s="65" t="s">
        <v>242</v>
      </c>
      <c r="D64" s="65">
        <f t="shared" ca="1" si="0"/>
        <v>2</v>
      </c>
      <c r="E64" s="3">
        <f t="shared" ca="1" si="1"/>
        <v>0.15214572593715481</v>
      </c>
      <c r="F64" s="6">
        <f t="shared" ca="1" si="2"/>
        <v>6428.2251985118273</v>
      </c>
      <c r="G64" s="6">
        <f t="shared" ca="1" si="3"/>
        <v>1478.2027573620278</v>
      </c>
      <c r="O64" s="1" t="s">
        <v>274</v>
      </c>
      <c r="P64" s="65" t="s">
        <v>219</v>
      </c>
      <c r="Q64" s="65">
        <f t="shared" ca="1" si="6"/>
        <v>3</v>
      </c>
      <c r="R64" s="3">
        <f t="shared" ca="1" si="7"/>
        <v>0.91297774253774466</v>
      </c>
      <c r="V64" s="53" t="s">
        <v>316</v>
      </c>
      <c r="W64" s="54" t="s">
        <v>162</v>
      </c>
      <c r="X64" s="65" t="s">
        <v>242</v>
      </c>
      <c r="Y64" s="65">
        <f t="shared" ca="1" si="8"/>
        <v>4</v>
      </c>
      <c r="Z64" s="3">
        <f t="shared" ca="1" si="9"/>
        <v>0.33769536144288737</v>
      </c>
      <c r="AA64" s="6">
        <f t="shared" ca="1" si="10"/>
        <v>110058.34116451192</v>
      </c>
      <c r="AB64" s="6">
        <f t="shared" ca="1" si="11"/>
        <v>311.44332577573232</v>
      </c>
      <c r="AJ64" s="1" t="s">
        <v>274</v>
      </c>
      <c r="AK64" s="65" t="s">
        <v>219</v>
      </c>
      <c r="AL64" s="65">
        <f t="shared" ca="1" si="14"/>
        <v>4</v>
      </c>
      <c r="AM64" s="3">
        <f t="shared" ca="1" si="15"/>
        <v>0.51198143525021189</v>
      </c>
    </row>
    <row r="65" spans="1:39" x14ac:dyDescent="0.3">
      <c r="A65" s="53" t="s">
        <v>330</v>
      </c>
      <c r="B65" s="54" t="s">
        <v>162</v>
      </c>
      <c r="C65" s="65" t="s">
        <v>242</v>
      </c>
      <c r="D65" s="65">
        <f t="shared" ca="1" si="0"/>
        <v>3</v>
      </c>
      <c r="E65" s="3">
        <f t="shared" ca="1" si="1"/>
        <v>0.77949148997219742</v>
      </c>
      <c r="F65" s="6">
        <f t="shared" ca="1" si="2"/>
        <v>127215.28368794614</v>
      </c>
      <c r="G65" s="6">
        <f t="shared" ca="1" si="3"/>
        <v>1363.1936035087281</v>
      </c>
      <c r="O65" s="1" t="s">
        <v>208</v>
      </c>
      <c r="P65" s="65" t="s">
        <v>231</v>
      </c>
      <c r="Q65" s="65">
        <f t="shared" ca="1" si="6"/>
        <v>4</v>
      </c>
      <c r="R65" s="3">
        <f t="shared" ca="1" si="7"/>
        <v>0.52050534395692638</v>
      </c>
      <c r="V65" s="53" t="s">
        <v>330</v>
      </c>
      <c r="W65" s="54" t="s">
        <v>162</v>
      </c>
      <c r="X65" s="65" t="s">
        <v>242</v>
      </c>
      <c r="Y65" s="65">
        <f t="shared" ca="1" si="8"/>
        <v>1</v>
      </c>
      <c r="Z65" s="3">
        <f t="shared" ca="1" si="9"/>
        <v>0.20743737097906823</v>
      </c>
      <c r="AA65" s="6">
        <f t="shared" ca="1" si="10"/>
        <v>41981.983388371227</v>
      </c>
      <c r="AB65" s="6">
        <f t="shared" ca="1" si="11"/>
        <v>1080.6905063437455</v>
      </c>
      <c r="AJ65" s="1" t="s">
        <v>208</v>
      </c>
      <c r="AK65" s="65" t="s">
        <v>231</v>
      </c>
      <c r="AL65" s="65">
        <f t="shared" ca="1" si="14"/>
        <v>1</v>
      </c>
      <c r="AM65" s="3">
        <f t="shared" ca="1" si="15"/>
        <v>5.0141180879394787E-2</v>
      </c>
    </row>
    <row r="66" spans="1:39" x14ac:dyDescent="0.3">
      <c r="A66" s="53" t="s">
        <v>317</v>
      </c>
      <c r="B66" s="54" t="s">
        <v>163</v>
      </c>
      <c r="C66" s="65" t="s">
        <v>242</v>
      </c>
      <c r="D66" s="65">
        <f t="shared" ca="1" si="0"/>
        <v>2</v>
      </c>
      <c r="E66" s="3">
        <f t="shared" ca="1" si="1"/>
        <v>0.93878332186871449</v>
      </c>
      <c r="F66" s="6">
        <f t="shared" ca="1" si="2"/>
        <v>154953.829159321</v>
      </c>
      <c r="G66" s="6">
        <f t="shared" ca="1" si="3"/>
        <v>419.83592925685764</v>
      </c>
      <c r="O66" s="1" t="s">
        <v>191</v>
      </c>
      <c r="P66" s="65" t="s">
        <v>242</v>
      </c>
      <c r="Q66" s="65">
        <f t="shared" ca="1" si="6"/>
        <v>4</v>
      </c>
      <c r="R66" s="3">
        <f t="shared" ca="1" si="7"/>
        <v>0.35626416863297894</v>
      </c>
      <c r="V66" s="53" t="s">
        <v>317</v>
      </c>
      <c r="W66" s="54" t="s">
        <v>163</v>
      </c>
      <c r="X66" s="65" t="s">
        <v>242</v>
      </c>
      <c r="Y66" s="65">
        <f t="shared" ca="1" si="8"/>
        <v>1</v>
      </c>
      <c r="Z66" s="3">
        <f t="shared" ca="1" si="9"/>
        <v>0.24217339693119944</v>
      </c>
      <c r="AA66" s="6">
        <f t="shared" ca="1" si="10"/>
        <v>92597.638059032921</v>
      </c>
      <c r="AB66" s="6">
        <f t="shared" ca="1" si="11"/>
        <v>430.13972973941981</v>
      </c>
      <c r="AJ66" s="1" t="s">
        <v>191</v>
      </c>
      <c r="AK66" s="65" t="s">
        <v>242</v>
      </c>
      <c r="AL66" s="65">
        <f t="shared" ca="1" si="14"/>
        <v>2</v>
      </c>
      <c r="AM66" s="3">
        <f t="shared" ca="1" si="15"/>
        <v>0.9176863663546605</v>
      </c>
    </row>
    <row r="67" spans="1:39" x14ac:dyDescent="0.3">
      <c r="A67" s="53" t="s">
        <v>147</v>
      </c>
      <c r="B67" s="54" t="s">
        <v>163</v>
      </c>
      <c r="C67" s="65" t="s">
        <v>242</v>
      </c>
      <c r="D67" s="65">
        <f t="shared" ca="1" si="0"/>
        <v>2</v>
      </c>
      <c r="E67" s="3">
        <f t="shared" ca="1" si="1"/>
        <v>0.66105940603455393</v>
      </c>
      <c r="F67" s="6">
        <f t="shared" ca="1" si="2"/>
        <v>144449.53954113237</v>
      </c>
      <c r="G67" s="6">
        <f t="shared" ca="1" si="3"/>
        <v>1049.795309673123</v>
      </c>
      <c r="O67" s="1" t="s">
        <v>215</v>
      </c>
      <c r="P67" s="65" t="s">
        <v>219</v>
      </c>
      <c r="Q67" s="65">
        <f t="shared" ca="1" si="6"/>
        <v>1</v>
      </c>
      <c r="R67" s="3">
        <f t="shared" ca="1" si="7"/>
        <v>0.71717337435665807</v>
      </c>
      <c r="V67" s="53" t="s">
        <v>147</v>
      </c>
      <c r="W67" s="54" t="s">
        <v>163</v>
      </c>
      <c r="X67" s="65" t="s">
        <v>242</v>
      </c>
      <c r="Y67" s="65">
        <f t="shared" ca="1" si="8"/>
        <v>4</v>
      </c>
      <c r="Z67" s="3">
        <f t="shared" ca="1" si="9"/>
        <v>0.49781267988987898</v>
      </c>
      <c r="AA67" s="6">
        <f t="shared" ca="1" si="10"/>
        <v>59779.448072602718</v>
      </c>
      <c r="AB67" s="6">
        <f t="shared" ca="1" si="11"/>
        <v>198.62870918510666</v>
      </c>
      <c r="AJ67" s="1" t="s">
        <v>215</v>
      </c>
      <c r="AK67" s="65" t="s">
        <v>219</v>
      </c>
      <c r="AL67" s="65">
        <f t="shared" ca="1" si="14"/>
        <v>4</v>
      </c>
      <c r="AM67" s="3">
        <f t="shared" ca="1" si="15"/>
        <v>2.4777747091895286E-3</v>
      </c>
    </row>
    <row r="68" spans="1:39" x14ac:dyDescent="0.3">
      <c r="A68" s="53" t="s">
        <v>374</v>
      </c>
      <c r="B68" s="54" t="s">
        <v>164</v>
      </c>
      <c r="C68" s="65" t="s">
        <v>242</v>
      </c>
      <c r="D68" s="65">
        <f t="shared" ca="1" si="0"/>
        <v>1</v>
      </c>
      <c r="E68" s="3">
        <f t="shared" ca="1" si="1"/>
        <v>8.4935910123001279E-2</v>
      </c>
      <c r="F68" s="6">
        <f t="shared" ca="1" si="2"/>
        <v>135843.53277758043</v>
      </c>
      <c r="G68" s="6">
        <f t="shared" ca="1" si="3"/>
        <v>1711.9486932453174</v>
      </c>
      <c r="O68" s="1" t="s">
        <v>200</v>
      </c>
      <c r="P68" s="65" t="s">
        <v>242</v>
      </c>
      <c r="Q68" s="65">
        <f t="shared" ca="1" si="6"/>
        <v>2</v>
      </c>
      <c r="R68" s="3">
        <f t="shared" ca="1" si="7"/>
        <v>0.63609416068997648</v>
      </c>
      <c r="V68" s="53" t="s">
        <v>374</v>
      </c>
      <c r="W68" s="54" t="s">
        <v>164</v>
      </c>
      <c r="X68" s="65" t="s">
        <v>242</v>
      </c>
      <c r="Y68" s="65">
        <f t="shared" ca="1" si="8"/>
        <v>4</v>
      </c>
      <c r="Z68" s="3">
        <f t="shared" ca="1" si="9"/>
        <v>0.11201664174100401</v>
      </c>
      <c r="AA68" s="6">
        <f t="shared" ca="1" si="10"/>
        <v>151564.24396808844</v>
      </c>
      <c r="AB68" s="6">
        <f t="shared" ca="1" si="11"/>
        <v>1045.4100883038329</v>
      </c>
      <c r="AJ68" s="1" t="s">
        <v>200</v>
      </c>
      <c r="AK68" s="65" t="s">
        <v>242</v>
      </c>
      <c r="AL68" s="65">
        <f t="shared" ca="1" si="14"/>
        <v>4</v>
      </c>
      <c r="AM68" s="3">
        <f t="shared" ca="1" si="15"/>
        <v>0.39437178593521371</v>
      </c>
    </row>
    <row r="69" spans="1:39" x14ac:dyDescent="0.3">
      <c r="A69" s="53" t="s">
        <v>297</v>
      </c>
      <c r="B69" s="54" t="s">
        <v>162</v>
      </c>
      <c r="C69" s="65" t="s">
        <v>242</v>
      </c>
      <c r="D69" s="65">
        <f t="shared" ca="1" si="0"/>
        <v>3</v>
      </c>
      <c r="E69" s="3">
        <f t="shared" ca="1" si="1"/>
        <v>0.74634137807040346</v>
      </c>
      <c r="F69" s="6">
        <f t="shared" ca="1" si="2"/>
        <v>183719.88773479685</v>
      </c>
      <c r="G69" s="6">
        <f t="shared" ca="1" si="3"/>
        <v>583.9274930754035</v>
      </c>
      <c r="O69" s="1" t="s">
        <v>166</v>
      </c>
      <c r="P69" s="65" t="s">
        <v>231</v>
      </c>
      <c r="Q69" s="65">
        <f t="shared" ca="1" si="6"/>
        <v>3</v>
      </c>
      <c r="R69" s="3">
        <f t="shared" ca="1" si="7"/>
        <v>0.8508425976150179</v>
      </c>
      <c r="V69" s="53" t="s">
        <v>297</v>
      </c>
      <c r="W69" s="54" t="s">
        <v>162</v>
      </c>
      <c r="X69" s="65" t="s">
        <v>242</v>
      </c>
      <c r="Y69" s="65">
        <f t="shared" ca="1" si="8"/>
        <v>4</v>
      </c>
      <c r="Z69" s="3">
        <f t="shared" ca="1" si="9"/>
        <v>0.21395248933903832</v>
      </c>
      <c r="AA69" s="6">
        <f t="shared" ca="1" si="10"/>
        <v>177847.80363632416</v>
      </c>
      <c r="AB69" s="6">
        <f t="shared" ca="1" si="11"/>
        <v>10.568168780321852</v>
      </c>
      <c r="AJ69" s="1" t="s">
        <v>166</v>
      </c>
      <c r="AK69" s="65" t="s">
        <v>231</v>
      </c>
      <c r="AL69" s="65">
        <f t="shared" ca="1" si="14"/>
        <v>3</v>
      </c>
      <c r="AM69" s="3">
        <f t="shared" ca="1" si="15"/>
        <v>0.84312324075727973</v>
      </c>
    </row>
    <row r="70" spans="1:39" x14ac:dyDescent="0.3">
      <c r="A70" s="53" t="s">
        <v>367</v>
      </c>
      <c r="B70" s="54" t="s">
        <v>162</v>
      </c>
      <c r="C70" s="65" t="s">
        <v>242</v>
      </c>
      <c r="D70" s="65">
        <f t="shared" ca="1" si="0"/>
        <v>1</v>
      </c>
      <c r="E70" s="3">
        <f t="shared" ca="1" si="1"/>
        <v>0.19710781682026213</v>
      </c>
      <c r="F70" s="6">
        <f t="shared" ca="1" si="2"/>
        <v>184131.65821319816</v>
      </c>
      <c r="G70" s="6">
        <f t="shared" ca="1" si="3"/>
        <v>970.14137566457009</v>
      </c>
      <c r="O70" s="1" t="s">
        <v>190</v>
      </c>
      <c r="P70" s="65" t="s">
        <v>242</v>
      </c>
      <c r="Q70" s="65">
        <f t="shared" ca="1" si="6"/>
        <v>3</v>
      </c>
      <c r="R70" s="3">
        <f t="shared" ca="1" si="7"/>
        <v>0.63806406082070855</v>
      </c>
      <c r="V70" s="53" t="s">
        <v>367</v>
      </c>
      <c r="W70" s="54" t="s">
        <v>162</v>
      </c>
      <c r="X70" s="65" t="s">
        <v>242</v>
      </c>
      <c r="Y70" s="65">
        <f t="shared" ca="1" si="8"/>
        <v>4</v>
      </c>
      <c r="Z70" s="3">
        <f t="shared" ca="1" si="9"/>
        <v>0.77029702127119015</v>
      </c>
      <c r="AA70" s="6">
        <f t="shared" ca="1" si="10"/>
        <v>47848.57946755756</v>
      </c>
      <c r="AB70" s="6">
        <f t="shared" ca="1" si="11"/>
        <v>1794.3195775676984</v>
      </c>
      <c r="AJ70" s="1" t="s">
        <v>190</v>
      </c>
      <c r="AK70" s="65" t="s">
        <v>242</v>
      </c>
      <c r="AL70" s="65">
        <f t="shared" ca="1" si="14"/>
        <v>2</v>
      </c>
      <c r="AM70" s="3">
        <f t="shared" ca="1" si="15"/>
        <v>0.29676393796179545</v>
      </c>
    </row>
    <row r="71" spans="1:39" x14ac:dyDescent="0.3">
      <c r="A71" s="53" t="s">
        <v>359</v>
      </c>
      <c r="B71" s="54" t="s">
        <v>163</v>
      </c>
      <c r="C71" s="65" t="s">
        <v>242</v>
      </c>
      <c r="D71" s="65">
        <f t="shared" ca="1" si="0"/>
        <v>2</v>
      </c>
      <c r="E71" s="3">
        <f t="shared" ca="1" si="1"/>
        <v>0.45776218371943267</v>
      </c>
      <c r="F71" s="6">
        <f t="shared" ca="1" si="2"/>
        <v>14973.888025052373</v>
      </c>
      <c r="G71" s="6">
        <f t="shared" ca="1" si="3"/>
        <v>1630.0336342543167</v>
      </c>
      <c r="O71" s="1" t="s">
        <v>187</v>
      </c>
      <c r="P71" s="65" t="s">
        <v>231</v>
      </c>
      <c r="Q71" s="65">
        <f t="shared" ca="1" si="6"/>
        <v>3</v>
      </c>
      <c r="R71" s="3">
        <f t="shared" ca="1" si="7"/>
        <v>0.23632031783103558</v>
      </c>
      <c r="V71" s="53" t="s">
        <v>359</v>
      </c>
      <c r="W71" s="54" t="s">
        <v>163</v>
      </c>
      <c r="X71" s="65" t="s">
        <v>242</v>
      </c>
      <c r="Y71" s="65">
        <f t="shared" ca="1" si="8"/>
        <v>3</v>
      </c>
      <c r="Z71" s="3">
        <f t="shared" ca="1" si="9"/>
        <v>0.3003541994429606</v>
      </c>
      <c r="AA71" s="6">
        <f t="shared" ca="1" si="10"/>
        <v>109888.08972673312</v>
      </c>
      <c r="AB71" s="6">
        <f t="shared" ca="1" si="11"/>
        <v>254.72139428043761</v>
      </c>
      <c r="AJ71" s="1" t="s">
        <v>187</v>
      </c>
      <c r="AK71" s="65" t="s">
        <v>231</v>
      </c>
      <c r="AL71" s="65">
        <f t="shared" ca="1" si="14"/>
        <v>3</v>
      </c>
      <c r="AM71" s="3">
        <f t="shared" ca="1" si="15"/>
        <v>0.73389884930019134</v>
      </c>
    </row>
    <row r="72" spans="1:39" x14ac:dyDescent="0.3">
      <c r="A72" s="53" t="s">
        <v>351</v>
      </c>
      <c r="B72" s="54" t="s">
        <v>162</v>
      </c>
      <c r="C72" s="65" t="s">
        <v>242</v>
      </c>
      <c r="D72" s="65">
        <f t="shared" ca="1" si="0"/>
        <v>3</v>
      </c>
      <c r="E72" s="3">
        <f t="shared" ca="1" si="1"/>
        <v>0.67721846077456416</v>
      </c>
      <c r="F72" s="6">
        <f t="shared" ca="1" si="2"/>
        <v>116462.86254929184</v>
      </c>
      <c r="G72" s="6">
        <f t="shared" ca="1" si="3"/>
        <v>1000.6312914194599</v>
      </c>
      <c r="O72" s="1" t="s">
        <v>218</v>
      </c>
      <c r="P72" s="65" t="s">
        <v>242</v>
      </c>
      <c r="Q72" s="65">
        <f t="shared" ca="1" si="6"/>
        <v>4</v>
      </c>
      <c r="R72" s="3">
        <f t="shared" ca="1" si="7"/>
        <v>0.55568689150827244</v>
      </c>
      <c r="V72" s="53" t="s">
        <v>351</v>
      </c>
      <c r="W72" s="54" t="s">
        <v>162</v>
      </c>
      <c r="X72" s="65" t="s">
        <v>242</v>
      </c>
      <c r="Y72" s="65">
        <f t="shared" ca="1" si="8"/>
        <v>2</v>
      </c>
      <c r="Z72" s="3">
        <f t="shared" ca="1" si="9"/>
        <v>0.41172922569286674</v>
      </c>
      <c r="AA72" s="6">
        <f t="shared" ca="1" si="10"/>
        <v>92765.766817182011</v>
      </c>
      <c r="AB72" s="6">
        <f t="shared" ca="1" si="11"/>
        <v>1519.76760072926</v>
      </c>
      <c r="AJ72" s="1" t="s">
        <v>218</v>
      </c>
      <c r="AK72" s="65" t="s">
        <v>242</v>
      </c>
      <c r="AL72" s="65">
        <f t="shared" ca="1" si="14"/>
        <v>4</v>
      </c>
      <c r="AM72" s="3">
        <f t="shared" ca="1" si="15"/>
        <v>0.37384975343075966</v>
      </c>
    </row>
    <row r="73" spans="1:39" x14ac:dyDescent="0.3">
      <c r="A73" s="53" t="s">
        <v>379</v>
      </c>
      <c r="B73" s="54" t="s">
        <v>163</v>
      </c>
      <c r="C73" s="65" t="s">
        <v>242</v>
      </c>
      <c r="D73" s="65">
        <f t="shared" ca="1" si="0"/>
        <v>4</v>
      </c>
      <c r="E73" s="3">
        <f t="shared" ca="1" si="1"/>
        <v>0.28046704601631811</v>
      </c>
      <c r="F73" s="6">
        <f t="shared" ca="1" si="2"/>
        <v>46676.796836306436</v>
      </c>
      <c r="G73" s="6">
        <f t="shared" ca="1" si="3"/>
        <v>551.15444819893503</v>
      </c>
      <c r="O73" s="1" t="s">
        <v>178</v>
      </c>
      <c r="P73" s="65" t="s">
        <v>219</v>
      </c>
      <c r="Q73" s="65">
        <f t="shared" ca="1" si="6"/>
        <v>1</v>
      </c>
      <c r="R73" s="3">
        <f t="shared" ca="1" si="7"/>
        <v>0.70637163169073525</v>
      </c>
      <c r="V73" s="53" t="s">
        <v>379</v>
      </c>
      <c r="W73" s="54" t="s">
        <v>163</v>
      </c>
      <c r="X73" s="65" t="s">
        <v>242</v>
      </c>
      <c r="Y73" s="65">
        <f t="shared" ca="1" si="8"/>
        <v>2</v>
      </c>
      <c r="Z73" s="3">
        <f t="shared" ca="1" si="9"/>
        <v>0.52037248051894547</v>
      </c>
      <c r="AA73" s="6">
        <f t="shared" ca="1" si="10"/>
        <v>5527.6437675194638</v>
      </c>
      <c r="AB73" s="6">
        <f t="shared" ca="1" si="11"/>
        <v>1688.7270887931518</v>
      </c>
      <c r="AJ73" s="1" t="s">
        <v>178</v>
      </c>
      <c r="AK73" s="65" t="s">
        <v>219</v>
      </c>
      <c r="AL73" s="65">
        <f t="shared" ca="1" si="14"/>
        <v>2</v>
      </c>
      <c r="AM73" s="3">
        <f t="shared" ca="1" si="15"/>
        <v>0.66735258679038367</v>
      </c>
    </row>
    <row r="74" spans="1:39" x14ac:dyDescent="0.3">
      <c r="A74" s="53" t="s">
        <v>380</v>
      </c>
      <c r="B74" s="54" t="s">
        <v>162</v>
      </c>
      <c r="C74" s="65" t="s">
        <v>242</v>
      </c>
      <c r="D74" s="65">
        <f t="shared" ca="1" si="0"/>
        <v>3</v>
      </c>
      <c r="E74" s="3">
        <f t="shared" ca="1" si="1"/>
        <v>0.11794235326074354</v>
      </c>
      <c r="F74" s="6">
        <f t="shared" ca="1" si="2"/>
        <v>178932.75176085375</v>
      </c>
      <c r="G74" s="6">
        <f t="shared" ca="1" si="3"/>
        <v>458.66373287069263</v>
      </c>
      <c r="O74" s="1" t="s">
        <v>288</v>
      </c>
      <c r="P74" s="65" t="s">
        <v>219</v>
      </c>
      <c r="Q74" s="65">
        <f t="shared" ca="1" si="6"/>
        <v>3</v>
      </c>
      <c r="R74" s="3">
        <f t="shared" ca="1" si="7"/>
        <v>0.79562993389243231</v>
      </c>
      <c r="V74" s="53" t="s">
        <v>380</v>
      </c>
      <c r="W74" s="54" t="s">
        <v>162</v>
      </c>
      <c r="X74" s="65" t="s">
        <v>242</v>
      </c>
      <c r="Y74" s="65">
        <f t="shared" ca="1" si="8"/>
        <v>1</v>
      </c>
      <c r="Z74" s="3">
        <f t="shared" ca="1" si="9"/>
        <v>0.40685449254410266</v>
      </c>
      <c r="AA74" s="6">
        <f t="shared" ca="1" si="10"/>
        <v>170710.02702625157</v>
      </c>
      <c r="AB74" s="6">
        <f t="shared" ca="1" si="11"/>
        <v>69.009541927177224</v>
      </c>
      <c r="AJ74" s="1" t="s">
        <v>288</v>
      </c>
      <c r="AK74" s="65" t="s">
        <v>219</v>
      </c>
      <c r="AL74" s="65">
        <f t="shared" ca="1" si="14"/>
        <v>3</v>
      </c>
      <c r="AM74" s="3">
        <f t="shared" ca="1" si="15"/>
        <v>6.1706528110146763E-2</v>
      </c>
    </row>
    <row r="75" spans="1:39" x14ac:dyDescent="0.3">
      <c r="A75" s="53" t="s">
        <v>300</v>
      </c>
      <c r="B75" s="54" t="s">
        <v>162</v>
      </c>
      <c r="C75" s="65" t="s">
        <v>242</v>
      </c>
      <c r="D75" s="65">
        <f t="shared" ca="1" si="0"/>
        <v>4</v>
      </c>
      <c r="E75" s="3">
        <f t="shared" ca="1" si="1"/>
        <v>0.87819249010340517</v>
      </c>
      <c r="F75" s="6">
        <f t="shared" ca="1" si="2"/>
        <v>90211.965934719337</v>
      </c>
      <c r="G75" s="6">
        <f t="shared" ca="1" si="3"/>
        <v>1772.1608972161798</v>
      </c>
      <c r="O75" s="1" t="s">
        <v>170</v>
      </c>
      <c r="P75" s="65" t="s">
        <v>231</v>
      </c>
      <c r="Q75" s="65">
        <f t="shared" ca="1" si="6"/>
        <v>1</v>
      </c>
      <c r="R75" s="3">
        <f t="shared" ca="1" si="7"/>
        <v>0.51714146217074097</v>
      </c>
      <c r="V75" s="53" t="s">
        <v>300</v>
      </c>
      <c r="W75" s="54" t="s">
        <v>162</v>
      </c>
      <c r="X75" s="65" t="s">
        <v>242</v>
      </c>
      <c r="Y75" s="65">
        <f t="shared" ca="1" si="8"/>
        <v>2</v>
      </c>
      <c r="Z75" s="3">
        <f t="shared" ca="1" si="9"/>
        <v>0.7027845182239234</v>
      </c>
      <c r="AA75" s="6">
        <f t="shared" ca="1" si="10"/>
        <v>51351.002152373469</v>
      </c>
      <c r="AB75" s="6">
        <f t="shared" ca="1" si="11"/>
        <v>1716.8158705022863</v>
      </c>
      <c r="AJ75" s="1" t="s">
        <v>170</v>
      </c>
      <c r="AK75" s="65" t="s">
        <v>231</v>
      </c>
      <c r="AL75" s="65">
        <f t="shared" ca="1" si="14"/>
        <v>1</v>
      </c>
      <c r="AM75" s="3">
        <f t="shared" ca="1" si="15"/>
        <v>0.21849420277035159</v>
      </c>
    </row>
    <row r="76" spans="1:39" x14ac:dyDescent="0.3">
      <c r="A76" s="53" t="s">
        <v>385</v>
      </c>
      <c r="B76" s="54" t="s">
        <v>162</v>
      </c>
      <c r="C76" s="65" t="s">
        <v>242</v>
      </c>
      <c r="D76" s="65">
        <f t="shared" ca="1" si="0"/>
        <v>3</v>
      </c>
      <c r="E76" s="3">
        <f t="shared" ca="1" si="1"/>
        <v>5.8479090163822467E-2</v>
      </c>
      <c r="F76" s="6">
        <f t="shared" ca="1" si="2"/>
        <v>22248.196292633347</v>
      </c>
      <c r="G76" s="6">
        <f t="shared" ca="1" si="3"/>
        <v>1824.6718658190719</v>
      </c>
      <c r="O76" s="1" t="s">
        <v>276</v>
      </c>
      <c r="P76" s="65" t="s">
        <v>219</v>
      </c>
      <c r="Q76" s="65">
        <f t="shared" ca="1" si="6"/>
        <v>4</v>
      </c>
      <c r="R76" s="3">
        <f t="shared" ca="1" si="7"/>
        <v>0.43157508689444446</v>
      </c>
      <c r="V76" s="53" t="s">
        <v>385</v>
      </c>
      <c r="W76" s="54" t="s">
        <v>162</v>
      </c>
      <c r="X76" s="65" t="s">
        <v>242</v>
      </c>
      <c r="Y76" s="65">
        <f t="shared" ca="1" si="8"/>
        <v>2</v>
      </c>
      <c r="Z76" s="3">
        <f t="shared" ca="1" si="9"/>
        <v>0.37160294643942915</v>
      </c>
      <c r="AA76" s="6">
        <f t="shared" ca="1" si="10"/>
        <v>4065.6837468694639</v>
      </c>
      <c r="AB76" s="6">
        <f t="shared" ca="1" si="11"/>
        <v>831.09616158729534</v>
      </c>
      <c r="AJ76" s="1" t="s">
        <v>276</v>
      </c>
      <c r="AK76" s="65" t="s">
        <v>219</v>
      </c>
      <c r="AL76" s="65">
        <f t="shared" ca="1" si="14"/>
        <v>3</v>
      </c>
      <c r="AM76" s="3">
        <f t="shared" ca="1" si="15"/>
        <v>0.83134199295972289</v>
      </c>
    </row>
    <row r="77" spans="1:39" x14ac:dyDescent="0.3">
      <c r="A77" s="53" t="s">
        <v>331</v>
      </c>
      <c r="B77" s="54" t="s">
        <v>162</v>
      </c>
      <c r="C77" s="65" t="s">
        <v>242</v>
      </c>
      <c r="D77" s="65">
        <f t="shared" ref="D77:D140" ca="1" si="22">INT(RAND()*4)+1</f>
        <v>1</v>
      </c>
      <c r="E77" s="3">
        <f t="shared" ref="E77:E140" ca="1" si="23">RAND()</f>
        <v>0.15830191061602616</v>
      </c>
      <c r="F77" s="6">
        <f t="shared" ref="F77:F140" ca="1" si="24">RAND()*200000</f>
        <v>79468.143091290403</v>
      </c>
      <c r="G77" s="6">
        <f t="shared" ref="G77:G140" ca="1" si="25">RAND()*2000</f>
        <v>252.97337388562724</v>
      </c>
      <c r="O77" s="1" t="s">
        <v>194</v>
      </c>
      <c r="P77" s="65" t="s">
        <v>219</v>
      </c>
      <c r="Q77" s="65">
        <f t="shared" ref="Q77:Q123" ca="1" si="26">INT(RAND()*4)+1</f>
        <v>2</v>
      </c>
      <c r="R77" s="3">
        <f t="shared" ref="R77:R123" ca="1" si="27">RAND()</f>
        <v>0.72951781349556422</v>
      </c>
      <c r="V77" s="53" t="s">
        <v>331</v>
      </c>
      <c r="W77" s="54" t="s">
        <v>162</v>
      </c>
      <c r="X77" s="65" t="s">
        <v>242</v>
      </c>
      <c r="Y77" s="65">
        <f t="shared" ref="Y77:Y140" ca="1" si="28">INT(RAND()*4)+1</f>
        <v>2</v>
      </c>
      <c r="Z77" s="3">
        <f t="shared" ref="Z77:Z140" ca="1" si="29">RAND()</f>
        <v>0.39973356785575076</v>
      </c>
      <c r="AA77" s="6">
        <f t="shared" ref="AA77:AA140" ca="1" si="30">RAND()*200000</f>
        <v>23192.09190126188</v>
      </c>
      <c r="AB77" s="6">
        <f t="shared" ref="AB77:AB140" ca="1" si="31">RAND()*2000</f>
        <v>1402.1970202090188</v>
      </c>
      <c r="AJ77" s="1" t="s">
        <v>194</v>
      </c>
      <c r="AK77" s="65" t="s">
        <v>219</v>
      </c>
      <c r="AL77" s="65">
        <f t="shared" ref="AL77:AL123" ca="1" si="32">INT(RAND()*4)+1</f>
        <v>1</v>
      </c>
      <c r="AM77" s="3">
        <f t="shared" ref="AM77:AM123" ca="1" si="33">RAND()</f>
        <v>0.40330870887725767</v>
      </c>
    </row>
    <row r="78" spans="1:39" x14ac:dyDescent="0.3">
      <c r="A78" s="53" t="s">
        <v>395</v>
      </c>
      <c r="B78" s="54" t="s">
        <v>162</v>
      </c>
      <c r="C78" s="65" t="s">
        <v>242</v>
      </c>
      <c r="D78" s="65">
        <f t="shared" ca="1" si="22"/>
        <v>2</v>
      </c>
      <c r="E78" s="3">
        <f t="shared" ca="1" si="23"/>
        <v>0.63474522307491787</v>
      </c>
      <c r="F78" s="6">
        <f t="shared" ca="1" si="24"/>
        <v>126369.15972714307</v>
      </c>
      <c r="G78" s="6">
        <f t="shared" ca="1" si="25"/>
        <v>1189.5488023740345</v>
      </c>
      <c r="O78" s="1" t="s">
        <v>210</v>
      </c>
      <c r="P78" s="65" t="s">
        <v>231</v>
      </c>
      <c r="Q78" s="65">
        <f t="shared" ca="1" si="26"/>
        <v>4</v>
      </c>
      <c r="R78" s="3">
        <f t="shared" ca="1" si="27"/>
        <v>0.30244309640159162</v>
      </c>
      <c r="V78" s="53" t="s">
        <v>395</v>
      </c>
      <c r="W78" s="54" t="s">
        <v>162</v>
      </c>
      <c r="X78" s="65" t="s">
        <v>242</v>
      </c>
      <c r="Y78" s="65">
        <f t="shared" ca="1" si="28"/>
        <v>3</v>
      </c>
      <c r="Z78" s="3">
        <f t="shared" ca="1" si="29"/>
        <v>0.70101654357629406</v>
      </c>
      <c r="AA78" s="6">
        <f t="shared" ca="1" si="30"/>
        <v>13492.058464316959</v>
      </c>
      <c r="AB78" s="6">
        <f t="shared" ca="1" si="31"/>
        <v>909.07385961663306</v>
      </c>
      <c r="AJ78" s="1" t="s">
        <v>210</v>
      </c>
      <c r="AK78" s="65" t="s">
        <v>231</v>
      </c>
      <c r="AL78" s="65">
        <f t="shared" ca="1" si="32"/>
        <v>1</v>
      </c>
      <c r="AM78" s="3">
        <f t="shared" ca="1" si="33"/>
        <v>0.84392761731960397</v>
      </c>
    </row>
    <row r="79" spans="1:39" x14ac:dyDescent="0.3">
      <c r="A79" s="53" t="s">
        <v>295</v>
      </c>
      <c r="B79" s="54" t="s">
        <v>162</v>
      </c>
      <c r="C79" s="65" t="s">
        <v>242</v>
      </c>
      <c r="D79" s="65">
        <f t="shared" ca="1" si="22"/>
        <v>1</v>
      </c>
      <c r="E79" s="3">
        <f t="shared" ca="1" si="23"/>
        <v>0.13689291873911413</v>
      </c>
      <c r="F79" s="6">
        <f t="shared" ca="1" si="24"/>
        <v>153465.16882441184</v>
      </c>
      <c r="G79" s="6">
        <f t="shared" ca="1" si="25"/>
        <v>1974.3037618980011</v>
      </c>
      <c r="O79" s="1" t="s">
        <v>189</v>
      </c>
      <c r="P79" s="65" t="s">
        <v>231</v>
      </c>
      <c r="Q79" s="65">
        <f t="shared" ca="1" si="26"/>
        <v>1</v>
      </c>
      <c r="R79" s="3">
        <f t="shared" ca="1" si="27"/>
        <v>0.23224013510473873</v>
      </c>
      <c r="V79" s="53" t="s">
        <v>295</v>
      </c>
      <c r="W79" s="54" t="s">
        <v>162</v>
      </c>
      <c r="X79" s="65" t="s">
        <v>242</v>
      </c>
      <c r="Y79" s="65">
        <f t="shared" ca="1" si="28"/>
        <v>4</v>
      </c>
      <c r="Z79" s="3">
        <f t="shared" ca="1" si="29"/>
        <v>0.49490719561915453</v>
      </c>
      <c r="AA79" s="6">
        <f t="shared" ca="1" si="30"/>
        <v>174606.52728817603</v>
      </c>
      <c r="AB79" s="6">
        <f t="shared" ca="1" si="31"/>
        <v>377.79264099436307</v>
      </c>
      <c r="AJ79" s="1" t="s">
        <v>189</v>
      </c>
      <c r="AK79" s="65" t="s">
        <v>231</v>
      </c>
      <c r="AL79" s="65">
        <f t="shared" ca="1" si="32"/>
        <v>1</v>
      </c>
      <c r="AM79" s="3">
        <f t="shared" ca="1" si="33"/>
        <v>0.65653481494104993</v>
      </c>
    </row>
    <row r="80" spans="1:39" x14ac:dyDescent="0.3">
      <c r="A80" s="53" t="s">
        <v>311</v>
      </c>
      <c r="B80" s="54" t="s">
        <v>162</v>
      </c>
      <c r="C80" s="65" t="s">
        <v>242</v>
      </c>
      <c r="D80" s="65">
        <f t="shared" ca="1" si="22"/>
        <v>3</v>
      </c>
      <c r="E80" s="3">
        <f t="shared" ca="1" si="23"/>
        <v>0.30920408769265029</v>
      </c>
      <c r="F80" s="6">
        <f t="shared" ca="1" si="24"/>
        <v>75925.037610488769</v>
      </c>
      <c r="G80" s="6">
        <f t="shared" ca="1" si="25"/>
        <v>579.35359887217362</v>
      </c>
      <c r="O80" s="1" t="s">
        <v>286</v>
      </c>
      <c r="P80" s="65" t="s">
        <v>242</v>
      </c>
      <c r="Q80" s="65">
        <f t="shared" ca="1" si="26"/>
        <v>1</v>
      </c>
      <c r="R80" s="3">
        <f t="shared" ca="1" si="27"/>
        <v>0.82737876116397868</v>
      </c>
      <c r="V80" s="53" t="s">
        <v>311</v>
      </c>
      <c r="W80" s="54" t="s">
        <v>162</v>
      </c>
      <c r="X80" s="65" t="s">
        <v>242</v>
      </c>
      <c r="Y80" s="65">
        <f t="shared" ca="1" si="28"/>
        <v>2</v>
      </c>
      <c r="Z80" s="3">
        <f t="shared" ca="1" si="29"/>
        <v>0.9185071380875276</v>
      </c>
      <c r="AA80" s="6">
        <f t="shared" ca="1" si="30"/>
        <v>175454.62969140842</v>
      </c>
      <c r="AB80" s="6">
        <f t="shared" ca="1" si="31"/>
        <v>1125.8419687353182</v>
      </c>
      <c r="AJ80" s="1" t="s">
        <v>286</v>
      </c>
      <c r="AK80" s="65" t="s">
        <v>242</v>
      </c>
      <c r="AL80" s="65">
        <f t="shared" ca="1" si="32"/>
        <v>3</v>
      </c>
      <c r="AM80" s="3">
        <f t="shared" ca="1" si="33"/>
        <v>0.43479030999631629</v>
      </c>
    </row>
    <row r="81" spans="1:39" x14ac:dyDescent="0.3">
      <c r="A81" s="53" t="s">
        <v>319</v>
      </c>
      <c r="B81" s="54" t="s">
        <v>162</v>
      </c>
      <c r="C81" s="65" t="s">
        <v>242</v>
      </c>
      <c r="D81" s="65">
        <f t="shared" ca="1" si="22"/>
        <v>1</v>
      </c>
      <c r="E81" s="3">
        <f t="shared" ca="1" si="23"/>
        <v>0.5951636676375438</v>
      </c>
      <c r="F81" s="6">
        <f t="shared" ca="1" si="24"/>
        <v>64387.765933746574</v>
      </c>
      <c r="G81" s="6">
        <f t="shared" ca="1" si="25"/>
        <v>914.60624069244113</v>
      </c>
      <c r="O81" s="1" t="s">
        <v>179</v>
      </c>
      <c r="P81" s="65" t="s">
        <v>231</v>
      </c>
      <c r="Q81" s="65">
        <f t="shared" ca="1" si="26"/>
        <v>4</v>
      </c>
      <c r="R81" s="3">
        <f t="shared" ca="1" si="27"/>
        <v>8.8941716539061688E-2</v>
      </c>
      <c r="V81" s="53" t="s">
        <v>319</v>
      </c>
      <c r="W81" s="54" t="s">
        <v>162</v>
      </c>
      <c r="X81" s="65" t="s">
        <v>242</v>
      </c>
      <c r="Y81" s="65">
        <f t="shared" ca="1" si="28"/>
        <v>3</v>
      </c>
      <c r="Z81" s="3">
        <f t="shared" ca="1" si="29"/>
        <v>0.31055895298111158</v>
      </c>
      <c r="AA81" s="6">
        <f t="shared" ca="1" si="30"/>
        <v>117828.7533755046</v>
      </c>
      <c r="AB81" s="6">
        <f t="shared" ca="1" si="31"/>
        <v>839.20464860426262</v>
      </c>
      <c r="AJ81" s="1" t="s">
        <v>179</v>
      </c>
      <c r="AK81" s="65" t="s">
        <v>231</v>
      </c>
      <c r="AL81" s="65">
        <f t="shared" ca="1" si="32"/>
        <v>4</v>
      </c>
      <c r="AM81" s="3">
        <f t="shared" ca="1" si="33"/>
        <v>0.30510379038555901</v>
      </c>
    </row>
    <row r="82" spans="1:39" x14ac:dyDescent="0.3">
      <c r="A82" s="53" t="s">
        <v>393</v>
      </c>
      <c r="B82" s="54" t="s">
        <v>162</v>
      </c>
      <c r="C82" s="65" t="s">
        <v>242</v>
      </c>
      <c r="D82" s="65">
        <f t="shared" ca="1" si="22"/>
        <v>2</v>
      </c>
      <c r="E82" s="3">
        <f t="shared" ca="1" si="23"/>
        <v>0.93980678934274542</v>
      </c>
      <c r="F82" s="6">
        <f t="shared" ca="1" si="24"/>
        <v>151846.74939809641</v>
      </c>
      <c r="G82" s="6">
        <f t="shared" ca="1" si="25"/>
        <v>1922.8053006564814</v>
      </c>
      <c r="O82" s="1" t="s">
        <v>206</v>
      </c>
      <c r="P82" s="65" t="s">
        <v>242</v>
      </c>
      <c r="Q82" s="65">
        <f t="shared" ca="1" si="26"/>
        <v>3</v>
      </c>
      <c r="R82" s="3">
        <f t="shared" ca="1" si="27"/>
        <v>0.87955993450114212</v>
      </c>
      <c r="V82" s="53" t="s">
        <v>393</v>
      </c>
      <c r="W82" s="54" t="s">
        <v>162</v>
      </c>
      <c r="X82" s="65" t="s">
        <v>242</v>
      </c>
      <c r="Y82" s="65">
        <f t="shared" ca="1" si="28"/>
        <v>1</v>
      </c>
      <c r="Z82" s="3">
        <f t="shared" ca="1" si="29"/>
        <v>0.17222499677747971</v>
      </c>
      <c r="AA82" s="6">
        <f t="shared" ca="1" si="30"/>
        <v>5195.276871788712</v>
      </c>
      <c r="AB82" s="6">
        <f t="shared" ca="1" si="31"/>
        <v>1904.3403415758228</v>
      </c>
      <c r="AJ82" s="1" t="s">
        <v>206</v>
      </c>
      <c r="AK82" s="65" t="s">
        <v>242</v>
      </c>
      <c r="AL82" s="65">
        <f t="shared" ca="1" si="32"/>
        <v>1</v>
      </c>
      <c r="AM82" s="3">
        <f t="shared" ca="1" si="33"/>
        <v>0.43858876227369226</v>
      </c>
    </row>
    <row r="83" spans="1:39" x14ac:dyDescent="0.3">
      <c r="A83" s="53" t="s">
        <v>381</v>
      </c>
      <c r="B83" s="54" t="s">
        <v>162</v>
      </c>
      <c r="C83" s="65" t="s">
        <v>242</v>
      </c>
      <c r="D83" s="65">
        <f t="shared" ca="1" si="22"/>
        <v>1</v>
      </c>
      <c r="E83" s="3">
        <f t="shared" ca="1" si="23"/>
        <v>0.45256470092831136</v>
      </c>
      <c r="F83" s="6">
        <f t="shared" ca="1" si="24"/>
        <v>57593.439622765844</v>
      </c>
      <c r="G83" s="6">
        <f t="shared" ca="1" si="25"/>
        <v>1987.189263387547</v>
      </c>
      <c r="O83" s="1" t="s">
        <v>169</v>
      </c>
      <c r="P83" s="65" t="s">
        <v>231</v>
      </c>
      <c r="Q83" s="65">
        <f t="shared" ca="1" si="26"/>
        <v>4</v>
      </c>
      <c r="R83" s="3">
        <f t="shared" ca="1" si="27"/>
        <v>0.67020161211563911</v>
      </c>
      <c r="V83" s="53" t="s">
        <v>381</v>
      </c>
      <c r="W83" s="54" t="s">
        <v>162</v>
      </c>
      <c r="X83" s="65" t="s">
        <v>242</v>
      </c>
      <c r="Y83" s="65">
        <f t="shared" ca="1" si="28"/>
        <v>4</v>
      </c>
      <c r="Z83" s="3">
        <f t="shared" ca="1" si="29"/>
        <v>0.32637728226814111</v>
      </c>
      <c r="AA83" s="6">
        <f t="shared" ca="1" si="30"/>
        <v>90651.874249071509</v>
      </c>
      <c r="AB83" s="6">
        <f t="shared" ca="1" si="31"/>
        <v>1936.6860194729961</v>
      </c>
      <c r="AJ83" s="1" t="s">
        <v>169</v>
      </c>
      <c r="AK83" s="65" t="s">
        <v>231</v>
      </c>
      <c r="AL83" s="65">
        <f t="shared" ca="1" si="32"/>
        <v>4</v>
      </c>
      <c r="AM83" s="3">
        <f t="shared" ca="1" si="33"/>
        <v>0.12248929923873852</v>
      </c>
    </row>
    <row r="84" spans="1:39" x14ac:dyDescent="0.3">
      <c r="A84" s="53" t="s">
        <v>101</v>
      </c>
      <c r="B84" s="54" t="s">
        <v>162</v>
      </c>
      <c r="C84" s="65" t="s">
        <v>242</v>
      </c>
      <c r="D84" s="65">
        <f t="shared" ca="1" si="22"/>
        <v>1</v>
      </c>
      <c r="E84" s="3">
        <f t="shared" ca="1" si="23"/>
        <v>0.46155055307882076</v>
      </c>
      <c r="F84" s="6">
        <f t="shared" ca="1" si="24"/>
        <v>181661.27642062801</v>
      </c>
      <c r="G84" s="6">
        <f t="shared" ca="1" si="25"/>
        <v>1325.1933955917962</v>
      </c>
      <c r="O84" s="1" t="s">
        <v>167</v>
      </c>
      <c r="P84" s="65" t="s">
        <v>231</v>
      </c>
      <c r="Q84" s="65">
        <f t="shared" ca="1" si="26"/>
        <v>1</v>
      </c>
      <c r="R84" s="3">
        <f t="shared" ca="1" si="27"/>
        <v>0.2599649397783258</v>
      </c>
      <c r="V84" s="53" t="s">
        <v>101</v>
      </c>
      <c r="W84" s="54" t="s">
        <v>162</v>
      </c>
      <c r="X84" s="65" t="s">
        <v>242</v>
      </c>
      <c r="Y84" s="65">
        <f t="shared" ca="1" si="28"/>
        <v>3</v>
      </c>
      <c r="Z84" s="3">
        <f t="shared" ca="1" si="29"/>
        <v>6.4763237713191701E-2</v>
      </c>
      <c r="AA84" s="6">
        <f t="shared" ca="1" si="30"/>
        <v>39021.678176321984</v>
      </c>
      <c r="AB84" s="6">
        <f t="shared" ca="1" si="31"/>
        <v>628.34942756089049</v>
      </c>
      <c r="AJ84" s="1" t="s">
        <v>167</v>
      </c>
      <c r="AK84" s="65" t="s">
        <v>231</v>
      </c>
      <c r="AL84" s="65">
        <f t="shared" ca="1" si="32"/>
        <v>4</v>
      </c>
      <c r="AM84" s="3">
        <f t="shared" ca="1" si="33"/>
        <v>0.55240279034528916</v>
      </c>
    </row>
    <row r="85" spans="1:39" x14ac:dyDescent="0.3">
      <c r="A85" s="53" t="s">
        <v>345</v>
      </c>
      <c r="B85" s="54" t="s">
        <v>162</v>
      </c>
      <c r="C85" s="65" t="s">
        <v>242</v>
      </c>
      <c r="D85" s="65">
        <f t="shared" ca="1" si="22"/>
        <v>2</v>
      </c>
      <c r="E85" s="3">
        <f t="shared" ca="1" si="23"/>
        <v>0.1441354932184693</v>
      </c>
      <c r="F85" s="6">
        <f t="shared" ca="1" si="24"/>
        <v>180587.91760087796</v>
      </c>
      <c r="G85" s="6">
        <f t="shared" ca="1" si="25"/>
        <v>206.50068861415471</v>
      </c>
      <c r="O85" s="1" t="s">
        <v>212</v>
      </c>
      <c r="P85" s="65" t="s">
        <v>219</v>
      </c>
      <c r="Q85" s="65">
        <f t="shared" ca="1" si="26"/>
        <v>2</v>
      </c>
      <c r="R85" s="3">
        <f t="shared" ca="1" si="27"/>
        <v>0.15600827245329929</v>
      </c>
      <c r="V85" s="53" t="s">
        <v>345</v>
      </c>
      <c r="W85" s="54" t="s">
        <v>162</v>
      </c>
      <c r="X85" s="65" t="s">
        <v>242</v>
      </c>
      <c r="Y85" s="65">
        <f t="shared" ca="1" si="28"/>
        <v>4</v>
      </c>
      <c r="Z85" s="3">
        <f t="shared" ca="1" si="29"/>
        <v>0.91760193277375379</v>
      </c>
      <c r="AA85" s="6">
        <f t="shared" ca="1" si="30"/>
        <v>118557.51522813001</v>
      </c>
      <c r="AB85" s="6">
        <f t="shared" ca="1" si="31"/>
        <v>374.04989492500482</v>
      </c>
      <c r="AJ85" s="1" t="s">
        <v>212</v>
      </c>
      <c r="AK85" s="65" t="s">
        <v>219</v>
      </c>
      <c r="AL85" s="65">
        <f t="shared" ca="1" si="32"/>
        <v>2</v>
      </c>
      <c r="AM85" s="3">
        <f t="shared" ca="1" si="33"/>
        <v>0.26959197458576201</v>
      </c>
    </row>
    <row r="86" spans="1:39" x14ac:dyDescent="0.3">
      <c r="A86" s="53" t="s">
        <v>333</v>
      </c>
      <c r="B86" s="54" t="s">
        <v>163</v>
      </c>
      <c r="C86" s="65" t="s">
        <v>242</v>
      </c>
      <c r="D86" s="65">
        <f t="shared" ca="1" si="22"/>
        <v>2</v>
      </c>
      <c r="E86" s="3">
        <f t="shared" ca="1" si="23"/>
        <v>0.38858988645368275</v>
      </c>
      <c r="F86" s="6">
        <f t="shared" ca="1" si="24"/>
        <v>137416.58066412262</v>
      </c>
      <c r="G86" s="6">
        <f t="shared" ca="1" si="25"/>
        <v>901.5672605728073</v>
      </c>
      <c r="O86" s="1" t="s">
        <v>271</v>
      </c>
      <c r="P86" s="65" t="s">
        <v>231</v>
      </c>
      <c r="Q86" s="65">
        <f t="shared" ca="1" si="26"/>
        <v>4</v>
      </c>
      <c r="R86" s="3">
        <f t="shared" ca="1" si="27"/>
        <v>0.51803606323339124</v>
      </c>
      <c r="V86" s="53" t="s">
        <v>333</v>
      </c>
      <c r="W86" s="54" t="s">
        <v>163</v>
      </c>
      <c r="X86" s="65" t="s">
        <v>242</v>
      </c>
      <c r="Y86" s="65">
        <f t="shared" ca="1" si="28"/>
        <v>2</v>
      </c>
      <c r="Z86" s="3">
        <f t="shared" ca="1" si="29"/>
        <v>0.85089631021816647</v>
      </c>
      <c r="AA86" s="6">
        <f t="shared" ca="1" si="30"/>
        <v>38163.370689763142</v>
      </c>
      <c r="AB86" s="6">
        <f t="shared" ca="1" si="31"/>
        <v>1351.4706022006258</v>
      </c>
      <c r="AJ86" s="1" t="s">
        <v>271</v>
      </c>
      <c r="AK86" s="65" t="s">
        <v>231</v>
      </c>
      <c r="AL86" s="65">
        <f t="shared" ca="1" si="32"/>
        <v>1</v>
      </c>
      <c r="AM86" s="3">
        <f t="shared" ca="1" si="33"/>
        <v>0.23793739469668296</v>
      </c>
    </row>
    <row r="87" spans="1:39" x14ac:dyDescent="0.3">
      <c r="A87" s="53" t="s">
        <v>298</v>
      </c>
      <c r="B87" s="54" t="s">
        <v>162</v>
      </c>
      <c r="C87" s="65" t="s">
        <v>242</v>
      </c>
      <c r="D87" s="65">
        <f t="shared" ca="1" si="22"/>
        <v>2</v>
      </c>
      <c r="E87" s="3">
        <f t="shared" ca="1" si="23"/>
        <v>0.93523882566566319</v>
      </c>
      <c r="F87" s="6">
        <f t="shared" ca="1" si="24"/>
        <v>93320.763702505865</v>
      </c>
      <c r="G87" s="6">
        <f t="shared" ca="1" si="25"/>
        <v>868.64827866541839</v>
      </c>
      <c r="O87" s="1" t="s">
        <v>168</v>
      </c>
      <c r="P87" s="65" t="s">
        <v>231</v>
      </c>
      <c r="Q87" s="65">
        <f t="shared" ca="1" si="26"/>
        <v>1</v>
      </c>
      <c r="R87" s="3">
        <f t="shared" ca="1" si="27"/>
        <v>0.55076174733052052</v>
      </c>
      <c r="V87" s="53" t="s">
        <v>298</v>
      </c>
      <c r="W87" s="54" t="s">
        <v>162</v>
      </c>
      <c r="X87" s="65" t="s">
        <v>242</v>
      </c>
      <c r="Y87" s="65">
        <f t="shared" ca="1" si="28"/>
        <v>2</v>
      </c>
      <c r="Z87" s="3">
        <f t="shared" ca="1" si="29"/>
        <v>0.83210781133668166</v>
      </c>
      <c r="AA87" s="6">
        <f t="shared" ca="1" si="30"/>
        <v>106459.07109607357</v>
      </c>
      <c r="AB87" s="6">
        <f t="shared" ca="1" si="31"/>
        <v>31.282407614395382</v>
      </c>
      <c r="AJ87" s="1" t="s">
        <v>168</v>
      </c>
      <c r="AK87" s="65" t="s">
        <v>231</v>
      </c>
      <c r="AL87" s="65">
        <f t="shared" ca="1" si="32"/>
        <v>4</v>
      </c>
      <c r="AM87" s="3">
        <f t="shared" ca="1" si="33"/>
        <v>0.74810732217080611</v>
      </c>
    </row>
    <row r="88" spans="1:39" x14ac:dyDescent="0.3">
      <c r="A88" s="53" t="s">
        <v>357</v>
      </c>
      <c r="B88" s="54" t="s">
        <v>162</v>
      </c>
      <c r="C88" s="65" t="s">
        <v>242</v>
      </c>
      <c r="D88" s="65">
        <f t="shared" ca="1" si="22"/>
        <v>4</v>
      </c>
      <c r="E88" s="3">
        <f t="shared" ca="1" si="23"/>
        <v>0.9373291566482389</v>
      </c>
      <c r="F88" s="6">
        <f t="shared" ca="1" si="24"/>
        <v>145401.29484059938</v>
      </c>
      <c r="G88" s="6">
        <f t="shared" ca="1" si="25"/>
        <v>1153.9781500597835</v>
      </c>
      <c r="O88" s="1" t="s">
        <v>185</v>
      </c>
      <c r="P88" s="65" t="s">
        <v>219</v>
      </c>
      <c r="Q88" s="65">
        <f t="shared" ca="1" si="26"/>
        <v>2</v>
      </c>
      <c r="R88" s="3">
        <f t="shared" ca="1" si="27"/>
        <v>0.46538285212456654</v>
      </c>
      <c r="V88" s="53" t="s">
        <v>357</v>
      </c>
      <c r="W88" s="54" t="s">
        <v>162</v>
      </c>
      <c r="X88" s="65" t="s">
        <v>242</v>
      </c>
      <c r="Y88" s="65">
        <f t="shared" ca="1" si="28"/>
        <v>3</v>
      </c>
      <c r="Z88" s="3">
        <f t="shared" ca="1" si="29"/>
        <v>9.6635675449600056E-3</v>
      </c>
      <c r="AA88" s="6">
        <f t="shared" ca="1" si="30"/>
        <v>94629.691435742643</v>
      </c>
      <c r="AB88" s="6">
        <f t="shared" ca="1" si="31"/>
        <v>24.945014970188417</v>
      </c>
      <c r="AJ88" s="1" t="s">
        <v>185</v>
      </c>
      <c r="AK88" s="65" t="s">
        <v>219</v>
      </c>
      <c r="AL88" s="65">
        <f t="shared" ca="1" si="32"/>
        <v>1</v>
      </c>
      <c r="AM88" s="3">
        <f t="shared" ca="1" si="33"/>
        <v>0.57031469588555317</v>
      </c>
    </row>
    <row r="89" spans="1:39" x14ac:dyDescent="0.3">
      <c r="A89" s="53" t="s">
        <v>358</v>
      </c>
      <c r="B89" s="54" t="s">
        <v>162</v>
      </c>
      <c r="C89" s="65" t="s">
        <v>242</v>
      </c>
      <c r="D89" s="65">
        <f t="shared" ca="1" si="22"/>
        <v>4</v>
      </c>
      <c r="E89" s="3">
        <f t="shared" ca="1" si="23"/>
        <v>0.97921591100860428</v>
      </c>
      <c r="F89" s="6">
        <f t="shared" ca="1" si="24"/>
        <v>143500.49607162934</v>
      </c>
      <c r="G89" s="6">
        <f t="shared" ca="1" si="25"/>
        <v>1877.1969964904185</v>
      </c>
      <c r="O89" s="1" t="s">
        <v>209</v>
      </c>
      <c r="P89" s="65" t="s">
        <v>242</v>
      </c>
      <c r="Q89" s="65">
        <f t="shared" ca="1" si="26"/>
        <v>1</v>
      </c>
      <c r="R89" s="3">
        <f t="shared" ca="1" si="27"/>
        <v>0.33572861861691672</v>
      </c>
      <c r="V89" s="53" t="s">
        <v>358</v>
      </c>
      <c r="W89" s="54" t="s">
        <v>162</v>
      </c>
      <c r="X89" s="65" t="s">
        <v>242</v>
      </c>
      <c r="Y89" s="65">
        <f t="shared" ca="1" si="28"/>
        <v>2</v>
      </c>
      <c r="Z89" s="3">
        <f t="shared" ca="1" si="29"/>
        <v>0.44100502130999109</v>
      </c>
      <c r="AA89" s="6">
        <f t="shared" ca="1" si="30"/>
        <v>166435.18573011443</v>
      </c>
      <c r="AB89" s="6">
        <f t="shared" ca="1" si="31"/>
        <v>6.6973071679035101</v>
      </c>
      <c r="AJ89" s="1" t="s">
        <v>209</v>
      </c>
      <c r="AK89" s="65" t="s">
        <v>242</v>
      </c>
      <c r="AL89" s="65">
        <f t="shared" ca="1" si="32"/>
        <v>4</v>
      </c>
      <c r="AM89" s="3">
        <f t="shared" ca="1" si="33"/>
        <v>0.1760948033190165</v>
      </c>
    </row>
    <row r="90" spans="1:39" x14ac:dyDescent="0.3">
      <c r="A90" s="53" t="s">
        <v>344</v>
      </c>
      <c r="B90" s="54" t="s">
        <v>162</v>
      </c>
      <c r="C90" s="65" t="s">
        <v>242</v>
      </c>
      <c r="D90" s="65">
        <f t="shared" ca="1" si="22"/>
        <v>3</v>
      </c>
      <c r="E90" s="3">
        <f t="shared" ca="1" si="23"/>
        <v>0.55994866466367066</v>
      </c>
      <c r="F90" s="6">
        <f t="shared" ca="1" si="24"/>
        <v>111521.0645923016</v>
      </c>
      <c r="G90" s="6">
        <f t="shared" ca="1" si="25"/>
        <v>1771.7395790916157</v>
      </c>
      <c r="O90" s="1" t="s">
        <v>193</v>
      </c>
      <c r="P90" s="65" t="s">
        <v>231</v>
      </c>
      <c r="Q90" s="65">
        <f t="shared" ca="1" si="26"/>
        <v>1</v>
      </c>
      <c r="R90" s="3">
        <f t="shared" ca="1" si="27"/>
        <v>0.46734433724578617</v>
      </c>
      <c r="V90" s="53" t="s">
        <v>344</v>
      </c>
      <c r="W90" s="54" t="s">
        <v>162</v>
      </c>
      <c r="X90" s="65" t="s">
        <v>242</v>
      </c>
      <c r="Y90" s="65">
        <f t="shared" ca="1" si="28"/>
        <v>1</v>
      </c>
      <c r="Z90" s="3">
        <f t="shared" ca="1" si="29"/>
        <v>0.21737547643630817</v>
      </c>
      <c r="AA90" s="6">
        <f t="shared" ca="1" si="30"/>
        <v>192862.05523403315</v>
      </c>
      <c r="AB90" s="6">
        <f t="shared" ca="1" si="31"/>
        <v>1031.636205308534</v>
      </c>
      <c r="AJ90" s="1" t="s">
        <v>193</v>
      </c>
      <c r="AK90" s="65" t="s">
        <v>231</v>
      </c>
      <c r="AL90" s="65">
        <f t="shared" ca="1" si="32"/>
        <v>4</v>
      </c>
      <c r="AM90" s="3">
        <f t="shared" ca="1" si="33"/>
        <v>0.64284717241732225</v>
      </c>
    </row>
    <row r="91" spans="1:39" x14ac:dyDescent="0.3">
      <c r="A91" s="53" t="s">
        <v>343</v>
      </c>
      <c r="B91" s="54" t="s">
        <v>163</v>
      </c>
      <c r="C91" s="65" t="s">
        <v>242</v>
      </c>
      <c r="D91" s="65">
        <f t="shared" ca="1" si="22"/>
        <v>1</v>
      </c>
      <c r="E91" s="3">
        <f t="shared" ca="1" si="23"/>
        <v>0.66693935778225111</v>
      </c>
      <c r="F91" s="6">
        <f t="shared" ca="1" si="24"/>
        <v>34405.791749734213</v>
      </c>
      <c r="G91" s="6">
        <f t="shared" ca="1" si="25"/>
        <v>698.96596008713232</v>
      </c>
      <c r="O91" s="1" t="s">
        <v>279</v>
      </c>
      <c r="P91" s="65" t="s">
        <v>219</v>
      </c>
      <c r="Q91" s="65">
        <f t="shared" ca="1" si="26"/>
        <v>3</v>
      </c>
      <c r="R91" s="3">
        <f t="shared" ca="1" si="27"/>
        <v>0.7545511796432367</v>
      </c>
      <c r="V91" s="53" t="s">
        <v>343</v>
      </c>
      <c r="W91" s="54" t="s">
        <v>163</v>
      </c>
      <c r="X91" s="65" t="s">
        <v>242</v>
      </c>
      <c r="Y91" s="65">
        <f t="shared" ca="1" si="28"/>
        <v>3</v>
      </c>
      <c r="Z91" s="3">
        <f t="shared" ca="1" si="29"/>
        <v>0.2444136513397559</v>
      </c>
      <c r="AA91" s="6">
        <f t="shared" ca="1" si="30"/>
        <v>60285.215820716221</v>
      </c>
      <c r="AB91" s="6">
        <f t="shared" ca="1" si="31"/>
        <v>255.86534878427102</v>
      </c>
      <c r="AJ91" s="1" t="s">
        <v>279</v>
      </c>
      <c r="AK91" s="65" t="s">
        <v>219</v>
      </c>
      <c r="AL91" s="65">
        <f t="shared" ca="1" si="32"/>
        <v>2</v>
      </c>
      <c r="AM91" s="3">
        <f t="shared" ca="1" si="33"/>
        <v>0.85800335460150279</v>
      </c>
    </row>
    <row r="92" spans="1:39" x14ac:dyDescent="0.3">
      <c r="A92" s="53" t="s">
        <v>299</v>
      </c>
      <c r="B92" s="54" t="s">
        <v>163</v>
      </c>
      <c r="C92" s="65" t="s">
        <v>242</v>
      </c>
      <c r="D92" s="65">
        <f t="shared" ca="1" si="22"/>
        <v>2</v>
      </c>
      <c r="E92" s="3">
        <f t="shared" ca="1" si="23"/>
        <v>0.30580138130322121</v>
      </c>
      <c r="F92" s="6">
        <f t="shared" ca="1" si="24"/>
        <v>82049.70069184911</v>
      </c>
      <c r="G92" s="6">
        <f t="shared" ca="1" si="25"/>
        <v>634.45394822648166</v>
      </c>
      <c r="O92" s="1" t="s">
        <v>198</v>
      </c>
      <c r="P92" s="65" t="s">
        <v>242</v>
      </c>
      <c r="Q92" s="65">
        <f t="shared" ca="1" si="26"/>
        <v>1</v>
      </c>
      <c r="R92" s="3">
        <f t="shared" ca="1" si="27"/>
        <v>0.97573046770690219</v>
      </c>
      <c r="V92" s="53" t="s">
        <v>299</v>
      </c>
      <c r="W92" s="54" t="s">
        <v>163</v>
      </c>
      <c r="X92" s="65" t="s">
        <v>242</v>
      </c>
      <c r="Y92" s="65">
        <f t="shared" ca="1" si="28"/>
        <v>3</v>
      </c>
      <c r="Z92" s="3">
        <f t="shared" ca="1" si="29"/>
        <v>0.52303183004005982</v>
      </c>
      <c r="AA92" s="6">
        <f t="shared" ca="1" si="30"/>
        <v>32101.557583122874</v>
      </c>
      <c r="AB92" s="6">
        <f t="shared" ca="1" si="31"/>
        <v>606.3628431795529</v>
      </c>
      <c r="AJ92" s="1" t="s">
        <v>198</v>
      </c>
      <c r="AK92" s="65" t="s">
        <v>242</v>
      </c>
      <c r="AL92" s="65">
        <f t="shared" ca="1" si="32"/>
        <v>2</v>
      </c>
      <c r="AM92" s="3">
        <f t="shared" ca="1" si="33"/>
        <v>0.2348129289947718</v>
      </c>
    </row>
    <row r="93" spans="1:39" x14ac:dyDescent="0.3">
      <c r="A93" s="53" t="s">
        <v>386</v>
      </c>
      <c r="B93" s="54" t="s">
        <v>163</v>
      </c>
      <c r="C93" s="65" t="s">
        <v>242</v>
      </c>
      <c r="D93" s="65">
        <f t="shared" ca="1" si="22"/>
        <v>2</v>
      </c>
      <c r="E93" s="3">
        <f t="shared" ca="1" si="23"/>
        <v>0.53990108452685781</v>
      </c>
      <c r="F93" s="6">
        <f t="shared" ca="1" si="24"/>
        <v>73787.340719299958</v>
      </c>
      <c r="G93" s="6">
        <f t="shared" ca="1" si="25"/>
        <v>905.85740313522354</v>
      </c>
      <c r="O93" s="1" t="s">
        <v>174</v>
      </c>
      <c r="P93" s="65" t="s">
        <v>219</v>
      </c>
      <c r="Q93" s="65">
        <f t="shared" ca="1" si="26"/>
        <v>1</v>
      </c>
      <c r="R93" s="3">
        <f t="shared" ca="1" si="27"/>
        <v>0.18582689899358407</v>
      </c>
      <c r="V93" s="53" t="s">
        <v>386</v>
      </c>
      <c r="W93" s="54" t="s">
        <v>163</v>
      </c>
      <c r="X93" s="65" t="s">
        <v>242</v>
      </c>
      <c r="Y93" s="65">
        <f t="shared" ca="1" si="28"/>
        <v>2</v>
      </c>
      <c r="Z93" s="3">
        <f t="shared" ca="1" si="29"/>
        <v>0.10952516000967427</v>
      </c>
      <c r="AA93" s="6">
        <f t="shared" ca="1" si="30"/>
        <v>84493.736330693573</v>
      </c>
      <c r="AB93" s="6">
        <f t="shared" ca="1" si="31"/>
        <v>768.44457915980377</v>
      </c>
      <c r="AJ93" s="1" t="s">
        <v>174</v>
      </c>
      <c r="AK93" s="65" t="s">
        <v>219</v>
      </c>
      <c r="AL93" s="65">
        <f t="shared" ca="1" si="32"/>
        <v>4</v>
      </c>
      <c r="AM93" s="3">
        <f t="shared" ca="1" si="33"/>
        <v>0.11265315177168345</v>
      </c>
    </row>
    <row r="94" spans="1:39" x14ac:dyDescent="0.3">
      <c r="A94" s="53" t="s">
        <v>321</v>
      </c>
      <c r="B94" s="54" t="s">
        <v>162</v>
      </c>
      <c r="C94" s="65" t="s">
        <v>242</v>
      </c>
      <c r="D94" s="65">
        <f t="shared" ca="1" si="22"/>
        <v>2</v>
      </c>
      <c r="E94" s="3">
        <f t="shared" ca="1" si="23"/>
        <v>0.70969873656739912</v>
      </c>
      <c r="F94" s="6">
        <f t="shared" ca="1" si="24"/>
        <v>95047.136732526473</v>
      </c>
      <c r="G94" s="6">
        <f t="shared" ca="1" si="25"/>
        <v>1046.6070515040967</v>
      </c>
      <c r="O94" s="1" t="s">
        <v>281</v>
      </c>
      <c r="P94" s="65" t="s">
        <v>242</v>
      </c>
      <c r="Q94" s="65">
        <f t="shared" ca="1" si="26"/>
        <v>2</v>
      </c>
      <c r="R94" s="3">
        <f t="shared" ca="1" si="27"/>
        <v>0.13511120949773203</v>
      </c>
      <c r="V94" s="53" t="s">
        <v>321</v>
      </c>
      <c r="W94" s="54" t="s">
        <v>162</v>
      </c>
      <c r="X94" s="65" t="s">
        <v>242</v>
      </c>
      <c r="Y94" s="65">
        <f t="shared" ca="1" si="28"/>
        <v>2</v>
      </c>
      <c r="Z94" s="3">
        <f t="shared" ca="1" si="29"/>
        <v>0.51626288308991919</v>
      </c>
      <c r="AA94" s="6">
        <f t="shared" ca="1" si="30"/>
        <v>26314.883896365893</v>
      </c>
      <c r="AB94" s="6">
        <f t="shared" ca="1" si="31"/>
        <v>1787.4194749884866</v>
      </c>
      <c r="AJ94" s="1" t="s">
        <v>281</v>
      </c>
      <c r="AK94" s="65" t="s">
        <v>242</v>
      </c>
      <c r="AL94" s="65">
        <f t="shared" ca="1" si="32"/>
        <v>2</v>
      </c>
      <c r="AM94" s="3">
        <f t="shared" ca="1" si="33"/>
        <v>0.74641930748647056</v>
      </c>
    </row>
    <row r="95" spans="1:39" x14ac:dyDescent="0.3">
      <c r="A95" s="53" t="s">
        <v>349</v>
      </c>
      <c r="B95" s="54" t="s">
        <v>162</v>
      </c>
      <c r="C95" s="65" t="s">
        <v>242</v>
      </c>
      <c r="D95" s="65">
        <f t="shared" ca="1" si="22"/>
        <v>4</v>
      </c>
      <c r="E95" s="3">
        <f t="shared" ca="1" si="23"/>
        <v>0.67637814554316689</v>
      </c>
      <c r="F95" s="6">
        <f t="shared" ca="1" si="24"/>
        <v>68588.509776614577</v>
      </c>
      <c r="G95" s="6">
        <f t="shared" ca="1" si="25"/>
        <v>1576.7425204856468</v>
      </c>
      <c r="O95" s="1" t="s">
        <v>282</v>
      </c>
      <c r="P95" s="65" t="s">
        <v>242</v>
      </c>
      <c r="Q95" s="65">
        <f t="shared" ca="1" si="26"/>
        <v>2</v>
      </c>
      <c r="R95" s="3">
        <f t="shared" ca="1" si="27"/>
        <v>0.72160309051681526</v>
      </c>
      <c r="V95" s="53" t="s">
        <v>349</v>
      </c>
      <c r="W95" s="54" t="s">
        <v>162</v>
      </c>
      <c r="X95" s="65" t="s">
        <v>242</v>
      </c>
      <c r="Y95" s="65">
        <f t="shared" ca="1" si="28"/>
        <v>3</v>
      </c>
      <c r="Z95" s="3">
        <f t="shared" ca="1" si="29"/>
        <v>0.69994773726718318</v>
      </c>
      <c r="AA95" s="6">
        <f t="shared" ca="1" si="30"/>
        <v>6866.7422974110214</v>
      </c>
      <c r="AB95" s="6">
        <f t="shared" ca="1" si="31"/>
        <v>1250.1930419867194</v>
      </c>
      <c r="AJ95" s="1" t="s">
        <v>282</v>
      </c>
      <c r="AK95" s="65" t="s">
        <v>242</v>
      </c>
      <c r="AL95" s="65">
        <f t="shared" ca="1" si="32"/>
        <v>1</v>
      </c>
      <c r="AM95" s="3">
        <f t="shared" ca="1" si="33"/>
        <v>3.3496890490794407E-2</v>
      </c>
    </row>
    <row r="96" spans="1:39" x14ac:dyDescent="0.3">
      <c r="A96" s="53" t="s">
        <v>382</v>
      </c>
      <c r="B96" s="54" t="s">
        <v>162</v>
      </c>
      <c r="C96" s="65" t="s">
        <v>242</v>
      </c>
      <c r="D96" s="65">
        <f t="shared" ca="1" si="22"/>
        <v>3</v>
      </c>
      <c r="E96" s="3">
        <f t="shared" ca="1" si="23"/>
        <v>6.4630171198648667E-2</v>
      </c>
      <c r="F96" s="6">
        <f t="shared" ca="1" si="24"/>
        <v>123929.13527580042</v>
      </c>
      <c r="G96" s="6">
        <f t="shared" ca="1" si="25"/>
        <v>9.0729262751518824</v>
      </c>
      <c r="O96" s="1" t="s">
        <v>209</v>
      </c>
      <c r="P96" s="65" t="s">
        <v>231</v>
      </c>
      <c r="Q96" s="65">
        <f t="shared" ca="1" si="26"/>
        <v>1</v>
      </c>
      <c r="R96" s="3">
        <f t="shared" ca="1" si="27"/>
        <v>0.16084788948187556</v>
      </c>
      <c r="V96" s="53" t="s">
        <v>382</v>
      </c>
      <c r="W96" s="54" t="s">
        <v>162</v>
      </c>
      <c r="X96" s="65" t="s">
        <v>242</v>
      </c>
      <c r="Y96" s="65">
        <f t="shared" ca="1" si="28"/>
        <v>3</v>
      </c>
      <c r="Z96" s="3">
        <f t="shared" ca="1" si="29"/>
        <v>0.31597162854120009</v>
      </c>
      <c r="AA96" s="6">
        <f t="shared" ca="1" si="30"/>
        <v>27357.07552349913</v>
      </c>
      <c r="AB96" s="6">
        <f t="shared" ca="1" si="31"/>
        <v>1190.4023835191515</v>
      </c>
      <c r="AJ96" s="1" t="s">
        <v>209</v>
      </c>
      <c r="AK96" s="65" t="s">
        <v>231</v>
      </c>
      <c r="AL96" s="65">
        <f t="shared" ca="1" si="32"/>
        <v>3</v>
      </c>
      <c r="AM96" s="3">
        <f t="shared" ca="1" si="33"/>
        <v>0.20699885816627717</v>
      </c>
    </row>
    <row r="97" spans="1:39" x14ac:dyDescent="0.3">
      <c r="A97" s="53" t="s">
        <v>366</v>
      </c>
      <c r="B97" s="54" t="s">
        <v>162</v>
      </c>
      <c r="C97" s="65" t="s">
        <v>242</v>
      </c>
      <c r="D97" s="65">
        <f t="shared" ca="1" si="22"/>
        <v>4</v>
      </c>
      <c r="E97" s="3">
        <f t="shared" ca="1" si="23"/>
        <v>4.1354794701904618E-2</v>
      </c>
      <c r="F97" s="6">
        <f t="shared" ca="1" si="24"/>
        <v>143830.43892278097</v>
      </c>
      <c r="G97" s="6">
        <f t="shared" ca="1" si="25"/>
        <v>1708.2721414158916</v>
      </c>
      <c r="O97" s="1" t="s">
        <v>272</v>
      </c>
      <c r="P97" s="65" t="s">
        <v>242</v>
      </c>
      <c r="Q97" s="65">
        <f t="shared" ca="1" si="26"/>
        <v>4</v>
      </c>
      <c r="R97" s="3">
        <f t="shared" ca="1" si="27"/>
        <v>6.8079796004191784E-2</v>
      </c>
      <c r="V97" s="53" t="s">
        <v>366</v>
      </c>
      <c r="W97" s="54" t="s">
        <v>162</v>
      </c>
      <c r="X97" s="65" t="s">
        <v>242</v>
      </c>
      <c r="Y97" s="65">
        <f t="shared" ca="1" si="28"/>
        <v>4</v>
      </c>
      <c r="Z97" s="3">
        <f t="shared" ca="1" si="29"/>
        <v>0.76519975120292782</v>
      </c>
      <c r="AA97" s="6">
        <f t="shared" ca="1" si="30"/>
        <v>92749.367109968676</v>
      </c>
      <c r="AB97" s="6">
        <f t="shared" ca="1" si="31"/>
        <v>135.24448824701719</v>
      </c>
      <c r="AJ97" s="1" t="s">
        <v>272</v>
      </c>
      <c r="AK97" s="65" t="s">
        <v>242</v>
      </c>
      <c r="AL97" s="65">
        <f t="shared" ca="1" si="32"/>
        <v>1</v>
      </c>
      <c r="AM97" s="3">
        <f t="shared" ca="1" si="33"/>
        <v>0.10760569088067262</v>
      </c>
    </row>
    <row r="98" spans="1:39" x14ac:dyDescent="0.3">
      <c r="A98" s="53" t="s">
        <v>365</v>
      </c>
      <c r="B98" s="54" t="s">
        <v>181</v>
      </c>
      <c r="C98" s="65" t="s">
        <v>231</v>
      </c>
      <c r="D98" s="65">
        <f t="shared" ca="1" si="22"/>
        <v>4</v>
      </c>
      <c r="E98" s="3">
        <f t="shared" ca="1" si="23"/>
        <v>0.13049214448030921</v>
      </c>
      <c r="F98" s="6">
        <f t="shared" ca="1" si="24"/>
        <v>123251.02192119831</v>
      </c>
      <c r="G98" s="6">
        <f t="shared" ca="1" si="25"/>
        <v>362.381727813015</v>
      </c>
      <c r="O98" s="1" t="s">
        <v>185</v>
      </c>
      <c r="P98" s="65" t="s">
        <v>242</v>
      </c>
      <c r="Q98" s="65">
        <f t="shared" ca="1" si="26"/>
        <v>3</v>
      </c>
      <c r="R98" s="3">
        <f t="shared" ca="1" si="27"/>
        <v>0.41889817091664183</v>
      </c>
      <c r="V98" s="53" t="s">
        <v>365</v>
      </c>
      <c r="W98" s="54" t="s">
        <v>181</v>
      </c>
      <c r="X98" s="65" t="s">
        <v>231</v>
      </c>
      <c r="Y98" s="65">
        <f t="shared" ca="1" si="28"/>
        <v>1</v>
      </c>
      <c r="Z98" s="3">
        <f t="shared" ca="1" si="29"/>
        <v>2.4885739521213424E-2</v>
      </c>
      <c r="AA98" s="6">
        <f t="shared" ca="1" si="30"/>
        <v>151448.21817977002</v>
      </c>
      <c r="AB98" s="6">
        <f t="shared" ca="1" si="31"/>
        <v>397.29521419757629</v>
      </c>
      <c r="AJ98" s="1" t="s">
        <v>185</v>
      </c>
      <c r="AK98" s="65" t="s">
        <v>242</v>
      </c>
      <c r="AL98" s="65">
        <f t="shared" ca="1" si="32"/>
        <v>4</v>
      </c>
      <c r="AM98" s="3">
        <f t="shared" ca="1" si="33"/>
        <v>0.97527736168402068</v>
      </c>
    </row>
    <row r="99" spans="1:39" x14ac:dyDescent="0.3">
      <c r="A99" s="53" t="s">
        <v>346</v>
      </c>
      <c r="B99" s="54" t="s">
        <v>181</v>
      </c>
      <c r="C99" s="65" t="s">
        <v>231</v>
      </c>
      <c r="D99" s="65">
        <f t="shared" ca="1" si="22"/>
        <v>3</v>
      </c>
      <c r="E99" s="3">
        <f t="shared" ca="1" si="23"/>
        <v>0.43662060920183365</v>
      </c>
      <c r="F99" s="6">
        <f t="shared" ca="1" si="24"/>
        <v>100735.25459340328</v>
      </c>
      <c r="G99" s="6">
        <f t="shared" ca="1" si="25"/>
        <v>601.6371336600273</v>
      </c>
      <c r="O99" s="1" t="s">
        <v>184</v>
      </c>
      <c r="P99" s="65" t="s">
        <v>219</v>
      </c>
      <c r="Q99" s="65">
        <f t="shared" ca="1" si="26"/>
        <v>1</v>
      </c>
      <c r="R99" s="3">
        <f t="shared" ca="1" si="27"/>
        <v>0.21450835358404563</v>
      </c>
      <c r="V99" s="53" t="s">
        <v>346</v>
      </c>
      <c r="W99" s="54" t="s">
        <v>181</v>
      </c>
      <c r="X99" s="65" t="s">
        <v>231</v>
      </c>
      <c r="Y99" s="65">
        <f t="shared" ca="1" si="28"/>
        <v>1</v>
      </c>
      <c r="Z99" s="3">
        <f t="shared" ca="1" si="29"/>
        <v>0.93700709789328207</v>
      </c>
      <c r="AA99" s="6">
        <f t="shared" ca="1" si="30"/>
        <v>54848.306628191182</v>
      </c>
      <c r="AB99" s="6">
        <f t="shared" ca="1" si="31"/>
        <v>147.74204493184695</v>
      </c>
      <c r="AJ99" s="1" t="s">
        <v>184</v>
      </c>
      <c r="AK99" s="65" t="s">
        <v>219</v>
      </c>
      <c r="AL99" s="65">
        <f t="shared" ca="1" si="32"/>
        <v>2</v>
      </c>
      <c r="AM99" s="3">
        <f t="shared" ca="1" si="33"/>
        <v>0.72114296626987018</v>
      </c>
    </row>
    <row r="100" spans="1:39" x14ac:dyDescent="0.3">
      <c r="A100" s="53" t="s">
        <v>302</v>
      </c>
      <c r="B100" s="54" t="s">
        <v>181</v>
      </c>
      <c r="C100" s="65" t="s">
        <v>231</v>
      </c>
      <c r="D100" s="65">
        <f t="shared" ca="1" si="22"/>
        <v>2</v>
      </c>
      <c r="E100" s="3">
        <f t="shared" ca="1" si="23"/>
        <v>0.36714553366905545</v>
      </c>
      <c r="F100" s="6">
        <f t="shared" ca="1" si="24"/>
        <v>181169.26872334618</v>
      </c>
      <c r="G100" s="6">
        <f t="shared" ca="1" si="25"/>
        <v>597.45794443261843</v>
      </c>
      <c r="O100" s="1" t="s">
        <v>181</v>
      </c>
      <c r="P100" s="65" t="s">
        <v>231</v>
      </c>
      <c r="Q100" s="65">
        <f t="shared" ca="1" si="26"/>
        <v>4</v>
      </c>
      <c r="R100" s="3">
        <f t="shared" ca="1" si="27"/>
        <v>0.69160129151751337</v>
      </c>
      <c r="V100" s="53" t="s">
        <v>302</v>
      </c>
      <c r="W100" s="54" t="s">
        <v>181</v>
      </c>
      <c r="X100" s="65" t="s">
        <v>231</v>
      </c>
      <c r="Y100" s="65">
        <f t="shared" ca="1" si="28"/>
        <v>3</v>
      </c>
      <c r="Z100" s="3">
        <f t="shared" ca="1" si="29"/>
        <v>0.71955703861095766</v>
      </c>
      <c r="AA100" s="6">
        <f t="shared" ca="1" si="30"/>
        <v>35173.914042347067</v>
      </c>
      <c r="AB100" s="6">
        <f t="shared" ca="1" si="31"/>
        <v>1561.1406126047914</v>
      </c>
      <c r="AJ100" s="1" t="s">
        <v>181</v>
      </c>
      <c r="AK100" s="65" t="s">
        <v>231</v>
      </c>
      <c r="AL100" s="65">
        <f t="shared" ca="1" si="32"/>
        <v>3</v>
      </c>
      <c r="AM100" s="3">
        <f t="shared" ca="1" si="33"/>
        <v>0.66060456298063108</v>
      </c>
    </row>
    <row r="101" spans="1:39" x14ac:dyDescent="0.3">
      <c r="A101" s="53" t="s">
        <v>396</v>
      </c>
      <c r="B101" s="54" t="s">
        <v>168</v>
      </c>
      <c r="C101" s="65" t="s">
        <v>231</v>
      </c>
      <c r="D101" s="65">
        <f t="shared" ca="1" si="22"/>
        <v>4</v>
      </c>
      <c r="E101" s="3">
        <f t="shared" ca="1" si="23"/>
        <v>0.41400642212607019</v>
      </c>
      <c r="F101" s="6">
        <f t="shared" ca="1" si="24"/>
        <v>39949.931906676153</v>
      </c>
      <c r="G101" s="6">
        <f t="shared" ca="1" si="25"/>
        <v>252.97670043095556</v>
      </c>
      <c r="O101" s="1" t="s">
        <v>180</v>
      </c>
      <c r="P101" s="65" t="s">
        <v>231</v>
      </c>
      <c r="Q101" s="65">
        <f t="shared" ca="1" si="26"/>
        <v>3</v>
      </c>
      <c r="R101" s="3">
        <f t="shared" ca="1" si="27"/>
        <v>6.4341991344284866E-2</v>
      </c>
      <c r="V101" s="53" t="s">
        <v>396</v>
      </c>
      <c r="W101" s="54" t="s">
        <v>168</v>
      </c>
      <c r="X101" s="65" t="s">
        <v>231</v>
      </c>
      <c r="Y101" s="65">
        <f t="shared" ca="1" si="28"/>
        <v>4</v>
      </c>
      <c r="Z101" s="3">
        <f t="shared" ca="1" si="29"/>
        <v>0.2742337661857015</v>
      </c>
      <c r="AA101" s="6">
        <f t="shared" ca="1" si="30"/>
        <v>103726.76382722416</v>
      </c>
      <c r="AB101" s="6">
        <f t="shared" ca="1" si="31"/>
        <v>1165.3005786011304</v>
      </c>
      <c r="AJ101" s="1" t="s">
        <v>180</v>
      </c>
      <c r="AK101" s="65" t="s">
        <v>231</v>
      </c>
      <c r="AL101" s="65">
        <f t="shared" ca="1" si="32"/>
        <v>1</v>
      </c>
      <c r="AM101" s="3">
        <f t="shared" ca="1" si="33"/>
        <v>0.72003780461612166</v>
      </c>
    </row>
    <row r="102" spans="1:39" x14ac:dyDescent="0.3">
      <c r="A102" s="53" t="s">
        <v>370</v>
      </c>
      <c r="B102" s="54" t="s">
        <v>168</v>
      </c>
      <c r="C102" s="65" t="s">
        <v>231</v>
      </c>
      <c r="D102" s="65">
        <f t="shared" ca="1" si="22"/>
        <v>2</v>
      </c>
      <c r="E102" s="3">
        <f t="shared" ca="1" si="23"/>
        <v>0.57083158571943837</v>
      </c>
      <c r="F102" s="6">
        <f t="shared" ca="1" si="24"/>
        <v>36851.225198858061</v>
      </c>
      <c r="G102" s="6">
        <f t="shared" ca="1" si="25"/>
        <v>1375.7315281485346</v>
      </c>
      <c r="O102" s="1" t="s">
        <v>195</v>
      </c>
      <c r="P102" s="65" t="s">
        <v>219</v>
      </c>
      <c r="Q102" s="65">
        <f t="shared" ca="1" si="26"/>
        <v>3</v>
      </c>
      <c r="R102" s="3">
        <f t="shared" ca="1" si="27"/>
        <v>0.882522775521981</v>
      </c>
      <c r="V102" s="53" t="s">
        <v>370</v>
      </c>
      <c r="W102" s="54" t="s">
        <v>168</v>
      </c>
      <c r="X102" s="65" t="s">
        <v>231</v>
      </c>
      <c r="Y102" s="65">
        <f t="shared" ca="1" si="28"/>
        <v>4</v>
      </c>
      <c r="Z102" s="3">
        <f t="shared" ca="1" si="29"/>
        <v>0.65798308789869375</v>
      </c>
      <c r="AA102" s="6">
        <f t="shared" ca="1" si="30"/>
        <v>184812.73593555033</v>
      </c>
      <c r="AB102" s="6">
        <f t="shared" ca="1" si="31"/>
        <v>1540.8763286910932</v>
      </c>
      <c r="AJ102" s="1" t="s">
        <v>195</v>
      </c>
      <c r="AK102" s="65" t="s">
        <v>219</v>
      </c>
      <c r="AL102" s="65">
        <f t="shared" ca="1" si="32"/>
        <v>1</v>
      </c>
      <c r="AM102" s="3">
        <f t="shared" ca="1" si="33"/>
        <v>0.72858168278755342</v>
      </c>
    </row>
    <row r="103" spans="1:39" x14ac:dyDescent="0.3">
      <c r="A103" s="53" t="s">
        <v>327</v>
      </c>
      <c r="B103" s="54" t="s">
        <v>181</v>
      </c>
      <c r="C103" s="65" t="s">
        <v>231</v>
      </c>
      <c r="D103" s="65">
        <f t="shared" ca="1" si="22"/>
        <v>1</v>
      </c>
      <c r="E103" s="3">
        <f t="shared" ca="1" si="23"/>
        <v>0.43110435634496669</v>
      </c>
      <c r="F103" s="6">
        <f t="shared" ca="1" si="24"/>
        <v>83808.046635822349</v>
      </c>
      <c r="G103" s="6">
        <f t="shared" ca="1" si="25"/>
        <v>1226.5960373764678</v>
      </c>
      <c r="O103" s="1" t="s">
        <v>202</v>
      </c>
      <c r="P103" s="65" t="s">
        <v>242</v>
      </c>
      <c r="Q103" s="65">
        <f t="shared" ca="1" si="26"/>
        <v>2</v>
      </c>
      <c r="R103" s="3">
        <f t="shared" ca="1" si="27"/>
        <v>0.68298501832447878</v>
      </c>
      <c r="V103" s="53" t="s">
        <v>327</v>
      </c>
      <c r="W103" s="54" t="s">
        <v>181</v>
      </c>
      <c r="X103" s="65" t="s">
        <v>231</v>
      </c>
      <c r="Y103" s="65">
        <f t="shared" ca="1" si="28"/>
        <v>3</v>
      </c>
      <c r="Z103" s="3">
        <f t="shared" ca="1" si="29"/>
        <v>0.33684686730059854</v>
      </c>
      <c r="AA103" s="6">
        <f t="shared" ca="1" si="30"/>
        <v>20892.014522844638</v>
      </c>
      <c r="AB103" s="6">
        <f t="shared" ca="1" si="31"/>
        <v>920.4752753636742</v>
      </c>
      <c r="AJ103" s="1" t="s">
        <v>202</v>
      </c>
      <c r="AK103" s="65" t="s">
        <v>242</v>
      </c>
      <c r="AL103" s="65">
        <f t="shared" ca="1" si="32"/>
        <v>1</v>
      </c>
      <c r="AM103" s="3">
        <f t="shared" ca="1" si="33"/>
        <v>0.97555146053482344</v>
      </c>
    </row>
    <row r="104" spans="1:39" x14ac:dyDescent="0.3">
      <c r="A104" s="53" t="s">
        <v>322</v>
      </c>
      <c r="B104" s="54" t="s">
        <v>188</v>
      </c>
      <c r="C104" s="65" t="s">
        <v>231</v>
      </c>
      <c r="D104" s="65">
        <f t="shared" ca="1" si="22"/>
        <v>1</v>
      </c>
      <c r="E104" s="3">
        <f t="shared" ca="1" si="23"/>
        <v>0.29200063194979309</v>
      </c>
      <c r="F104" s="6">
        <f t="shared" ca="1" si="24"/>
        <v>95666.424849589937</v>
      </c>
      <c r="G104" s="6">
        <f t="shared" ca="1" si="25"/>
        <v>1868.68247222582</v>
      </c>
      <c r="O104" s="1" t="s">
        <v>280</v>
      </c>
      <c r="P104" s="65" t="s">
        <v>219</v>
      </c>
      <c r="Q104" s="65">
        <f t="shared" ca="1" si="26"/>
        <v>1</v>
      </c>
      <c r="R104" s="3">
        <f t="shared" ca="1" si="27"/>
        <v>0.21367996578756387</v>
      </c>
      <c r="V104" s="53" t="s">
        <v>322</v>
      </c>
      <c r="W104" s="54" t="s">
        <v>188</v>
      </c>
      <c r="X104" s="65" t="s">
        <v>231</v>
      </c>
      <c r="Y104" s="65">
        <f t="shared" ca="1" si="28"/>
        <v>2</v>
      </c>
      <c r="Z104" s="3">
        <f t="shared" ca="1" si="29"/>
        <v>1.1225985481183254E-2</v>
      </c>
      <c r="AA104" s="6">
        <f t="shared" ca="1" si="30"/>
        <v>25008.659083575902</v>
      </c>
      <c r="AB104" s="6">
        <f t="shared" ca="1" si="31"/>
        <v>1730.6339750774628</v>
      </c>
      <c r="AJ104" s="1" t="s">
        <v>280</v>
      </c>
      <c r="AK104" s="65" t="s">
        <v>219</v>
      </c>
      <c r="AL104" s="65">
        <f t="shared" ca="1" si="32"/>
        <v>2</v>
      </c>
      <c r="AM104" s="3">
        <f t="shared" ca="1" si="33"/>
        <v>6.8164448866746219E-2</v>
      </c>
    </row>
    <row r="105" spans="1:39" x14ac:dyDescent="0.3">
      <c r="A105" s="53" t="s">
        <v>309</v>
      </c>
      <c r="B105" s="54" t="s">
        <v>167</v>
      </c>
      <c r="C105" s="65" t="s">
        <v>231</v>
      </c>
      <c r="D105" s="65">
        <f t="shared" ca="1" si="22"/>
        <v>1</v>
      </c>
      <c r="E105" s="3">
        <f t="shared" ca="1" si="23"/>
        <v>0.51545060211754423</v>
      </c>
      <c r="F105" s="6">
        <f t="shared" ca="1" si="24"/>
        <v>198005.08103549367</v>
      </c>
      <c r="G105" s="6">
        <f t="shared" ca="1" si="25"/>
        <v>1847.6886887718927</v>
      </c>
      <c r="O105" s="1" t="s">
        <v>160</v>
      </c>
      <c r="P105" s="65" t="s">
        <v>219</v>
      </c>
      <c r="Q105" s="65">
        <f t="shared" ca="1" si="26"/>
        <v>4</v>
      </c>
      <c r="R105" s="3">
        <f t="shared" ca="1" si="27"/>
        <v>9.5324474045698548E-2</v>
      </c>
      <c r="V105" s="53" t="s">
        <v>309</v>
      </c>
      <c r="W105" s="54" t="s">
        <v>167</v>
      </c>
      <c r="X105" s="65" t="s">
        <v>231</v>
      </c>
      <c r="Y105" s="65">
        <f t="shared" ca="1" si="28"/>
        <v>2</v>
      </c>
      <c r="Z105" s="3">
        <f t="shared" ca="1" si="29"/>
        <v>0.58242202610854765</v>
      </c>
      <c r="AA105" s="6">
        <f t="shared" ca="1" si="30"/>
        <v>69205.535664277835</v>
      </c>
      <c r="AB105" s="6">
        <f t="shared" ca="1" si="31"/>
        <v>1066.0170736613647</v>
      </c>
      <c r="AJ105" s="1" t="s">
        <v>160</v>
      </c>
      <c r="AK105" s="65" t="s">
        <v>219</v>
      </c>
      <c r="AL105" s="65">
        <f t="shared" ca="1" si="32"/>
        <v>4</v>
      </c>
      <c r="AM105" s="3">
        <f t="shared" ca="1" si="33"/>
        <v>0.58471965700072537</v>
      </c>
    </row>
    <row r="106" spans="1:39" x14ac:dyDescent="0.3">
      <c r="A106" s="53" t="s">
        <v>387</v>
      </c>
      <c r="B106" s="54" t="s">
        <v>168</v>
      </c>
      <c r="C106" s="65" t="s">
        <v>231</v>
      </c>
      <c r="D106" s="65">
        <f t="shared" ca="1" si="22"/>
        <v>2</v>
      </c>
      <c r="E106" s="3">
        <f t="shared" ca="1" si="23"/>
        <v>0.62298690809133839</v>
      </c>
      <c r="F106" s="6">
        <f t="shared" ca="1" si="24"/>
        <v>117937.47221249578</v>
      </c>
      <c r="G106" s="6">
        <f t="shared" ca="1" si="25"/>
        <v>102.17041913399582</v>
      </c>
      <c r="O106" s="1" t="s">
        <v>165</v>
      </c>
      <c r="P106" s="65" t="s">
        <v>219</v>
      </c>
      <c r="Q106" s="65">
        <f t="shared" ca="1" si="26"/>
        <v>1</v>
      </c>
      <c r="R106" s="3">
        <f t="shared" ca="1" si="27"/>
        <v>0.69186091705087072</v>
      </c>
      <c r="V106" s="53" t="s">
        <v>387</v>
      </c>
      <c r="W106" s="54" t="s">
        <v>168</v>
      </c>
      <c r="X106" s="65" t="s">
        <v>231</v>
      </c>
      <c r="Y106" s="65">
        <f t="shared" ca="1" si="28"/>
        <v>4</v>
      </c>
      <c r="Z106" s="3">
        <f t="shared" ca="1" si="29"/>
        <v>0.82214955825449954</v>
      </c>
      <c r="AA106" s="6">
        <f t="shared" ca="1" si="30"/>
        <v>135495.99381127025</v>
      </c>
      <c r="AB106" s="6">
        <f t="shared" ca="1" si="31"/>
        <v>407.39381226980288</v>
      </c>
      <c r="AJ106" s="1" t="s">
        <v>165</v>
      </c>
      <c r="AK106" s="65" t="s">
        <v>219</v>
      </c>
      <c r="AL106" s="65">
        <f t="shared" ca="1" si="32"/>
        <v>3</v>
      </c>
      <c r="AM106" s="3">
        <f t="shared" ca="1" si="33"/>
        <v>0.44931819999165057</v>
      </c>
    </row>
    <row r="107" spans="1:39" x14ac:dyDescent="0.3">
      <c r="A107" s="53" t="s">
        <v>342</v>
      </c>
      <c r="B107" s="54" t="s">
        <v>167</v>
      </c>
      <c r="C107" s="65" t="s">
        <v>231</v>
      </c>
      <c r="D107" s="65">
        <f t="shared" ca="1" si="22"/>
        <v>3</v>
      </c>
      <c r="E107" s="3">
        <f t="shared" ca="1" si="23"/>
        <v>0.35812502248175226</v>
      </c>
      <c r="F107" s="6">
        <f t="shared" ca="1" si="24"/>
        <v>108941.51284195317</v>
      </c>
      <c r="G107" s="6">
        <f t="shared" ca="1" si="25"/>
        <v>1038.2606350967349</v>
      </c>
      <c r="O107" s="1" t="s">
        <v>186</v>
      </c>
      <c r="P107" s="65" t="s">
        <v>231</v>
      </c>
      <c r="Q107" s="65">
        <f t="shared" ca="1" si="26"/>
        <v>1</v>
      </c>
      <c r="R107" s="3">
        <f t="shared" ca="1" si="27"/>
        <v>4.4463219784682262E-2</v>
      </c>
      <c r="V107" s="53" t="s">
        <v>342</v>
      </c>
      <c r="W107" s="54" t="s">
        <v>167</v>
      </c>
      <c r="X107" s="65" t="s">
        <v>231</v>
      </c>
      <c r="Y107" s="65">
        <f t="shared" ca="1" si="28"/>
        <v>2</v>
      </c>
      <c r="Z107" s="3">
        <f t="shared" ca="1" si="29"/>
        <v>0.46068403550468984</v>
      </c>
      <c r="AA107" s="6">
        <f t="shared" ca="1" si="30"/>
        <v>175425.45150262455</v>
      </c>
      <c r="AB107" s="6">
        <f t="shared" ca="1" si="31"/>
        <v>1726.7218032786261</v>
      </c>
      <c r="AJ107" s="1" t="s">
        <v>186</v>
      </c>
      <c r="AK107" s="65" t="s">
        <v>231</v>
      </c>
      <c r="AL107" s="65">
        <f t="shared" ca="1" si="32"/>
        <v>4</v>
      </c>
      <c r="AM107" s="3">
        <f t="shared" ca="1" si="33"/>
        <v>0.83480048691083408</v>
      </c>
    </row>
    <row r="108" spans="1:39" x14ac:dyDescent="0.3">
      <c r="A108" s="53" t="s">
        <v>389</v>
      </c>
      <c r="B108" s="54" t="s">
        <v>180</v>
      </c>
      <c r="C108" s="65" t="s">
        <v>231</v>
      </c>
      <c r="D108" s="65">
        <f t="shared" ca="1" si="22"/>
        <v>3</v>
      </c>
      <c r="E108" s="3">
        <f t="shared" ca="1" si="23"/>
        <v>2.474690774105559E-2</v>
      </c>
      <c r="F108" s="6">
        <f t="shared" ca="1" si="24"/>
        <v>61997.730528063097</v>
      </c>
      <c r="G108" s="6">
        <f t="shared" ca="1" si="25"/>
        <v>851.56686158608693</v>
      </c>
      <c r="O108" s="1" t="s">
        <v>284</v>
      </c>
      <c r="P108" s="65" t="s">
        <v>242</v>
      </c>
      <c r="Q108" s="65">
        <f t="shared" ca="1" si="26"/>
        <v>3</v>
      </c>
      <c r="R108" s="3">
        <f t="shared" ca="1" si="27"/>
        <v>0.84015215726704373</v>
      </c>
      <c r="V108" s="53" t="s">
        <v>389</v>
      </c>
      <c r="W108" s="54" t="s">
        <v>180</v>
      </c>
      <c r="X108" s="65" t="s">
        <v>231</v>
      </c>
      <c r="Y108" s="65">
        <f t="shared" ca="1" si="28"/>
        <v>1</v>
      </c>
      <c r="Z108" s="3">
        <f t="shared" ca="1" si="29"/>
        <v>0.79972709612699555</v>
      </c>
      <c r="AA108" s="6">
        <f t="shared" ca="1" si="30"/>
        <v>116200.48214616628</v>
      </c>
      <c r="AB108" s="6">
        <f t="shared" ca="1" si="31"/>
        <v>129.57551692615789</v>
      </c>
      <c r="AJ108" s="1" t="s">
        <v>284</v>
      </c>
      <c r="AK108" s="65" t="s">
        <v>242</v>
      </c>
      <c r="AL108" s="65">
        <f t="shared" ca="1" si="32"/>
        <v>4</v>
      </c>
      <c r="AM108" s="3">
        <f t="shared" ca="1" si="33"/>
        <v>0.97164950404450012</v>
      </c>
    </row>
    <row r="109" spans="1:39" x14ac:dyDescent="0.3">
      <c r="A109" s="53" t="s">
        <v>310</v>
      </c>
      <c r="B109" s="54" t="s">
        <v>168</v>
      </c>
      <c r="C109" s="65" t="s">
        <v>231</v>
      </c>
      <c r="D109" s="65">
        <f t="shared" ca="1" si="22"/>
        <v>4</v>
      </c>
      <c r="E109" s="3">
        <f t="shared" ca="1" si="23"/>
        <v>0.90463761531613462</v>
      </c>
      <c r="F109" s="6">
        <f t="shared" ca="1" si="24"/>
        <v>77476.954059790136</v>
      </c>
      <c r="G109" s="6">
        <f t="shared" ca="1" si="25"/>
        <v>1642.5068229648521</v>
      </c>
      <c r="O109" s="1" t="s">
        <v>196</v>
      </c>
      <c r="P109" s="65" t="s">
        <v>231</v>
      </c>
      <c r="Q109" s="65">
        <f t="shared" ca="1" si="26"/>
        <v>3</v>
      </c>
      <c r="R109" s="3">
        <f t="shared" ca="1" si="27"/>
        <v>0.15253620078813646</v>
      </c>
      <c r="V109" s="53" t="s">
        <v>310</v>
      </c>
      <c r="W109" s="54" t="s">
        <v>168</v>
      </c>
      <c r="X109" s="65" t="s">
        <v>231</v>
      </c>
      <c r="Y109" s="65">
        <f t="shared" ca="1" si="28"/>
        <v>4</v>
      </c>
      <c r="Z109" s="3">
        <f t="shared" ca="1" si="29"/>
        <v>0.75450747611568392</v>
      </c>
      <c r="AA109" s="6">
        <f t="shared" ca="1" si="30"/>
        <v>178954.83169887721</v>
      </c>
      <c r="AB109" s="6">
        <f t="shared" ca="1" si="31"/>
        <v>959.61614651150762</v>
      </c>
      <c r="AJ109" s="1" t="s">
        <v>196</v>
      </c>
      <c r="AK109" s="65" t="s">
        <v>231</v>
      </c>
      <c r="AL109" s="65">
        <f t="shared" ca="1" si="32"/>
        <v>1</v>
      </c>
      <c r="AM109" s="3">
        <f t="shared" ca="1" si="33"/>
        <v>0.74379374696742995</v>
      </c>
    </row>
    <row r="110" spans="1:39" x14ac:dyDescent="0.3">
      <c r="A110" s="53" t="s">
        <v>373</v>
      </c>
      <c r="B110" s="54" t="s">
        <v>181</v>
      </c>
      <c r="C110" s="65" t="s">
        <v>231</v>
      </c>
      <c r="D110" s="65">
        <f t="shared" ca="1" si="22"/>
        <v>2</v>
      </c>
      <c r="E110" s="3">
        <f t="shared" ca="1" si="23"/>
        <v>0.98348508872889173</v>
      </c>
      <c r="F110" s="6">
        <f t="shared" ca="1" si="24"/>
        <v>158354.19438657365</v>
      </c>
      <c r="G110" s="6">
        <f t="shared" ca="1" si="25"/>
        <v>199.29462386229301</v>
      </c>
      <c r="O110" s="1" t="s">
        <v>211</v>
      </c>
      <c r="P110" s="65" t="s">
        <v>231</v>
      </c>
      <c r="Q110" s="65">
        <f t="shared" ca="1" si="26"/>
        <v>1</v>
      </c>
      <c r="R110" s="3">
        <f t="shared" ca="1" si="27"/>
        <v>0.75199952999390784</v>
      </c>
      <c r="V110" s="53" t="s">
        <v>373</v>
      </c>
      <c r="W110" s="54" t="s">
        <v>181</v>
      </c>
      <c r="X110" s="65" t="s">
        <v>231</v>
      </c>
      <c r="Y110" s="65">
        <f t="shared" ca="1" si="28"/>
        <v>2</v>
      </c>
      <c r="Z110" s="3">
        <f t="shared" ca="1" si="29"/>
        <v>0.77922225175176774</v>
      </c>
      <c r="AA110" s="6">
        <f t="shared" ca="1" si="30"/>
        <v>139538.81087055802</v>
      </c>
      <c r="AB110" s="6">
        <f t="shared" ca="1" si="31"/>
        <v>1800.3257126802403</v>
      </c>
      <c r="AJ110" s="1" t="s">
        <v>211</v>
      </c>
      <c r="AK110" s="65" t="s">
        <v>231</v>
      </c>
      <c r="AL110" s="65">
        <f t="shared" ca="1" si="32"/>
        <v>4</v>
      </c>
      <c r="AM110" s="3">
        <f t="shared" ca="1" si="33"/>
        <v>0.76653947336988615</v>
      </c>
    </row>
    <row r="111" spans="1:39" x14ac:dyDescent="0.3">
      <c r="A111" s="53" t="s">
        <v>394</v>
      </c>
      <c r="B111" s="54" t="s">
        <v>181</v>
      </c>
      <c r="C111" s="65" t="s">
        <v>231</v>
      </c>
      <c r="D111" s="65">
        <f t="shared" ca="1" si="22"/>
        <v>4</v>
      </c>
      <c r="E111" s="3">
        <f t="shared" ca="1" si="23"/>
        <v>0.88595795114555942</v>
      </c>
      <c r="F111" s="6">
        <f t="shared" ca="1" si="24"/>
        <v>52066.276086009108</v>
      </c>
      <c r="G111" s="6">
        <f t="shared" ca="1" si="25"/>
        <v>1043.9469449435821</v>
      </c>
      <c r="O111" s="1" t="s">
        <v>197</v>
      </c>
      <c r="P111" s="65" t="s">
        <v>231</v>
      </c>
      <c r="Q111" s="65">
        <f t="shared" ca="1" si="26"/>
        <v>2</v>
      </c>
      <c r="R111" s="3">
        <f t="shared" ca="1" si="27"/>
        <v>0.89734896780083806</v>
      </c>
      <c r="V111" s="53" t="s">
        <v>394</v>
      </c>
      <c r="W111" s="54" t="s">
        <v>181</v>
      </c>
      <c r="X111" s="65" t="s">
        <v>231</v>
      </c>
      <c r="Y111" s="65">
        <f t="shared" ca="1" si="28"/>
        <v>1</v>
      </c>
      <c r="Z111" s="3">
        <f t="shared" ca="1" si="29"/>
        <v>0.99812427289938577</v>
      </c>
      <c r="AA111" s="6">
        <f t="shared" ca="1" si="30"/>
        <v>105361.2509960351</v>
      </c>
      <c r="AB111" s="6">
        <f t="shared" ca="1" si="31"/>
        <v>494.94852868686758</v>
      </c>
      <c r="AJ111" s="1" t="s">
        <v>197</v>
      </c>
      <c r="AK111" s="65" t="s">
        <v>231</v>
      </c>
      <c r="AL111" s="65">
        <f t="shared" ca="1" si="32"/>
        <v>1</v>
      </c>
      <c r="AM111" s="3">
        <f t="shared" ca="1" si="33"/>
        <v>0.43057680713530333</v>
      </c>
    </row>
    <row r="112" spans="1:39" x14ac:dyDescent="0.3">
      <c r="A112" s="53" t="s">
        <v>326</v>
      </c>
      <c r="B112" s="54" t="s">
        <v>202</v>
      </c>
      <c r="C112" s="65" t="s">
        <v>242</v>
      </c>
      <c r="D112" s="65">
        <f t="shared" ca="1" si="22"/>
        <v>1</v>
      </c>
      <c r="E112" s="3">
        <f t="shared" ca="1" si="23"/>
        <v>0.23699234386801105</v>
      </c>
      <c r="F112" s="6">
        <f t="shared" ca="1" si="24"/>
        <v>168927.74172190178</v>
      </c>
      <c r="G112" s="6">
        <f t="shared" ca="1" si="25"/>
        <v>869.27214541103922</v>
      </c>
      <c r="O112" s="1" t="s">
        <v>188</v>
      </c>
      <c r="P112" s="65" t="s">
        <v>231</v>
      </c>
      <c r="Q112" s="65">
        <f t="shared" ca="1" si="26"/>
        <v>1</v>
      </c>
      <c r="R112" s="3">
        <f t="shared" ca="1" si="27"/>
        <v>0.78096248982012628</v>
      </c>
      <c r="V112" s="53" t="s">
        <v>326</v>
      </c>
      <c r="W112" s="54" t="s">
        <v>202</v>
      </c>
      <c r="X112" s="65" t="s">
        <v>242</v>
      </c>
      <c r="Y112" s="65">
        <f t="shared" ca="1" si="28"/>
        <v>4</v>
      </c>
      <c r="Z112" s="3">
        <f t="shared" ca="1" si="29"/>
        <v>0.57623955999957477</v>
      </c>
      <c r="AA112" s="6">
        <f t="shared" ca="1" si="30"/>
        <v>129812.25957776619</v>
      </c>
      <c r="AB112" s="6">
        <f t="shared" ca="1" si="31"/>
        <v>960.63598319477614</v>
      </c>
      <c r="AJ112" s="1" t="s">
        <v>188</v>
      </c>
      <c r="AK112" s="65" t="s">
        <v>231</v>
      </c>
      <c r="AL112" s="65">
        <f t="shared" ca="1" si="32"/>
        <v>3</v>
      </c>
      <c r="AM112" s="3">
        <f t="shared" ca="1" si="33"/>
        <v>0.42036971566332437</v>
      </c>
    </row>
    <row r="113" spans="1:39" x14ac:dyDescent="0.3">
      <c r="A113" s="53" t="s">
        <v>315</v>
      </c>
      <c r="B113" s="54" t="s">
        <v>180</v>
      </c>
      <c r="C113" s="65" t="s">
        <v>231</v>
      </c>
      <c r="D113" s="65">
        <f t="shared" ca="1" si="22"/>
        <v>1</v>
      </c>
      <c r="E113" s="3">
        <f t="shared" ca="1" si="23"/>
        <v>0.17847397674960663</v>
      </c>
      <c r="F113" s="6">
        <f t="shared" ca="1" si="24"/>
        <v>92498.757174053782</v>
      </c>
      <c r="G113" s="6">
        <f t="shared" ca="1" si="25"/>
        <v>1222.4746875448818</v>
      </c>
      <c r="O113" s="1" t="s">
        <v>273</v>
      </c>
      <c r="P113" s="65" t="s">
        <v>231</v>
      </c>
      <c r="Q113" s="65">
        <f t="shared" ca="1" si="26"/>
        <v>3</v>
      </c>
      <c r="R113" s="3">
        <f t="shared" ca="1" si="27"/>
        <v>0.99443409589560949</v>
      </c>
      <c r="V113" s="53" t="s">
        <v>315</v>
      </c>
      <c r="W113" s="54" t="s">
        <v>180</v>
      </c>
      <c r="X113" s="65" t="s">
        <v>231</v>
      </c>
      <c r="Y113" s="65">
        <f t="shared" ca="1" si="28"/>
        <v>3</v>
      </c>
      <c r="Z113" s="3">
        <f t="shared" ca="1" si="29"/>
        <v>0.1109222093639276</v>
      </c>
      <c r="AA113" s="6">
        <f t="shared" ca="1" si="30"/>
        <v>68733.300183880958</v>
      </c>
      <c r="AB113" s="6">
        <f t="shared" ca="1" si="31"/>
        <v>1843.4885413284542</v>
      </c>
      <c r="AJ113" s="1" t="s">
        <v>273</v>
      </c>
      <c r="AK113" s="65" t="s">
        <v>231</v>
      </c>
      <c r="AL113" s="65">
        <f t="shared" ca="1" si="32"/>
        <v>3</v>
      </c>
      <c r="AM113" s="3">
        <f t="shared" ca="1" si="33"/>
        <v>0.54624085725204052</v>
      </c>
    </row>
    <row r="114" spans="1:39" x14ac:dyDescent="0.3">
      <c r="A114" s="53" t="s">
        <v>373</v>
      </c>
      <c r="B114" s="54" t="s">
        <v>179</v>
      </c>
      <c r="C114" s="65" t="s">
        <v>231</v>
      </c>
      <c r="D114" s="65">
        <f t="shared" ca="1" si="22"/>
        <v>4</v>
      </c>
      <c r="E114" s="3">
        <f t="shared" ca="1" si="23"/>
        <v>0.32670669063952829</v>
      </c>
      <c r="F114" s="6">
        <f t="shared" ca="1" si="24"/>
        <v>73420.553890037656</v>
      </c>
      <c r="G114" s="6">
        <f t="shared" ca="1" si="25"/>
        <v>515.00810203029698</v>
      </c>
      <c r="O114" s="1" t="s">
        <v>194</v>
      </c>
      <c r="P114" s="65" t="s">
        <v>231</v>
      </c>
      <c r="Q114" s="65">
        <f t="shared" ca="1" si="26"/>
        <v>1</v>
      </c>
      <c r="R114" s="3">
        <f t="shared" ca="1" si="27"/>
        <v>0.55849097927781499</v>
      </c>
      <c r="V114" s="53" t="s">
        <v>373</v>
      </c>
      <c r="W114" s="54" t="s">
        <v>179</v>
      </c>
      <c r="X114" s="65" t="s">
        <v>231</v>
      </c>
      <c r="Y114" s="65">
        <f t="shared" ca="1" si="28"/>
        <v>3</v>
      </c>
      <c r="Z114" s="3">
        <f t="shared" ca="1" si="29"/>
        <v>0.22035303010401297</v>
      </c>
      <c r="AA114" s="6">
        <f t="shared" ca="1" si="30"/>
        <v>108446.57532845048</v>
      </c>
      <c r="AB114" s="6">
        <f t="shared" ca="1" si="31"/>
        <v>1517.50371263027</v>
      </c>
      <c r="AJ114" s="1" t="s">
        <v>194</v>
      </c>
      <c r="AK114" s="65" t="s">
        <v>231</v>
      </c>
      <c r="AL114" s="65">
        <f t="shared" ca="1" si="32"/>
        <v>2</v>
      </c>
      <c r="AM114" s="3">
        <f t="shared" ca="1" si="33"/>
        <v>0.81148552376832961</v>
      </c>
    </row>
    <row r="115" spans="1:39" x14ac:dyDescent="0.3">
      <c r="A115" s="53" t="s">
        <v>340</v>
      </c>
      <c r="B115" s="54" t="s">
        <v>181</v>
      </c>
      <c r="C115" s="65" t="s">
        <v>231</v>
      </c>
      <c r="D115" s="65">
        <f t="shared" ca="1" si="22"/>
        <v>3</v>
      </c>
      <c r="E115" s="3">
        <f t="shared" ca="1" si="23"/>
        <v>0.41209377735337016</v>
      </c>
      <c r="F115" s="6">
        <f t="shared" ca="1" si="24"/>
        <v>137711.73908010952</v>
      </c>
      <c r="G115" s="6">
        <f t="shared" ca="1" si="25"/>
        <v>1059.0688711694304</v>
      </c>
      <c r="O115" s="1" t="s">
        <v>191</v>
      </c>
      <c r="P115" s="65" t="s">
        <v>219</v>
      </c>
      <c r="Q115" s="65">
        <f t="shared" ca="1" si="26"/>
        <v>3</v>
      </c>
      <c r="R115" s="3">
        <f t="shared" ca="1" si="27"/>
        <v>0.10173025013156056</v>
      </c>
      <c r="V115" s="53" t="s">
        <v>340</v>
      </c>
      <c r="W115" s="54" t="s">
        <v>181</v>
      </c>
      <c r="X115" s="65" t="s">
        <v>231</v>
      </c>
      <c r="Y115" s="65">
        <f t="shared" ca="1" si="28"/>
        <v>4</v>
      </c>
      <c r="Z115" s="3">
        <f t="shared" ca="1" si="29"/>
        <v>0.44690679679337908</v>
      </c>
      <c r="AA115" s="6">
        <f t="shared" ca="1" si="30"/>
        <v>149960.39378061795</v>
      </c>
      <c r="AB115" s="6">
        <f t="shared" ca="1" si="31"/>
        <v>227.4137142807464</v>
      </c>
      <c r="AJ115" s="1" t="s">
        <v>191</v>
      </c>
      <c r="AK115" s="65" t="s">
        <v>219</v>
      </c>
      <c r="AL115" s="65">
        <f t="shared" ca="1" si="32"/>
        <v>2</v>
      </c>
      <c r="AM115" s="3">
        <f t="shared" ca="1" si="33"/>
        <v>0.19846466300104104</v>
      </c>
    </row>
    <row r="116" spans="1:39" x14ac:dyDescent="0.3">
      <c r="A116" s="53" t="s">
        <v>347</v>
      </c>
      <c r="B116" s="54" t="s">
        <v>181</v>
      </c>
      <c r="C116" s="65" t="s">
        <v>231</v>
      </c>
      <c r="D116" s="65">
        <f t="shared" ca="1" si="22"/>
        <v>4</v>
      </c>
      <c r="E116" s="3">
        <f t="shared" ca="1" si="23"/>
        <v>0.15498338936374623</v>
      </c>
      <c r="F116" s="6">
        <f t="shared" ca="1" si="24"/>
        <v>94797.317650418496</v>
      </c>
      <c r="G116" s="6">
        <f t="shared" ca="1" si="25"/>
        <v>176.5891911104971</v>
      </c>
      <c r="O116" s="1" t="s">
        <v>196</v>
      </c>
      <c r="P116" s="65" t="s">
        <v>219</v>
      </c>
      <c r="Q116" s="65">
        <f t="shared" ca="1" si="26"/>
        <v>1</v>
      </c>
      <c r="R116" s="3">
        <f t="shared" ca="1" si="27"/>
        <v>0.91288708742156843</v>
      </c>
      <c r="V116" s="53" t="s">
        <v>347</v>
      </c>
      <c r="W116" s="54" t="s">
        <v>181</v>
      </c>
      <c r="X116" s="65" t="s">
        <v>231</v>
      </c>
      <c r="Y116" s="65">
        <f t="shared" ca="1" si="28"/>
        <v>1</v>
      </c>
      <c r="Z116" s="3">
        <f t="shared" ca="1" si="29"/>
        <v>0.11049933219692953</v>
      </c>
      <c r="AA116" s="6">
        <f t="shared" ca="1" si="30"/>
        <v>36041.111470799537</v>
      </c>
      <c r="AB116" s="6">
        <f t="shared" ca="1" si="31"/>
        <v>1946.369467557565</v>
      </c>
      <c r="AJ116" s="1" t="s">
        <v>196</v>
      </c>
      <c r="AK116" s="65" t="s">
        <v>219</v>
      </c>
      <c r="AL116" s="65">
        <f t="shared" ca="1" si="32"/>
        <v>3</v>
      </c>
      <c r="AM116" s="3">
        <f t="shared" ca="1" si="33"/>
        <v>0.8650847739527936</v>
      </c>
    </row>
    <row r="117" spans="1:39" x14ac:dyDescent="0.3">
      <c r="A117" s="53" t="s">
        <v>324</v>
      </c>
      <c r="B117" s="54" t="s">
        <v>167</v>
      </c>
      <c r="C117" s="65" t="s">
        <v>231</v>
      </c>
      <c r="D117" s="65">
        <f t="shared" ca="1" si="22"/>
        <v>1</v>
      </c>
      <c r="E117" s="3">
        <f t="shared" ca="1" si="23"/>
        <v>0.24224570833229087</v>
      </c>
      <c r="F117" s="6">
        <f t="shared" ca="1" si="24"/>
        <v>190936.97449336454</v>
      </c>
      <c r="G117" s="6">
        <f t="shared" ca="1" si="25"/>
        <v>1927.7002663475732</v>
      </c>
      <c r="O117" s="1" t="s">
        <v>217</v>
      </c>
      <c r="P117" s="65" t="s">
        <v>242</v>
      </c>
      <c r="Q117" s="65">
        <f t="shared" ca="1" si="26"/>
        <v>4</v>
      </c>
      <c r="R117" s="3">
        <f t="shared" ca="1" si="27"/>
        <v>9.1867161161531263E-2</v>
      </c>
      <c r="V117" s="53" t="s">
        <v>324</v>
      </c>
      <c r="W117" s="54" t="s">
        <v>167</v>
      </c>
      <c r="X117" s="65" t="s">
        <v>231</v>
      </c>
      <c r="Y117" s="65">
        <f t="shared" ca="1" si="28"/>
        <v>4</v>
      </c>
      <c r="Z117" s="3">
        <f t="shared" ca="1" si="29"/>
        <v>0.30446748228402831</v>
      </c>
      <c r="AA117" s="6">
        <f t="shared" ca="1" si="30"/>
        <v>82694.178598741593</v>
      </c>
      <c r="AB117" s="6">
        <f t="shared" ca="1" si="31"/>
        <v>514.74270416381569</v>
      </c>
      <c r="AJ117" s="1" t="s">
        <v>217</v>
      </c>
      <c r="AK117" s="65" t="s">
        <v>242</v>
      </c>
      <c r="AL117" s="65">
        <f t="shared" ca="1" si="32"/>
        <v>4</v>
      </c>
      <c r="AM117" s="3">
        <f t="shared" ca="1" si="33"/>
        <v>0.3779672589557036</v>
      </c>
    </row>
    <row r="118" spans="1:39" x14ac:dyDescent="0.3">
      <c r="A118" s="53" t="s">
        <v>392</v>
      </c>
      <c r="B118" s="54" t="s">
        <v>180</v>
      </c>
      <c r="C118" s="65" t="s">
        <v>231</v>
      </c>
      <c r="D118" s="65">
        <f t="shared" ca="1" si="22"/>
        <v>2</v>
      </c>
      <c r="E118" s="3">
        <f t="shared" ca="1" si="23"/>
        <v>0.94639643851237831</v>
      </c>
      <c r="F118" s="6">
        <f t="shared" ca="1" si="24"/>
        <v>14925.594833013878</v>
      </c>
      <c r="G118" s="6">
        <f t="shared" ca="1" si="25"/>
        <v>1987.4208966437795</v>
      </c>
      <c r="O118" s="1" t="s">
        <v>164</v>
      </c>
      <c r="P118" s="65" t="s">
        <v>242</v>
      </c>
      <c r="Q118" s="65">
        <f t="shared" ca="1" si="26"/>
        <v>4</v>
      </c>
      <c r="R118" s="3">
        <f t="shared" ca="1" si="27"/>
        <v>0.61010229491746115</v>
      </c>
      <c r="V118" s="53" t="s">
        <v>392</v>
      </c>
      <c r="W118" s="54" t="s">
        <v>180</v>
      </c>
      <c r="X118" s="65" t="s">
        <v>231</v>
      </c>
      <c r="Y118" s="65">
        <f t="shared" ca="1" si="28"/>
        <v>4</v>
      </c>
      <c r="Z118" s="3">
        <f t="shared" ca="1" si="29"/>
        <v>0.65292489902705653</v>
      </c>
      <c r="AA118" s="6">
        <f t="shared" ca="1" si="30"/>
        <v>110121.08302729428</v>
      </c>
      <c r="AB118" s="6">
        <f t="shared" ca="1" si="31"/>
        <v>860.6568852215737</v>
      </c>
      <c r="AJ118" s="1" t="s">
        <v>164</v>
      </c>
      <c r="AK118" s="65" t="s">
        <v>242</v>
      </c>
      <c r="AL118" s="65">
        <f t="shared" ca="1" si="32"/>
        <v>1</v>
      </c>
      <c r="AM118" s="3">
        <f t="shared" ca="1" si="33"/>
        <v>0.55612104392988371</v>
      </c>
    </row>
    <row r="119" spans="1:39" x14ac:dyDescent="0.3">
      <c r="A119" s="53" t="s">
        <v>350</v>
      </c>
      <c r="B119" s="54" t="s">
        <v>181</v>
      </c>
      <c r="C119" s="65" t="s">
        <v>231</v>
      </c>
      <c r="D119" s="65">
        <f t="shared" ca="1" si="22"/>
        <v>2</v>
      </c>
      <c r="E119" s="3">
        <f t="shared" ca="1" si="23"/>
        <v>0.46539685684939713</v>
      </c>
      <c r="F119" s="6">
        <f t="shared" ca="1" si="24"/>
        <v>177308.56451514049</v>
      </c>
      <c r="G119" s="6">
        <f t="shared" ca="1" si="25"/>
        <v>1706.7949533313113</v>
      </c>
      <c r="O119" s="1" t="s">
        <v>202</v>
      </c>
      <c r="P119" s="65" t="s">
        <v>219</v>
      </c>
      <c r="Q119" s="65">
        <f t="shared" ca="1" si="26"/>
        <v>1</v>
      </c>
      <c r="R119" s="3">
        <f t="shared" ca="1" si="27"/>
        <v>0.53219163153794857</v>
      </c>
      <c r="V119" s="53" t="s">
        <v>350</v>
      </c>
      <c r="W119" s="54" t="s">
        <v>181</v>
      </c>
      <c r="X119" s="65" t="s">
        <v>231</v>
      </c>
      <c r="Y119" s="65">
        <f t="shared" ca="1" si="28"/>
        <v>2</v>
      </c>
      <c r="Z119" s="3">
        <f t="shared" ca="1" si="29"/>
        <v>0.46999277498391212</v>
      </c>
      <c r="AA119" s="6">
        <f t="shared" ca="1" si="30"/>
        <v>195725.27617478921</v>
      </c>
      <c r="AB119" s="6">
        <f t="shared" ca="1" si="31"/>
        <v>1765.1166448451072</v>
      </c>
      <c r="AJ119" s="1" t="s">
        <v>202</v>
      </c>
      <c r="AK119" s="65" t="s">
        <v>219</v>
      </c>
      <c r="AL119" s="65">
        <f t="shared" ca="1" si="32"/>
        <v>4</v>
      </c>
      <c r="AM119" s="3">
        <f t="shared" ca="1" si="33"/>
        <v>0.50730202498330057</v>
      </c>
    </row>
    <row r="120" spans="1:39" x14ac:dyDescent="0.3">
      <c r="A120" s="53" t="s">
        <v>332</v>
      </c>
      <c r="B120" s="54" t="s">
        <v>180</v>
      </c>
      <c r="C120" s="65" t="s">
        <v>231</v>
      </c>
      <c r="D120" s="65">
        <f t="shared" ca="1" si="22"/>
        <v>3</v>
      </c>
      <c r="E120" s="3">
        <f t="shared" ca="1" si="23"/>
        <v>0.12102810508454409</v>
      </c>
      <c r="F120" s="6">
        <f t="shared" ca="1" si="24"/>
        <v>55261.572896085883</v>
      </c>
      <c r="G120" s="6">
        <f t="shared" ca="1" si="25"/>
        <v>239.7520301494076</v>
      </c>
      <c r="O120" s="1" t="s">
        <v>291</v>
      </c>
      <c r="P120" s="65" t="s">
        <v>219</v>
      </c>
      <c r="Q120" s="65">
        <f t="shared" ca="1" si="26"/>
        <v>2</v>
      </c>
      <c r="R120" s="3">
        <f t="shared" ca="1" si="27"/>
        <v>0.71981605981818253</v>
      </c>
      <c r="V120" s="53" t="s">
        <v>332</v>
      </c>
      <c r="W120" s="54" t="s">
        <v>180</v>
      </c>
      <c r="X120" s="65" t="s">
        <v>231</v>
      </c>
      <c r="Y120" s="65">
        <f t="shared" ca="1" si="28"/>
        <v>4</v>
      </c>
      <c r="Z120" s="3">
        <f t="shared" ca="1" si="29"/>
        <v>0.65358362549570526</v>
      </c>
      <c r="AA120" s="6">
        <f t="shared" ca="1" si="30"/>
        <v>31370.849249730814</v>
      </c>
      <c r="AB120" s="6">
        <f t="shared" ca="1" si="31"/>
        <v>1032.9447287608177</v>
      </c>
      <c r="AJ120" s="1" t="s">
        <v>291</v>
      </c>
      <c r="AK120" s="65" t="s">
        <v>219</v>
      </c>
      <c r="AL120" s="65">
        <f t="shared" ca="1" si="32"/>
        <v>1</v>
      </c>
      <c r="AM120" s="3">
        <f t="shared" ca="1" si="33"/>
        <v>0.30823771990784199</v>
      </c>
    </row>
    <row r="121" spans="1:39" x14ac:dyDescent="0.3">
      <c r="A121" s="53" t="s">
        <v>336</v>
      </c>
      <c r="B121" s="54" t="s">
        <v>180</v>
      </c>
      <c r="C121" s="65" t="s">
        <v>231</v>
      </c>
      <c r="D121" s="65">
        <f t="shared" ca="1" si="22"/>
        <v>1</v>
      </c>
      <c r="E121" s="3">
        <f t="shared" ca="1" si="23"/>
        <v>5.9926839629297346E-3</v>
      </c>
      <c r="F121" s="6">
        <f t="shared" ca="1" si="24"/>
        <v>15049.542198175381</v>
      </c>
      <c r="G121" s="6">
        <f t="shared" ca="1" si="25"/>
        <v>165.48563380208515</v>
      </c>
      <c r="O121" s="1" t="s">
        <v>291</v>
      </c>
      <c r="P121" s="65" t="s">
        <v>219</v>
      </c>
      <c r="Q121" s="65">
        <f t="shared" ca="1" si="26"/>
        <v>1</v>
      </c>
      <c r="R121" s="3">
        <f t="shared" ca="1" si="27"/>
        <v>0.71165870748276627</v>
      </c>
      <c r="V121" s="53" t="s">
        <v>336</v>
      </c>
      <c r="W121" s="54" t="s">
        <v>180</v>
      </c>
      <c r="X121" s="65" t="s">
        <v>231</v>
      </c>
      <c r="Y121" s="65">
        <f t="shared" ca="1" si="28"/>
        <v>3</v>
      </c>
      <c r="Z121" s="3">
        <f t="shared" ca="1" si="29"/>
        <v>0.59084240261989118</v>
      </c>
      <c r="AA121" s="6">
        <f t="shared" ca="1" si="30"/>
        <v>88814.625268322328</v>
      </c>
      <c r="AB121" s="6">
        <f t="shared" ca="1" si="31"/>
        <v>1734.3608138181457</v>
      </c>
      <c r="AJ121" s="1" t="s">
        <v>291</v>
      </c>
      <c r="AK121" s="65" t="s">
        <v>219</v>
      </c>
      <c r="AL121" s="65">
        <f t="shared" ca="1" si="32"/>
        <v>4</v>
      </c>
      <c r="AM121" s="3">
        <f t="shared" ca="1" si="33"/>
        <v>0.83744152067178057</v>
      </c>
    </row>
    <row r="122" spans="1:39" x14ac:dyDescent="0.3">
      <c r="A122" s="53" t="s">
        <v>32</v>
      </c>
      <c r="B122" s="54" t="s">
        <v>167</v>
      </c>
      <c r="C122" s="65" t="s">
        <v>231</v>
      </c>
      <c r="D122" s="65">
        <f t="shared" ca="1" si="22"/>
        <v>4</v>
      </c>
      <c r="E122" s="3">
        <f t="shared" ca="1" si="23"/>
        <v>0.75842399973506947</v>
      </c>
      <c r="F122" s="6">
        <f t="shared" ca="1" si="24"/>
        <v>164252.71059107615</v>
      </c>
      <c r="G122" s="6">
        <f t="shared" ca="1" si="25"/>
        <v>273.75437242408009</v>
      </c>
      <c r="O122" s="1" t="s">
        <v>287</v>
      </c>
      <c r="P122" s="65" t="s">
        <v>219</v>
      </c>
      <c r="Q122" s="65">
        <f t="shared" ca="1" si="26"/>
        <v>4</v>
      </c>
      <c r="R122" s="3">
        <f t="shared" ca="1" si="27"/>
        <v>2.6210149800857896E-2</v>
      </c>
      <c r="V122" s="53" t="s">
        <v>32</v>
      </c>
      <c r="W122" s="54" t="s">
        <v>167</v>
      </c>
      <c r="X122" s="65" t="s">
        <v>231</v>
      </c>
      <c r="Y122" s="65">
        <f t="shared" ca="1" si="28"/>
        <v>4</v>
      </c>
      <c r="Z122" s="3">
        <f t="shared" ca="1" si="29"/>
        <v>0.53929229784505117</v>
      </c>
      <c r="AA122" s="6">
        <f t="shared" ca="1" si="30"/>
        <v>74529.622633739185</v>
      </c>
      <c r="AB122" s="6">
        <f t="shared" ca="1" si="31"/>
        <v>1814.9505550133331</v>
      </c>
      <c r="AJ122" s="1" t="s">
        <v>287</v>
      </c>
      <c r="AK122" s="65" t="s">
        <v>219</v>
      </c>
      <c r="AL122" s="65">
        <f t="shared" ca="1" si="32"/>
        <v>3</v>
      </c>
      <c r="AM122" s="3">
        <f t="shared" ca="1" si="33"/>
        <v>0.351308934963937</v>
      </c>
    </row>
    <row r="123" spans="1:39" x14ac:dyDescent="0.3">
      <c r="A123" s="53" t="s">
        <v>329</v>
      </c>
      <c r="B123" s="54" t="s">
        <v>168</v>
      </c>
      <c r="C123" s="65" t="s">
        <v>231</v>
      </c>
      <c r="D123" s="65">
        <f t="shared" ca="1" si="22"/>
        <v>1</v>
      </c>
      <c r="E123" s="3">
        <f t="shared" ca="1" si="23"/>
        <v>0.95287848109574191</v>
      </c>
      <c r="F123" s="6">
        <f t="shared" ca="1" si="24"/>
        <v>47112.666338101735</v>
      </c>
      <c r="G123" s="6">
        <f t="shared" ca="1" si="25"/>
        <v>1813.4598301283054</v>
      </c>
      <c r="O123" s="1" t="s">
        <v>195</v>
      </c>
      <c r="P123" s="65" t="s">
        <v>231</v>
      </c>
      <c r="Q123" s="65">
        <f t="shared" ca="1" si="26"/>
        <v>2</v>
      </c>
      <c r="R123" s="3">
        <f t="shared" ca="1" si="27"/>
        <v>0.93828390290175667</v>
      </c>
      <c r="V123" s="53" t="s">
        <v>329</v>
      </c>
      <c r="W123" s="54" t="s">
        <v>168</v>
      </c>
      <c r="X123" s="65" t="s">
        <v>231</v>
      </c>
      <c r="Y123" s="65">
        <f t="shared" ca="1" si="28"/>
        <v>2</v>
      </c>
      <c r="Z123" s="3">
        <f t="shared" ca="1" si="29"/>
        <v>0.67086012819685137</v>
      </c>
      <c r="AA123" s="6">
        <f t="shared" ca="1" si="30"/>
        <v>17602.082973026256</v>
      </c>
      <c r="AB123" s="6">
        <f t="shared" ca="1" si="31"/>
        <v>1716.1364856794573</v>
      </c>
      <c r="AJ123" s="1" t="s">
        <v>195</v>
      </c>
      <c r="AK123" s="65" t="s">
        <v>231</v>
      </c>
      <c r="AL123" s="65">
        <f t="shared" ca="1" si="32"/>
        <v>4</v>
      </c>
      <c r="AM123" s="3">
        <f t="shared" ca="1" si="33"/>
        <v>0.63739140971184305</v>
      </c>
    </row>
    <row r="124" spans="1:39" x14ac:dyDescent="0.3">
      <c r="A124" s="53" t="s">
        <v>368</v>
      </c>
      <c r="B124" s="54" t="s">
        <v>180</v>
      </c>
      <c r="C124" s="65" t="s">
        <v>231</v>
      </c>
      <c r="D124" s="65">
        <f t="shared" ca="1" si="22"/>
        <v>4</v>
      </c>
      <c r="E124" s="3">
        <f t="shared" ca="1" si="23"/>
        <v>0.30606822708081094</v>
      </c>
      <c r="F124" s="6">
        <f t="shared" ca="1" si="24"/>
        <v>50917.481232828395</v>
      </c>
      <c r="G124" s="6">
        <f t="shared" ca="1" si="25"/>
        <v>226.92835501229379</v>
      </c>
      <c r="O124" s="1"/>
      <c r="P124" s="65"/>
      <c r="V124" s="53" t="s">
        <v>368</v>
      </c>
      <c r="W124" s="54" t="s">
        <v>180</v>
      </c>
      <c r="X124" s="65" t="s">
        <v>231</v>
      </c>
      <c r="Y124" s="65">
        <f t="shared" ca="1" si="28"/>
        <v>3</v>
      </c>
      <c r="Z124" s="3">
        <f t="shared" ca="1" si="29"/>
        <v>0.40657347109273689</v>
      </c>
      <c r="AA124" s="6">
        <f t="shared" ca="1" si="30"/>
        <v>327.70962344375044</v>
      </c>
      <c r="AB124" s="6">
        <f t="shared" ca="1" si="31"/>
        <v>156.62350975058192</v>
      </c>
      <c r="AJ124" s="1"/>
      <c r="AK124" s="65"/>
    </row>
    <row r="125" spans="1:39" x14ac:dyDescent="0.3">
      <c r="A125" s="53" t="s">
        <v>378</v>
      </c>
      <c r="B125" s="54" t="s">
        <v>167</v>
      </c>
      <c r="C125" s="65" t="s">
        <v>231</v>
      </c>
      <c r="D125" s="65">
        <f t="shared" ca="1" si="22"/>
        <v>3</v>
      </c>
      <c r="E125" s="3">
        <f t="shared" ca="1" si="23"/>
        <v>0.5271054346284727</v>
      </c>
      <c r="F125" s="6">
        <f t="shared" ca="1" si="24"/>
        <v>50324.543307309024</v>
      </c>
      <c r="G125" s="6">
        <f t="shared" ca="1" si="25"/>
        <v>614.32346492728504</v>
      </c>
      <c r="N125" s="65"/>
      <c r="O125" s="65"/>
      <c r="P125" s="65"/>
      <c r="V125" s="53" t="s">
        <v>378</v>
      </c>
      <c r="W125" s="54" t="s">
        <v>167</v>
      </c>
      <c r="X125" s="65" t="s">
        <v>231</v>
      </c>
      <c r="Y125" s="65">
        <f t="shared" ca="1" si="28"/>
        <v>2</v>
      </c>
      <c r="Z125" s="3">
        <f t="shared" ca="1" si="29"/>
        <v>0.63581665521256558</v>
      </c>
      <c r="AA125" s="6">
        <f t="shared" ca="1" si="30"/>
        <v>160679.5420106547</v>
      </c>
      <c r="AB125" s="6">
        <f t="shared" ca="1" si="31"/>
        <v>502.13566124211081</v>
      </c>
      <c r="AI125" s="65"/>
      <c r="AJ125" s="65"/>
      <c r="AK125" s="65"/>
    </row>
    <row r="126" spans="1:39" x14ac:dyDescent="0.3">
      <c r="A126" s="53"/>
      <c r="B126" s="54"/>
      <c r="C126" s="65" t="s">
        <v>231</v>
      </c>
      <c r="D126" s="65">
        <f t="shared" ca="1" si="22"/>
        <v>3</v>
      </c>
      <c r="E126" s="3">
        <f t="shared" ca="1" si="23"/>
        <v>0.19711406252753771</v>
      </c>
      <c r="F126" s="6">
        <f t="shared" ca="1" si="24"/>
        <v>35054.04350190673</v>
      </c>
      <c r="G126" s="6">
        <f t="shared" ca="1" si="25"/>
        <v>973.31732579438437</v>
      </c>
      <c r="N126" s="65"/>
      <c r="O126" s="65"/>
      <c r="P126" s="65"/>
      <c r="V126" s="53"/>
      <c r="W126" s="54"/>
      <c r="X126" s="65" t="s">
        <v>231</v>
      </c>
      <c r="Y126" s="65">
        <f t="shared" ca="1" si="28"/>
        <v>4</v>
      </c>
      <c r="Z126" s="3">
        <f t="shared" ca="1" si="29"/>
        <v>0.24148479075861184</v>
      </c>
      <c r="AA126" s="6">
        <f t="shared" ca="1" si="30"/>
        <v>67092.960785208255</v>
      </c>
      <c r="AB126" s="6">
        <f t="shared" ca="1" si="31"/>
        <v>23.653135889064814</v>
      </c>
      <c r="AI126" s="65"/>
      <c r="AJ126" s="65"/>
      <c r="AK126" s="65"/>
    </row>
    <row r="127" spans="1:39" x14ac:dyDescent="0.3">
      <c r="A127" s="53"/>
      <c r="B127" s="54"/>
      <c r="C127" s="65" t="s">
        <v>231</v>
      </c>
      <c r="D127" s="65">
        <f t="shared" ca="1" si="22"/>
        <v>4</v>
      </c>
      <c r="E127" s="3">
        <f t="shared" ca="1" si="23"/>
        <v>0.59065951608537703</v>
      </c>
      <c r="F127" s="6">
        <f t="shared" ca="1" si="24"/>
        <v>108012.93487027708</v>
      </c>
      <c r="G127" s="6">
        <f t="shared" ca="1" si="25"/>
        <v>1273.0182336505045</v>
      </c>
      <c r="N127" s="65"/>
      <c r="O127" s="65"/>
      <c r="P127" s="65"/>
      <c r="V127" s="53"/>
      <c r="W127" s="54"/>
      <c r="X127" s="65" t="s">
        <v>231</v>
      </c>
      <c r="Y127" s="65">
        <f t="shared" ca="1" si="28"/>
        <v>2</v>
      </c>
      <c r="Z127" s="3">
        <f t="shared" ca="1" si="29"/>
        <v>0.42612165252076373</v>
      </c>
      <c r="AA127" s="6">
        <f t="shared" ca="1" si="30"/>
        <v>92658.304082291404</v>
      </c>
      <c r="AB127" s="6">
        <f t="shared" ca="1" si="31"/>
        <v>1736.2665584837862</v>
      </c>
      <c r="AI127" s="65"/>
      <c r="AJ127" s="65"/>
      <c r="AK127" s="65"/>
    </row>
    <row r="128" spans="1:39" x14ac:dyDescent="0.3">
      <c r="A128" s="53"/>
      <c r="B128" s="54"/>
      <c r="C128" s="65" t="s">
        <v>231</v>
      </c>
      <c r="D128" s="65">
        <f t="shared" ca="1" si="22"/>
        <v>4</v>
      </c>
      <c r="E128" s="3">
        <f t="shared" ca="1" si="23"/>
        <v>0.8646903198163356</v>
      </c>
      <c r="F128" s="6">
        <f t="shared" ca="1" si="24"/>
        <v>25711.86479274854</v>
      </c>
      <c r="G128" s="6">
        <f t="shared" ca="1" si="25"/>
        <v>1201.9881548712483</v>
      </c>
      <c r="N128" s="65"/>
      <c r="O128" s="65"/>
      <c r="P128" s="65"/>
      <c r="V128" s="53"/>
      <c r="W128" s="54"/>
      <c r="X128" s="65" t="s">
        <v>231</v>
      </c>
      <c r="Y128" s="65">
        <f t="shared" ca="1" si="28"/>
        <v>3</v>
      </c>
      <c r="Z128" s="3">
        <f t="shared" ca="1" si="29"/>
        <v>0.12652129310708904</v>
      </c>
      <c r="AA128" s="6">
        <f t="shared" ca="1" si="30"/>
        <v>84978.059934635647</v>
      </c>
      <c r="AB128" s="6">
        <f t="shared" ca="1" si="31"/>
        <v>1455.9182391140898</v>
      </c>
      <c r="AI128" s="65"/>
      <c r="AJ128" s="65"/>
      <c r="AK128" s="65"/>
    </row>
    <row r="129" spans="1:37" x14ac:dyDescent="0.3">
      <c r="A129" s="53"/>
      <c r="B129" s="54"/>
      <c r="C129" s="65" t="s">
        <v>231</v>
      </c>
      <c r="D129" s="65">
        <f t="shared" ca="1" si="22"/>
        <v>1</v>
      </c>
      <c r="E129" s="3">
        <f t="shared" ca="1" si="23"/>
        <v>0.58401410042092006</v>
      </c>
      <c r="F129" s="6">
        <f t="shared" ca="1" si="24"/>
        <v>48785.318635131356</v>
      </c>
      <c r="G129" s="6">
        <f t="shared" ca="1" si="25"/>
        <v>1465.1814004720902</v>
      </c>
      <c r="N129" s="65"/>
      <c r="O129" s="65"/>
      <c r="P129" s="65"/>
      <c r="V129" s="53"/>
      <c r="W129" s="54"/>
      <c r="X129" s="65" t="s">
        <v>231</v>
      </c>
      <c r="Y129" s="65">
        <f t="shared" ca="1" si="28"/>
        <v>2</v>
      </c>
      <c r="Z129" s="3">
        <f t="shared" ca="1" si="29"/>
        <v>5.4154200678154241E-2</v>
      </c>
      <c r="AA129" s="6">
        <f t="shared" ca="1" si="30"/>
        <v>9211.4487966469933</v>
      </c>
      <c r="AB129" s="6">
        <f t="shared" ca="1" si="31"/>
        <v>1219.8331293348317</v>
      </c>
      <c r="AI129" s="65"/>
      <c r="AJ129" s="65"/>
      <c r="AK129" s="65"/>
    </row>
    <row r="130" spans="1:37" x14ac:dyDescent="0.3">
      <c r="A130" s="53"/>
      <c r="B130" s="54"/>
      <c r="C130" s="65" t="s">
        <v>231</v>
      </c>
      <c r="D130" s="65">
        <f t="shared" ca="1" si="22"/>
        <v>4</v>
      </c>
      <c r="E130" s="3">
        <f t="shared" ca="1" si="23"/>
        <v>0.75767988060785041</v>
      </c>
      <c r="F130" s="6">
        <f t="shared" ca="1" si="24"/>
        <v>66030.921070564204</v>
      </c>
      <c r="G130" s="6">
        <f t="shared" ca="1" si="25"/>
        <v>1739.6609481512091</v>
      </c>
      <c r="N130" s="65"/>
      <c r="O130" s="65"/>
      <c r="P130" s="65"/>
      <c r="V130" s="53"/>
      <c r="W130" s="54"/>
      <c r="X130" s="65" t="s">
        <v>231</v>
      </c>
      <c r="Y130" s="65">
        <f t="shared" ca="1" si="28"/>
        <v>3</v>
      </c>
      <c r="Z130" s="3">
        <f t="shared" ca="1" si="29"/>
        <v>0.4074702306146869</v>
      </c>
      <c r="AA130" s="6">
        <f t="shared" ca="1" si="30"/>
        <v>124853.70922518027</v>
      </c>
      <c r="AB130" s="6">
        <f t="shared" ca="1" si="31"/>
        <v>1090.2671072419964</v>
      </c>
      <c r="AI130" s="65"/>
      <c r="AJ130" s="65"/>
      <c r="AK130" s="65"/>
    </row>
    <row r="131" spans="1:37" x14ac:dyDescent="0.3">
      <c r="A131" s="53"/>
      <c r="B131" s="54"/>
      <c r="C131" s="65" t="s">
        <v>231</v>
      </c>
      <c r="D131" s="65">
        <f t="shared" ca="1" si="22"/>
        <v>2</v>
      </c>
      <c r="E131" s="3">
        <f t="shared" ca="1" si="23"/>
        <v>0.41894711715191579</v>
      </c>
      <c r="F131" s="6">
        <f t="shared" ca="1" si="24"/>
        <v>2470.0440957488022</v>
      </c>
      <c r="G131" s="6">
        <f t="shared" ca="1" si="25"/>
        <v>857.00465020062563</v>
      </c>
      <c r="N131" s="65"/>
      <c r="O131" s="65"/>
      <c r="P131" s="65"/>
      <c r="V131" s="53"/>
      <c r="W131" s="54"/>
      <c r="X131" s="65" t="s">
        <v>231</v>
      </c>
      <c r="Y131" s="65">
        <f t="shared" ca="1" si="28"/>
        <v>3</v>
      </c>
      <c r="Z131" s="3">
        <f t="shared" ca="1" si="29"/>
        <v>0.37266450802759643</v>
      </c>
      <c r="AA131" s="6">
        <f t="shared" ca="1" si="30"/>
        <v>83558.9364021238</v>
      </c>
      <c r="AB131" s="6">
        <f t="shared" ca="1" si="31"/>
        <v>1698.9748089666753</v>
      </c>
      <c r="AI131" s="65"/>
      <c r="AJ131" s="65"/>
      <c r="AK131" s="65"/>
    </row>
    <row r="132" spans="1:37" x14ac:dyDescent="0.3">
      <c r="A132" s="53"/>
      <c r="B132" s="54"/>
      <c r="C132" s="65" t="s">
        <v>231</v>
      </c>
      <c r="D132" s="65">
        <f t="shared" ca="1" si="22"/>
        <v>3</v>
      </c>
      <c r="E132" s="3">
        <f t="shared" ca="1" si="23"/>
        <v>0.1004217787245647</v>
      </c>
      <c r="F132" s="6">
        <f t="shared" ca="1" si="24"/>
        <v>48402.146588351425</v>
      </c>
      <c r="G132" s="6">
        <f t="shared" ca="1" si="25"/>
        <v>226.14751695718871</v>
      </c>
      <c r="N132" s="65"/>
      <c r="O132" s="65"/>
      <c r="P132" s="65"/>
      <c r="V132" s="53"/>
      <c r="W132" s="54"/>
      <c r="X132" s="65" t="s">
        <v>231</v>
      </c>
      <c r="Y132" s="65">
        <f t="shared" ca="1" si="28"/>
        <v>1</v>
      </c>
      <c r="Z132" s="3">
        <f t="shared" ca="1" si="29"/>
        <v>0.6028562497658726</v>
      </c>
      <c r="AA132" s="6">
        <f t="shared" ca="1" si="30"/>
        <v>14621.940032099068</v>
      </c>
      <c r="AB132" s="6">
        <f t="shared" ca="1" si="31"/>
        <v>228.24179823670244</v>
      </c>
      <c r="AI132" s="65"/>
      <c r="AJ132" s="65"/>
      <c r="AK132" s="65"/>
    </row>
    <row r="133" spans="1:37" x14ac:dyDescent="0.3">
      <c r="A133" s="53"/>
      <c r="B133" s="54"/>
      <c r="C133" s="65" t="s">
        <v>231</v>
      </c>
      <c r="D133" s="65">
        <f t="shared" ca="1" si="22"/>
        <v>4</v>
      </c>
      <c r="E133" s="3">
        <f t="shared" ca="1" si="23"/>
        <v>0.1915888805877668</v>
      </c>
      <c r="F133" s="6">
        <f t="shared" ca="1" si="24"/>
        <v>27100.86366179023</v>
      </c>
      <c r="G133" s="6">
        <f t="shared" ca="1" si="25"/>
        <v>1897.9437711072062</v>
      </c>
      <c r="N133" s="65"/>
      <c r="O133" s="65"/>
      <c r="P133" s="65"/>
      <c r="V133" s="53"/>
      <c r="W133" s="54"/>
      <c r="X133" s="65" t="s">
        <v>231</v>
      </c>
      <c r="Y133" s="65">
        <f t="shared" ca="1" si="28"/>
        <v>1</v>
      </c>
      <c r="Z133" s="3">
        <f t="shared" ca="1" si="29"/>
        <v>0.94702910745444979</v>
      </c>
      <c r="AA133" s="6">
        <f t="shared" ca="1" si="30"/>
        <v>74665.943792436476</v>
      </c>
      <c r="AB133" s="6">
        <f t="shared" ca="1" si="31"/>
        <v>836.41006723741862</v>
      </c>
      <c r="AI133" s="65"/>
      <c r="AJ133" s="65"/>
      <c r="AK133" s="65"/>
    </row>
    <row r="134" spans="1:37" x14ac:dyDescent="0.3">
      <c r="A134" s="53"/>
      <c r="B134" s="54"/>
      <c r="C134" s="65" t="s">
        <v>231</v>
      </c>
      <c r="D134" s="65">
        <f t="shared" ca="1" si="22"/>
        <v>4</v>
      </c>
      <c r="E134" s="3">
        <f t="shared" ca="1" si="23"/>
        <v>0.93751882727126024</v>
      </c>
      <c r="F134" s="6">
        <f t="shared" ca="1" si="24"/>
        <v>48620.645548144385</v>
      </c>
      <c r="G134" s="6">
        <f t="shared" ca="1" si="25"/>
        <v>1640.8805704294939</v>
      </c>
      <c r="N134" s="65"/>
      <c r="O134" s="65"/>
      <c r="P134" s="65"/>
      <c r="V134" s="53"/>
      <c r="W134" s="54"/>
      <c r="X134" s="65" t="s">
        <v>231</v>
      </c>
      <c r="Y134" s="65">
        <f t="shared" ca="1" si="28"/>
        <v>3</v>
      </c>
      <c r="Z134" s="3">
        <f t="shared" ca="1" si="29"/>
        <v>5.6432557051841581E-2</v>
      </c>
      <c r="AA134" s="6">
        <f t="shared" ca="1" si="30"/>
        <v>18324.639171751754</v>
      </c>
      <c r="AB134" s="6">
        <f t="shared" ca="1" si="31"/>
        <v>1021.0758889625396</v>
      </c>
      <c r="AI134" s="65"/>
      <c r="AJ134" s="65"/>
      <c r="AK134" s="65"/>
    </row>
    <row r="135" spans="1:37" x14ac:dyDescent="0.3">
      <c r="A135" s="53"/>
      <c r="B135" s="54"/>
      <c r="C135" s="65" t="s">
        <v>231</v>
      </c>
      <c r="D135" s="65">
        <f t="shared" ca="1" si="22"/>
        <v>3</v>
      </c>
      <c r="E135" s="3">
        <f t="shared" ca="1" si="23"/>
        <v>0.65697557377228599</v>
      </c>
      <c r="F135" s="6">
        <f t="shared" ca="1" si="24"/>
        <v>172225.2875626148</v>
      </c>
      <c r="G135" s="6">
        <f t="shared" ca="1" si="25"/>
        <v>430.45992358253392</v>
      </c>
      <c r="N135" s="65"/>
      <c r="O135" s="65"/>
      <c r="P135" s="65"/>
      <c r="V135" s="53"/>
      <c r="W135" s="54"/>
      <c r="X135" s="65" t="s">
        <v>231</v>
      </c>
      <c r="Y135" s="65">
        <f t="shared" ca="1" si="28"/>
        <v>2</v>
      </c>
      <c r="Z135" s="3">
        <f t="shared" ca="1" si="29"/>
        <v>0.52884897479178261</v>
      </c>
      <c r="AA135" s="6">
        <f t="shared" ca="1" si="30"/>
        <v>66248.677571114036</v>
      </c>
      <c r="AB135" s="6">
        <f t="shared" ca="1" si="31"/>
        <v>499.68849525928681</v>
      </c>
      <c r="AI135" s="65"/>
      <c r="AJ135" s="65"/>
      <c r="AK135" s="65"/>
    </row>
    <row r="136" spans="1:37" x14ac:dyDescent="0.3">
      <c r="A136" s="53"/>
      <c r="B136" s="54"/>
      <c r="C136" s="65" t="s">
        <v>231</v>
      </c>
      <c r="D136" s="65">
        <f t="shared" ca="1" si="22"/>
        <v>3</v>
      </c>
      <c r="E136" s="3">
        <f t="shared" ca="1" si="23"/>
        <v>0.20447532624630582</v>
      </c>
      <c r="F136" s="6">
        <f t="shared" ca="1" si="24"/>
        <v>178826.67540794436</v>
      </c>
      <c r="G136" s="6">
        <f t="shared" ca="1" si="25"/>
        <v>1952.2861923720707</v>
      </c>
      <c r="N136" s="65"/>
      <c r="O136" s="65"/>
      <c r="P136" s="65"/>
      <c r="V136" s="53"/>
      <c r="W136" s="54"/>
      <c r="X136" s="65" t="s">
        <v>231</v>
      </c>
      <c r="Y136" s="65">
        <f t="shared" ca="1" si="28"/>
        <v>3</v>
      </c>
      <c r="Z136" s="3">
        <f t="shared" ca="1" si="29"/>
        <v>0.13818032480056319</v>
      </c>
      <c r="AA136" s="6">
        <f t="shared" ca="1" si="30"/>
        <v>64487.40464293168</v>
      </c>
      <c r="AB136" s="6">
        <f t="shared" ca="1" si="31"/>
        <v>1516.1438408053748</v>
      </c>
      <c r="AI136" s="65"/>
      <c r="AJ136" s="65"/>
      <c r="AK136" s="65"/>
    </row>
    <row r="137" spans="1:37" x14ac:dyDescent="0.3">
      <c r="A137" s="53"/>
      <c r="B137" s="54"/>
      <c r="C137" s="65" t="s">
        <v>231</v>
      </c>
      <c r="D137" s="65">
        <f t="shared" ca="1" si="22"/>
        <v>2</v>
      </c>
      <c r="E137" s="3">
        <f t="shared" ca="1" si="23"/>
        <v>0.83030057253755651</v>
      </c>
      <c r="F137" s="6">
        <f t="shared" ca="1" si="24"/>
        <v>85059.737273535706</v>
      </c>
      <c r="G137" s="6">
        <f t="shared" ca="1" si="25"/>
        <v>1576.2993279856673</v>
      </c>
      <c r="N137" s="65"/>
      <c r="O137" s="65"/>
      <c r="P137" s="65"/>
      <c r="V137" s="53"/>
      <c r="W137" s="54"/>
      <c r="X137" s="65" t="s">
        <v>231</v>
      </c>
      <c r="Y137" s="65">
        <f t="shared" ca="1" si="28"/>
        <v>3</v>
      </c>
      <c r="Z137" s="3">
        <f t="shared" ca="1" si="29"/>
        <v>0.44783938459883732</v>
      </c>
      <c r="AA137" s="6">
        <f t="shared" ca="1" si="30"/>
        <v>56439.154656174862</v>
      </c>
      <c r="AB137" s="6">
        <f t="shared" ca="1" si="31"/>
        <v>155.73157602343235</v>
      </c>
      <c r="AI137" s="65"/>
      <c r="AJ137" s="65"/>
      <c r="AK137" s="65"/>
    </row>
    <row r="138" spans="1:37" x14ac:dyDescent="0.3">
      <c r="A138" s="53"/>
      <c r="B138" s="54"/>
      <c r="C138" s="65" t="s">
        <v>231</v>
      </c>
      <c r="D138" s="65">
        <f t="shared" ca="1" si="22"/>
        <v>2</v>
      </c>
      <c r="E138" s="3">
        <f t="shared" ca="1" si="23"/>
        <v>0.18347809007658811</v>
      </c>
      <c r="F138" s="6">
        <f t="shared" ca="1" si="24"/>
        <v>24418.822232362425</v>
      </c>
      <c r="G138" s="6">
        <f t="shared" ca="1" si="25"/>
        <v>1166.5281513504831</v>
      </c>
      <c r="N138" s="65"/>
      <c r="O138" s="65"/>
      <c r="P138" s="65"/>
      <c r="V138" s="53"/>
      <c r="W138" s="54"/>
      <c r="X138" s="65" t="s">
        <v>231</v>
      </c>
      <c r="Y138" s="65">
        <f t="shared" ca="1" si="28"/>
        <v>2</v>
      </c>
      <c r="Z138" s="3">
        <f t="shared" ca="1" si="29"/>
        <v>0.52971226116823389</v>
      </c>
      <c r="AA138" s="6">
        <f t="shared" ca="1" si="30"/>
        <v>146467.08832403141</v>
      </c>
      <c r="AB138" s="6">
        <f t="shared" ca="1" si="31"/>
        <v>627.97353189914281</v>
      </c>
      <c r="AI138" s="65"/>
      <c r="AJ138" s="65"/>
      <c r="AK138" s="65"/>
    </row>
    <row r="139" spans="1:37" x14ac:dyDescent="0.3">
      <c r="A139" s="53"/>
      <c r="B139" s="54"/>
      <c r="C139" s="65" t="s">
        <v>231</v>
      </c>
      <c r="D139" s="65">
        <f t="shared" ca="1" si="22"/>
        <v>2</v>
      </c>
      <c r="E139" s="3">
        <f t="shared" ca="1" si="23"/>
        <v>0.73891829089725081</v>
      </c>
      <c r="F139" s="6">
        <f t="shared" ca="1" si="24"/>
        <v>136550.08540292416</v>
      </c>
      <c r="G139" s="6">
        <f t="shared" ca="1" si="25"/>
        <v>1631.5788305195008</v>
      </c>
      <c r="N139" s="65"/>
      <c r="O139" s="65"/>
      <c r="P139" s="65"/>
      <c r="V139" s="53"/>
      <c r="W139" s="54"/>
      <c r="X139" s="65" t="s">
        <v>231</v>
      </c>
      <c r="Y139" s="65">
        <f t="shared" ca="1" si="28"/>
        <v>3</v>
      </c>
      <c r="Z139" s="3">
        <f t="shared" ca="1" si="29"/>
        <v>0.38536517455932973</v>
      </c>
      <c r="AA139" s="6">
        <f t="shared" ca="1" si="30"/>
        <v>55262.325325565231</v>
      </c>
      <c r="AB139" s="6">
        <f t="shared" ca="1" si="31"/>
        <v>1772.6519053887102</v>
      </c>
      <c r="AI139" s="65"/>
      <c r="AJ139" s="65"/>
      <c r="AK139" s="65"/>
    </row>
    <row r="140" spans="1:37" x14ac:dyDescent="0.3">
      <c r="A140" s="53"/>
      <c r="B140" s="54"/>
      <c r="C140" s="65" t="s">
        <v>231</v>
      </c>
      <c r="D140" s="65">
        <f t="shared" ca="1" si="22"/>
        <v>2</v>
      </c>
      <c r="E140" s="3">
        <f t="shared" ca="1" si="23"/>
        <v>0.59422167923181324</v>
      </c>
      <c r="F140" s="6">
        <f t="shared" ca="1" si="24"/>
        <v>84745.354122898454</v>
      </c>
      <c r="G140" s="6">
        <f t="shared" ca="1" si="25"/>
        <v>1438.7801930383641</v>
      </c>
      <c r="N140" s="65"/>
      <c r="O140" s="65"/>
      <c r="P140" s="65"/>
      <c r="V140" s="53"/>
      <c r="W140" s="54"/>
      <c r="X140" s="65" t="s">
        <v>231</v>
      </c>
      <c r="Y140" s="65">
        <f t="shared" ca="1" si="28"/>
        <v>2</v>
      </c>
      <c r="Z140" s="3">
        <f t="shared" ca="1" si="29"/>
        <v>0.31508514256717313</v>
      </c>
      <c r="AA140" s="6">
        <f t="shared" ca="1" si="30"/>
        <v>52874.205764652826</v>
      </c>
      <c r="AB140" s="6">
        <f t="shared" ca="1" si="31"/>
        <v>1285.4097818292062</v>
      </c>
      <c r="AI140" s="65"/>
      <c r="AJ140" s="65"/>
      <c r="AK140" s="65"/>
    </row>
    <row r="141" spans="1:37" x14ac:dyDescent="0.3">
      <c r="A141" s="53"/>
      <c r="B141" s="54"/>
      <c r="C141" s="65" t="s">
        <v>231</v>
      </c>
      <c r="D141" s="65">
        <f t="shared" ref="D141:D204" ca="1" si="34">INT(RAND()*4)+1</f>
        <v>4</v>
      </c>
      <c r="E141" s="3">
        <f t="shared" ref="E141:E204" ca="1" si="35">RAND()</f>
        <v>0.8997607141786329</v>
      </c>
      <c r="F141" s="6">
        <f t="shared" ref="F141:F204" ca="1" si="36">RAND()*200000</f>
        <v>45520.031675429505</v>
      </c>
      <c r="G141" s="6">
        <f t="shared" ref="G141:G204" ca="1" si="37">RAND()*2000</f>
        <v>1298.5660055983351</v>
      </c>
      <c r="N141" s="65"/>
      <c r="O141" s="65"/>
      <c r="P141" s="65"/>
      <c r="V141" s="53"/>
      <c r="W141" s="54"/>
      <c r="X141" s="65" t="s">
        <v>231</v>
      </c>
      <c r="Y141" s="65">
        <f t="shared" ref="Y141:Y204" ca="1" si="38">INT(RAND()*4)+1</f>
        <v>1</v>
      </c>
      <c r="Z141" s="3">
        <f t="shared" ref="Z141:Z204" ca="1" si="39">RAND()</f>
        <v>0.73847106875027257</v>
      </c>
      <c r="AA141" s="6">
        <f t="shared" ref="AA141:AA204" ca="1" si="40">RAND()*200000</f>
        <v>81954.665055732083</v>
      </c>
      <c r="AB141" s="6">
        <f t="shared" ref="AB141:AB204" ca="1" si="41">RAND()*2000</f>
        <v>1621.7903878892123</v>
      </c>
      <c r="AI141" s="65"/>
      <c r="AJ141" s="65"/>
      <c r="AK141" s="65"/>
    </row>
    <row r="142" spans="1:37" x14ac:dyDescent="0.3">
      <c r="A142" s="53"/>
      <c r="B142" s="54"/>
      <c r="C142" s="65" t="s">
        <v>231</v>
      </c>
      <c r="D142" s="65">
        <f t="shared" ca="1" si="34"/>
        <v>4</v>
      </c>
      <c r="E142" s="3">
        <f t="shared" ca="1" si="35"/>
        <v>9.3152775428052781E-2</v>
      </c>
      <c r="F142" s="6">
        <f t="shared" ca="1" si="36"/>
        <v>178428.95086095438</v>
      </c>
      <c r="G142" s="6">
        <f t="shared" ca="1" si="37"/>
        <v>1272.9791346280974</v>
      </c>
      <c r="N142" s="65"/>
      <c r="O142" s="65"/>
      <c r="P142" s="65"/>
      <c r="V142" s="53"/>
      <c r="W142" s="54"/>
      <c r="X142" s="65" t="s">
        <v>231</v>
      </c>
      <c r="Y142" s="65">
        <f t="shared" ca="1" si="38"/>
        <v>2</v>
      </c>
      <c r="Z142" s="3">
        <f t="shared" ca="1" si="39"/>
        <v>0.3755830147534357</v>
      </c>
      <c r="AA142" s="6">
        <f t="shared" ca="1" si="40"/>
        <v>156890.92368705542</v>
      </c>
      <c r="AB142" s="6">
        <f t="shared" ca="1" si="41"/>
        <v>875.36130220382711</v>
      </c>
      <c r="AI142" s="65"/>
      <c r="AJ142" s="65"/>
      <c r="AK142" s="65"/>
    </row>
    <row r="143" spans="1:37" x14ac:dyDescent="0.3">
      <c r="A143" s="53"/>
      <c r="B143" s="54"/>
      <c r="C143" s="65" t="s">
        <v>231</v>
      </c>
      <c r="D143" s="65">
        <f t="shared" ca="1" si="34"/>
        <v>2</v>
      </c>
      <c r="E143" s="3">
        <f t="shared" ca="1" si="35"/>
        <v>0.55084940132852911</v>
      </c>
      <c r="F143" s="6">
        <f t="shared" ca="1" si="36"/>
        <v>103502.05092142803</v>
      </c>
      <c r="G143" s="6">
        <f t="shared" ca="1" si="37"/>
        <v>1284.0897767459285</v>
      </c>
      <c r="N143" s="65"/>
      <c r="O143" s="65"/>
      <c r="P143" s="65"/>
      <c r="V143" s="53"/>
      <c r="W143" s="54"/>
      <c r="X143" s="65" t="s">
        <v>231</v>
      </c>
      <c r="Y143" s="65">
        <f t="shared" ca="1" si="38"/>
        <v>4</v>
      </c>
      <c r="Z143" s="3">
        <f t="shared" ca="1" si="39"/>
        <v>0.20377057012966704</v>
      </c>
      <c r="AA143" s="6">
        <f t="shared" ca="1" si="40"/>
        <v>65303.006689886381</v>
      </c>
      <c r="AB143" s="6">
        <f t="shared" ca="1" si="41"/>
        <v>635.59136006381277</v>
      </c>
      <c r="AI143" s="65"/>
      <c r="AJ143" s="65"/>
      <c r="AK143" s="65"/>
    </row>
    <row r="144" spans="1:37" x14ac:dyDescent="0.3">
      <c r="A144" s="53"/>
      <c r="B144" s="54"/>
      <c r="C144" s="65" t="s">
        <v>231</v>
      </c>
      <c r="D144" s="65">
        <f t="shared" ca="1" si="34"/>
        <v>2</v>
      </c>
      <c r="E144" s="3">
        <f t="shared" ca="1" si="35"/>
        <v>0.31462633951751451</v>
      </c>
      <c r="F144" s="6">
        <f t="shared" ca="1" si="36"/>
        <v>152662.64996774774</v>
      </c>
      <c r="G144" s="6">
        <f t="shared" ca="1" si="37"/>
        <v>29.318483457919655</v>
      </c>
      <c r="N144" s="65"/>
      <c r="O144" s="65"/>
      <c r="P144" s="65"/>
      <c r="V144" s="53"/>
      <c r="W144" s="54"/>
      <c r="X144" s="65" t="s">
        <v>231</v>
      </c>
      <c r="Y144" s="65">
        <f t="shared" ca="1" si="38"/>
        <v>1</v>
      </c>
      <c r="Z144" s="3">
        <f t="shared" ca="1" si="39"/>
        <v>0.93347072903532868</v>
      </c>
      <c r="AA144" s="6">
        <f t="shared" ca="1" si="40"/>
        <v>158040.90067609865</v>
      </c>
      <c r="AB144" s="6">
        <f t="shared" ca="1" si="41"/>
        <v>955.07624026714575</v>
      </c>
      <c r="AI144" s="65"/>
      <c r="AJ144" s="65"/>
      <c r="AK144" s="65"/>
    </row>
    <row r="145" spans="1:37" x14ac:dyDescent="0.3">
      <c r="A145" s="53"/>
      <c r="B145" s="54"/>
      <c r="C145" s="65" t="s">
        <v>231</v>
      </c>
      <c r="D145" s="65">
        <f t="shared" ca="1" si="34"/>
        <v>1</v>
      </c>
      <c r="E145" s="3">
        <f t="shared" ca="1" si="35"/>
        <v>0.87807323444265739</v>
      </c>
      <c r="F145" s="6">
        <f t="shared" ca="1" si="36"/>
        <v>155118.2266800318</v>
      </c>
      <c r="G145" s="6">
        <f t="shared" ca="1" si="37"/>
        <v>1033.7156696329171</v>
      </c>
      <c r="N145" s="65"/>
      <c r="O145" s="65"/>
      <c r="P145" s="65"/>
      <c r="V145" s="53"/>
      <c r="W145" s="54"/>
      <c r="X145" s="65" t="s">
        <v>231</v>
      </c>
      <c r="Y145" s="65">
        <f t="shared" ca="1" si="38"/>
        <v>2</v>
      </c>
      <c r="Z145" s="3">
        <f t="shared" ca="1" si="39"/>
        <v>0.45645269404172062</v>
      </c>
      <c r="AA145" s="6">
        <f t="shared" ca="1" si="40"/>
        <v>40804.113193712314</v>
      </c>
      <c r="AB145" s="6">
        <f t="shared" ca="1" si="41"/>
        <v>445.42381072923985</v>
      </c>
      <c r="AI145" s="65"/>
      <c r="AJ145" s="65"/>
      <c r="AK145" s="65"/>
    </row>
    <row r="146" spans="1:37" x14ac:dyDescent="0.3">
      <c r="A146" s="53"/>
      <c r="B146" s="54"/>
      <c r="C146" s="65" t="s">
        <v>231</v>
      </c>
      <c r="D146" s="65">
        <f t="shared" ca="1" si="34"/>
        <v>4</v>
      </c>
      <c r="E146" s="3">
        <f t="shared" ca="1" si="35"/>
        <v>0.25130513557805945</v>
      </c>
      <c r="F146" s="6">
        <f t="shared" ca="1" si="36"/>
        <v>167938.40656704386</v>
      </c>
      <c r="G146" s="6">
        <f t="shared" ca="1" si="37"/>
        <v>1389.1645135027113</v>
      </c>
      <c r="N146" s="65"/>
      <c r="O146" s="65"/>
      <c r="P146" s="65"/>
      <c r="V146" s="53"/>
      <c r="W146" s="54"/>
      <c r="X146" s="65" t="s">
        <v>231</v>
      </c>
      <c r="Y146" s="65">
        <f t="shared" ca="1" si="38"/>
        <v>2</v>
      </c>
      <c r="Z146" s="3">
        <f t="shared" ca="1" si="39"/>
        <v>4.3289179664119048E-2</v>
      </c>
      <c r="AA146" s="6">
        <f t="shared" ca="1" si="40"/>
        <v>52977.673292062507</v>
      </c>
      <c r="AB146" s="6">
        <f t="shared" ca="1" si="41"/>
        <v>316.49985274886939</v>
      </c>
      <c r="AI146" s="65"/>
      <c r="AJ146" s="65"/>
      <c r="AK146" s="65"/>
    </row>
    <row r="147" spans="1:37" x14ac:dyDescent="0.3">
      <c r="A147" s="53"/>
      <c r="B147" s="54"/>
      <c r="C147" s="65" t="s">
        <v>231</v>
      </c>
      <c r="D147" s="65">
        <f t="shared" ca="1" si="34"/>
        <v>2</v>
      </c>
      <c r="E147" s="3">
        <f t="shared" ca="1" si="35"/>
        <v>0.13838784810153448</v>
      </c>
      <c r="F147" s="6">
        <f t="shared" ca="1" si="36"/>
        <v>16006.043060077867</v>
      </c>
      <c r="G147" s="6">
        <f t="shared" ca="1" si="37"/>
        <v>1072.2273682791958</v>
      </c>
      <c r="N147" s="65"/>
      <c r="O147" s="65"/>
      <c r="P147" s="65"/>
      <c r="V147" s="53"/>
      <c r="W147" s="54"/>
      <c r="X147" s="65" t="s">
        <v>231</v>
      </c>
      <c r="Y147" s="65">
        <f t="shared" ca="1" si="38"/>
        <v>4</v>
      </c>
      <c r="Z147" s="3">
        <f t="shared" ca="1" si="39"/>
        <v>0.90466285091595999</v>
      </c>
      <c r="AA147" s="6">
        <f t="shared" ca="1" si="40"/>
        <v>149790.55543566163</v>
      </c>
      <c r="AB147" s="6">
        <f t="shared" ca="1" si="41"/>
        <v>881.74255875126266</v>
      </c>
      <c r="AI147" s="65"/>
      <c r="AJ147" s="65"/>
      <c r="AK147" s="65"/>
    </row>
    <row r="148" spans="1:37" x14ac:dyDescent="0.3">
      <c r="A148" s="53"/>
      <c r="B148" s="54"/>
      <c r="C148" s="65" t="s">
        <v>231</v>
      </c>
      <c r="D148" s="65">
        <f t="shared" ca="1" si="34"/>
        <v>3</v>
      </c>
      <c r="E148" s="3">
        <f t="shared" ca="1" si="35"/>
        <v>8.5416169218798244E-2</v>
      </c>
      <c r="F148" s="6">
        <f t="shared" ca="1" si="36"/>
        <v>88197.582709266338</v>
      </c>
      <c r="G148" s="6">
        <f t="shared" ca="1" si="37"/>
        <v>158.07946930576321</v>
      </c>
      <c r="N148" s="65"/>
      <c r="O148" s="65"/>
      <c r="P148" s="65"/>
      <c r="V148" s="53"/>
      <c r="W148" s="54"/>
      <c r="X148" s="65" t="s">
        <v>231</v>
      </c>
      <c r="Y148" s="65">
        <f t="shared" ca="1" si="38"/>
        <v>3</v>
      </c>
      <c r="Z148" s="3">
        <f t="shared" ca="1" si="39"/>
        <v>0.11734516252880955</v>
      </c>
      <c r="AA148" s="6">
        <f t="shared" ca="1" si="40"/>
        <v>23817.778465949235</v>
      </c>
      <c r="AB148" s="6">
        <f t="shared" ca="1" si="41"/>
        <v>1304.9262061552524</v>
      </c>
      <c r="AI148" s="65"/>
      <c r="AJ148" s="65"/>
      <c r="AK148" s="65"/>
    </row>
    <row r="149" spans="1:37" x14ac:dyDescent="0.3">
      <c r="A149" s="53"/>
      <c r="B149" s="54"/>
      <c r="C149" s="65" t="s">
        <v>231</v>
      </c>
      <c r="D149" s="65">
        <f t="shared" ca="1" si="34"/>
        <v>1</v>
      </c>
      <c r="E149" s="3">
        <f t="shared" ca="1" si="35"/>
        <v>0.30828500478655707</v>
      </c>
      <c r="F149" s="6">
        <f t="shared" ca="1" si="36"/>
        <v>18372.23032147075</v>
      </c>
      <c r="G149" s="6">
        <f t="shared" ca="1" si="37"/>
        <v>98.17401113187762</v>
      </c>
      <c r="N149" s="65"/>
      <c r="O149" s="65"/>
      <c r="P149" s="65"/>
      <c r="V149" s="53"/>
      <c r="W149" s="54"/>
      <c r="X149" s="65" t="s">
        <v>231</v>
      </c>
      <c r="Y149" s="65">
        <f t="shared" ca="1" si="38"/>
        <v>4</v>
      </c>
      <c r="Z149" s="3">
        <f t="shared" ca="1" si="39"/>
        <v>0.41421088503549053</v>
      </c>
      <c r="AA149" s="6">
        <f t="shared" ca="1" si="40"/>
        <v>102671.44225171515</v>
      </c>
      <c r="AB149" s="6">
        <f t="shared" ca="1" si="41"/>
        <v>1744.8818801874827</v>
      </c>
      <c r="AI149" s="65"/>
      <c r="AJ149" s="65"/>
      <c r="AK149" s="65"/>
    </row>
    <row r="150" spans="1:37" x14ac:dyDescent="0.3">
      <c r="A150" s="53"/>
      <c r="B150" s="54"/>
      <c r="C150" s="65" t="s">
        <v>231</v>
      </c>
      <c r="D150" s="65">
        <f t="shared" ca="1" si="34"/>
        <v>3</v>
      </c>
      <c r="E150" s="3">
        <f t="shared" ca="1" si="35"/>
        <v>0.74216311654191736</v>
      </c>
      <c r="F150" s="6">
        <f t="shared" ca="1" si="36"/>
        <v>113417.01677280809</v>
      </c>
      <c r="G150" s="6">
        <f t="shared" ca="1" si="37"/>
        <v>898.97106195302695</v>
      </c>
      <c r="N150" s="65"/>
      <c r="O150" s="65"/>
      <c r="P150" s="65"/>
      <c r="V150" s="53"/>
      <c r="W150" s="54"/>
      <c r="X150" s="65" t="s">
        <v>231</v>
      </c>
      <c r="Y150" s="65">
        <f t="shared" ca="1" si="38"/>
        <v>2</v>
      </c>
      <c r="Z150" s="3">
        <f t="shared" ca="1" si="39"/>
        <v>0.2316777038024187</v>
      </c>
      <c r="AA150" s="6">
        <f t="shared" ca="1" si="40"/>
        <v>101901.04006776119</v>
      </c>
      <c r="AB150" s="6">
        <f t="shared" ca="1" si="41"/>
        <v>1834.4822937433253</v>
      </c>
      <c r="AI150" s="65"/>
      <c r="AJ150" s="65"/>
      <c r="AK150" s="65"/>
    </row>
    <row r="151" spans="1:37" x14ac:dyDescent="0.3">
      <c r="A151" s="53"/>
      <c r="B151" s="54"/>
      <c r="C151" s="65" t="s">
        <v>231</v>
      </c>
      <c r="D151" s="65">
        <f t="shared" ca="1" si="34"/>
        <v>2</v>
      </c>
      <c r="E151" s="3">
        <f t="shared" ca="1" si="35"/>
        <v>0.26657258092310021</v>
      </c>
      <c r="F151" s="6">
        <f t="shared" ca="1" si="36"/>
        <v>155847.45310014728</v>
      </c>
      <c r="G151" s="6">
        <f t="shared" ca="1" si="37"/>
        <v>19.456830023695247</v>
      </c>
      <c r="N151" s="65"/>
      <c r="O151" s="65"/>
      <c r="P151" s="65"/>
      <c r="V151" s="53"/>
      <c r="W151" s="54"/>
      <c r="X151" s="65" t="s">
        <v>231</v>
      </c>
      <c r="Y151" s="65">
        <f t="shared" ca="1" si="38"/>
        <v>3</v>
      </c>
      <c r="Z151" s="3">
        <f t="shared" ca="1" si="39"/>
        <v>0.7821078804156768</v>
      </c>
      <c r="AA151" s="6">
        <f t="shared" ca="1" si="40"/>
        <v>138537.22348580515</v>
      </c>
      <c r="AB151" s="6">
        <f t="shared" ca="1" si="41"/>
        <v>1662.1037015499619</v>
      </c>
      <c r="AI151" s="65"/>
      <c r="AJ151" s="65"/>
      <c r="AK151" s="65"/>
    </row>
    <row r="152" spans="1:37" x14ac:dyDescent="0.3">
      <c r="A152" s="53"/>
      <c r="B152" s="54"/>
      <c r="C152" s="65" t="s">
        <v>231</v>
      </c>
      <c r="D152" s="65">
        <f t="shared" ca="1" si="34"/>
        <v>2</v>
      </c>
      <c r="E152" s="3">
        <f t="shared" ca="1" si="35"/>
        <v>0.60389573888638159</v>
      </c>
      <c r="F152" s="6">
        <f t="shared" ca="1" si="36"/>
        <v>157134.26485332203</v>
      </c>
      <c r="G152" s="6">
        <f t="shared" ca="1" si="37"/>
        <v>1766.2440374744092</v>
      </c>
      <c r="N152" s="65"/>
      <c r="O152" s="65"/>
      <c r="P152" s="65"/>
      <c r="V152" s="53"/>
      <c r="W152" s="54"/>
      <c r="X152" s="65" t="s">
        <v>231</v>
      </c>
      <c r="Y152" s="65">
        <f t="shared" ca="1" si="38"/>
        <v>4</v>
      </c>
      <c r="Z152" s="3">
        <f t="shared" ca="1" si="39"/>
        <v>0.38417990618969877</v>
      </c>
      <c r="AA152" s="6">
        <f t="shared" ca="1" si="40"/>
        <v>21807.039893108617</v>
      </c>
      <c r="AB152" s="6">
        <f t="shared" ca="1" si="41"/>
        <v>76.997020873982081</v>
      </c>
      <c r="AI152" s="65"/>
      <c r="AJ152" s="65"/>
      <c r="AK152" s="65"/>
    </row>
    <row r="153" spans="1:37" x14ac:dyDescent="0.3">
      <c r="A153" s="53"/>
      <c r="B153" s="54"/>
      <c r="C153" s="65" t="s">
        <v>231</v>
      </c>
      <c r="D153" s="65">
        <f t="shared" ca="1" si="34"/>
        <v>1</v>
      </c>
      <c r="E153" s="3">
        <f t="shared" ca="1" si="35"/>
        <v>0.83050302709429946</v>
      </c>
      <c r="F153" s="6">
        <f t="shared" ca="1" si="36"/>
        <v>65034.593283981114</v>
      </c>
      <c r="G153" s="6">
        <f t="shared" ca="1" si="37"/>
        <v>656.19644876777011</v>
      </c>
      <c r="N153" s="65"/>
      <c r="O153" s="65"/>
      <c r="P153" s="65"/>
      <c r="V153" s="53"/>
      <c r="W153" s="54"/>
      <c r="X153" s="65" t="s">
        <v>231</v>
      </c>
      <c r="Y153" s="65">
        <f t="shared" ca="1" si="38"/>
        <v>1</v>
      </c>
      <c r="Z153" s="3">
        <f t="shared" ca="1" si="39"/>
        <v>0.62240248884294735</v>
      </c>
      <c r="AA153" s="6">
        <f t="shared" ca="1" si="40"/>
        <v>147727.10204169105</v>
      </c>
      <c r="AB153" s="6">
        <f t="shared" ca="1" si="41"/>
        <v>1133.4222744117787</v>
      </c>
      <c r="AI153" s="65"/>
      <c r="AJ153" s="65"/>
      <c r="AK153" s="65"/>
    </row>
    <row r="154" spans="1:37" x14ac:dyDescent="0.3">
      <c r="A154" s="53"/>
      <c r="B154" s="54"/>
      <c r="C154" s="65" t="s">
        <v>231</v>
      </c>
      <c r="D154" s="65">
        <f t="shared" ca="1" si="34"/>
        <v>1</v>
      </c>
      <c r="E154" s="3">
        <f t="shared" ca="1" si="35"/>
        <v>0.78523598977099418</v>
      </c>
      <c r="F154" s="6">
        <f t="shared" ca="1" si="36"/>
        <v>108069.78490733312</v>
      </c>
      <c r="G154" s="6">
        <f t="shared" ca="1" si="37"/>
        <v>30.038771948291078</v>
      </c>
      <c r="N154" s="65"/>
      <c r="O154" s="65"/>
      <c r="P154" s="65"/>
      <c r="V154" s="53"/>
      <c r="W154" s="54"/>
      <c r="X154" s="65" t="s">
        <v>231</v>
      </c>
      <c r="Y154" s="65">
        <f t="shared" ca="1" si="38"/>
        <v>3</v>
      </c>
      <c r="Z154" s="3">
        <f t="shared" ca="1" si="39"/>
        <v>0.80630256844672765</v>
      </c>
      <c r="AA154" s="6">
        <f t="shared" ca="1" si="40"/>
        <v>127691.25407950541</v>
      </c>
      <c r="AB154" s="6">
        <f t="shared" ca="1" si="41"/>
        <v>969.15809785562044</v>
      </c>
      <c r="AI154" s="65"/>
      <c r="AJ154" s="65"/>
      <c r="AK154" s="65"/>
    </row>
    <row r="155" spans="1:37" x14ac:dyDescent="0.3">
      <c r="A155" s="53"/>
      <c r="B155" s="54"/>
      <c r="C155" s="65" t="s">
        <v>231</v>
      </c>
      <c r="D155" s="65">
        <f t="shared" ca="1" si="34"/>
        <v>3</v>
      </c>
      <c r="E155" s="3">
        <f t="shared" ca="1" si="35"/>
        <v>0.97811368110127717</v>
      </c>
      <c r="F155" s="6">
        <f t="shared" ca="1" si="36"/>
        <v>190909.69483916485</v>
      </c>
      <c r="G155" s="6">
        <f t="shared" ca="1" si="37"/>
        <v>1107.4178899777405</v>
      </c>
      <c r="N155" s="65"/>
      <c r="O155" s="65"/>
      <c r="P155" s="65"/>
      <c r="V155" s="53"/>
      <c r="W155" s="54"/>
      <c r="X155" s="65" t="s">
        <v>231</v>
      </c>
      <c r="Y155" s="65">
        <f t="shared" ca="1" si="38"/>
        <v>3</v>
      </c>
      <c r="Z155" s="3">
        <f t="shared" ca="1" si="39"/>
        <v>0.5190473683995086</v>
      </c>
      <c r="AA155" s="6">
        <f t="shared" ca="1" si="40"/>
        <v>87832.927476347613</v>
      </c>
      <c r="AB155" s="6">
        <f t="shared" ca="1" si="41"/>
        <v>1380.2249127364278</v>
      </c>
      <c r="AI155" s="65"/>
      <c r="AJ155" s="65"/>
      <c r="AK155" s="65"/>
    </row>
    <row r="156" spans="1:37" x14ac:dyDescent="0.3">
      <c r="A156" s="53"/>
      <c r="B156" s="54"/>
      <c r="C156" s="65" t="s">
        <v>231</v>
      </c>
      <c r="D156" s="65">
        <f t="shared" ca="1" si="34"/>
        <v>3</v>
      </c>
      <c r="E156" s="3">
        <f t="shared" ca="1" si="35"/>
        <v>0.92154728298653033</v>
      </c>
      <c r="F156" s="6">
        <f t="shared" ca="1" si="36"/>
        <v>9803.8544885421288</v>
      </c>
      <c r="G156" s="6">
        <f t="shared" ca="1" si="37"/>
        <v>1376.9930138485774</v>
      </c>
      <c r="N156" s="65"/>
      <c r="O156" s="65"/>
      <c r="P156" s="65"/>
      <c r="V156" s="53"/>
      <c r="W156" s="54"/>
      <c r="X156" s="65" t="s">
        <v>231</v>
      </c>
      <c r="Y156" s="65">
        <f t="shared" ca="1" si="38"/>
        <v>1</v>
      </c>
      <c r="Z156" s="3">
        <f t="shared" ca="1" si="39"/>
        <v>0.96060738102653942</v>
      </c>
      <c r="AA156" s="6">
        <f t="shared" ca="1" si="40"/>
        <v>196483.25260237581</v>
      </c>
      <c r="AB156" s="6">
        <f t="shared" ca="1" si="41"/>
        <v>224.13342766911114</v>
      </c>
      <c r="AI156" s="65"/>
      <c r="AJ156" s="65"/>
      <c r="AK156" s="65"/>
    </row>
    <row r="157" spans="1:37" x14ac:dyDescent="0.3">
      <c r="A157" s="53"/>
      <c r="B157" s="54"/>
      <c r="C157" s="65" t="s">
        <v>231</v>
      </c>
      <c r="D157" s="65">
        <f t="shared" ca="1" si="34"/>
        <v>1</v>
      </c>
      <c r="E157" s="3">
        <f t="shared" ca="1" si="35"/>
        <v>0.4670682012533961</v>
      </c>
      <c r="F157" s="6">
        <f t="shared" ca="1" si="36"/>
        <v>191930.10975131273</v>
      </c>
      <c r="G157" s="6">
        <f t="shared" ca="1" si="37"/>
        <v>1960.5163200601194</v>
      </c>
      <c r="N157" s="65"/>
      <c r="O157" s="65"/>
      <c r="P157" s="65"/>
      <c r="V157" s="53"/>
      <c r="W157" s="54"/>
      <c r="X157" s="65" t="s">
        <v>231</v>
      </c>
      <c r="Y157" s="65">
        <f t="shared" ca="1" si="38"/>
        <v>4</v>
      </c>
      <c r="Z157" s="3">
        <f t="shared" ca="1" si="39"/>
        <v>0.99006407946727271</v>
      </c>
      <c r="AA157" s="6">
        <f t="shared" ca="1" si="40"/>
        <v>3748.3263959136925</v>
      </c>
      <c r="AB157" s="6">
        <f t="shared" ca="1" si="41"/>
        <v>1923.166690718718</v>
      </c>
      <c r="AI157" s="65"/>
      <c r="AJ157" s="65"/>
      <c r="AK157" s="65"/>
    </row>
    <row r="158" spans="1:37" x14ac:dyDescent="0.3">
      <c r="A158" s="53"/>
      <c r="B158" s="54"/>
      <c r="C158" s="65" t="s">
        <v>231</v>
      </c>
      <c r="D158" s="65">
        <f t="shared" ca="1" si="34"/>
        <v>3</v>
      </c>
      <c r="E158" s="3">
        <f t="shared" ca="1" si="35"/>
        <v>0.24659686209489273</v>
      </c>
      <c r="F158" s="6">
        <f t="shared" ca="1" si="36"/>
        <v>198857.46270137306</v>
      </c>
      <c r="G158" s="6">
        <f t="shared" ca="1" si="37"/>
        <v>638.62551605519343</v>
      </c>
      <c r="N158" s="65"/>
      <c r="O158" s="65"/>
      <c r="P158" s="65"/>
      <c r="V158" s="53"/>
      <c r="W158" s="54"/>
      <c r="X158" s="65" t="s">
        <v>231</v>
      </c>
      <c r="Y158" s="65">
        <f t="shared" ca="1" si="38"/>
        <v>3</v>
      </c>
      <c r="Z158" s="3">
        <f t="shared" ca="1" si="39"/>
        <v>0.24131793748190777</v>
      </c>
      <c r="AA158" s="6">
        <f t="shared" ca="1" si="40"/>
        <v>14039.734836457974</v>
      </c>
      <c r="AB158" s="6">
        <f t="shared" ca="1" si="41"/>
        <v>118.41558275503994</v>
      </c>
      <c r="AI158" s="65"/>
      <c r="AJ158" s="65"/>
      <c r="AK158" s="65"/>
    </row>
    <row r="159" spans="1:37" x14ac:dyDescent="0.3">
      <c r="A159" s="53"/>
      <c r="B159" s="54"/>
      <c r="C159" s="65" t="s">
        <v>231</v>
      </c>
      <c r="D159" s="65">
        <f t="shared" ca="1" si="34"/>
        <v>4</v>
      </c>
      <c r="E159" s="3">
        <f t="shared" ca="1" si="35"/>
        <v>9.8812325590825201E-2</v>
      </c>
      <c r="F159" s="6">
        <f t="shared" ca="1" si="36"/>
        <v>190513.09842110219</v>
      </c>
      <c r="G159" s="6">
        <f t="shared" ca="1" si="37"/>
        <v>564.77881768575264</v>
      </c>
      <c r="N159" s="65"/>
      <c r="O159" s="65"/>
      <c r="P159" s="65"/>
      <c r="V159" s="53"/>
      <c r="W159" s="54"/>
      <c r="X159" s="65" t="s">
        <v>231</v>
      </c>
      <c r="Y159" s="65">
        <f t="shared" ca="1" si="38"/>
        <v>1</v>
      </c>
      <c r="Z159" s="3">
        <f t="shared" ca="1" si="39"/>
        <v>0.17026762353262281</v>
      </c>
      <c r="AA159" s="6">
        <f t="shared" ca="1" si="40"/>
        <v>119316.61066001553</v>
      </c>
      <c r="AB159" s="6">
        <f t="shared" ca="1" si="41"/>
        <v>1334.4156214783543</v>
      </c>
      <c r="AI159" s="65"/>
      <c r="AJ159" s="65"/>
      <c r="AK159" s="65"/>
    </row>
    <row r="160" spans="1:37" x14ac:dyDescent="0.3">
      <c r="A160" s="53"/>
      <c r="B160" s="54"/>
      <c r="C160" s="65" t="s">
        <v>231</v>
      </c>
      <c r="D160" s="65">
        <f t="shared" ca="1" si="34"/>
        <v>2</v>
      </c>
      <c r="E160" s="3">
        <f t="shared" ca="1" si="35"/>
        <v>0.66368212715669173</v>
      </c>
      <c r="F160" s="6">
        <f t="shared" ca="1" si="36"/>
        <v>188257.13221369879</v>
      </c>
      <c r="G160" s="6">
        <f t="shared" ca="1" si="37"/>
        <v>459.10149839359195</v>
      </c>
      <c r="N160" s="65"/>
      <c r="O160" s="65"/>
      <c r="P160" s="65"/>
      <c r="V160" s="53"/>
      <c r="W160" s="54"/>
      <c r="X160" s="65" t="s">
        <v>231</v>
      </c>
      <c r="Y160" s="65">
        <f t="shared" ca="1" si="38"/>
        <v>1</v>
      </c>
      <c r="Z160" s="3">
        <f t="shared" ca="1" si="39"/>
        <v>0.32090219929090069</v>
      </c>
      <c r="AA160" s="6">
        <f t="shared" ca="1" si="40"/>
        <v>23771.220556836292</v>
      </c>
      <c r="AB160" s="6">
        <f t="shared" ca="1" si="41"/>
        <v>43.141057209857166</v>
      </c>
      <c r="AI160" s="65"/>
      <c r="AJ160" s="65"/>
      <c r="AK160" s="65"/>
    </row>
    <row r="161" spans="1:37" x14ac:dyDescent="0.3">
      <c r="A161" s="53"/>
      <c r="B161" s="54"/>
      <c r="C161" s="65" t="s">
        <v>231</v>
      </c>
      <c r="D161" s="65">
        <f t="shared" ca="1" si="34"/>
        <v>4</v>
      </c>
      <c r="E161" s="3">
        <f t="shared" ca="1" si="35"/>
        <v>0.46207366237464531</v>
      </c>
      <c r="F161" s="6">
        <f t="shared" ca="1" si="36"/>
        <v>20501.03206193581</v>
      </c>
      <c r="G161" s="6">
        <f t="shared" ca="1" si="37"/>
        <v>1035.6401321797896</v>
      </c>
      <c r="N161" s="65"/>
      <c r="O161" s="65"/>
      <c r="P161" s="65"/>
      <c r="V161" s="53"/>
      <c r="W161" s="54"/>
      <c r="X161" s="65" t="s">
        <v>231</v>
      </c>
      <c r="Y161" s="65">
        <f t="shared" ca="1" si="38"/>
        <v>1</v>
      </c>
      <c r="Z161" s="3">
        <f t="shared" ca="1" si="39"/>
        <v>0.41020412123285988</v>
      </c>
      <c r="AA161" s="6">
        <f t="shared" ca="1" si="40"/>
        <v>152056.22895759184</v>
      </c>
      <c r="AB161" s="6">
        <f t="shared" ca="1" si="41"/>
        <v>598.06562944599762</v>
      </c>
      <c r="AI161" s="65"/>
      <c r="AJ161" s="65"/>
      <c r="AK161" s="65"/>
    </row>
    <row r="162" spans="1:37" x14ac:dyDescent="0.3">
      <c r="A162" s="53"/>
      <c r="B162" s="54"/>
      <c r="C162" s="65" t="s">
        <v>231</v>
      </c>
      <c r="D162" s="65">
        <f t="shared" ca="1" si="34"/>
        <v>1</v>
      </c>
      <c r="E162" s="3">
        <f t="shared" ca="1" si="35"/>
        <v>0.76926625488572431</v>
      </c>
      <c r="F162" s="6">
        <f t="shared" ca="1" si="36"/>
        <v>28103.898422119531</v>
      </c>
      <c r="G162" s="6">
        <f t="shared" ca="1" si="37"/>
        <v>766.19262162684868</v>
      </c>
      <c r="N162" s="65"/>
      <c r="O162" s="65"/>
      <c r="P162" s="65"/>
      <c r="V162" s="53"/>
      <c r="W162" s="54"/>
      <c r="X162" s="65" t="s">
        <v>231</v>
      </c>
      <c r="Y162" s="65">
        <f t="shared" ca="1" si="38"/>
        <v>2</v>
      </c>
      <c r="Z162" s="3">
        <f t="shared" ca="1" si="39"/>
        <v>0.21268042642685725</v>
      </c>
      <c r="AA162" s="6">
        <f t="shared" ca="1" si="40"/>
        <v>90660.959772337723</v>
      </c>
      <c r="AB162" s="6">
        <f t="shared" ca="1" si="41"/>
        <v>468.08108643617396</v>
      </c>
      <c r="AI162" s="65"/>
      <c r="AJ162" s="65"/>
      <c r="AK162" s="65"/>
    </row>
    <row r="163" spans="1:37" x14ac:dyDescent="0.3">
      <c r="A163" s="53"/>
      <c r="B163" s="54"/>
      <c r="C163" s="65" t="s">
        <v>231</v>
      </c>
      <c r="D163" s="65">
        <f t="shared" ca="1" si="34"/>
        <v>3</v>
      </c>
      <c r="E163" s="3">
        <f t="shared" ca="1" si="35"/>
        <v>0.47550759034788148</v>
      </c>
      <c r="F163" s="6">
        <f t="shared" ca="1" si="36"/>
        <v>169625.99010726894</v>
      </c>
      <c r="G163" s="6">
        <f t="shared" ca="1" si="37"/>
        <v>1300.0374340989101</v>
      </c>
      <c r="N163" s="65"/>
      <c r="O163" s="65"/>
      <c r="P163" s="65"/>
      <c r="V163" s="53"/>
      <c r="W163" s="54"/>
      <c r="X163" s="65" t="s">
        <v>231</v>
      </c>
      <c r="Y163" s="65">
        <f t="shared" ca="1" si="38"/>
        <v>1</v>
      </c>
      <c r="Z163" s="3">
        <f t="shared" ca="1" si="39"/>
        <v>0.51402360794626079</v>
      </c>
      <c r="AA163" s="6">
        <f t="shared" ca="1" si="40"/>
        <v>143800.72047077579</v>
      </c>
      <c r="AB163" s="6">
        <f t="shared" ca="1" si="41"/>
        <v>555.0885961351031</v>
      </c>
      <c r="AI163" s="65"/>
      <c r="AJ163" s="65"/>
      <c r="AK163" s="65"/>
    </row>
    <row r="164" spans="1:37" x14ac:dyDescent="0.3">
      <c r="A164" s="53"/>
      <c r="B164" s="54"/>
      <c r="C164" s="65" t="s">
        <v>231</v>
      </c>
      <c r="D164" s="65">
        <f t="shared" ca="1" si="34"/>
        <v>1</v>
      </c>
      <c r="E164" s="3">
        <f t="shared" ca="1" si="35"/>
        <v>0.94312333486503142</v>
      </c>
      <c r="F164" s="6">
        <f t="shared" ca="1" si="36"/>
        <v>174836.79010001337</v>
      </c>
      <c r="G164" s="6">
        <f t="shared" ca="1" si="37"/>
        <v>1034.0132089560971</v>
      </c>
      <c r="N164" s="65"/>
      <c r="O164" s="65"/>
      <c r="P164" s="65"/>
      <c r="V164" s="53"/>
      <c r="W164" s="54"/>
      <c r="X164" s="65" t="s">
        <v>231</v>
      </c>
      <c r="Y164" s="65">
        <f t="shared" ca="1" si="38"/>
        <v>2</v>
      </c>
      <c r="Z164" s="3">
        <f t="shared" ca="1" si="39"/>
        <v>0.22964190503155901</v>
      </c>
      <c r="AA164" s="6">
        <f t="shared" ca="1" si="40"/>
        <v>183130.0789351071</v>
      </c>
      <c r="AB164" s="6">
        <f t="shared" ca="1" si="41"/>
        <v>1023.0955343152499</v>
      </c>
      <c r="AI164" s="65"/>
      <c r="AJ164" s="65"/>
      <c r="AK164" s="65"/>
    </row>
    <row r="165" spans="1:37" x14ac:dyDescent="0.3">
      <c r="A165" s="53"/>
      <c r="B165" s="54"/>
      <c r="C165" s="65" t="s">
        <v>231</v>
      </c>
      <c r="D165" s="65">
        <f t="shared" ca="1" si="34"/>
        <v>1</v>
      </c>
      <c r="E165" s="3">
        <f t="shared" ca="1" si="35"/>
        <v>0.91569685509851106</v>
      </c>
      <c r="F165" s="6">
        <f t="shared" ca="1" si="36"/>
        <v>69270.858890031217</v>
      </c>
      <c r="G165" s="6">
        <f t="shared" ca="1" si="37"/>
        <v>939.29870467290266</v>
      </c>
      <c r="N165" s="65"/>
      <c r="O165" s="65"/>
      <c r="P165" s="65"/>
      <c r="V165" s="53"/>
      <c r="W165" s="54"/>
      <c r="X165" s="65" t="s">
        <v>231</v>
      </c>
      <c r="Y165" s="65">
        <f t="shared" ca="1" si="38"/>
        <v>4</v>
      </c>
      <c r="Z165" s="3">
        <f t="shared" ca="1" si="39"/>
        <v>0.11118940211018213</v>
      </c>
      <c r="AA165" s="6">
        <f t="shared" ca="1" si="40"/>
        <v>140883.84011839924</v>
      </c>
      <c r="AB165" s="6">
        <f t="shared" ca="1" si="41"/>
        <v>171.40229147906783</v>
      </c>
      <c r="AI165" s="65"/>
      <c r="AJ165" s="65"/>
      <c r="AK165" s="65"/>
    </row>
    <row r="166" spans="1:37" x14ac:dyDescent="0.3">
      <c r="A166" s="53"/>
      <c r="B166" s="54"/>
      <c r="C166" s="65" t="s">
        <v>231</v>
      </c>
      <c r="D166" s="65">
        <f t="shared" ca="1" si="34"/>
        <v>2</v>
      </c>
      <c r="E166" s="3">
        <f t="shared" ca="1" si="35"/>
        <v>0.98648725289618233</v>
      </c>
      <c r="F166" s="6">
        <f t="shared" ca="1" si="36"/>
        <v>55663.582821701806</v>
      </c>
      <c r="G166" s="6">
        <f t="shared" ca="1" si="37"/>
        <v>1812.9126525172849</v>
      </c>
      <c r="N166" s="65"/>
      <c r="O166" s="65"/>
      <c r="P166" s="65"/>
      <c r="V166" s="53"/>
      <c r="W166" s="54"/>
      <c r="X166" s="65" t="s">
        <v>231</v>
      </c>
      <c r="Y166" s="65">
        <f t="shared" ca="1" si="38"/>
        <v>3</v>
      </c>
      <c r="Z166" s="3">
        <f t="shared" ca="1" si="39"/>
        <v>3.1280942509760767E-2</v>
      </c>
      <c r="AA166" s="6">
        <f t="shared" ca="1" si="40"/>
        <v>153573.43526943331</v>
      </c>
      <c r="AB166" s="6">
        <f t="shared" ca="1" si="41"/>
        <v>652.12669655362993</v>
      </c>
      <c r="AI166" s="65"/>
      <c r="AJ166" s="65"/>
      <c r="AK166" s="65"/>
    </row>
    <row r="167" spans="1:37" x14ac:dyDescent="0.3">
      <c r="A167" s="53"/>
      <c r="B167" s="54"/>
      <c r="C167" s="65" t="s">
        <v>231</v>
      </c>
      <c r="D167" s="65">
        <f t="shared" ca="1" si="34"/>
        <v>4</v>
      </c>
      <c r="E167" s="3">
        <f t="shared" ca="1" si="35"/>
        <v>0.84429038909248255</v>
      </c>
      <c r="F167" s="6">
        <f t="shared" ca="1" si="36"/>
        <v>102032.14632482978</v>
      </c>
      <c r="G167" s="6">
        <f t="shared" ca="1" si="37"/>
        <v>642.03176369185974</v>
      </c>
      <c r="N167" s="65"/>
      <c r="O167" s="65"/>
      <c r="P167" s="65"/>
      <c r="V167" s="53"/>
      <c r="W167" s="54"/>
      <c r="X167" s="65" t="s">
        <v>231</v>
      </c>
      <c r="Y167" s="65">
        <f t="shared" ca="1" si="38"/>
        <v>1</v>
      </c>
      <c r="Z167" s="3">
        <f t="shared" ca="1" si="39"/>
        <v>2.0067865889761949E-2</v>
      </c>
      <c r="AA167" s="6">
        <f t="shared" ca="1" si="40"/>
        <v>140576.82232059105</v>
      </c>
      <c r="AB167" s="6">
        <f t="shared" ca="1" si="41"/>
        <v>1544.1081901924226</v>
      </c>
      <c r="AI167" s="65"/>
      <c r="AJ167" s="65"/>
      <c r="AK167" s="65"/>
    </row>
    <row r="168" spans="1:37" x14ac:dyDescent="0.3">
      <c r="A168" s="53"/>
      <c r="B168" s="54"/>
      <c r="C168" s="65" t="s">
        <v>231</v>
      </c>
      <c r="D168" s="65">
        <f t="shared" ca="1" si="34"/>
        <v>4</v>
      </c>
      <c r="E168" s="3">
        <f t="shared" ca="1" si="35"/>
        <v>0.66876828499964702</v>
      </c>
      <c r="F168" s="6">
        <f t="shared" ca="1" si="36"/>
        <v>48899.860327159651</v>
      </c>
      <c r="G168" s="6">
        <f t="shared" ca="1" si="37"/>
        <v>1431.333349911275</v>
      </c>
      <c r="N168" s="65"/>
      <c r="O168" s="65"/>
      <c r="P168" s="65"/>
      <c r="V168" s="53"/>
      <c r="W168" s="54"/>
      <c r="X168" s="65" t="s">
        <v>231</v>
      </c>
      <c r="Y168" s="65">
        <f t="shared" ca="1" si="38"/>
        <v>2</v>
      </c>
      <c r="Z168" s="3">
        <f t="shared" ca="1" si="39"/>
        <v>0.77725782603299087</v>
      </c>
      <c r="AA168" s="6">
        <f t="shared" ca="1" si="40"/>
        <v>21015.567545163205</v>
      </c>
      <c r="AB168" s="6">
        <f t="shared" ca="1" si="41"/>
        <v>1082.5240999516561</v>
      </c>
      <c r="AI168" s="65"/>
      <c r="AJ168" s="65"/>
      <c r="AK168" s="65"/>
    </row>
    <row r="169" spans="1:37" x14ac:dyDescent="0.3">
      <c r="A169" s="53"/>
      <c r="B169" s="54"/>
      <c r="C169" s="65" t="s">
        <v>231</v>
      </c>
      <c r="D169" s="65">
        <f t="shared" ca="1" si="34"/>
        <v>1</v>
      </c>
      <c r="E169" s="3">
        <f t="shared" ca="1" si="35"/>
        <v>0.18396335072064673</v>
      </c>
      <c r="F169" s="6">
        <f t="shared" ca="1" si="36"/>
        <v>199584.63739573699</v>
      </c>
      <c r="G169" s="6">
        <f t="shared" ca="1" si="37"/>
        <v>1615.8523236864853</v>
      </c>
      <c r="N169" s="65"/>
      <c r="O169" s="65"/>
      <c r="P169" s="65"/>
      <c r="V169" s="53"/>
      <c r="W169" s="54"/>
      <c r="X169" s="65" t="s">
        <v>231</v>
      </c>
      <c r="Y169" s="65">
        <f t="shared" ca="1" si="38"/>
        <v>3</v>
      </c>
      <c r="Z169" s="3">
        <f t="shared" ca="1" si="39"/>
        <v>0.85693056068709927</v>
      </c>
      <c r="AA169" s="6">
        <f t="shared" ca="1" si="40"/>
        <v>90668.187542025727</v>
      </c>
      <c r="AB169" s="6">
        <f t="shared" ca="1" si="41"/>
        <v>700.56531700350683</v>
      </c>
      <c r="AI169" s="65"/>
      <c r="AJ169" s="65"/>
      <c r="AK169" s="65"/>
    </row>
    <row r="170" spans="1:37" x14ac:dyDescent="0.3">
      <c r="A170" s="53"/>
      <c r="B170" s="54"/>
      <c r="C170" s="65" t="s">
        <v>231</v>
      </c>
      <c r="D170" s="65">
        <f t="shared" ca="1" si="34"/>
        <v>2</v>
      </c>
      <c r="E170" s="3">
        <f t="shared" ca="1" si="35"/>
        <v>5.3311558968563211E-2</v>
      </c>
      <c r="F170" s="6">
        <f t="shared" ca="1" si="36"/>
        <v>60820.398147457032</v>
      </c>
      <c r="G170" s="6">
        <f t="shared" ca="1" si="37"/>
        <v>1391.960217312663</v>
      </c>
      <c r="J170" s="65"/>
      <c r="K170" s="65"/>
      <c r="L170" s="65"/>
      <c r="N170" s="65"/>
      <c r="O170" s="65"/>
      <c r="P170" s="65"/>
      <c r="V170" s="53"/>
      <c r="W170" s="54"/>
      <c r="X170" s="65" t="s">
        <v>231</v>
      </c>
      <c r="Y170" s="65">
        <f t="shared" ca="1" si="38"/>
        <v>4</v>
      </c>
      <c r="Z170" s="3">
        <f t="shared" ca="1" si="39"/>
        <v>0.82477061490518833</v>
      </c>
      <c r="AA170" s="6">
        <f t="shared" ca="1" si="40"/>
        <v>103466.71386591812</v>
      </c>
      <c r="AB170" s="6">
        <f t="shared" ca="1" si="41"/>
        <v>343.04858294369268</v>
      </c>
      <c r="AE170" s="65"/>
      <c r="AF170" s="65"/>
      <c r="AG170" s="65"/>
      <c r="AI170" s="65"/>
      <c r="AJ170" s="65"/>
      <c r="AK170" s="65"/>
    </row>
    <row r="171" spans="1:37" x14ac:dyDescent="0.3">
      <c r="A171" s="53"/>
      <c r="B171" s="54"/>
      <c r="C171" s="65" t="s">
        <v>231</v>
      </c>
      <c r="D171" s="65">
        <f t="shared" ca="1" si="34"/>
        <v>3</v>
      </c>
      <c r="E171" s="3">
        <f t="shared" ca="1" si="35"/>
        <v>0.71578029130724474</v>
      </c>
      <c r="F171" s="6">
        <f t="shared" ca="1" si="36"/>
        <v>47247.614654918376</v>
      </c>
      <c r="G171" s="6">
        <f t="shared" ca="1" si="37"/>
        <v>1795.1653665088795</v>
      </c>
      <c r="N171" s="65"/>
      <c r="O171" s="65"/>
      <c r="P171" s="65"/>
      <c r="V171" s="53"/>
      <c r="W171" s="54"/>
      <c r="X171" s="65" t="s">
        <v>231</v>
      </c>
      <c r="Y171" s="65">
        <f t="shared" ca="1" si="38"/>
        <v>4</v>
      </c>
      <c r="Z171" s="3">
        <f t="shared" ca="1" si="39"/>
        <v>3.25239769754746E-2</v>
      </c>
      <c r="AA171" s="6">
        <f t="shared" ca="1" si="40"/>
        <v>152214.81894299065</v>
      </c>
      <c r="AB171" s="6">
        <f t="shared" ca="1" si="41"/>
        <v>1326.3237372811129</v>
      </c>
      <c r="AI171" s="65"/>
      <c r="AJ171" s="65"/>
      <c r="AK171" s="65"/>
    </row>
    <row r="172" spans="1:37" x14ac:dyDescent="0.3">
      <c r="A172" s="53"/>
      <c r="B172" s="54"/>
      <c r="C172" s="65" t="s">
        <v>231</v>
      </c>
      <c r="D172" s="65">
        <f t="shared" ca="1" si="34"/>
        <v>1</v>
      </c>
      <c r="E172" s="3">
        <f t="shared" ca="1" si="35"/>
        <v>0.23300064411583932</v>
      </c>
      <c r="F172" s="6">
        <f t="shared" ca="1" si="36"/>
        <v>163110.98433239016</v>
      </c>
      <c r="G172" s="6">
        <f t="shared" ca="1" si="37"/>
        <v>1616.8156217775252</v>
      </c>
      <c r="N172" s="65"/>
      <c r="O172" s="65"/>
      <c r="P172" s="65"/>
      <c r="V172" s="53"/>
      <c r="W172" s="54"/>
      <c r="X172" s="65" t="s">
        <v>231</v>
      </c>
      <c r="Y172" s="65">
        <f t="shared" ca="1" si="38"/>
        <v>1</v>
      </c>
      <c r="Z172" s="3">
        <f t="shared" ca="1" si="39"/>
        <v>0.96075508905801599</v>
      </c>
      <c r="AA172" s="6">
        <f t="shared" ca="1" si="40"/>
        <v>125464.54066138153</v>
      </c>
      <c r="AB172" s="6">
        <f t="shared" ca="1" si="41"/>
        <v>1102.5639354500506</v>
      </c>
      <c r="AI172" s="65"/>
      <c r="AJ172" s="65"/>
      <c r="AK172" s="65"/>
    </row>
    <row r="173" spans="1:37" x14ac:dyDescent="0.3">
      <c r="A173" s="53"/>
      <c r="B173" s="54"/>
      <c r="C173" s="65" t="s">
        <v>231</v>
      </c>
      <c r="D173" s="65">
        <f t="shared" ca="1" si="34"/>
        <v>3</v>
      </c>
      <c r="E173" s="3">
        <f t="shared" ca="1" si="35"/>
        <v>0.67482870984665944</v>
      </c>
      <c r="F173" s="6">
        <f t="shared" ca="1" si="36"/>
        <v>46822.001858825039</v>
      </c>
      <c r="G173" s="6">
        <f t="shared" ca="1" si="37"/>
        <v>89.632115644346257</v>
      </c>
      <c r="N173" s="65"/>
      <c r="O173" s="65"/>
      <c r="P173" s="65"/>
      <c r="V173" s="53"/>
      <c r="W173" s="54"/>
      <c r="X173" s="65" t="s">
        <v>231</v>
      </c>
      <c r="Y173" s="65">
        <f t="shared" ca="1" si="38"/>
        <v>2</v>
      </c>
      <c r="Z173" s="3">
        <f t="shared" ca="1" si="39"/>
        <v>0.19588679737514492</v>
      </c>
      <c r="AA173" s="6">
        <f t="shared" ca="1" si="40"/>
        <v>183589.80455555351</v>
      </c>
      <c r="AB173" s="6">
        <f t="shared" ca="1" si="41"/>
        <v>1593.382386803539</v>
      </c>
      <c r="AI173" s="65"/>
      <c r="AJ173" s="65"/>
      <c r="AK173" s="65"/>
    </row>
    <row r="174" spans="1:37" x14ac:dyDescent="0.3">
      <c r="A174" s="53"/>
      <c r="B174" s="54"/>
      <c r="C174" s="65" t="s">
        <v>231</v>
      </c>
      <c r="D174" s="65">
        <f t="shared" ca="1" si="34"/>
        <v>4</v>
      </c>
      <c r="E174" s="3">
        <f t="shared" ca="1" si="35"/>
        <v>0.24949016601746232</v>
      </c>
      <c r="F174" s="6">
        <f t="shared" ca="1" si="36"/>
        <v>188141.34646267767</v>
      </c>
      <c r="G174" s="6">
        <f t="shared" ca="1" si="37"/>
        <v>382.06466822787831</v>
      </c>
      <c r="N174" s="65"/>
      <c r="O174" s="65"/>
      <c r="P174" s="65"/>
      <c r="V174" s="53"/>
      <c r="W174" s="54"/>
      <c r="X174" s="65" t="s">
        <v>231</v>
      </c>
      <c r="Y174" s="65">
        <f t="shared" ca="1" si="38"/>
        <v>4</v>
      </c>
      <c r="Z174" s="3">
        <f t="shared" ca="1" si="39"/>
        <v>0.15222881475732908</v>
      </c>
      <c r="AA174" s="6">
        <f t="shared" ca="1" si="40"/>
        <v>176843.05643370337</v>
      </c>
      <c r="AB174" s="6">
        <f t="shared" ca="1" si="41"/>
        <v>1382.4839511714304</v>
      </c>
      <c r="AI174" s="65"/>
      <c r="AJ174" s="65"/>
      <c r="AK174" s="65"/>
    </row>
    <row r="175" spans="1:37" x14ac:dyDescent="0.3">
      <c r="A175" s="53"/>
      <c r="B175" s="54"/>
      <c r="C175" s="65" t="s">
        <v>231</v>
      </c>
      <c r="D175" s="65">
        <f t="shared" ca="1" si="34"/>
        <v>1</v>
      </c>
      <c r="E175" s="3">
        <f t="shared" ca="1" si="35"/>
        <v>0.77284344102787439</v>
      </c>
      <c r="F175" s="6">
        <f t="shared" ca="1" si="36"/>
        <v>14890.11872840873</v>
      </c>
      <c r="G175" s="6">
        <f t="shared" ca="1" si="37"/>
        <v>106.45138268724041</v>
      </c>
      <c r="N175" s="65"/>
      <c r="O175" s="65"/>
      <c r="P175" s="65"/>
      <c r="V175" s="53"/>
      <c r="W175" s="54"/>
      <c r="X175" s="65" t="s">
        <v>231</v>
      </c>
      <c r="Y175" s="65">
        <f t="shared" ca="1" si="38"/>
        <v>1</v>
      </c>
      <c r="Z175" s="3">
        <f t="shared" ca="1" si="39"/>
        <v>0.88981718555680822</v>
      </c>
      <c r="AA175" s="6">
        <f t="shared" ca="1" si="40"/>
        <v>159500.94623495429</v>
      </c>
      <c r="AB175" s="6">
        <f t="shared" ca="1" si="41"/>
        <v>1275.3024188336597</v>
      </c>
      <c r="AI175" s="65"/>
      <c r="AJ175" s="65"/>
      <c r="AK175" s="65"/>
    </row>
    <row r="176" spans="1:37" x14ac:dyDescent="0.3">
      <c r="A176" s="53"/>
      <c r="B176" s="54"/>
      <c r="C176" s="65" t="s">
        <v>231</v>
      </c>
      <c r="D176" s="65">
        <f t="shared" ca="1" si="34"/>
        <v>3</v>
      </c>
      <c r="E176" s="3">
        <f t="shared" ca="1" si="35"/>
        <v>0.52322409945151038</v>
      </c>
      <c r="F176" s="6">
        <f t="shared" ca="1" si="36"/>
        <v>108606.60607941195</v>
      </c>
      <c r="G176" s="6">
        <f t="shared" ca="1" si="37"/>
        <v>568.90305130884394</v>
      </c>
      <c r="N176" s="65"/>
      <c r="O176" s="65"/>
      <c r="P176" s="65"/>
      <c r="V176" s="53"/>
      <c r="W176" s="54"/>
      <c r="X176" s="65" t="s">
        <v>231</v>
      </c>
      <c r="Y176" s="65">
        <f t="shared" ca="1" si="38"/>
        <v>1</v>
      </c>
      <c r="Z176" s="3">
        <f t="shared" ca="1" si="39"/>
        <v>0.39203836121606317</v>
      </c>
      <c r="AA176" s="6">
        <f t="shared" ca="1" si="40"/>
        <v>83357.57868630033</v>
      </c>
      <c r="AB176" s="6">
        <f t="shared" ca="1" si="41"/>
        <v>713.8046109681286</v>
      </c>
      <c r="AI176" s="65"/>
      <c r="AJ176" s="65"/>
      <c r="AK176" s="65"/>
    </row>
    <row r="177" spans="1:37" x14ac:dyDescent="0.3">
      <c r="A177" s="53"/>
      <c r="B177" s="54"/>
      <c r="C177" s="65" t="s">
        <v>231</v>
      </c>
      <c r="D177" s="65">
        <f t="shared" ca="1" si="34"/>
        <v>2</v>
      </c>
      <c r="E177" s="3">
        <f t="shared" ca="1" si="35"/>
        <v>1.5644124713783292E-2</v>
      </c>
      <c r="F177" s="6">
        <f t="shared" ca="1" si="36"/>
        <v>92794.684440215322</v>
      </c>
      <c r="G177" s="6">
        <f t="shared" ca="1" si="37"/>
        <v>1825.3378263266436</v>
      </c>
      <c r="J177" s="65"/>
      <c r="N177" s="65"/>
      <c r="O177" s="65"/>
      <c r="P177" s="65"/>
      <c r="V177" s="53"/>
      <c r="W177" s="54"/>
      <c r="X177" s="65" t="s">
        <v>231</v>
      </c>
      <c r="Y177" s="65">
        <f t="shared" ca="1" si="38"/>
        <v>4</v>
      </c>
      <c r="Z177" s="3">
        <f t="shared" ca="1" si="39"/>
        <v>0.88820295870725163</v>
      </c>
      <c r="AA177" s="6">
        <f t="shared" ca="1" si="40"/>
        <v>121305.75367702161</v>
      </c>
      <c r="AB177" s="6">
        <f t="shared" ca="1" si="41"/>
        <v>610.85523078406686</v>
      </c>
      <c r="AE177" s="65"/>
      <c r="AI177" s="65"/>
      <c r="AJ177" s="65"/>
      <c r="AK177" s="65"/>
    </row>
    <row r="178" spans="1:37" x14ac:dyDescent="0.3">
      <c r="A178" s="53"/>
      <c r="B178" s="54"/>
      <c r="C178" s="65" t="s">
        <v>231</v>
      </c>
      <c r="D178" s="65">
        <f t="shared" ca="1" si="34"/>
        <v>1</v>
      </c>
      <c r="E178" s="3">
        <f t="shared" ca="1" si="35"/>
        <v>0.44933099192953407</v>
      </c>
      <c r="F178" s="6">
        <f t="shared" ca="1" si="36"/>
        <v>86744.327417319961</v>
      </c>
      <c r="G178" s="6">
        <f t="shared" ca="1" si="37"/>
        <v>172.16834706793759</v>
      </c>
      <c r="I178" s="65" t="s">
        <v>48</v>
      </c>
      <c r="J178" s="65" t="s">
        <v>64</v>
      </c>
      <c r="N178" s="65"/>
      <c r="V178" s="53"/>
      <c r="W178" s="54"/>
      <c r="X178" s="65" t="s">
        <v>231</v>
      </c>
      <c r="Y178" s="65">
        <f t="shared" ca="1" si="38"/>
        <v>3</v>
      </c>
      <c r="Z178" s="3">
        <f t="shared" ca="1" si="39"/>
        <v>0.61038376184653254</v>
      </c>
      <c r="AA178" s="6">
        <f t="shared" ca="1" si="40"/>
        <v>66767.37086901885</v>
      </c>
      <c r="AB178" s="6">
        <f t="shared" ca="1" si="41"/>
        <v>320.8502165391547</v>
      </c>
      <c r="AD178" s="65" t="s">
        <v>48</v>
      </c>
      <c r="AE178" s="65" t="s">
        <v>64</v>
      </c>
      <c r="AI178" s="65"/>
    </row>
    <row r="179" spans="1:37" x14ac:dyDescent="0.3">
      <c r="A179" s="53"/>
      <c r="B179" s="54"/>
      <c r="C179" s="65" t="s">
        <v>231</v>
      </c>
      <c r="D179" s="65">
        <f t="shared" ca="1" si="34"/>
        <v>4</v>
      </c>
      <c r="E179" s="3">
        <f t="shared" ca="1" si="35"/>
        <v>0.57485305266622755</v>
      </c>
      <c r="F179" s="6">
        <f t="shared" ca="1" si="36"/>
        <v>22679.268581360113</v>
      </c>
      <c r="G179" s="6">
        <f t="shared" ca="1" si="37"/>
        <v>1960.9250735838614</v>
      </c>
      <c r="I179" s="65" t="s">
        <v>10</v>
      </c>
      <c r="J179" s="65" t="s">
        <v>0</v>
      </c>
      <c r="V179" s="53"/>
      <c r="W179" s="54"/>
      <c r="X179" s="65" t="s">
        <v>231</v>
      </c>
      <c r="Y179" s="65">
        <f t="shared" ca="1" si="38"/>
        <v>3</v>
      </c>
      <c r="Z179" s="3">
        <f t="shared" ca="1" si="39"/>
        <v>0.15934043271166554</v>
      </c>
      <c r="AA179" s="6">
        <f t="shared" ca="1" si="40"/>
        <v>152688.23311389063</v>
      </c>
      <c r="AB179" s="6">
        <f t="shared" ca="1" si="41"/>
        <v>520.95286550537503</v>
      </c>
      <c r="AD179" s="65" t="s">
        <v>10</v>
      </c>
      <c r="AE179" s="65" t="s">
        <v>0</v>
      </c>
    </row>
    <row r="180" spans="1:37" x14ac:dyDescent="0.3">
      <c r="A180" s="53"/>
      <c r="B180" s="54"/>
      <c r="C180" s="65" t="s">
        <v>231</v>
      </c>
      <c r="D180" s="65">
        <f t="shared" ca="1" si="34"/>
        <v>3</v>
      </c>
      <c r="E180" s="3">
        <f t="shared" ca="1" si="35"/>
        <v>9.6150513011085792E-2</v>
      </c>
      <c r="F180" s="6">
        <f t="shared" ca="1" si="36"/>
        <v>149200.49288888517</v>
      </c>
      <c r="G180" s="6">
        <f t="shared" ca="1" si="37"/>
        <v>811.05303395794647</v>
      </c>
      <c r="V180" s="53"/>
      <c r="W180" s="54"/>
      <c r="X180" s="65" t="s">
        <v>231</v>
      </c>
      <c r="Y180" s="65">
        <f t="shared" ca="1" si="38"/>
        <v>3</v>
      </c>
      <c r="Z180" s="3">
        <f t="shared" ca="1" si="39"/>
        <v>0.34256140616105557</v>
      </c>
      <c r="AA180" s="6">
        <f t="shared" ca="1" si="40"/>
        <v>141659.57681571483</v>
      </c>
      <c r="AB180" s="6">
        <f t="shared" ca="1" si="41"/>
        <v>1420.0227886071732</v>
      </c>
    </row>
    <row r="181" spans="1:37" x14ac:dyDescent="0.3">
      <c r="A181" s="53"/>
      <c r="B181" s="54"/>
      <c r="C181" s="65" t="s">
        <v>231</v>
      </c>
      <c r="D181" s="65">
        <f t="shared" ca="1" si="34"/>
        <v>3</v>
      </c>
      <c r="E181" s="3">
        <f t="shared" ca="1" si="35"/>
        <v>0.34016288208589451</v>
      </c>
      <c r="F181" s="6">
        <f t="shared" ca="1" si="36"/>
        <v>39710.540114855372</v>
      </c>
      <c r="G181" s="6">
        <f t="shared" ca="1" si="37"/>
        <v>1748.1918522625026</v>
      </c>
      <c r="I181" s="65" t="s">
        <v>54</v>
      </c>
      <c r="J181" s="65" t="s">
        <v>61</v>
      </c>
      <c r="V181" s="53"/>
      <c r="W181" s="54"/>
      <c r="X181" s="65" t="s">
        <v>231</v>
      </c>
      <c r="Y181" s="65">
        <f t="shared" ca="1" si="38"/>
        <v>2</v>
      </c>
      <c r="Z181" s="3">
        <f t="shared" ca="1" si="39"/>
        <v>0.4605804009389145</v>
      </c>
      <c r="AA181" s="6">
        <f t="shared" ca="1" si="40"/>
        <v>20210.29765745399</v>
      </c>
      <c r="AB181" s="6">
        <f t="shared" ca="1" si="41"/>
        <v>536.13828686470072</v>
      </c>
      <c r="AD181" s="65" t="s">
        <v>54</v>
      </c>
      <c r="AE181" s="65" t="s">
        <v>61</v>
      </c>
    </row>
    <row r="182" spans="1:37" x14ac:dyDescent="0.3">
      <c r="A182" s="53"/>
      <c r="B182" s="54"/>
      <c r="C182" s="65" t="s">
        <v>231</v>
      </c>
      <c r="D182" s="65">
        <f t="shared" ca="1" si="34"/>
        <v>2</v>
      </c>
      <c r="E182" s="3">
        <f t="shared" ca="1" si="35"/>
        <v>0.66534547326920646</v>
      </c>
      <c r="F182" s="6">
        <f t="shared" ca="1" si="36"/>
        <v>108311.60604527307</v>
      </c>
      <c r="G182" s="6">
        <f t="shared" ca="1" si="37"/>
        <v>728.7693736972476</v>
      </c>
      <c r="I182" s="65" t="s">
        <v>59</v>
      </c>
      <c r="J182" s="65">
        <v>0.24053655790226888</v>
      </c>
      <c r="V182" s="53"/>
      <c r="W182" s="54"/>
      <c r="X182" s="65" t="s">
        <v>231</v>
      </c>
      <c r="Y182" s="65">
        <f t="shared" ca="1" si="38"/>
        <v>4</v>
      </c>
      <c r="Z182" s="3">
        <f t="shared" ca="1" si="39"/>
        <v>0.29417449901442028</v>
      </c>
      <c r="AA182" s="6">
        <f t="shared" ca="1" si="40"/>
        <v>169096.97253492798</v>
      </c>
      <c r="AB182" s="6">
        <f t="shared" ca="1" si="41"/>
        <v>951.67788075520889</v>
      </c>
      <c r="AD182" s="65" t="s">
        <v>59</v>
      </c>
      <c r="AE182" s="65">
        <v>0.24053655790226888</v>
      </c>
    </row>
    <row r="183" spans="1:37" x14ac:dyDescent="0.3">
      <c r="A183" s="53"/>
      <c r="B183" s="54"/>
      <c r="C183" s="65" t="s">
        <v>231</v>
      </c>
      <c r="D183" s="65">
        <f t="shared" ca="1" si="34"/>
        <v>4</v>
      </c>
      <c r="E183" s="3">
        <f t="shared" ca="1" si="35"/>
        <v>0.14910038634909251</v>
      </c>
      <c r="F183" s="6">
        <f t="shared" ca="1" si="36"/>
        <v>133625.23738875633</v>
      </c>
      <c r="G183" s="6">
        <f t="shared" ca="1" si="37"/>
        <v>765.61447932028545</v>
      </c>
      <c r="I183" s="65" t="s">
        <v>58</v>
      </c>
      <c r="J183" s="65">
        <v>0.19721285595200275</v>
      </c>
      <c r="V183" s="53"/>
      <c r="W183" s="54"/>
      <c r="X183" s="65" t="s">
        <v>231</v>
      </c>
      <c r="Y183" s="65">
        <f t="shared" ca="1" si="38"/>
        <v>4</v>
      </c>
      <c r="Z183" s="3">
        <f t="shared" ca="1" si="39"/>
        <v>7.1279718137257864E-2</v>
      </c>
      <c r="AA183" s="6">
        <f t="shared" ca="1" si="40"/>
        <v>173898.63634465291</v>
      </c>
      <c r="AB183" s="6">
        <f t="shared" ca="1" si="41"/>
        <v>1236.5099906501553</v>
      </c>
      <c r="AD183" s="65" t="s">
        <v>58</v>
      </c>
      <c r="AE183" s="65">
        <v>0.19721285595200275</v>
      </c>
    </row>
    <row r="184" spans="1:37" x14ac:dyDescent="0.3">
      <c r="A184" s="53"/>
      <c r="B184" s="54"/>
      <c r="C184" s="65" t="s">
        <v>231</v>
      </c>
      <c r="D184" s="65">
        <f t="shared" ca="1" si="34"/>
        <v>2</v>
      </c>
      <c r="E184" s="3">
        <f t="shared" ca="1" si="35"/>
        <v>5.0341051011664306E-2</v>
      </c>
      <c r="F184" s="6">
        <f t="shared" ca="1" si="36"/>
        <v>75900.657642209058</v>
      </c>
      <c r="G184" s="6">
        <f t="shared" ca="1" si="37"/>
        <v>376.1470712923367</v>
      </c>
      <c r="I184" s="65" t="s">
        <v>12</v>
      </c>
      <c r="J184" s="65">
        <v>0.19921537329333949</v>
      </c>
      <c r="V184" s="53"/>
      <c r="W184" s="54"/>
      <c r="X184" s="65" t="s">
        <v>231</v>
      </c>
      <c r="Y184" s="65">
        <f t="shared" ca="1" si="38"/>
        <v>4</v>
      </c>
      <c r="Z184" s="3">
        <f t="shared" ca="1" si="39"/>
        <v>0.18898690528074724</v>
      </c>
      <c r="AA184" s="6">
        <f t="shared" ca="1" si="40"/>
        <v>106082.17898667305</v>
      </c>
      <c r="AB184" s="6">
        <f t="shared" ca="1" si="41"/>
        <v>563.67159120054612</v>
      </c>
      <c r="AD184" s="65" t="s">
        <v>12</v>
      </c>
      <c r="AE184" s="65">
        <v>0.19921537329333949</v>
      </c>
    </row>
    <row r="185" spans="1:37" x14ac:dyDescent="0.3">
      <c r="A185" s="53"/>
      <c r="B185" s="54"/>
      <c r="C185" s="65" t="s">
        <v>231</v>
      </c>
      <c r="D185" s="65">
        <f t="shared" ca="1" si="34"/>
        <v>1</v>
      </c>
      <c r="E185" s="3">
        <f t="shared" ca="1" si="35"/>
        <v>0.75993464305981107</v>
      </c>
      <c r="F185" s="6">
        <f t="shared" ca="1" si="36"/>
        <v>179025.12920841688</v>
      </c>
      <c r="G185" s="6">
        <f t="shared" ca="1" si="37"/>
        <v>847.15347987496489</v>
      </c>
      <c r="J185" s="65"/>
      <c r="V185" s="53"/>
      <c r="W185" s="54"/>
      <c r="X185" s="65" t="s">
        <v>231</v>
      </c>
      <c r="Y185" s="65">
        <f t="shared" ca="1" si="38"/>
        <v>2</v>
      </c>
      <c r="Z185" s="3">
        <f t="shared" ca="1" si="39"/>
        <v>7.6484037291841833E-3</v>
      </c>
      <c r="AA185" s="6">
        <f t="shared" ca="1" si="40"/>
        <v>138666.96068161863</v>
      </c>
      <c r="AB185" s="6">
        <f t="shared" ca="1" si="41"/>
        <v>536.17794567010412</v>
      </c>
      <c r="AE185" s="65"/>
    </row>
    <row r="186" spans="1:37" x14ac:dyDescent="0.3">
      <c r="A186" s="53"/>
      <c r="B186" s="54"/>
      <c r="C186" s="65" t="s">
        <v>231</v>
      </c>
      <c r="D186" s="65">
        <f t="shared" ca="1" si="34"/>
        <v>1</v>
      </c>
      <c r="E186" s="3">
        <f t="shared" ca="1" si="35"/>
        <v>0.82465039656453798</v>
      </c>
      <c r="F186" s="6">
        <f t="shared" ca="1" si="36"/>
        <v>33580.402113918128</v>
      </c>
      <c r="G186" s="6">
        <f t="shared" ca="1" si="37"/>
        <v>1.5685400890506074</v>
      </c>
      <c r="V186" s="53"/>
      <c r="W186" s="54"/>
      <c r="X186" s="65" t="s">
        <v>231</v>
      </c>
      <c r="Y186" s="65">
        <f t="shared" ca="1" si="38"/>
        <v>1</v>
      </c>
      <c r="Z186" s="3">
        <f t="shared" ca="1" si="39"/>
        <v>3.1830074312724443E-2</v>
      </c>
      <c r="AA186" s="6">
        <f t="shared" ca="1" si="40"/>
        <v>108151.41937250279</v>
      </c>
      <c r="AB186" s="6">
        <f t="shared" ca="1" si="41"/>
        <v>546.39678435076064</v>
      </c>
    </row>
    <row r="187" spans="1:37" x14ac:dyDescent="0.3">
      <c r="A187" s="53"/>
      <c r="B187" s="54"/>
      <c r="C187" s="65" t="s">
        <v>231</v>
      </c>
      <c r="D187" s="65">
        <f t="shared" ca="1" si="34"/>
        <v>1</v>
      </c>
      <c r="E187" s="3">
        <f t="shared" ca="1" si="35"/>
        <v>0.67390915585130884</v>
      </c>
      <c r="F187" s="6">
        <f t="shared" ca="1" si="36"/>
        <v>14132.399068936553</v>
      </c>
      <c r="G187" s="6">
        <f t="shared" ca="1" si="37"/>
        <v>1508.3922145590172</v>
      </c>
      <c r="I187" s="59" t="s">
        <v>65</v>
      </c>
      <c r="J187" s="60">
        <v>0.24053655790226888</v>
      </c>
      <c r="V187" s="53"/>
      <c r="W187" s="54"/>
      <c r="X187" s="65" t="s">
        <v>231</v>
      </c>
      <c r="Y187" s="65">
        <f t="shared" ca="1" si="38"/>
        <v>3</v>
      </c>
      <c r="Z187" s="3">
        <f t="shared" ca="1" si="39"/>
        <v>0.92700356898071101</v>
      </c>
      <c r="AA187" s="6">
        <f t="shared" ca="1" si="40"/>
        <v>58871.313004549687</v>
      </c>
      <c r="AB187" s="6">
        <f t="shared" ca="1" si="41"/>
        <v>1513.7724334398699</v>
      </c>
      <c r="AD187" s="59" t="s">
        <v>65</v>
      </c>
      <c r="AE187" s="60">
        <v>0.24053655790226888</v>
      </c>
    </row>
    <row r="188" spans="1:37" ht="15" thickBot="1" x14ac:dyDescent="0.35">
      <c r="A188" s="53"/>
      <c r="B188" s="54"/>
      <c r="C188" s="65" t="s">
        <v>231</v>
      </c>
      <c r="D188" s="65">
        <f t="shared" ca="1" si="34"/>
        <v>2</v>
      </c>
      <c r="E188" s="3">
        <f t="shared" ca="1" si="35"/>
        <v>0.43210945664684741</v>
      </c>
      <c r="F188" s="6">
        <f t="shared" ca="1" si="36"/>
        <v>75822.229430675419</v>
      </c>
      <c r="G188" s="6">
        <f t="shared" ca="1" si="37"/>
        <v>559.09932317713356</v>
      </c>
      <c r="I188" s="61" t="s">
        <v>58</v>
      </c>
      <c r="J188" s="62">
        <v>0.19721285595200275</v>
      </c>
      <c r="V188" s="53"/>
      <c r="W188" s="54"/>
      <c r="X188" s="65" t="s">
        <v>231</v>
      </c>
      <c r="Y188" s="65">
        <f t="shared" ca="1" si="38"/>
        <v>4</v>
      </c>
      <c r="Z188" s="3">
        <f t="shared" ca="1" si="39"/>
        <v>0.69355290630283062</v>
      </c>
      <c r="AA188" s="6">
        <f t="shared" ca="1" si="40"/>
        <v>67435.294195942857</v>
      </c>
      <c r="AB188" s="6">
        <f t="shared" ca="1" si="41"/>
        <v>669.70202166097636</v>
      </c>
      <c r="AD188" s="61" t="s">
        <v>58</v>
      </c>
      <c r="AE188" s="62">
        <v>0.19721285595200275</v>
      </c>
    </row>
    <row r="189" spans="1:37" ht="15" thickTop="1" x14ac:dyDescent="0.3">
      <c r="A189" s="53"/>
      <c r="B189" s="54"/>
      <c r="C189" s="65" t="s">
        <v>231</v>
      </c>
      <c r="D189" s="65">
        <f t="shared" ca="1" si="34"/>
        <v>4</v>
      </c>
      <c r="E189" s="3">
        <f t="shared" ca="1" si="35"/>
        <v>0.31314757614310795</v>
      </c>
      <c r="F189" s="6">
        <f t="shared" ca="1" si="36"/>
        <v>183081.68684341424</v>
      </c>
      <c r="G189" s="6">
        <f t="shared" ca="1" si="37"/>
        <v>1170.7776310723466</v>
      </c>
      <c r="I189" s="59" t="s">
        <v>50</v>
      </c>
      <c r="J189" s="60">
        <v>0.19921537329333949</v>
      </c>
      <c r="V189" s="53"/>
      <c r="W189" s="54"/>
      <c r="X189" s="65" t="s">
        <v>231</v>
      </c>
      <c r="Y189" s="65">
        <f t="shared" ca="1" si="38"/>
        <v>2</v>
      </c>
      <c r="Z189" s="3">
        <f t="shared" ca="1" si="39"/>
        <v>0.83349341751358719</v>
      </c>
      <c r="AA189" s="6">
        <f t="shared" ca="1" si="40"/>
        <v>68915.748939184909</v>
      </c>
      <c r="AB189" s="6">
        <f t="shared" ca="1" si="41"/>
        <v>1852.7660046022884</v>
      </c>
      <c r="AD189" s="59" t="s">
        <v>50</v>
      </c>
      <c r="AE189" s="60">
        <v>0.19921537329333949</v>
      </c>
    </row>
    <row r="190" spans="1:37" x14ac:dyDescent="0.3">
      <c r="A190" s="53"/>
      <c r="B190" s="54"/>
      <c r="C190" s="65" t="s">
        <v>231</v>
      </c>
      <c r="D190" s="65">
        <f t="shared" ca="1" si="34"/>
        <v>2</v>
      </c>
      <c r="E190" s="3">
        <f t="shared" ca="1" si="35"/>
        <v>7.6337452159226493E-2</v>
      </c>
      <c r="F190" s="6">
        <f t="shared" ca="1" si="36"/>
        <v>114728.97124223718</v>
      </c>
      <c r="G190" s="6">
        <f t="shared" ca="1" si="37"/>
        <v>1670.2003268429016</v>
      </c>
      <c r="V190" s="53"/>
      <c r="W190" s="54"/>
      <c r="X190" s="65" t="s">
        <v>231</v>
      </c>
      <c r="Y190" s="65">
        <f t="shared" ca="1" si="38"/>
        <v>3</v>
      </c>
      <c r="Z190" s="3">
        <f t="shared" ca="1" si="39"/>
        <v>0.42743205497173919</v>
      </c>
      <c r="AA190" s="6">
        <f t="shared" ca="1" si="40"/>
        <v>134131.36006406881</v>
      </c>
      <c r="AB190" s="6">
        <f t="shared" ca="1" si="41"/>
        <v>523.25468820917843</v>
      </c>
    </row>
    <row r="191" spans="1:37" x14ac:dyDescent="0.3">
      <c r="A191" s="53"/>
      <c r="B191" s="54"/>
      <c r="C191" s="65" t="s">
        <v>231</v>
      </c>
      <c r="D191" s="65">
        <f t="shared" ca="1" si="34"/>
        <v>2</v>
      </c>
      <c r="E191" s="3">
        <f t="shared" ca="1" si="35"/>
        <v>5.6434137498555526E-2</v>
      </c>
      <c r="F191" s="6">
        <f t="shared" ca="1" si="36"/>
        <v>98937.148478469477</v>
      </c>
      <c r="G191" s="6">
        <f t="shared" ca="1" si="37"/>
        <v>813.38269302756089</v>
      </c>
      <c r="V191" s="53"/>
      <c r="W191" s="54"/>
      <c r="X191" s="65" t="s">
        <v>231</v>
      </c>
      <c r="Y191" s="65">
        <f t="shared" ca="1" si="38"/>
        <v>3</v>
      </c>
      <c r="Z191" s="3">
        <f t="shared" ca="1" si="39"/>
        <v>3.6987055009597425E-3</v>
      </c>
      <c r="AA191" s="6">
        <f t="shared" ca="1" si="40"/>
        <v>86898.631874500294</v>
      </c>
      <c r="AB191" s="6">
        <f t="shared" ca="1" si="41"/>
        <v>931.13166638721418</v>
      </c>
    </row>
    <row r="192" spans="1:37" x14ac:dyDescent="0.3">
      <c r="A192" s="53"/>
      <c r="B192" s="54"/>
      <c r="C192" s="65" t="s">
        <v>231</v>
      </c>
      <c r="D192" s="65">
        <f t="shared" ca="1" si="34"/>
        <v>3</v>
      </c>
      <c r="E192" s="3">
        <f t="shared" ca="1" si="35"/>
        <v>0.47827646087599385</v>
      </c>
      <c r="F192" s="6">
        <f t="shared" ca="1" si="36"/>
        <v>146802.89883490358</v>
      </c>
      <c r="G192" s="6">
        <f t="shared" ca="1" si="37"/>
        <v>1407.1745648636265</v>
      </c>
      <c r="V192" s="53"/>
      <c r="W192" s="54"/>
      <c r="X192" s="65" t="s">
        <v>231</v>
      </c>
      <c r="Y192" s="65">
        <f t="shared" ca="1" si="38"/>
        <v>2</v>
      </c>
      <c r="Z192" s="3">
        <f t="shared" ca="1" si="39"/>
        <v>0.852174346863386</v>
      </c>
      <c r="AA192" s="6">
        <f t="shared" ca="1" si="40"/>
        <v>104128.8833422584</v>
      </c>
      <c r="AB192" s="6">
        <f t="shared" ca="1" si="41"/>
        <v>1896.9951671593894</v>
      </c>
    </row>
    <row r="193" spans="1:28" x14ac:dyDescent="0.3">
      <c r="A193" s="53"/>
      <c r="B193" s="54"/>
      <c r="C193" s="65" t="s">
        <v>231</v>
      </c>
      <c r="D193" s="65">
        <f t="shared" ca="1" si="34"/>
        <v>4</v>
      </c>
      <c r="E193" s="3">
        <f t="shared" ca="1" si="35"/>
        <v>0.37611523822451287</v>
      </c>
      <c r="F193" s="6">
        <f t="shared" ca="1" si="36"/>
        <v>20807.868297613295</v>
      </c>
      <c r="G193" s="6">
        <f t="shared" ca="1" si="37"/>
        <v>839.71841594714954</v>
      </c>
      <c r="V193" s="53"/>
      <c r="W193" s="54"/>
      <c r="X193" s="65" t="s">
        <v>231</v>
      </c>
      <c r="Y193" s="65">
        <f t="shared" ca="1" si="38"/>
        <v>2</v>
      </c>
      <c r="Z193" s="3">
        <f t="shared" ca="1" si="39"/>
        <v>0.75372864806527751</v>
      </c>
      <c r="AA193" s="6">
        <f t="shared" ca="1" si="40"/>
        <v>77538.821149538213</v>
      </c>
      <c r="AB193" s="6">
        <f t="shared" ca="1" si="41"/>
        <v>1853.3925862402521</v>
      </c>
    </row>
    <row r="194" spans="1:28" x14ac:dyDescent="0.3">
      <c r="A194" s="53"/>
      <c r="B194" s="54"/>
      <c r="C194" s="65" t="s">
        <v>231</v>
      </c>
      <c r="D194" s="65">
        <f t="shared" ca="1" si="34"/>
        <v>4</v>
      </c>
      <c r="E194" s="3">
        <f t="shared" ca="1" si="35"/>
        <v>6.1576150099468485E-2</v>
      </c>
      <c r="F194" s="6">
        <f t="shared" ca="1" si="36"/>
        <v>28446.601688569051</v>
      </c>
      <c r="G194" s="6">
        <f t="shared" ca="1" si="37"/>
        <v>62.137501804058857</v>
      </c>
      <c r="V194" s="53"/>
      <c r="W194" s="54"/>
      <c r="X194" s="65" t="s">
        <v>231</v>
      </c>
      <c r="Y194" s="65">
        <f t="shared" ca="1" si="38"/>
        <v>2</v>
      </c>
      <c r="Z194" s="3">
        <f t="shared" ca="1" si="39"/>
        <v>0.93511564589541407</v>
      </c>
      <c r="AA194" s="6">
        <f t="shared" ca="1" si="40"/>
        <v>173566.40118659753</v>
      </c>
      <c r="AB194" s="6">
        <f t="shared" ca="1" si="41"/>
        <v>1444.5543165500662</v>
      </c>
    </row>
    <row r="195" spans="1:28" x14ac:dyDescent="0.3">
      <c r="A195" s="53"/>
      <c r="B195" s="54"/>
      <c r="C195" s="65" t="s">
        <v>231</v>
      </c>
      <c r="D195" s="65">
        <f t="shared" ca="1" si="34"/>
        <v>3</v>
      </c>
      <c r="E195" s="3">
        <f t="shared" ca="1" si="35"/>
        <v>7.4465019167161084E-2</v>
      </c>
      <c r="F195" s="6">
        <f t="shared" ca="1" si="36"/>
        <v>88303.541251281087</v>
      </c>
      <c r="G195" s="6">
        <f t="shared" ca="1" si="37"/>
        <v>1113.1829716630079</v>
      </c>
      <c r="V195" s="53"/>
      <c r="W195" s="54"/>
      <c r="X195" s="65" t="s">
        <v>231</v>
      </c>
      <c r="Y195" s="65">
        <f t="shared" ca="1" si="38"/>
        <v>1</v>
      </c>
      <c r="Z195" s="3">
        <f t="shared" ca="1" si="39"/>
        <v>0.46672908472849262</v>
      </c>
      <c r="AA195" s="6">
        <f t="shared" ca="1" si="40"/>
        <v>115391.25146321431</v>
      </c>
      <c r="AB195" s="6">
        <f t="shared" ca="1" si="41"/>
        <v>1722.609039972325</v>
      </c>
    </row>
    <row r="196" spans="1:28" x14ac:dyDescent="0.3">
      <c r="A196" s="53"/>
      <c r="B196" s="54"/>
      <c r="C196" s="65" t="s">
        <v>231</v>
      </c>
      <c r="D196" s="65">
        <f t="shared" ca="1" si="34"/>
        <v>4</v>
      </c>
      <c r="E196" s="3">
        <f t="shared" ca="1" si="35"/>
        <v>0.35883891699406212</v>
      </c>
      <c r="F196" s="6">
        <f t="shared" ca="1" si="36"/>
        <v>12910.661535548163</v>
      </c>
      <c r="G196" s="6">
        <f t="shared" ca="1" si="37"/>
        <v>1914.1872256484487</v>
      </c>
      <c r="V196" s="53"/>
      <c r="W196" s="54"/>
      <c r="X196" s="65" t="s">
        <v>231</v>
      </c>
      <c r="Y196" s="65">
        <f t="shared" ca="1" si="38"/>
        <v>1</v>
      </c>
      <c r="Z196" s="3">
        <f t="shared" ca="1" si="39"/>
        <v>0.54461609036723158</v>
      </c>
      <c r="AA196" s="6">
        <f t="shared" ca="1" si="40"/>
        <v>78843.974446052802</v>
      </c>
      <c r="AB196" s="6">
        <f t="shared" ca="1" si="41"/>
        <v>628.76408582240356</v>
      </c>
    </row>
    <row r="197" spans="1:28" x14ac:dyDescent="0.3">
      <c r="A197" s="53"/>
      <c r="B197" s="54"/>
      <c r="C197" s="65" t="s">
        <v>231</v>
      </c>
      <c r="D197" s="65">
        <f t="shared" ca="1" si="34"/>
        <v>4</v>
      </c>
      <c r="E197" s="3">
        <f t="shared" ca="1" si="35"/>
        <v>0.11834703166924676</v>
      </c>
      <c r="F197" s="6">
        <f t="shared" ca="1" si="36"/>
        <v>128480.5592780541</v>
      </c>
      <c r="G197" s="6">
        <f t="shared" ca="1" si="37"/>
        <v>115.76745484231243</v>
      </c>
      <c r="V197" s="53"/>
      <c r="W197" s="54"/>
      <c r="X197" s="65" t="s">
        <v>231</v>
      </c>
      <c r="Y197" s="65">
        <f t="shared" ca="1" si="38"/>
        <v>1</v>
      </c>
      <c r="Z197" s="3">
        <f t="shared" ca="1" si="39"/>
        <v>2.8072006336444799E-3</v>
      </c>
      <c r="AA197" s="6">
        <f t="shared" ca="1" si="40"/>
        <v>47011.009384097255</v>
      </c>
      <c r="AB197" s="6">
        <f t="shared" ca="1" si="41"/>
        <v>1583.3555456515223</v>
      </c>
    </row>
    <row r="198" spans="1:28" x14ac:dyDescent="0.3">
      <c r="A198" s="53"/>
      <c r="B198" s="54"/>
      <c r="C198" s="65" t="s">
        <v>231</v>
      </c>
      <c r="D198" s="65">
        <f t="shared" ca="1" si="34"/>
        <v>4</v>
      </c>
      <c r="E198" s="3">
        <f t="shared" ca="1" si="35"/>
        <v>0.44506915443438955</v>
      </c>
      <c r="F198" s="6">
        <f t="shared" ca="1" si="36"/>
        <v>149102.0959069338</v>
      </c>
      <c r="G198" s="6">
        <f t="shared" ca="1" si="37"/>
        <v>856.14215122242126</v>
      </c>
      <c r="V198" s="53"/>
      <c r="W198" s="54"/>
      <c r="X198" s="65" t="s">
        <v>231</v>
      </c>
      <c r="Y198" s="65">
        <f t="shared" ca="1" si="38"/>
        <v>3</v>
      </c>
      <c r="Z198" s="3">
        <f t="shared" ca="1" si="39"/>
        <v>0.91839524222188607</v>
      </c>
      <c r="AA198" s="6">
        <f t="shared" ca="1" si="40"/>
        <v>160210.77186208274</v>
      </c>
      <c r="AB198" s="6">
        <f t="shared" ca="1" si="41"/>
        <v>1546.0762524210184</v>
      </c>
    </row>
    <row r="199" spans="1:28" x14ac:dyDescent="0.3">
      <c r="A199" s="53"/>
      <c r="B199" s="54"/>
      <c r="C199" s="65" t="s">
        <v>231</v>
      </c>
      <c r="D199" s="65">
        <f t="shared" ca="1" si="34"/>
        <v>4</v>
      </c>
      <c r="E199" s="3">
        <f t="shared" ca="1" si="35"/>
        <v>0.55065522024431124</v>
      </c>
      <c r="F199" s="6">
        <f t="shared" ca="1" si="36"/>
        <v>75945.629772126136</v>
      </c>
      <c r="G199" s="6">
        <f t="shared" ca="1" si="37"/>
        <v>285.96277965180872</v>
      </c>
      <c r="V199" s="53"/>
      <c r="W199" s="54"/>
      <c r="X199" s="65" t="s">
        <v>231</v>
      </c>
      <c r="Y199" s="65">
        <f t="shared" ca="1" si="38"/>
        <v>2</v>
      </c>
      <c r="Z199" s="3">
        <f t="shared" ca="1" si="39"/>
        <v>0.16779639269150881</v>
      </c>
      <c r="AA199" s="6">
        <f t="shared" ca="1" si="40"/>
        <v>7087.8239438009859</v>
      </c>
      <c r="AB199" s="6">
        <f t="shared" ca="1" si="41"/>
        <v>1785.3639506822749</v>
      </c>
    </row>
    <row r="200" spans="1:28" x14ac:dyDescent="0.3">
      <c r="A200" s="53"/>
      <c r="B200" s="54"/>
      <c r="C200" s="65" t="s">
        <v>231</v>
      </c>
      <c r="D200" s="65">
        <f t="shared" ca="1" si="34"/>
        <v>1</v>
      </c>
      <c r="E200" s="3">
        <f t="shared" ca="1" si="35"/>
        <v>0.89242094629656832</v>
      </c>
      <c r="F200" s="6">
        <f t="shared" ca="1" si="36"/>
        <v>175937.35542719078</v>
      </c>
      <c r="G200" s="6">
        <f t="shared" ca="1" si="37"/>
        <v>980.8139647879068</v>
      </c>
      <c r="V200" s="53"/>
      <c r="W200" s="54"/>
      <c r="X200" s="65" t="s">
        <v>231</v>
      </c>
      <c r="Y200" s="65">
        <f t="shared" ca="1" si="38"/>
        <v>4</v>
      </c>
      <c r="Z200" s="3">
        <f t="shared" ca="1" si="39"/>
        <v>0.36323755253243006</v>
      </c>
      <c r="AA200" s="6">
        <f t="shared" ca="1" si="40"/>
        <v>54031.972020260466</v>
      </c>
      <c r="AB200" s="6">
        <f t="shared" ca="1" si="41"/>
        <v>1626.6051964592941</v>
      </c>
    </row>
    <row r="201" spans="1:28" x14ac:dyDescent="0.3">
      <c r="A201" s="53"/>
      <c r="B201" s="54"/>
      <c r="C201" s="65" t="s">
        <v>231</v>
      </c>
      <c r="D201" s="65">
        <f t="shared" ca="1" si="34"/>
        <v>4</v>
      </c>
      <c r="E201" s="3">
        <f t="shared" ca="1" si="35"/>
        <v>0.59742786865844477</v>
      </c>
      <c r="F201" s="6">
        <f t="shared" ca="1" si="36"/>
        <v>131299.60396682497</v>
      </c>
      <c r="G201" s="6">
        <f t="shared" ca="1" si="37"/>
        <v>792.30368406096829</v>
      </c>
      <c r="V201" s="53"/>
      <c r="W201" s="54"/>
      <c r="X201" s="65" t="s">
        <v>231</v>
      </c>
      <c r="Y201" s="65">
        <f t="shared" ca="1" si="38"/>
        <v>2</v>
      </c>
      <c r="Z201" s="3">
        <f t="shared" ca="1" si="39"/>
        <v>0.11951510282994882</v>
      </c>
      <c r="AA201" s="6">
        <f t="shared" ca="1" si="40"/>
        <v>88570.580415240867</v>
      </c>
      <c r="AB201" s="6">
        <f t="shared" ca="1" si="41"/>
        <v>1839.1076982773557</v>
      </c>
    </row>
    <row r="202" spans="1:28" x14ac:dyDescent="0.3">
      <c r="A202" s="53"/>
      <c r="B202" s="54"/>
      <c r="C202" s="65" t="s">
        <v>231</v>
      </c>
      <c r="D202" s="65">
        <f t="shared" ca="1" si="34"/>
        <v>2</v>
      </c>
      <c r="E202" s="3">
        <f t="shared" ca="1" si="35"/>
        <v>9.8161625643255701E-2</v>
      </c>
      <c r="F202" s="6">
        <f t="shared" ca="1" si="36"/>
        <v>126026.87561638275</v>
      </c>
      <c r="G202" s="6">
        <f t="shared" ca="1" si="37"/>
        <v>289.14585275383644</v>
      </c>
      <c r="V202" s="53"/>
      <c r="W202" s="54"/>
      <c r="X202" s="65" t="s">
        <v>231</v>
      </c>
      <c r="Y202" s="65">
        <f t="shared" ca="1" si="38"/>
        <v>3</v>
      </c>
      <c r="Z202" s="3">
        <f t="shared" ca="1" si="39"/>
        <v>0.50783600514391258</v>
      </c>
      <c r="AA202" s="6">
        <f t="shared" ca="1" si="40"/>
        <v>2473.4346432846</v>
      </c>
      <c r="AB202" s="6">
        <f t="shared" ca="1" si="41"/>
        <v>1131.394086743594</v>
      </c>
    </row>
    <row r="203" spans="1:28" x14ac:dyDescent="0.3">
      <c r="A203" s="53"/>
      <c r="B203" s="54"/>
      <c r="C203" s="65" t="s">
        <v>231</v>
      </c>
      <c r="D203" s="65">
        <f t="shared" ca="1" si="34"/>
        <v>1</v>
      </c>
      <c r="E203" s="3">
        <f t="shared" ca="1" si="35"/>
        <v>0.97058884011523316</v>
      </c>
      <c r="F203" s="6">
        <f t="shared" ca="1" si="36"/>
        <v>85125.681752980963</v>
      </c>
      <c r="G203" s="6">
        <f t="shared" ca="1" si="37"/>
        <v>1510.8227664994704</v>
      </c>
      <c r="V203" s="53"/>
      <c r="W203" s="54"/>
      <c r="X203" s="65" t="s">
        <v>231</v>
      </c>
      <c r="Y203" s="65">
        <f t="shared" ca="1" si="38"/>
        <v>1</v>
      </c>
      <c r="Z203" s="3">
        <f t="shared" ca="1" si="39"/>
        <v>0.97833732011637586</v>
      </c>
      <c r="AA203" s="6">
        <f t="shared" ca="1" si="40"/>
        <v>148805.80988544674</v>
      </c>
      <c r="AB203" s="6">
        <f t="shared" ca="1" si="41"/>
        <v>568.56672540201475</v>
      </c>
    </row>
    <row r="204" spans="1:28" x14ac:dyDescent="0.3">
      <c r="A204" s="53"/>
      <c r="B204" s="54"/>
      <c r="C204" s="65" t="s">
        <v>231</v>
      </c>
      <c r="D204" s="65">
        <f t="shared" ca="1" si="34"/>
        <v>3</v>
      </c>
      <c r="E204" s="3">
        <f t="shared" ca="1" si="35"/>
        <v>0.98012729182149716</v>
      </c>
      <c r="F204" s="6">
        <f t="shared" ca="1" si="36"/>
        <v>133887.20133499091</v>
      </c>
      <c r="G204" s="6">
        <f t="shared" ca="1" si="37"/>
        <v>9.8621774516769456</v>
      </c>
      <c r="V204" s="53"/>
      <c r="W204" s="54"/>
      <c r="X204" s="65" t="s">
        <v>231</v>
      </c>
      <c r="Y204" s="65">
        <f t="shared" ca="1" si="38"/>
        <v>3</v>
      </c>
      <c r="Z204" s="3">
        <f t="shared" ca="1" si="39"/>
        <v>0.46482763111171632</v>
      </c>
      <c r="AA204" s="6">
        <f t="shared" ca="1" si="40"/>
        <v>50475.133609970602</v>
      </c>
      <c r="AB204" s="6">
        <f t="shared" ca="1" si="41"/>
        <v>1226.4206256164759</v>
      </c>
    </row>
    <row r="205" spans="1:28" x14ac:dyDescent="0.3">
      <c r="A205" s="53"/>
      <c r="B205" s="54"/>
      <c r="C205" s="65" t="s">
        <v>231</v>
      </c>
      <c r="D205" s="65">
        <f t="shared" ref="D205:D268" ca="1" si="42">INT(RAND()*4)+1</f>
        <v>1</v>
      </c>
      <c r="E205" s="3">
        <f t="shared" ref="E205:E268" ca="1" si="43">RAND()</f>
        <v>0.27524967604490813</v>
      </c>
      <c r="F205" s="6">
        <f t="shared" ref="F205:F268" ca="1" si="44">RAND()*200000</f>
        <v>183701.82472032768</v>
      </c>
      <c r="G205" s="6">
        <f t="shared" ref="G205:G268" ca="1" si="45">RAND()*2000</f>
        <v>1063.3927798997292</v>
      </c>
      <c r="V205" s="53"/>
      <c r="W205" s="54"/>
      <c r="X205" s="65" t="s">
        <v>231</v>
      </c>
      <c r="Y205" s="65">
        <f t="shared" ref="Y205:Y268" ca="1" si="46">INT(RAND()*4)+1</f>
        <v>4</v>
      </c>
      <c r="Z205" s="3">
        <f t="shared" ref="Z205:Z268" ca="1" si="47">RAND()</f>
        <v>0.46540351935621105</v>
      </c>
      <c r="AA205" s="6">
        <f t="shared" ref="AA205:AA268" ca="1" si="48">RAND()*200000</f>
        <v>115005.14805827211</v>
      </c>
      <c r="AB205" s="6">
        <f t="shared" ref="AB205:AB268" ca="1" si="49">RAND()*2000</f>
        <v>1164.6881243265864</v>
      </c>
    </row>
    <row r="206" spans="1:28" x14ac:dyDescent="0.3">
      <c r="A206" s="53"/>
      <c r="B206" s="54"/>
      <c r="C206" s="65" t="s">
        <v>231</v>
      </c>
      <c r="D206" s="65">
        <f t="shared" ca="1" si="42"/>
        <v>3</v>
      </c>
      <c r="E206" s="3">
        <f t="shared" ca="1" si="43"/>
        <v>0.91900129172191969</v>
      </c>
      <c r="F206" s="6">
        <f t="shared" ca="1" si="44"/>
        <v>34780.185337257244</v>
      </c>
      <c r="G206" s="6">
        <f t="shared" ca="1" si="45"/>
        <v>1526.0105095194269</v>
      </c>
      <c r="V206" s="53"/>
      <c r="W206" s="54"/>
      <c r="X206" s="65" t="s">
        <v>231</v>
      </c>
      <c r="Y206" s="65">
        <f t="shared" ca="1" si="46"/>
        <v>1</v>
      </c>
      <c r="Z206" s="3">
        <f t="shared" ca="1" si="47"/>
        <v>0.47012210749048589</v>
      </c>
      <c r="AA206" s="6">
        <f t="shared" ca="1" si="48"/>
        <v>49118.17815589907</v>
      </c>
      <c r="AB206" s="6">
        <f t="shared" ca="1" si="49"/>
        <v>377.81560189309118</v>
      </c>
    </row>
    <row r="207" spans="1:28" x14ac:dyDescent="0.3">
      <c r="A207" s="53"/>
      <c r="B207" s="54"/>
      <c r="C207" s="65" t="s">
        <v>231</v>
      </c>
      <c r="D207" s="65">
        <f t="shared" ca="1" si="42"/>
        <v>1</v>
      </c>
      <c r="E207" s="3">
        <f t="shared" ca="1" si="43"/>
        <v>0.57455706617146529</v>
      </c>
      <c r="F207" s="6">
        <f t="shared" ca="1" si="44"/>
        <v>188436.13066524066</v>
      </c>
      <c r="G207" s="6">
        <f t="shared" ca="1" si="45"/>
        <v>1999.6162242545063</v>
      </c>
      <c r="V207" s="53"/>
      <c r="W207" s="54"/>
      <c r="X207" s="65" t="s">
        <v>231</v>
      </c>
      <c r="Y207" s="65">
        <f t="shared" ca="1" si="46"/>
        <v>2</v>
      </c>
      <c r="Z207" s="3">
        <f t="shared" ca="1" si="47"/>
        <v>0.8671596634922254</v>
      </c>
      <c r="AA207" s="6">
        <f t="shared" ca="1" si="48"/>
        <v>60158.351160940634</v>
      </c>
      <c r="AB207" s="6">
        <f t="shared" ca="1" si="49"/>
        <v>1474.7100341520422</v>
      </c>
    </row>
    <row r="208" spans="1:28" x14ac:dyDescent="0.3">
      <c r="A208" s="53"/>
      <c r="B208" s="54"/>
      <c r="C208" s="65" t="s">
        <v>231</v>
      </c>
      <c r="D208" s="65">
        <f t="shared" ca="1" si="42"/>
        <v>1</v>
      </c>
      <c r="E208" s="3">
        <f t="shared" ca="1" si="43"/>
        <v>0.22365615615383205</v>
      </c>
      <c r="F208" s="6">
        <f t="shared" ca="1" si="44"/>
        <v>67007.712009232564</v>
      </c>
      <c r="G208" s="6">
        <f t="shared" ca="1" si="45"/>
        <v>1006.4097646373514</v>
      </c>
      <c r="V208" s="53"/>
      <c r="W208" s="54"/>
      <c r="X208" s="65" t="s">
        <v>231</v>
      </c>
      <c r="Y208" s="65">
        <f t="shared" ca="1" si="46"/>
        <v>4</v>
      </c>
      <c r="Z208" s="3">
        <f t="shared" ca="1" si="47"/>
        <v>0.90579207183787447</v>
      </c>
      <c r="AA208" s="6">
        <f t="shared" ca="1" si="48"/>
        <v>182217.92854381041</v>
      </c>
      <c r="AB208" s="6">
        <f t="shared" ca="1" si="49"/>
        <v>1349.6245200629032</v>
      </c>
    </row>
    <row r="209" spans="1:28" x14ac:dyDescent="0.3">
      <c r="A209" s="53"/>
      <c r="B209" s="54"/>
      <c r="C209" s="65" t="s">
        <v>231</v>
      </c>
      <c r="D209" s="65">
        <f t="shared" ca="1" si="42"/>
        <v>3</v>
      </c>
      <c r="E209" s="3">
        <f t="shared" ca="1" si="43"/>
        <v>0.33681299972196621</v>
      </c>
      <c r="F209" s="6">
        <f t="shared" ca="1" si="44"/>
        <v>104259.59458649115</v>
      </c>
      <c r="G209" s="6">
        <f t="shared" ca="1" si="45"/>
        <v>33.852351096369084</v>
      </c>
      <c r="V209" s="53"/>
      <c r="W209" s="54"/>
      <c r="X209" s="65" t="s">
        <v>231</v>
      </c>
      <c r="Y209" s="65">
        <f t="shared" ca="1" si="46"/>
        <v>3</v>
      </c>
      <c r="Z209" s="3">
        <f t="shared" ca="1" si="47"/>
        <v>0.91774212657114596</v>
      </c>
      <c r="AA209" s="6">
        <f t="shared" ca="1" si="48"/>
        <v>39212.088488444504</v>
      </c>
      <c r="AB209" s="6">
        <f t="shared" ca="1" si="49"/>
        <v>1956.9329731350817</v>
      </c>
    </row>
    <row r="210" spans="1:28" x14ac:dyDescent="0.3">
      <c r="A210" s="53"/>
      <c r="B210" s="54"/>
      <c r="C210" s="65" t="s">
        <v>231</v>
      </c>
      <c r="D210" s="65">
        <f t="shared" ca="1" si="42"/>
        <v>3</v>
      </c>
      <c r="E210" s="3">
        <f t="shared" ca="1" si="43"/>
        <v>0.95803011040808694</v>
      </c>
      <c r="F210" s="6">
        <f t="shared" ca="1" si="44"/>
        <v>127490.36875744716</v>
      </c>
      <c r="G210" s="6">
        <f t="shared" ca="1" si="45"/>
        <v>113.25848417138241</v>
      </c>
      <c r="V210" s="53"/>
      <c r="W210" s="54"/>
      <c r="X210" s="65" t="s">
        <v>231</v>
      </c>
      <c r="Y210" s="65">
        <f t="shared" ca="1" si="46"/>
        <v>1</v>
      </c>
      <c r="Z210" s="3">
        <f t="shared" ca="1" si="47"/>
        <v>0.88099569638944741</v>
      </c>
      <c r="AA210" s="6">
        <f t="shared" ca="1" si="48"/>
        <v>17607.574872133689</v>
      </c>
      <c r="AB210" s="6">
        <f t="shared" ca="1" si="49"/>
        <v>1927.5294114445123</v>
      </c>
    </row>
    <row r="211" spans="1:28" x14ac:dyDescent="0.3">
      <c r="A211" s="53"/>
      <c r="B211" s="54"/>
      <c r="C211" s="65" t="s">
        <v>231</v>
      </c>
      <c r="D211" s="65">
        <f t="shared" ca="1" si="42"/>
        <v>3</v>
      </c>
      <c r="E211" s="3">
        <f t="shared" ca="1" si="43"/>
        <v>0.35615956820255013</v>
      </c>
      <c r="F211" s="6">
        <f t="shared" ca="1" si="44"/>
        <v>187920.43403001694</v>
      </c>
      <c r="G211" s="6">
        <f t="shared" ca="1" si="45"/>
        <v>1482.1547215637602</v>
      </c>
      <c r="V211" s="53"/>
      <c r="W211" s="54"/>
      <c r="X211" s="65" t="s">
        <v>231</v>
      </c>
      <c r="Y211" s="65">
        <f t="shared" ca="1" si="46"/>
        <v>2</v>
      </c>
      <c r="Z211" s="3">
        <f t="shared" ca="1" si="47"/>
        <v>0.1014354225619184</v>
      </c>
      <c r="AA211" s="6">
        <f t="shared" ca="1" si="48"/>
        <v>100222.075322865</v>
      </c>
      <c r="AB211" s="6">
        <f t="shared" ca="1" si="49"/>
        <v>356.27115196483095</v>
      </c>
    </row>
    <row r="212" spans="1:28" x14ac:dyDescent="0.3">
      <c r="A212" s="53"/>
      <c r="B212" s="54"/>
      <c r="C212" s="65" t="s">
        <v>231</v>
      </c>
      <c r="D212" s="65">
        <f t="shared" ca="1" si="42"/>
        <v>3</v>
      </c>
      <c r="E212" s="3">
        <f t="shared" ca="1" si="43"/>
        <v>0.44580934328156219</v>
      </c>
      <c r="F212" s="6">
        <f t="shared" ca="1" si="44"/>
        <v>155696.13098199296</v>
      </c>
      <c r="G212" s="6">
        <f t="shared" ca="1" si="45"/>
        <v>1399.5310317258452</v>
      </c>
      <c r="V212" s="53"/>
      <c r="W212" s="54"/>
      <c r="X212" s="65" t="s">
        <v>231</v>
      </c>
      <c r="Y212" s="65">
        <f t="shared" ca="1" si="46"/>
        <v>2</v>
      </c>
      <c r="Z212" s="3">
        <f t="shared" ca="1" si="47"/>
        <v>0.60375429841182038</v>
      </c>
      <c r="AA212" s="6">
        <f t="shared" ca="1" si="48"/>
        <v>135645.52832458823</v>
      </c>
      <c r="AB212" s="6">
        <f t="shared" ca="1" si="49"/>
        <v>1772.9695240957485</v>
      </c>
    </row>
    <row r="213" spans="1:28" x14ac:dyDescent="0.3">
      <c r="A213" s="53"/>
      <c r="B213" s="54"/>
      <c r="C213" s="65" t="s">
        <v>231</v>
      </c>
      <c r="D213" s="65">
        <f t="shared" ca="1" si="42"/>
        <v>4</v>
      </c>
      <c r="E213" s="3">
        <f t="shared" ca="1" si="43"/>
        <v>0.39114984521068497</v>
      </c>
      <c r="F213" s="6">
        <f t="shared" ca="1" si="44"/>
        <v>38151.823447235736</v>
      </c>
      <c r="G213" s="6">
        <f t="shared" ca="1" si="45"/>
        <v>1082.6725238205404</v>
      </c>
      <c r="V213" s="53"/>
      <c r="W213" s="54"/>
      <c r="X213" s="65" t="s">
        <v>231</v>
      </c>
      <c r="Y213" s="65">
        <f t="shared" ca="1" si="46"/>
        <v>2</v>
      </c>
      <c r="Z213" s="3">
        <f t="shared" ca="1" si="47"/>
        <v>0.86399328082242888</v>
      </c>
      <c r="AA213" s="6">
        <f t="shared" ca="1" si="48"/>
        <v>124006.50575675177</v>
      </c>
      <c r="AB213" s="6">
        <f t="shared" ca="1" si="49"/>
        <v>1444.0390037861371</v>
      </c>
    </row>
    <row r="214" spans="1:28" x14ac:dyDescent="0.3">
      <c r="A214" s="53"/>
      <c r="B214" s="54"/>
      <c r="C214" s="65" t="s">
        <v>231</v>
      </c>
      <c r="D214" s="65">
        <f t="shared" ca="1" si="42"/>
        <v>3</v>
      </c>
      <c r="E214" s="3">
        <f t="shared" ca="1" si="43"/>
        <v>4.7152698930501447E-2</v>
      </c>
      <c r="F214" s="6">
        <f t="shared" ca="1" si="44"/>
        <v>128662.2230755718</v>
      </c>
      <c r="G214" s="6">
        <f t="shared" ca="1" si="45"/>
        <v>470.53307513089806</v>
      </c>
      <c r="V214" s="53"/>
      <c r="W214" s="54"/>
      <c r="X214" s="65" t="s">
        <v>231</v>
      </c>
      <c r="Y214" s="65">
        <f t="shared" ca="1" si="46"/>
        <v>3</v>
      </c>
      <c r="Z214" s="3">
        <f t="shared" ca="1" si="47"/>
        <v>0.78822605814527547</v>
      </c>
      <c r="AA214" s="6">
        <f t="shared" ca="1" si="48"/>
        <v>43152.859693632185</v>
      </c>
      <c r="AB214" s="6">
        <f t="shared" ca="1" si="49"/>
        <v>281.23033154453128</v>
      </c>
    </row>
    <row r="215" spans="1:28" x14ac:dyDescent="0.3">
      <c r="A215" s="53"/>
      <c r="B215" s="54"/>
      <c r="C215" s="65" t="s">
        <v>231</v>
      </c>
      <c r="D215" s="65">
        <f t="shared" ca="1" si="42"/>
        <v>3</v>
      </c>
      <c r="E215" s="3">
        <f t="shared" ca="1" si="43"/>
        <v>0.78676230367225131</v>
      </c>
      <c r="F215" s="6">
        <f t="shared" ca="1" si="44"/>
        <v>51156.910525431806</v>
      </c>
      <c r="G215" s="6">
        <f t="shared" ca="1" si="45"/>
        <v>1572.8721135759645</v>
      </c>
      <c r="V215" s="53"/>
      <c r="W215" s="54"/>
      <c r="X215" s="65" t="s">
        <v>231</v>
      </c>
      <c r="Y215" s="65">
        <f t="shared" ca="1" si="46"/>
        <v>1</v>
      </c>
      <c r="Z215" s="3">
        <f t="shared" ca="1" si="47"/>
        <v>0.63700850580811552</v>
      </c>
      <c r="AA215" s="6">
        <f t="shared" ca="1" si="48"/>
        <v>191416.6741219933</v>
      </c>
      <c r="AB215" s="6">
        <f t="shared" ca="1" si="49"/>
        <v>929.86134456621721</v>
      </c>
    </row>
    <row r="216" spans="1:28" x14ac:dyDescent="0.3">
      <c r="A216" s="53"/>
      <c r="B216" s="54"/>
      <c r="C216" s="65" t="s">
        <v>231</v>
      </c>
      <c r="D216" s="65">
        <f t="shared" ca="1" si="42"/>
        <v>1</v>
      </c>
      <c r="E216" s="3">
        <f t="shared" ca="1" si="43"/>
        <v>0.77697753018278914</v>
      </c>
      <c r="F216" s="6">
        <f t="shared" ca="1" si="44"/>
        <v>32645.552109700617</v>
      </c>
      <c r="G216" s="6">
        <f t="shared" ca="1" si="45"/>
        <v>1819.6899731749691</v>
      </c>
      <c r="V216" s="53"/>
      <c r="W216" s="54"/>
      <c r="X216" s="65" t="s">
        <v>231</v>
      </c>
      <c r="Y216" s="65">
        <f t="shared" ca="1" si="46"/>
        <v>2</v>
      </c>
      <c r="Z216" s="3">
        <f t="shared" ca="1" si="47"/>
        <v>0.76605255605634603</v>
      </c>
      <c r="AA216" s="6">
        <f t="shared" ca="1" si="48"/>
        <v>125103.96419664792</v>
      </c>
      <c r="AB216" s="6">
        <f t="shared" ca="1" si="49"/>
        <v>1301.8396724385298</v>
      </c>
    </row>
    <row r="217" spans="1:28" x14ac:dyDescent="0.3">
      <c r="A217" s="53"/>
      <c r="B217" s="54"/>
      <c r="C217" s="65" t="s">
        <v>231</v>
      </c>
      <c r="D217" s="65">
        <f t="shared" ca="1" si="42"/>
        <v>2</v>
      </c>
      <c r="E217" s="3">
        <f t="shared" ca="1" si="43"/>
        <v>0.50222051644658172</v>
      </c>
      <c r="F217" s="6">
        <f t="shared" ca="1" si="44"/>
        <v>161189.64333464258</v>
      </c>
      <c r="G217" s="6">
        <f t="shared" ca="1" si="45"/>
        <v>890.96990705393341</v>
      </c>
      <c r="V217" s="53"/>
      <c r="W217" s="54"/>
      <c r="X217" s="65" t="s">
        <v>231</v>
      </c>
      <c r="Y217" s="65">
        <f t="shared" ca="1" si="46"/>
        <v>1</v>
      </c>
      <c r="Z217" s="3">
        <f t="shared" ca="1" si="47"/>
        <v>0.27097684454029136</v>
      </c>
      <c r="AA217" s="6">
        <f t="shared" ca="1" si="48"/>
        <v>74216.460503788447</v>
      </c>
      <c r="AB217" s="6">
        <f t="shared" ca="1" si="49"/>
        <v>1041.3923428811609</v>
      </c>
    </row>
    <row r="218" spans="1:28" x14ac:dyDescent="0.3">
      <c r="A218" s="53"/>
      <c r="B218" s="54"/>
      <c r="C218" s="65" t="s">
        <v>231</v>
      </c>
      <c r="D218" s="65">
        <f t="shared" ca="1" si="42"/>
        <v>3</v>
      </c>
      <c r="E218" s="3">
        <f t="shared" ca="1" si="43"/>
        <v>0.23757110512273671</v>
      </c>
      <c r="F218" s="6">
        <f t="shared" ca="1" si="44"/>
        <v>121457.87524581529</v>
      </c>
      <c r="G218" s="6">
        <f t="shared" ca="1" si="45"/>
        <v>441.72931404717053</v>
      </c>
      <c r="V218" s="53"/>
      <c r="W218" s="54"/>
      <c r="X218" s="65" t="s">
        <v>231</v>
      </c>
      <c r="Y218" s="65">
        <f t="shared" ca="1" si="46"/>
        <v>1</v>
      </c>
      <c r="Z218" s="3">
        <f t="shared" ca="1" si="47"/>
        <v>0.51668324931811005</v>
      </c>
      <c r="AA218" s="6">
        <f t="shared" ca="1" si="48"/>
        <v>54205.099271577703</v>
      </c>
      <c r="AB218" s="6">
        <f t="shared" ca="1" si="49"/>
        <v>422.75544964324752</v>
      </c>
    </row>
    <row r="219" spans="1:28" x14ac:dyDescent="0.3">
      <c r="A219" s="53"/>
      <c r="B219" s="54"/>
      <c r="C219" s="65" t="s">
        <v>231</v>
      </c>
      <c r="D219" s="65">
        <f t="shared" ca="1" si="42"/>
        <v>2</v>
      </c>
      <c r="E219" s="3">
        <f t="shared" ca="1" si="43"/>
        <v>0.70524999299821234</v>
      </c>
      <c r="F219" s="6">
        <f t="shared" ca="1" si="44"/>
        <v>85722.450375422195</v>
      </c>
      <c r="G219" s="6">
        <f t="shared" ca="1" si="45"/>
        <v>725.0107650442161</v>
      </c>
      <c r="V219" s="53"/>
      <c r="W219" s="54"/>
      <c r="X219" s="65" t="s">
        <v>231</v>
      </c>
      <c r="Y219" s="65">
        <f t="shared" ca="1" si="46"/>
        <v>3</v>
      </c>
      <c r="Z219" s="3">
        <f t="shared" ca="1" si="47"/>
        <v>0.40466753784242071</v>
      </c>
      <c r="AA219" s="6">
        <f t="shared" ca="1" si="48"/>
        <v>150451.34592936837</v>
      </c>
      <c r="AB219" s="6">
        <f t="shared" ca="1" si="49"/>
        <v>553.77485284666545</v>
      </c>
    </row>
    <row r="220" spans="1:28" x14ac:dyDescent="0.3">
      <c r="A220" s="53"/>
      <c r="B220" s="54"/>
      <c r="C220" s="65" t="s">
        <v>231</v>
      </c>
      <c r="D220" s="65">
        <f t="shared" ca="1" si="42"/>
        <v>2</v>
      </c>
      <c r="E220" s="3">
        <f t="shared" ca="1" si="43"/>
        <v>0.98354074564408078</v>
      </c>
      <c r="F220" s="6">
        <f t="shared" ca="1" si="44"/>
        <v>45728.108642767416</v>
      </c>
      <c r="G220" s="6">
        <f t="shared" ca="1" si="45"/>
        <v>1856.6098593066718</v>
      </c>
      <c r="V220" s="53"/>
      <c r="W220" s="54"/>
      <c r="X220" s="65" t="s">
        <v>231</v>
      </c>
      <c r="Y220" s="65">
        <f t="shared" ca="1" si="46"/>
        <v>2</v>
      </c>
      <c r="Z220" s="3">
        <f t="shared" ca="1" si="47"/>
        <v>0.74299171415731446</v>
      </c>
      <c r="AA220" s="6">
        <f t="shared" ca="1" si="48"/>
        <v>67175.229868487164</v>
      </c>
      <c r="AB220" s="6">
        <f t="shared" ca="1" si="49"/>
        <v>405.97180627382778</v>
      </c>
    </row>
    <row r="221" spans="1:28" x14ac:dyDescent="0.3">
      <c r="A221" s="53"/>
      <c r="B221" s="54"/>
      <c r="C221" s="65" t="s">
        <v>231</v>
      </c>
      <c r="D221" s="65">
        <f t="shared" ca="1" si="42"/>
        <v>2</v>
      </c>
      <c r="E221" s="3">
        <f t="shared" ca="1" si="43"/>
        <v>0.23159369876540614</v>
      </c>
      <c r="F221" s="6">
        <f t="shared" ca="1" si="44"/>
        <v>122138.82660191195</v>
      </c>
      <c r="G221" s="6">
        <f t="shared" ca="1" si="45"/>
        <v>1897.0617510201705</v>
      </c>
      <c r="V221" s="53"/>
      <c r="W221" s="54"/>
      <c r="X221" s="65" t="s">
        <v>231</v>
      </c>
      <c r="Y221" s="65">
        <f t="shared" ca="1" si="46"/>
        <v>2</v>
      </c>
      <c r="Z221" s="3">
        <f t="shared" ca="1" si="47"/>
        <v>3.2705190557243191E-2</v>
      </c>
      <c r="AA221" s="6">
        <f t="shared" ca="1" si="48"/>
        <v>92875.051744298093</v>
      </c>
      <c r="AB221" s="6">
        <f t="shared" ca="1" si="49"/>
        <v>279.49988780345558</v>
      </c>
    </row>
    <row r="222" spans="1:28" x14ac:dyDescent="0.3">
      <c r="A222" s="53"/>
      <c r="B222" s="54"/>
      <c r="C222" s="65" t="s">
        <v>231</v>
      </c>
      <c r="D222" s="65">
        <f t="shared" ca="1" si="42"/>
        <v>4</v>
      </c>
      <c r="E222" s="3">
        <f t="shared" ca="1" si="43"/>
        <v>0.72586928290192987</v>
      </c>
      <c r="F222" s="6">
        <f t="shared" ca="1" si="44"/>
        <v>30251.491829851297</v>
      </c>
      <c r="G222" s="6">
        <f t="shared" ca="1" si="45"/>
        <v>840.33040265178283</v>
      </c>
      <c r="V222" s="53"/>
      <c r="W222" s="54"/>
      <c r="X222" s="65" t="s">
        <v>231</v>
      </c>
      <c r="Y222" s="65">
        <f t="shared" ca="1" si="46"/>
        <v>4</v>
      </c>
      <c r="Z222" s="3">
        <f t="shared" ca="1" si="47"/>
        <v>0.32940146229816225</v>
      </c>
      <c r="AA222" s="6">
        <f t="shared" ca="1" si="48"/>
        <v>57807.807275034807</v>
      </c>
      <c r="AB222" s="6">
        <f t="shared" ca="1" si="49"/>
        <v>1569.0343022237912</v>
      </c>
    </row>
    <row r="223" spans="1:28" x14ac:dyDescent="0.3">
      <c r="A223" s="53"/>
      <c r="B223" s="54"/>
      <c r="C223" s="65" t="s">
        <v>231</v>
      </c>
      <c r="D223" s="65">
        <f t="shared" ca="1" si="42"/>
        <v>3</v>
      </c>
      <c r="E223" s="3">
        <f t="shared" ca="1" si="43"/>
        <v>0.50222084136219081</v>
      </c>
      <c r="F223" s="6">
        <f t="shared" ca="1" si="44"/>
        <v>166365.52902577151</v>
      </c>
      <c r="G223" s="6">
        <f t="shared" ca="1" si="45"/>
        <v>1600.5869167793849</v>
      </c>
      <c r="V223" s="53"/>
      <c r="W223" s="54"/>
      <c r="X223" s="65" t="s">
        <v>231</v>
      </c>
      <c r="Y223" s="65">
        <f t="shared" ca="1" si="46"/>
        <v>2</v>
      </c>
      <c r="Z223" s="3">
        <f t="shared" ca="1" si="47"/>
        <v>0.59479369478330035</v>
      </c>
      <c r="AA223" s="6">
        <f t="shared" ca="1" si="48"/>
        <v>82334.324859140033</v>
      </c>
      <c r="AB223" s="6">
        <f t="shared" ca="1" si="49"/>
        <v>1225.3952010540811</v>
      </c>
    </row>
    <row r="224" spans="1:28" x14ac:dyDescent="0.3">
      <c r="A224" s="53"/>
      <c r="B224" s="54"/>
      <c r="C224" s="65" t="s">
        <v>231</v>
      </c>
      <c r="D224" s="65">
        <f t="shared" ca="1" si="42"/>
        <v>2</v>
      </c>
      <c r="E224" s="3">
        <f t="shared" ca="1" si="43"/>
        <v>0.34688158159418281</v>
      </c>
      <c r="F224" s="6">
        <f t="shared" ca="1" si="44"/>
        <v>72787.497110111741</v>
      </c>
      <c r="G224" s="6">
        <f t="shared" ca="1" si="45"/>
        <v>126.45307934030781</v>
      </c>
      <c r="V224" s="53"/>
      <c r="W224" s="54"/>
      <c r="X224" s="65" t="s">
        <v>231</v>
      </c>
      <c r="Y224" s="65">
        <f t="shared" ca="1" si="46"/>
        <v>3</v>
      </c>
      <c r="Z224" s="3">
        <f t="shared" ca="1" si="47"/>
        <v>0.26898394626833422</v>
      </c>
      <c r="AA224" s="6">
        <f t="shared" ca="1" si="48"/>
        <v>190482.32159309971</v>
      </c>
      <c r="AB224" s="6">
        <f t="shared" ca="1" si="49"/>
        <v>536.80711617443944</v>
      </c>
    </row>
    <row r="225" spans="1:28" x14ac:dyDescent="0.3">
      <c r="A225" s="53"/>
      <c r="B225" s="54"/>
      <c r="C225" s="65" t="s">
        <v>231</v>
      </c>
      <c r="D225" s="65">
        <f t="shared" ca="1" si="42"/>
        <v>4</v>
      </c>
      <c r="E225" s="3">
        <f t="shared" ca="1" si="43"/>
        <v>0.86136536980239076</v>
      </c>
      <c r="F225" s="6">
        <f t="shared" ca="1" si="44"/>
        <v>46455.829128358819</v>
      </c>
      <c r="G225" s="6">
        <f t="shared" ca="1" si="45"/>
        <v>833.31160472920396</v>
      </c>
      <c r="V225" s="53"/>
      <c r="W225" s="54"/>
      <c r="X225" s="65" t="s">
        <v>231</v>
      </c>
      <c r="Y225" s="65">
        <f t="shared" ca="1" si="46"/>
        <v>3</v>
      </c>
      <c r="Z225" s="3">
        <f t="shared" ca="1" si="47"/>
        <v>0.55594190395543941</v>
      </c>
      <c r="AA225" s="6">
        <f t="shared" ca="1" si="48"/>
        <v>199912.37485873044</v>
      </c>
      <c r="AB225" s="6">
        <f t="shared" ca="1" si="49"/>
        <v>1685.4153652940079</v>
      </c>
    </row>
    <row r="226" spans="1:28" x14ac:dyDescent="0.3">
      <c r="A226" s="53"/>
      <c r="B226" s="54"/>
      <c r="C226" s="65" t="s">
        <v>231</v>
      </c>
      <c r="D226" s="65">
        <f t="shared" ca="1" si="42"/>
        <v>3</v>
      </c>
      <c r="E226" s="3">
        <f t="shared" ca="1" si="43"/>
        <v>0.1104248811305254</v>
      </c>
      <c r="F226" s="6">
        <f t="shared" ca="1" si="44"/>
        <v>67546.775950137511</v>
      </c>
      <c r="G226" s="6">
        <f t="shared" ca="1" si="45"/>
        <v>1755.5904105836771</v>
      </c>
      <c r="V226" s="53"/>
      <c r="W226" s="54"/>
      <c r="X226" s="65" t="s">
        <v>231</v>
      </c>
      <c r="Y226" s="65">
        <f t="shared" ca="1" si="46"/>
        <v>2</v>
      </c>
      <c r="Z226" s="3">
        <f t="shared" ca="1" si="47"/>
        <v>0.51756251558411137</v>
      </c>
      <c r="AA226" s="6">
        <f t="shared" ca="1" si="48"/>
        <v>3204.9534948116466</v>
      </c>
      <c r="AB226" s="6">
        <f t="shared" ca="1" si="49"/>
        <v>1569.1836126677044</v>
      </c>
    </row>
    <row r="227" spans="1:28" x14ac:dyDescent="0.3">
      <c r="A227" s="53"/>
      <c r="B227" s="54"/>
      <c r="C227" s="65" t="s">
        <v>231</v>
      </c>
      <c r="D227" s="65">
        <f t="shared" ca="1" si="42"/>
        <v>3</v>
      </c>
      <c r="E227" s="3">
        <f t="shared" ca="1" si="43"/>
        <v>0.45833614965162739</v>
      </c>
      <c r="F227" s="6">
        <f t="shared" ca="1" si="44"/>
        <v>159941.60097431656</v>
      </c>
      <c r="G227" s="6">
        <f t="shared" ca="1" si="45"/>
        <v>677.88740389280827</v>
      </c>
      <c r="V227" s="53"/>
      <c r="W227" s="54"/>
      <c r="X227" s="65" t="s">
        <v>231</v>
      </c>
      <c r="Y227" s="65">
        <f t="shared" ca="1" si="46"/>
        <v>4</v>
      </c>
      <c r="Z227" s="3">
        <f t="shared" ca="1" si="47"/>
        <v>0.74159853949873289</v>
      </c>
      <c r="AA227" s="6">
        <f t="shared" ca="1" si="48"/>
        <v>166536.69107129838</v>
      </c>
      <c r="AB227" s="6">
        <f t="shared" ca="1" si="49"/>
        <v>1972.5157870947144</v>
      </c>
    </row>
    <row r="228" spans="1:28" x14ac:dyDescent="0.3">
      <c r="A228" s="53"/>
      <c r="B228" s="54"/>
      <c r="C228" s="65" t="s">
        <v>231</v>
      </c>
      <c r="D228" s="65">
        <f t="shared" ca="1" si="42"/>
        <v>1</v>
      </c>
      <c r="E228" s="3">
        <f t="shared" ca="1" si="43"/>
        <v>0.95335029537184235</v>
      </c>
      <c r="F228" s="6">
        <f t="shared" ca="1" si="44"/>
        <v>52307.911837986532</v>
      </c>
      <c r="G228" s="6">
        <f t="shared" ca="1" si="45"/>
        <v>1482.5014051801061</v>
      </c>
      <c r="V228" s="53"/>
      <c r="W228" s="54"/>
      <c r="X228" s="65" t="s">
        <v>231</v>
      </c>
      <c r="Y228" s="65">
        <f t="shared" ca="1" si="46"/>
        <v>1</v>
      </c>
      <c r="Z228" s="3">
        <f t="shared" ca="1" si="47"/>
        <v>7.7998850380306961E-2</v>
      </c>
      <c r="AA228" s="6">
        <f t="shared" ca="1" si="48"/>
        <v>157734.13319749586</v>
      </c>
      <c r="AB228" s="6">
        <f t="shared" ca="1" si="49"/>
        <v>25.764572458442771</v>
      </c>
    </row>
    <row r="229" spans="1:28" x14ac:dyDescent="0.3">
      <c r="A229" s="53"/>
      <c r="B229" s="54"/>
      <c r="C229" s="65" t="s">
        <v>231</v>
      </c>
      <c r="D229" s="65">
        <f t="shared" ca="1" si="42"/>
        <v>1</v>
      </c>
      <c r="E229" s="3">
        <f t="shared" ca="1" si="43"/>
        <v>0.8255282597767386</v>
      </c>
      <c r="F229" s="6">
        <f t="shared" ca="1" si="44"/>
        <v>114896.89260910881</v>
      </c>
      <c r="G229" s="6">
        <f t="shared" ca="1" si="45"/>
        <v>981.07362152591122</v>
      </c>
      <c r="V229" s="53"/>
      <c r="W229" s="54"/>
      <c r="X229" s="65" t="s">
        <v>231</v>
      </c>
      <c r="Y229" s="65">
        <f t="shared" ca="1" si="46"/>
        <v>3</v>
      </c>
      <c r="Z229" s="3">
        <f t="shared" ca="1" si="47"/>
        <v>0.69226443515410052</v>
      </c>
      <c r="AA229" s="6">
        <f t="shared" ca="1" si="48"/>
        <v>199196.40086241649</v>
      </c>
      <c r="AB229" s="6">
        <f t="shared" ca="1" si="49"/>
        <v>1924.6214420992856</v>
      </c>
    </row>
    <row r="230" spans="1:28" x14ac:dyDescent="0.3">
      <c r="A230" s="53"/>
      <c r="B230" s="54"/>
      <c r="C230" s="65" t="s">
        <v>231</v>
      </c>
      <c r="D230" s="65">
        <f t="shared" ca="1" si="42"/>
        <v>1</v>
      </c>
      <c r="E230" s="3">
        <f t="shared" ca="1" si="43"/>
        <v>0.7034485457785995</v>
      </c>
      <c r="F230" s="6">
        <f t="shared" ca="1" si="44"/>
        <v>56774.956093480425</v>
      </c>
      <c r="G230" s="6">
        <f t="shared" ca="1" si="45"/>
        <v>670.48423138834062</v>
      </c>
      <c r="V230" s="53"/>
      <c r="W230" s="54"/>
      <c r="X230" s="65" t="s">
        <v>231</v>
      </c>
      <c r="Y230" s="65">
        <f t="shared" ca="1" si="46"/>
        <v>4</v>
      </c>
      <c r="Z230" s="3">
        <f t="shared" ca="1" si="47"/>
        <v>0.39590306035342682</v>
      </c>
      <c r="AA230" s="6">
        <f t="shared" ca="1" si="48"/>
        <v>49433.586040732473</v>
      </c>
      <c r="AB230" s="6">
        <f t="shared" ca="1" si="49"/>
        <v>1790.1239900075122</v>
      </c>
    </row>
    <row r="231" spans="1:28" x14ac:dyDescent="0.3">
      <c r="A231" s="53"/>
      <c r="B231" s="54"/>
      <c r="C231" s="65" t="s">
        <v>231</v>
      </c>
      <c r="D231" s="65">
        <f t="shared" ca="1" si="42"/>
        <v>2</v>
      </c>
      <c r="E231" s="3">
        <f t="shared" ca="1" si="43"/>
        <v>0.42945174893118698</v>
      </c>
      <c r="F231" s="6">
        <f t="shared" ca="1" si="44"/>
        <v>76879.225998911308</v>
      </c>
      <c r="G231" s="6">
        <f t="shared" ca="1" si="45"/>
        <v>1396.3215076101774</v>
      </c>
      <c r="V231" s="53"/>
      <c r="W231" s="54"/>
      <c r="X231" s="65" t="s">
        <v>231</v>
      </c>
      <c r="Y231" s="65">
        <f t="shared" ca="1" si="46"/>
        <v>3</v>
      </c>
      <c r="Z231" s="3">
        <f t="shared" ca="1" si="47"/>
        <v>0.4698609224468665</v>
      </c>
      <c r="AA231" s="6">
        <f t="shared" ca="1" si="48"/>
        <v>13575.440760446789</v>
      </c>
      <c r="AB231" s="6">
        <f t="shared" ca="1" si="49"/>
        <v>1317.6393933928493</v>
      </c>
    </row>
    <row r="232" spans="1:28" x14ac:dyDescent="0.3">
      <c r="A232" s="53"/>
      <c r="B232" s="54"/>
      <c r="C232" s="65" t="s">
        <v>231</v>
      </c>
      <c r="D232" s="65">
        <f t="shared" ca="1" si="42"/>
        <v>4</v>
      </c>
      <c r="E232" s="3">
        <f t="shared" ca="1" si="43"/>
        <v>0.99297332173472297</v>
      </c>
      <c r="F232" s="6">
        <f t="shared" ca="1" si="44"/>
        <v>195977.52276871484</v>
      </c>
      <c r="G232" s="6">
        <f t="shared" ca="1" si="45"/>
        <v>768.04567295913898</v>
      </c>
      <c r="V232" s="53"/>
      <c r="W232" s="54"/>
      <c r="X232" s="65" t="s">
        <v>231</v>
      </c>
      <c r="Y232" s="65">
        <f t="shared" ca="1" si="46"/>
        <v>2</v>
      </c>
      <c r="Z232" s="3">
        <f t="shared" ca="1" si="47"/>
        <v>9.7294062732139919E-2</v>
      </c>
      <c r="AA232" s="6">
        <f t="shared" ca="1" si="48"/>
        <v>57865.8355182206</v>
      </c>
      <c r="AB232" s="6">
        <f t="shared" ca="1" si="49"/>
        <v>794.06452584395913</v>
      </c>
    </row>
    <row r="233" spans="1:28" x14ac:dyDescent="0.3">
      <c r="A233" s="53"/>
      <c r="B233" s="54"/>
      <c r="C233" s="65" t="s">
        <v>231</v>
      </c>
      <c r="D233" s="65">
        <f t="shared" ca="1" si="42"/>
        <v>2</v>
      </c>
      <c r="E233" s="3">
        <f t="shared" ca="1" si="43"/>
        <v>0.13225709437809363</v>
      </c>
      <c r="F233" s="6">
        <f t="shared" ca="1" si="44"/>
        <v>69414.758804238198</v>
      </c>
      <c r="G233" s="6">
        <f t="shared" ca="1" si="45"/>
        <v>1692.0999615651119</v>
      </c>
      <c r="V233" s="53"/>
      <c r="W233" s="54"/>
      <c r="X233" s="65" t="s">
        <v>231</v>
      </c>
      <c r="Y233" s="65">
        <f t="shared" ca="1" si="46"/>
        <v>4</v>
      </c>
      <c r="Z233" s="3">
        <f t="shared" ca="1" si="47"/>
        <v>0.64070761875623428</v>
      </c>
      <c r="AA233" s="6">
        <f t="shared" ca="1" si="48"/>
        <v>94359.140192828447</v>
      </c>
      <c r="AB233" s="6">
        <f t="shared" ca="1" si="49"/>
        <v>1396.6213100687389</v>
      </c>
    </row>
    <row r="234" spans="1:28" x14ac:dyDescent="0.3">
      <c r="A234" s="53"/>
      <c r="B234" s="54"/>
      <c r="C234" s="65" t="s">
        <v>231</v>
      </c>
      <c r="D234" s="65">
        <f t="shared" ca="1" si="42"/>
        <v>1</v>
      </c>
      <c r="E234" s="3">
        <f t="shared" ca="1" si="43"/>
        <v>0.31775104738032067</v>
      </c>
      <c r="F234" s="6">
        <f t="shared" ca="1" si="44"/>
        <v>60704.947818692111</v>
      </c>
      <c r="G234" s="6">
        <f t="shared" ca="1" si="45"/>
        <v>226.69779148019421</v>
      </c>
      <c r="V234" s="53"/>
      <c r="W234" s="54"/>
      <c r="X234" s="65" t="s">
        <v>231</v>
      </c>
      <c r="Y234" s="65">
        <f t="shared" ca="1" si="46"/>
        <v>1</v>
      </c>
      <c r="Z234" s="3">
        <f t="shared" ca="1" si="47"/>
        <v>5.0200943083427929E-2</v>
      </c>
      <c r="AA234" s="6">
        <f t="shared" ca="1" si="48"/>
        <v>23025.97436709606</v>
      </c>
      <c r="AB234" s="6">
        <f t="shared" ca="1" si="49"/>
        <v>1580.5089033777363</v>
      </c>
    </row>
    <row r="235" spans="1:28" x14ac:dyDescent="0.3">
      <c r="A235" s="53"/>
      <c r="B235" s="54"/>
      <c r="C235" s="65" t="s">
        <v>231</v>
      </c>
      <c r="D235" s="65">
        <f t="shared" ca="1" si="42"/>
        <v>2</v>
      </c>
      <c r="E235" s="3">
        <f t="shared" ca="1" si="43"/>
        <v>0.19122303449346612</v>
      </c>
      <c r="F235" s="6">
        <f t="shared" ca="1" si="44"/>
        <v>107349.9660155481</v>
      </c>
      <c r="G235" s="6">
        <f t="shared" ca="1" si="45"/>
        <v>308.27479479757415</v>
      </c>
      <c r="V235" s="53"/>
      <c r="W235" s="54"/>
      <c r="X235" s="65" t="s">
        <v>231</v>
      </c>
      <c r="Y235" s="65">
        <f t="shared" ca="1" si="46"/>
        <v>2</v>
      </c>
      <c r="Z235" s="3">
        <f t="shared" ca="1" si="47"/>
        <v>0.6729281609116966</v>
      </c>
      <c r="AA235" s="6">
        <f t="shared" ca="1" si="48"/>
        <v>29588.713779776121</v>
      </c>
      <c r="AB235" s="6">
        <f t="shared" ca="1" si="49"/>
        <v>49.288870942361783</v>
      </c>
    </row>
    <row r="236" spans="1:28" x14ac:dyDescent="0.3">
      <c r="A236" s="53"/>
      <c r="B236" s="54"/>
      <c r="C236" s="65" t="s">
        <v>231</v>
      </c>
      <c r="D236" s="65">
        <f t="shared" ca="1" si="42"/>
        <v>4</v>
      </c>
      <c r="E236" s="3">
        <f t="shared" ca="1" si="43"/>
        <v>0.720722131004496</v>
      </c>
      <c r="F236" s="6">
        <f t="shared" ca="1" si="44"/>
        <v>114727.98220122185</v>
      </c>
      <c r="G236" s="6">
        <f t="shared" ca="1" si="45"/>
        <v>1530.3299739222894</v>
      </c>
      <c r="V236" s="53"/>
      <c r="W236" s="54"/>
      <c r="X236" s="65" t="s">
        <v>231</v>
      </c>
      <c r="Y236" s="65">
        <f t="shared" ca="1" si="46"/>
        <v>2</v>
      </c>
      <c r="Z236" s="3">
        <f t="shared" ca="1" si="47"/>
        <v>2.0398766038435268E-3</v>
      </c>
      <c r="AA236" s="6">
        <f t="shared" ca="1" si="48"/>
        <v>173407.88712497504</v>
      </c>
      <c r="AB236" s="6">
        <f t="shared" ca="1" si="49"/>
        <v>1278.6824845620977</v>
      </c>
    </row>
    <row r="237" spans="1:28" x14ac:dyDescent="0.3">
      <c r="A237" s="53"/>
      <c r="B237" s="54"/>
      <c r="C237" s="65" t="s">
        <v>231</v>
      </c>
      <c r="D237" s="65">
        <f t="shared" ca="1" si="42"/>
        <v>3</v>
      </c>
      <c r="E237" s="3">
        <f t="shared" ca="1" si="43"/>
        <v>0.87161250490139353</v>
      </c>
      <c r="F237" s="6">
        <f t="shared" ca="1" si="44"/>
        <v>183975.07134959786</v>
      </c>
      <c r="G237" s="6">
        <f t="shared" ca="1" si="45"/>
        <v>336.75778150250181</v>
      </c>
      <c r="V237" s="53"/>
      <c r="W237" s="54"/>
      <c r="X237" s="65" t="s">
        <v>231</v>
      </c>
      <c r="Y237" s="65">
        <f t="shared" ca="1" si="46"/>
        <v>1</v>
      </c>
      <c r="Z237" s="3">
        <f t="shared" ca="1" si="47"/>
        <v>6.1445362221871247E-2</v>
      </c>
      <c r="AA237" s="6">
        <f t="shared" ca="1" si="48"/>
        <v>89372.825875825554</v>
      </c>
      <c r="AB237" s="6">
        <f t="shared" ca="1" si="49"/>
        <v>346.32232718850787</v>
      </c>
    </row>
    <row r="238" spans="1:28" x14ac:dyDescent="0.3">
      <c r="A238" s="53"/>
      <c r="B238" s="54"/>
      <c r="C238" s="65" t="s">
        <v>231</v>
      </c>
      <c r="D238" s="65">
        <f t="shared" ca="1" si="42"/>
        <v>4</v>
      </c>
      <c r="E238" s="3">
        <f t="shared" ca="1" si="43"/>
        <v>0.36364118630071718</v>
      </c>
      <c r="F238" s="6">
        <f t="shared" ca="1" si="44"/>
        <v>48838.717314537724</v>
      </c>
      <c r="G238" s="6">
        <f t="shared" ca="1" si="45"/>
        <v>1012.0178894480498</v>
      </c>
      <c r="V238" s="53"/>
      <c r="W238" s="54"/>
      <c r="X238" s="65" t="s">
        <v>231</v>
      </c>
      <c r="Y238" s="65">
        <f t="shared" ca="1" si="46"/>
        <v>1</v>
      </c>
      <c r="Z238" s="3">
        <f t="shared" ca="1" si="47"/>
        <v>0.78784505157359719</v>
      </c>
      <c r="AA238" s="6">
        <f t="shared" ca="1" si="48"/>
        <v>158796.19580645821</v>
      </c>
      <c r="AB238" s="6">
        <f t="shared" ca="1" si="49"/>
        <v>66.472730144560231</v>
      </c>
    </row>
    <row r="239" spans="1:28" x14ac:dyDescent="0.3">
      <c r="A239" s="53"/>
      <c r="B239" s="54"/>
      <c r="C239" s="65" t="s">
        <v>231</v>
      </c>
      <c r="D239" s="65">
        <f t="shared" ca="1" si="42"/>
        <v>1</v>
      </c>
      <c r="E239" s="3">
        <f t="shared" ca="1" si="43"/>
        <v>0.4102236745372525</v>
      </c>
      <c r="F239" s="6">
        <f t="shared" ca="1" si="44"/>
        <v>150180.57250061835</v>
      </c>
      <c r="G239" s="6">
        <f t="shared" ca="1" si="45"/>
        <v>692.58522726090189</v>
      </c>
      <c r="V239" s="53"/>
      <c r="W239" s="54"/>
      <c r="X239" s="65" t="s">
        <v>231</v>
      </c>
      <c r="Y239" s="65">
        <f t="shared" ca="1" si="46"/>
        <v>4</v>
      </c>
      <c r="Z239" s="3">
        <f t="shared" ca="1" si="47"/>
        <v>0.49913031232063998</v>
      </c>
      <c r="AA239" s="6">
        <f t="shared" ca="1" si="48"/>
        <v>66512.941507342286</v>
      </c>
      <c r="AB239" s="6">
        <f t="shared" ca="1" si="49"/>
        <v>867.62353180939783</v>
      </c>
    </row>
    <row r="240" spans="1:28" x14ac:dyDescent="0.3">
      <c r="A240" s="53"/>
      <c r="B240" s="54"/>
      <c r="C240" s="65" t="s">
        <v>231</v>
      </c>
      <c r="D240" s="65">
        <f t="shared" ca="1" si="42"/>
        <v>2</v>
      </c>
      <c r="E240" s="3">
        <f t="shared" ca="1" si="43"/>
        <v>6.2115591823633798E-2</v>
      </c>
      <c r="F240" s="6">
        <f t="shared" ca="1" si="44"/>
        <v>192121.38812890326</v>
      </c>
      <c r="G240" s="6">
        <f t="shared" ca="1" si="45"/>
        <v>385.73188777305512</v>
      </c>
      <c r="V240" s="53"/>
      <c r="W240" s="54"/>
      <c r="X240" s="65" t="s">
        <v>231</v>
      </c>
      <c r="Y240" s="65">
        <f t="shared" ca="1" si="46"/>
        <v>1</v>
      </c>
      <c r="Z240" s="3">
        <f t="shared" ca="1" si="47"/>
        <v>0.6958514716674955</v>
      </c>
      <c r="AA240" s="6">
        <f t="shared" ca="1" si="48"/>
        <v>81147.744130177714</v>
      </c>
      <c r="AB240" s="6">
        <f t="shared" ca="1" si="49"/>
        <v>1660.7621610627582</v>
      </c>
    </row>
    <row r="241" spans="1:28" x14ac:dyDescent="0.3">
      <c r="A241" s="53"/>
      <c r="B241" s="54"/>
      <c r="C241" s="65" t="s">
        <v>242</v>
      </c>
      <c r="D241" s="65">
        <f t="shared" ca="1" si="42"/>
        <v>4</v>
      </c>
      <c r="E241" s="3">
        <f t="shared" ca="1" si="43"/>
        <v>0.93346700528091642</v>
      </c>
      <c r="F241" s="6">
        <f t="shared" ca="1" si="44"/>
        <v>16836.491203432026</v>
      </c>
      <c r="G241" s="6">
        <f t="shared" ca="1" si="45"/>
        <v>681.88843658091173</v>
      </c>
      <c r="V241" s="53"/>
      <c r="W241" s="54"/>
      <c r="X241" s="65" t="s">
        <v>242</v>
      </c>
      <c r="Y241" s="65">
        <f t="shared" ca="1" si="46"/>
        <v>3</v>
      </c>
      <c r="Z241" s="3">
        <f t="shared" ca="1" si="47"/>
        <v>0.49268831611573982</v>
      </c>
      <c r="AA241" s="6">
        <f t="shared" ca="1" si="48"/>
        <v>56208.644167306178</v>
      </c>
      <c r="AB241" s="6">
        <f t="shared" ca="1" si="49"/>
        <v>1500.3492590603239</v>
      </c>
    </row>
    <row r="242" spans="1:28" x14ac:dyDescent="0.3">
      <c r="A242" s="53"/>
      <c r="B242" s="54"/>
      <c r="C242" s="65" t="s">
        <v>242</v>
      </c>
      <c r="D242" s="65">
        <f t="shared" ca="1" si="42"/>
        <v>2</v>
      </c>
      <c r="E242" s="3">
        <f t="shared" ca="1" si="43"/>
        <v>0.87643839500423815</v>
      </c>
      <c r="F242" s="6">
        <f t="shared" ca="1" si="44"/>
        <v>197266.84230555731</v>
      </c>
      <c r="G242" s="6">
        <f t="shared" ca="1" si="45"/>
        <v>1227.9860396878116</v>
      </c>
      <c r="V242" s="53"/>
      <c r="W242" s="54"/>
      <c r="X242" s="65" t="s">
        <v>242</v>
      </c>
      <c r="Y242" s="65">
        <f t="shared" ca="1" si="46"/>
        <v>2</v>
      </c>
      <c r="Z242" s="3">
        <f t="shared" ca="1" si="47"/>
        <v>0.72663319622220002</v>
      </c>
      <c r="AA242" s="6">
        <f t="shared" ca="1" si="48"/>
        <v>63654.665065953719</v>
      </c>
      <c r="AB242" s="6">
        <f t="shared" ca="1" si="49"/>
        <v>927.6338020670039</v>
      </c>
    </row>
    <row r="243" spans="1:28" x14ac:dyDescent="0.3">
      <c r="A243" s="53"/>
      <c r="B243" s="54"/>
      <c r="C243" s="65" t="s">
        <v>242</v>
      </c>
      <c r="D243" s="65">
        <f t="shared" ca="1" si="42"/>
        <v>3</v>
      </c>
      <c r="E243" s="3">
        <f t="shared" ca="1" si="43"/>
        <v>0.71930932180034468</v>
      </c>
      <c r="F243" s="6">
        <f t="shared" ca="1" si="44"/>
        <v>178064.66435601574</v>
      </c>
      <c r="G243" s="6">
        <f t="shared" ca="1" si="45"/>
        <v>1154.0131677270674</v>
      </c>
      <c r="V243" s="53"/>
      <c r="W243" s="54"/>
      <c r="X243" s="65" t="s">
        <v>242</v>
      </c>
      <c r="Y243" s="65">
        <f t="shared" ca="1" si="46"/>
        <v>1</v>
      </c>
      <c r="Z243" s="3">
        <f t="shared" ca="1" si="47"/>
        <v>0.24190914186757084</v>
      </c>
      <c r="AA243" s="6">
        <f t="shared" ca="1" si="48"/>
        <v>195936.97216041802</v>
      </c>
      <c r="AB243" s="6">
        <f t="shared" ca="1" si="49"/>
        <v>1686.3304698124007</v>
      </c>
    </row>
    <row r="244" spans="1:28" x14ac:dyDescent="0.3">
      <c r="A244" s="53"/>
      <c r="B244" s="54"/>
      <c r="C244" s="65" t="s">
        <v>242</v>
      </c>
      <c r="D244" s="65">
        <f t="shared" ca="1" si="42"/>
        <v>1</v>
      </c>
      <c r="E244" s="3">
        <f t="shared" ca="1" si="43"/>
        <v>0.8173643790806383</v>
      </c>
      <c r="F244" s="6">
        <f t="shared" ca="1" si="44"/>
        <v>83023.669946265625</v>
      </c>
      <c r="G244" s="6">
        <f t="shared" ca="1" si="45"/>
        <v>1381.913811182249</v>
      </c>
      <c r="V244" s="53"/>
      <c r="W244" s="54"/>
      <c r="X244" s="65" t="s">
        <v>242</v>
      </c>
      <c r="Y244" s="65">
        <f t="shared" ca="1" si="46"/>
        <v>4</v>
      </c>
      <c r="Z244" s="3">
        <f t="shared" ca="1" si="47"/>
        <v>0.23069208357060045</v>
      </c>
      <c r="AA244" s="6">
        <f t="shared" ca="1" si="48"/>
        <v>90231.28032176198</v>
      </c>
      <c r="AB244" s="6">
        <f t="shared" ca="1" si="49"/>
        <v>1011.4428473045868</v>
      </c>
    </row>
    <row r="245" spans="1:28" x14ac:dyDescent="0.3">
      <c r="A245" s="53"/>
      <c r="B245" s="54"/>
      <c r="C245" s="65" t="s">
        <v>242</v>
      </c>
      <c r="D245" s="65">
        <f t="shared" ca="1" si="42"/>
        <v>1</v>
      </c>
      <c r="E245" s="3">
        <f t="shared" ca="1" si="43"/>
        <v>0.52729532409652247</v>
      </c>
      <c r="F245" s="6">
        <f t="shared" ca="1" si="44"/>
        <v>34937.752523686693</v>
      </c>
      <c r="G245" s="6">
        <f t="shared" ca="1" si="45"/>
        <v>939.58480030428746</v>
      </c>
      <c r="V245" s="53"/>
      <c r="W245" s="54"/>
      <c r="X245" s="65" t="s">
        <v>242</v>
      </c>
      <c r="Y245" s="65">
        <f t="shared" ca="1" si="46"/>
        <v>2</v>
      </c>
      <c r="Z245" s="3">
        <f t="shared" ca="1" si="47"/>
        <v>0.31592047573046367</v>
      </c>
      <c r="AA245" s="6">
        <f t="shared" ca="1" si="48"/>
        <v>184092.72191555894</v>
      </c>
      <c r="AB245" s="6">
        <f t="shared" ca="1" si="49"/>
        <v>899.06588646143155</v>
      </c>
    </row>
    <row r="246" spans="1:28" x14ac:dyDescent="0.3">
      <c r="A246" s="53"/>
      <c r="B246" s="54"/>
      <c r="C246" s="65" t="s">
        <v>242</v>
      </c>
      <c r="D246" s="65">
        <f t="shared" ca="1" si="42"/>
        <v>4</v>
      </c>
      <c r="E246" s="3">
        <f t="shared" ca="1" si="43"/>
        <v>0.64296582983727157</v>
      </c>
      <c r="F246" s="6">
        <f t="shared" ca="1" si="44"/>
        <v>16744.257052459565</v>
      </c>
      <c r="G246" s="6">
        <f t="shared" ca="1" si="45"/>
        <v>955.33043980189177</v>
      </c>
      <c r="V246" s="53"/>
      <c r="W246" s="54"/>
      <c r="X246" s="65" t="s">
        <v>242</v>
      </c>
      <c r="Y246" s="65">
        <f t="shared" ca="1" si="46"/>
        <v>4</v>
      </c>
      <c r="Z246" s="3">
        <f t="shared" ca="1" si="47"/>
        <v>0.65310346614424442</v>
      </c>
      <c r="AA246" s="6">
        <f t="shared" ca="1" si="48"/>
        <v>198459.50541226269</v>
      </c>
      <c r="AB246" s="6">
        <f t="shared" ca="1" si="49"/>
        <v>1578.8867620919179</v>
      </c>
    </row>
    <row r="247" spans="1:28" x14ac:dyDescent="0.3">
      <c r="A247" s="53"/>
      <c r="B247" s="54"/>
      <c r="C247" s="65" t="s">
        <v>242</v>
      </c>
      <c r="D247" s="65">
        <f t="shared" ca="1" si="42"/>
        <v>1</v>
      </c>
      <c r="E247" s="3">
        <f t="shared" ca="1" si="43"/>
        <v>0.18055501403364216</v>
      </c>
      <c r="F247" s="6">
        <f t="shared" ca="1" si="44"/>
        <v>83436.792264394709</v>
      </c>
      <c r="G247" s="6">
        <f t="shared" ca="1" si="45"/>
        <v>659.78015417697918</v>
      </c>
      <c r="V247" s="53"/>
      <c r="W247" s="54"/>
      <c r="X247" s="65" t="s">
        <v>242</v>
      </c>
      <c r="Y247" s="65">
        <f t="shared" ca="1" si="46"/>
        <v>2</v>
      </c>
      <c r="Z247" s="3">
        <f t="shared" ca="1" si="47"/>
        <v>0.37649928155798507</v>
      </c>
      <c r="AA247" s="6">
        <f t="shared" ca="1" si="48"/>
        <v>105954.10366260586</v>
      </c>
      <c r="AB247" s="6">
        <f t="shared" ca="1" si="49"/>
        <v>1909.6520986433279</v>
      </c>
    </row>
    <row r="248" spans="1:28" x14ac:dyDescent="0.3">
      <c r="A248" s="53"/>
      <c r="B248" s="54"/>
      <c r="C248" s="65" t="s">
        <v>242</v>
      </c>
      <c r="D248" s="65">
        <f t="shared" ca="1" si="42"/>
        <v>4</v>
      </c>
      <c r="E248" s="3">
        <f t="shared" ca="1" si="43"/>
        <v>0.45313103482105899</v>
      </c>
      <c r="F248" s="6">
        <f t="shared" ca="1" si="44"/>
        <v>166301.50630073962</v>
      </c>
      <c r="G248" s="6">
        <f t="shared" ca="1" si="45"/>
        <v>931.07037987722356</v>
      </c>
      <c r="V248" s="53"/>
      <c r="W248" s="54"/>
      <c r="X248" s="65" t="s">
        <v>242</v>
      </c>
      <c r="Y248" s="65">
        <f t="shared" ca="1" si="46"/>
        <v>1</v>
      </c>
      <c r="Z248" s="3">
        <f t="shared" ca="1" si="47"/>
        <v>0.57789321538939187</v>
      </c>
      <c r="AA248" s="6">
        <f t="shared" ca="1" si="48"/>
        <v>177150.99700789104</v>
      </c>
      <c r="AB248" s="6">
        <f t="shared" ca="1" si="49"/>
        <v>1401.3450571168332</v>
      </c>
    </row>
    <row r="249" spans="1:28" x14ac:dyDescent="0.3">
      <c r="A249" s="53"/>
      <c r="B249" s="54"/>
      <c r="C249" s="65" t="s">
        <v>242</v>
      </c>
      <c r="D249" s="65">
        <f t="shared" ca="1" si="42"/>
        <v>2</v>
      </c>
      <c r="E249" s="3">
        <f t="shared" ca="1" si="43"/>
        <v>0.88381678911586514</v>
      </c>
      <c r="F249" s="6">
        <f t="shared" ca="1" si="44"/>
        <v>148739.86604912084</v>
      </c>
      <c r="G249" s="6">
        <f t="shared" ca="1" si="45"/>
        <v>147.12519177378704</v>
      </c>
      <c r="V249" s="53"/>
      <c r="W249" s="54"/>
      <c r="X249" s="65" t="s">
        <v>242</v>
      </c>
      <c r="Y249" s="65">
        <f t="shared" ca="1" si="46"/>
        <v>3</v>
      </c>
      <c r="Z249" s="3">
        <f t="shared" ca="1" si="47"/>
        <v>1.0246529175212626E-2</v>
      </c>
      <c r="AA249" s="6">
        <f t="shared" ca="1" si="48"/>
        <v>146936.59374235239</v>
      </c>
      <c r="AB249" s="6">
        <f t="shared" ca="1" si="49"/>
        <v>941.55704297805642</v>
      </c>
    </row>
    <row r="250" spans="1:28" x14ac:dyDescent="0.3">
      <c r="A250" s="53"/>
      <c r="B250" s="54"/>
      <c r="C250" s="65" t="s">
        <v>242</v>
      </c>
      <c r="D250" s="65">
        <f t="shared" ca="1" si="42"/>
        <v>1</v>
      </c>
      <c r="E250" s="3">
        <f t="shared" ca="1" si="43"/>
        <v>0.4258592128790476</v>
      </c>
      <c r="F250" s="6">
        <f t="shared" ca="1" si="44"/>
        <v>23483.823231949464</v>
      </c>
      <c r="G250" s="6">
        <f t="shared" ca="1" si="45"/>
        <v>318.25390338969805</v>
      </c>
      <c r="V250" s="53"/>
      <c r="W250" s="54"/>
      <c r="X250" s="65" t="s">
        <v>242</v>
      </c>
      <c r="Y250" s="65">
        <f t="shared" ca="1" si="46"/>
        <v>2</v>
      </c>
      <c r="Z250" s="3">
        <f t="shared" ca="1" si="47"/>
        <v>0.97168198749518597</v>
      </c>
      <c r="AA250" s="6">
        <f t="shared" ca="1" si="48"/>
        <v>18446.009837252088</v>
      </c>
      <c r="AB250" s="6">
        <f t="shared" ca="1" si="49"/>
        <v>644.83655535626986</v>
      </c>
    </row>
    <row r="251" spans="1:28" x14ac:dyDescent="0.3">
      <c r="A251" s="53"/>
      <c r="B251" s="54"/>
      <c r="C251" s="65" t="s">
        <v>242</v>
      </c>
      <c r="D251" s="65">
        <f t="shared" ca="1" si="42"/>
        <v>4</v>
      </c>
      <c r="E251" s="3">
        <f t="shared" ca="1" si="43"/>
        <v>0.97520194658112469</v>
      </c>
      <c r="F251" s="6">
        <f t="shared" ca="1" si="44"/>
        <v>141443.08020346001</v>
      </c>
      <c r="G251" s="6">
        <f t="shared" ca="1" si="45"/>
        <v>1960.891737241272</v>
      </c>
      <c r="V251" s="53"/>
      <c r="W251" s="54"/>
      <c r="X251" s="65" t="s">
        <v>242</v>
      </c>
      <c r="Y251" s="65">
        <f t="shared" ca="1" si="46"/>
        <v>1</v>
      </c>
      <c r="Z251" s="3">
        <f t="shared" ca="1" si="47"/>
        <v>0.37664302100459301</v>
      </c>
      <c r="AA251" s="6">
        <f t="shared" ca="1" si="48"/>
        <v>110062.65037795457</v>
      </c>
      <c r="AB251" s="6">
        <f t="shared" ca="1" si="49"/>
        <v>171.73064588340404</v>
      </c>
    </row>
    <row r="252" spans="1:28" x14ac:dyDescent="0.3">
      <c r="A252" s="53"/>
      <c r="B252" s="54"/>
      <c r="C252" s="65" t="s">
        <v>242</v>
      </c>
      <c r="D252" s="65">
        <f t="shared" ca="1" si="42"/>
        <v>4</v>
      </c>
      <c r="E252" s="3">
        <f t="shared" ca="1" si="43"/>
        <v>0.94127749203159128</v>
      </c>
      <c r="F252" s="6">
        <f t="shared" ca="1" si="44"/>
        <v>114797.13558409794</v>
      </c>
      <c r="G252" s="6">
        <f t="shared" ca="1" si="45"/>
        <v>483.52028736284524</v>
      </c>
      <c r="V252" s="53"/>
      <c r="W252" s="54"/>
      <c r="X252" s="65" t="s">
        <v>242</v>
      </c>
      <c r="Y252" s="65">
        <f t="shared" ca="1" si="46"/>
        <v>1</v>
      </c>
      <c r="Z252" s="3">
        <f t="shared" ca="1" si="47"/>
        <v>5.9264338212139611E-2</v>
      </c>
      <c r="AA252" s="6">
        <f t="shared" ca="1" si="48"/>
        <v>164.03001188616261</v>
      </c>
      <c r="AB252" s="6">
        <f t="shared" ca="1" si="49"/>
        <v>142.11868332437393</v>
      </c>
    </row>
    <row r="253" spans="1:28" x14ac:dyDescent="0.3">
      <c r="A253" s="53"/>
      <c r="B253" s="54"/>
      <c r="C253" s="65" t="s">
        <v>242</v>
      </c>
      <c r="D253" s="65">
        <f t="shared" ca="1" si="42"/>
        <v>2</v>
      </c>
      <c r="E253" s="3">
        <f t="shared" ca="1" si="43"/>
        <v>0.26659140500780565</v>
      </c>
      <c r="F253" s="6">
        <f t="shared" ca="1" si="44"/>
        <v>42875.879533722735</v>
      </c>
      <c r="G253" s="6">
        <f t="shared" ca="1" si="45"/>
        <v>1502.5354261346347</v>
      </c>
      <c r="V253" s="53"/>
      <c r="W253" s="54"/>
      <c r="X253" s="65" t="s">
        <v>242</v>
      </c>
      <c r="Y253" s="65">
        <f t="shared" ca="1" si="46"/>
        <v>3</v>
      </c>
      <c r="Z253" s="3">
        <f t="shared" ca="1" si="47"/>
        <v>0.27837947602027513</v>
      </c>
      <c r="AA253" s="6">
        <f t="shared" ca="1" si="48"/>
        <v>98115.984313018693</v>
      </c>
      <c r="AB253" s="6">
        <f t="shared" ca="1" si="49"/>
        <v>1716.1746416930625</v>
      </c>
    </row>
    <row r="254" spans="1:28" x14ac:dyDescent="0.3">
      <c r="A254" s="53"/>
      <c r="B254" s="54"/>
      <c r="C254" s="65" t="s">
        <v>242</v>
      </c>
      <c r="D254" s="65">
        <f t="shared" ca="1" si="42"/>
        <v>3</v>
      </c>
      <c r="E254" s="3">
        <f t="shared" ca="1" si="43"/>
        <v>0.64586208153661562</v>
      </c>
      <c r="F254" s="6">
        <f t="shared" ca="1" si="44"/>
        <v>186920.25322259893</v>
      </c>
      <c r="G254" s="6">
        <f t="shared" ca="1" si="45"/>
        <v>1769.4247794288469</v>
      </c>
      <c r="V254" s="53"/>
      <c r="W254" s="54"/>
      <c r="X254" s="65" t="s">
        <v>242</v>
      </c>
      <c r="Y254" s="65">
        <f t="shared" ca="1" si="46"/>
        <v>2</v>
      </c>
      <c r="Z254" s="3">
        <f t="shared" ca="1" si="47"/>
        <v>0.83148802850109649</v>
      </c>
      <c r="AA254" s="6">
        <f t="shared" ca="1" si="48"/>
        <v>93715.58316090818</v>
      </c>
      <c r="AB254" s="6">
        <f t="shared" ca="1" si="49"/>
        <v>1311.2078208577491</v>
      </c>
    </row>
    <row r="255" spans="1:28" x14ac:dyDescent="0.3">
      <c r="A255" s="53"/>
      <c r="B255" s="54"/>
      <c r="C255" s="65" t="s">
        <v>242</v>
      </c>
      <c r="D255" s="65">
        <f t="shared" ca="1" si="42"/>
        <v>2</v>
      </c>
      <c r="E255" s="3">
        <f t="shared" ca="1" si="43"/>
        <v>0.29990064956582685</v>
      </c>
      <c r="F255" s="6">
        <f t="shared" ca="1" si="44"/>
        <v>52283.201609989912</v>
      </c>
      <c r="G255" s="6">
        <f t="shared" ca="1" si="45"/>
        <v>1524.8416427936299</v>
      </c>
      <c r="V255" s="53"/>
      <c r="W255" s="54"/>
      <c r="X255" s="65" t="s">
        <v>242</v>
      </c>
      <c r="Y255" s="65">
        <f t="shared" ca="1" si="46"/>
        <v>2</v>
      </c>
      <c r="Z255" s="3">
        <f t="shared" ca="1" si="47"/>
        <v>0.15617270511181414</v>
      </c>
      <c r="AA255" s="6">
        <f t="shared" ca="1" si="48"/>
        <v>45644.021336573926</v>
      </c>
      <c r="AB255" s="6">
        <f t="shared" ca="1" si="49"/>
        <v>1772.9618311492852</v>
      </c>
    </row>
    <row r="256" spans="1:28" x14ac:dyDescent="0.3">
      <c r="A256" s="53"/>
      <c r="B256" s="54"/>
      <c r="C256" s="65" t="s">
        <v>242</v>
      </c>
      <c r="D256" s="65">
        <f t="shared" ca="1" si="42"/>
        <v>4</v>
      </c>
      <c r="E256" s="3">
        <f t="shared" ca="1" si="43"/>
        <v>2.4831224071613534E-2</v>
      </c>
      <c r="F256" s="6">
        <f t="shared" ca="1" si="44"/>
        <v>70237.806280344157</v>
      </c>
      <c r="G256" s="6">
        <f t="shared" ca="1" si="45"/>
        <v>1758.1596386113083</v>
      </c>
      <c r="V256" s="53"/>
      <c r="W256" s="54"/>
      <c r="X256" s="65" t="s">
        <v>242</v>
      </c>
      <c r="Y256" s="65">
        <f t="shared" ca="1" si="46"/>
        <v>4</v>
      </c>
      <c r="Z256" s="3">
        <f t="shared" ca="1" si="47"/>
        <v>0.47151062209959638</v>
      </c>
      <c r="AA256" s="6">
        <f t="shared" ca="1" si="48"/>
        <v>131158.273720539</v>
      </c>
      <c r="AB256" s="6">
        <f t="shared" ca="1" si="49"/>
        <v>411.89453898109417</v>
      </c>
    </row>
    <row r="257" spans="1:28" x14ac:dyDescent="0.3">
      <c r="A257" s="53"/>
      <c r="B257" s="54"/>
      <c r="C257" s="65" t="s">
        <v>242</v>
      </c>
      <c r="D257" s="65">
        <f t="shared" ca="1" si="42"/>
        <v>4</v>
      </c>
      <c r="E257" s="3">
        <f t="shared" ca="1" si="43"/>
        <v>0.56203550349736608</v>
      </c>
      <c r="F257" s="6">
        <f t="shared" ca="1" si="44"/>
        <v>16313.018586503247</v>
      </c>
      <c r="G257" s="6">
        <f t="shared" ca="1" si="45"/>
        <v>84.524572016694719</v>
      </c>
      <c r="V257" s="53"/>
      <c r="W257" s="54"/>
      <c r="X257" s="65" t="s">
        <v>242</v>
      </c>
      <c r="Y257" s="65">
        <f t="shared" ca="1" si="46"/>
        <v>1</v>
      </c>
      <c r="Z257" s="3">
        <f t="shared" ca="1" si="47"/>
        <v>0.82399648813801996</v>
      </c>
      <c r="AA257" s="6">
        <f t="shared" ca="1" si="48"/>
        <v>176243.14732348331</v>
      </c>
      <c r="AB257" s="6">
        <f t="shared" ca="1" si="49"/>
        <v>691.17052995740937</v>
      </c>
    </row>
    <row r="258" spans="1:28" x14ac:dyDescent="0.3">
      <c r="A258" s="53"/>
      <c r="B258" s="54"/>
      <c r="C258" s="65" t="s">
        <v>242</v>
      </c>
      <c r="D258" s="65">
        <f t="shared" ca="1" si="42"/>
        <v>4</v>
      </c>
      <c r="E258" s="3">
        <f t="shared" ca="1" si="43"/>
        <v>0.27783438800218441</v>
      </c>
      <c r="F258" s="6">
        <f t="shared" ca="1" si="44"/>
        <v>91655.985766776561</v>
      </c>
      <c r="G258" s="6">
        <f t="shared" ca="1" si="45"/>
        <v>1083.8713849021838</v>
      </c>
      <c r="V258" s="53"/>
      <c r="W258" s="54"/>
      <c r="X258" s="65" t="s">
        <v>242</v>
      </c>
      <c r="Y258" s="65">
        <f t="shared" ca="1" si="46"/>
        <v>1</v>
      </c>
      <c r="Z258" s="3">
        <f t="shared" ca="1" si="47"/>
        <v>0.54707637584862334</v>
      </c>
      <c r="AA258" s="6">
        <f t="shared" ca="1" si="48"/>
        <v>192740.67828578522</v>
      </c>
      <c r="AB258" s="6">
        <f t="shared" ca="1" si="49"/>
        <v>1478.3951438667443</v>
      </c>
    </row>
    <row r="259" spans="1:28" x14ac:dyDescent="0.3">
      <c r="A259" s="53"/>
      <c r="B259" s="54"/>
      <c r="C259" s="65" t="s">
        <v>242</v>
      </c>
      <c r="D259" s="65">
        <f t="shared" ca="1" si="42"/>
        <v>3</v>
      </c>
      <c r="E259" s="3">
        <f t="shared" ca="1" si="43"/>
        <v>0.84504018008803339</v>
      </c>
      <c r="F259" s="6">
        <f t="shared" ca="1" si="44"/>
        <v>20157.314989967956</v>
      </c>
      <c r="G259" s="6">
        <f t="shared" ca="1" si="45"/>
        <v>573.73898163334025</v>
      </c>
      <c r="V259" s="53"/>
      <c r="W259" s="54"/>
      <c r="X259" s="65" t="s">
        <v>242</v>
      </c>
      <c r="Y259" s="65">
        <f t="shared" ca="1" si="46"/>
        <v>1</v>
      </c>
      <c r="Z259" s="3">
        <f t="shared" ca="1" si="47"/>
        <v>0.2030359437617324</v>
      </c>
      <c r="AA259" s="6">
        <f t="shared" ca="1" si="48"/>
        <v>167397.84665090565</v>
      </c>
      <c r="AB259" s="6">
        <f t="shared" ca="1" si="49"/>
        <v>613.86080402579557</v>
      </c>
    </row>
    <row r="260" spans="1:28" x14ac:dyDescent="0.3">
      <c r="A260" s="53"/>
      <c r="B260" s="54"/>
      <c r="C260" s="65" t="s">
        <v>242</v>
      </c>
      <c r="D260" s="65">
        <f t="shared" ca="1" si="42"/>
        <v>4</v>
      </c>
      <c r="E260" s="3">
        <f t="shared" ca="1" si="43"/>
        <v>0.78789655099075118</v>
      </c>
      <c r="F260" s="6">
        <f t="shared" ca="1" si="44"/>
        <v>120644.30470737752</v>
      </c>
      <c r="G260" s="6">
        <f t="shared" ca="1" si="45"/>
        <v>1539.8446707016942</v>
      </c>
      <c r="V260" s="53"/>
      <c r="W260" s="54"/>
      <c r="X260" s="65" t="s">
        <v>242</v>
      </c>
      <c r="Y260" s="65">
        <f t="shared" ca="1" si="46"/>
        <v>3</v>
      </c>
      <c r="Z260" s="3">
        <f t="shared" ca="1" si="47"/>
        <v>0.47176598099362144</v>
      </c>
      <c r="AA260" s="6">
        <f t="shared" ca="1" si="48"/>
        <v>24120.144459288094</v>
      </c>
      <c r="AB260" s="6">
        <f t="shared" ca="1" si="49"/>
        <v>1942.0126060652981</v>
      </c>
    </row>
    <row r="261" spans="1:28" x14ac:dyDescent="0.3">
      <c r="A261" s="53"/>
      <c r="B261" s="54"/>
      <c r="C261" s="65" t="s">
        <v>242</v>
      </c>
      <c r="D261" s="65">
        <f t="shared" ca="1" si="42"/>
        <v>2</v>
      </c>
      <c r="E261" s="3">
        <f t="shared" ca="1" si="43"/>
        <v>0.7240445896224087</v>
      </c>
      <c r="F261" s="6">
        <f t="shared" ca="1" si="44"/>
        <v>184305.11195001009</v>
      </c>
      <c r="G261" s="6">
        <f t="shared" ca="1" si="45"/>
        <v>1510.6393113876968</v>
      </c>
      <c r="V261" s="53"/>
      <c r="W261" s="54"/>
      <c r="X261" s="65" t="s">
        <v>242</v>
      </c>
      <c r="Y261" s="65">
        <f t="shared" ca="1" si="46"/>
        <v>3</v>
      </c>
      <c r="Z261" s="3">
        <f t="shared" ca="1" si="47"/>
        <v>0.26768143595336913</v>
      </c>
      <c r="AA261" s="6">
        <f t="shared" ca="1" si="48"/>
        <v>198074.92399564403</v>
      </c>
      <c r="AB261" s="6">
        <f t="shared" ca="1" si="49"/>
        <v>1211.2471872405551</v>
      </c>
    </row>
    <row r="262" spans="1:28" x14ac:dyDescent="0.3">
      <c r="A262" s="53"/>
      <c r="B262" s="54"/>
      <c r="C262" s="65" t="s">
        <v>242</v>
      </c>
      <c r="D262" s="65">
        <f t="shared" ca="1" si="42"/>
        <v>4</v>
      </c>
      <c r="E262" s="3">
        <f t="shared" ca="1" si="43"/>
        <v>0.94918593224689607</v>
      </c>
      <c r="F262" s="6">
        <f t="shared" ca="1" si="44"/>
        <v>49914.37623957522</v>
      </c>
      <c r="G262" s="6">
        <f t="shared" ca="1" si="45"/>
        <v>1612.0735308925264</v>
      </c>
      <c r="V262" s="53"/>
      <c r="W262" s="54"/>
      <c r="X262" s="65" t="s">
        <v>242</v>
      </c>
      <c r="Y262" s="65">
        <f t="shared" ca="1" si="46"/>
        <v>4</v>
      </c>
      <c r="Z262" s="3">
        <f t="shared" ca="1" si="47"/>
        <v>0.30663364946201765</v>
      </c>
      <c r="AA262" s="6">
        <f t="shared" ca="1" si="48"/>
        <v>47241.755604813763</v>
      </c>
      <c r="AB262" s="6">
        <f t="shared" ca="1" si="49"/>
        <v>639.24770613453893</v>
      </c>
    </row>
    <row r="263" spans="1:28" x14ac:dyDescent="0.3">
      <c r="A263" s="53"/>
      <c r="B263" s="54"/>
      <c r="C263" s="65" t="s">
        <v>242</v>
      </c>
      <c r="D263" s="65">
        <f t="shared" ca="1" si="42"/>
        <v>3</v>
      </c>
      <c r="E263" s="3">
        <f t="shared" ca="1" si="43"/>
        <v>0.94813799719165792</v>
      </c>
      <c r="F263" s="6">
        <f t="shared" ca="1" si="44"/>
        <v>14833.08388476503</v>
      </c>
      <c r="G263" s="6">
        <f t="shared" ca="1" si="45"/>
        <v>468.70952410940083</v>
      </c>
      <c r="V263" s="53"/>
      <c r="W263" s="54"/>
      <c r="X263" s="65" t="s">
        <v>242</v>
      </c>
      <c r="Y263" s="65">
        <f t="shared" ca="1" si="46"/>
        <v>1</v>
      </c>
      <c r="Z263" s="3">
        <f t="shared" ca="1" si="47"/>
        <v>0.7638305279920079</v>
      </c>
      <c r="AA263" s="6">
        <f t="shared" ca="1" si="48"/>
        <v>46896.354338525372</v>
      </c>
      <c r="AB263" s="6">
        <f t="shared" ca="1" si="49"/>
        <v>795.61705253548485</v>
      </c>
    </row>
    <row r="264" spans="1:28" x14ac:dyDescent="0.3">
      <c r="A264" s="53"/>
      <c r="B264" s="54"/>
      <c r="C264" s="65" t="s">
        <v>242</v>
      </c>
      <c r="D264" s="65">
        <f t="shared" ca="1" si="42"/>
        <v>4</v>
      </c>
      <c r="E264" s="3">
        <f t="shared" ca="1" si="43"/>
        <v>4.8168013665748632E-2</v>
      </c>
      <c r="F264" s="6">
        <f t="shared" ca="1" si="44"/>
        <v>140728.68040380013</v>
      </c>
      <c r="G264" s="6">
        <f t="shared" ca="1" si="45"/>
        <v>10.706670219637004</v>
      </c>
      <c r="V264" s="53"/>
      <c r="W264" s="54"/>
      <c r="X264" s="65" t="s">
        <v>242</v>
      </c>
      <c r="Y264" s="65">
        <f t="shared" ca="1" si="46"/>
        <v>3</v>
      </c>
      <c r="Z264" s="3">
        <f t="shared" ca="1" si="47"/>
        <v>0.75166143267379104</v>
      </c>
      <c r="AA264" s="6">
        <f t="shared" ca="1" si="48"/>
        <v>32634.328002037695</v>
      </c>
      <c r="AB264" s="6">
        <f t="shared" ca="1" si="49"/>
        <v>1831.1334623158814</v>
      </c>
    </row>
    <row r="265" spans="1:28" x14ac:dyDescent="0.3">
      <c r="A265" s="53"/>
      <c r="B265" s="54"/>
      <c r="C265" s="65" t="s">
        <v>242</v>
      </c>
      <c r="D265" s="65">
        <f t="shared" ca="1" si="42"/>
        <v>4</v>
      </c>
      <c r="E265" s="3">
        <f t="shared" ca="1" si="43"/>
        <v>0.56723662460254765</v>
      </c>
      <c r="F265" s="6">
        <f t="shared" ca="1" si="44"/>
        <v>10765.873680194571</v>
      </c>
      <c r="G265" s="6">
        <f t="shared" ca="1" si="45"/>
        <v>1385.0930147107292</v>
      </c>
      <c r="V265" s="53"/>
      <c r="W265" s="54"/>
      <c r="X265" s="65" t="s">
        <v>242</v>
      </c>
      <c r="Y265" s="65">
        <f t="shared" ca="1" si="46"/>
        <v>4</v>
      </c>
      <c r="Z265" s="3">
        <f t="shared" ca="1" si="47"/>
        <v>0.67978709676735105</v>
      </c>
      <c r="AA265" s="6">
        <f t="shared" ca="1" si="48"/>
        <v>53792.355562272307</v>
      </c>
      <c r="AB265" s="6">
        <f t="shared" ca="1" si="49"/>
        <v>1679.7331339611476</v>
      </c>
    </row>
    <row r="266" spans="1:28" x14ac:dyDescent="0.3">
      <c r="A266" s="53"/>
      <c r="B266" s="54"/>
      <c r="C266" s="65" t="s">
        <v>242</v>
      </c>
      <c r="D266" s="65">
        <f t="shared" ca="1" si="42"/>
        <v>1</v>
      </c>
      <c r="E266" s="3">
        <f t="shared" ca="1" si="43"/>
        <v>0.96477826383176934</v>
      </c>
      <c r="F266" s="6">
        <f t="shared" ca="1" si="44"/>
        <v>152737.16197348107</v>
      </c>
      <c r="G266" s="6">
        <f t="shared" ca="1" si="45"/>
        <v>1049.7368623956515</v>
      </c>
      <c r="V266" s="53"/>
      <c r="W266" s="54"/>
      <c r="X266" s="65" t="s">
        <v>242</v>
      </c>
      <c r="Y266" s="65">
        <f t="shared" ca="1" si="46"/>
        <v>3</v>
      </c>
      <c r="Z266" s="3">
        <f t="shared" ca="1" si="47"/>
        <v>0.64023209622782284</v>
      </c>
      <c r="AA266" s="6">
        <f t="shared" ca="1" si="48"/>
        <v>130927.07486660287</v>
      </c>
      <c r="AB266" s="6">
        <f t="shared" ca="1" si="49"/>
        <v>126.2488861650064</v>
      </c>
    </row>
    <row r="267" spans="1:28" x14ac:dyDescent="0.3">
      <c r="A267" s="53"/>
      <c r="B267" s="54"/>
      <c r="C267" s="65" t="s">
        <v>242</v>
      </c>
      <c r="D267" s="65">
        <f t="shared" ca="1" si="42"/>
        <v>2</v>
      </c>
      <c r="E267" s="3">
        <f t="shared" ca="1" si="43"/>
        <v>0.49983363108485912</v>
      </c>
      <c r="F267" s="6">
        <f t="shared" ca="1" si="44"/>
        <v>47656.585642896542</v>
      </c>
      <c r="G267" s="6">
        <f t="shared" ca="1" si="45"/>
        <v>106.02523391689145</v>
      </c>
      <c r="V267" s="53"/>
      <c r="W267" s="54"/>
      <c r="X267" s="65" t="s">
        <v>242</v>
      </c>
      <c r="Y267" s="65">
        <f t="shared" ca="1" si="46"/>
        <v>3</v>
      </c>
      <c r="Z267" s="3">
        <f t="shared" ca="1" si="47"/>
        <v>0.74152055975135611</v>
      </c>
      <c r="AA267" s="6">
        <f t="shared" ca="1" si="48"/>
        <v>195593.01014497143</v>
      </c>
      <c r="AB267" s="6">
        <f t="shared" ca="1" si="49"/>
        <v>792.99517366843952</v>
      </c>
    </row>
    <row r="268" spans="1:28" x14ac:dyDescent="0.3">
      <c r="A268" s="53"/>
      <c r="B268" s="54"/>
      <c r="C268" s="65" t="s">
        <v>242</v>
      </c>
      <c r="D268" s="65">
        <f t="shared" ca="1" si="42"/>
        <v>1</v>
      </c>
      <c r="E268" s="3">
        <f t="shared" ca="1" si="43"/>
        <v>0.54309060648020502</v>
      </c>
      <c r="F268" s="6">
        <f t="shared" ca="1" si="44"/>
        <v>172222.47556718724</v>
      </c>
      <c r="G268" s="6">
        <f t="shared" ca="1" si="45"/>
        <v>200.2455692574907</v>
      </c>
      <c r="V268" s="53"/>
      <c r="W268" s="54"/>
      <c r="X268" s="65" t="s">
        <v>242</v>
      </c>
      <c r="Y268" s="65">
        <f t="shared" ca="1" si="46"/>
        <v>2</v>
      </c>
      <c r="Z268" s="3">
        <f t="shared" ca="1" si="47"/>
        <v>0.28185978081297358</v>
      </c>
      <c r="AA268" s="6">
        <f t="shared" ca="1" si="48"/>
        <v>144576.08823754144</v>
      </c>
      <c r="AB268" s="6">
        <f t="shared" ca="1" si="49"/>
        <v>324.37252904000815</v>
      </c>
    </row>
    <row r="269" spans="1:28" x14ac:dyDescent="0.3">
      <c r="A269" s="53"/>
      <c r="B269" s="54"/>
      <c r="C269" s="65" t="s">
        <v>242</v>
      </c>
      <c r="D269" s="65">
        <f t="shared" ref="D269:D332" ca="1" si="50">INT(RAND()*4)+1</f>
        <v>4</v>
      </c>
      <c r="E269" s="3">
        <f t="shared" ref="E269:E332" ca="1" si="51">RAND()</f>
        <v>9.414826864166248E-2</v>
      </c>
      <c r="F269" s="6">
        <f t="shared" ref="F269:F332" ca="1" si="52">RAND()*200000</f>
        <v>187313.32889326985</v>
      </c>
      <c r="G269" s="6">
        <f t="shared" ref="G269:G332" ca="1" si="53">RAND()*2000</f>
        <v>235.96421917904476</v>
      </c>
      <c r="V269" s="53"/>
      <c r="W269" s="54"/>
      <c r="X269" s="65" t="s">
        <v>242</v>
      </c>
      <c r="Y269" s="65">
        <f t="shared" ref="Y269:Y332" ca="1" si="54">INT(RAND()*4)+1</f>
        <v>2</v>
      </c>
      <c r="Z269" s="3">
        <f t="shared" ref="Z269:Z332" ca="1" si="55">RAND()</f>
        <v>0.91585727536481176</v>
      </c>
      <c r="AA269" s="6">
        <f t="shared" ref="AA269:AA332" ca="1" si="56">RAND()*200000</f>
        <v>180086.72681218418</v>
      </c>
      <c r="AB269" s="6">
        <f t="shared" ref="AB269:AB332" ca="1" si="57">RAND()*2000</f>
        <v>1497.1996212743309</v>
      </c>
    </row>
    <row r="270" spans="1:28" x14ac:dyDescent="0.3">
      <c r="A270" s="53"/>
      <c r="B270" s="54"/>
      <c r="C270" s="65" t="s">
        <v>242</v>
      </c>
      <c r="D270" s="65">
        <f t="shared" ca="1" si="50"/>
        <v>3</v>
      </c>
      <c r="E270" s="3">
        <f t="shared" ca="1" si="51"/>
        <v>0.96476834116877885</v>
      </c>
      <c r="F270" s="6">
        <f t="shared" ca="1" si="52"/>
        <v>165579.54348647711</v>
      </c>
      <c r="G270" s="6">
        <f t="shared" ca="1" si="53"/>
        <v>138.79432772564161</v>
      </c>
      <c r="V270" s="53"/>
      <c r="W270" s="54"/>
      <c r="X270" s="65" t="s">
        <v>242</v>
      </c>
      <c r="Y270" s="65">
        <f t="shared" ca="1" si="54"/>
        <v>2</v>
      </c>
      <c r="Z270" s="3">
        <f t="shared" ca="1" si="55"/>
        <v>0.4453212642001072</v>
      </c>
      <c r="AA270" s="6">
        <f t="shared" ca="1" si="56"/>
        <v>161850.50016089994</v>
      </c>
      <c r="AB270" s="6">
        <f t="shared" ca="1" si="57"/>
        <v>722.4873899204531</v>
      </c>
    </row>
    <row r="271" spans="1:28" x14ac:dyDescent="0.3">
      <c r="A271" s="53"/>
      <c r="B271" s="54"/>
      <c r="C271" s="65" t="s">
        <v>242</v>
      </c>
      <c r="D271" s="65">
        <f t="shared" ca="1" si="50"/>
        <v>2</v>
      </c>
      <c r="E271" s="3">
        <f t="shared" ca="1" si="51"/>
        <v>0.20641394927899115</v>
      </c>
      <c r="F271" s="6">
        <f t="shared" ca="1" si="52"/>
        <v>98866.624707221359</v>
      </c>
      <c r="G271" s="6">
        <f t="shared" ca="1" si="53"/>
        <v>921.67700261291623</v>
      </c>
      <c r="V271" s="53"/>
      <c r="W271" s="54"/>
      <c r="X271" s="65" t="s">
        <v>242</v>
      </c>
      <c r="Y271" s="65">
        <f t="shared" ca="1" si="54"/>
        <v>3</v>
      </c>
      <c r="Z271" s="3">
        <f t="shared" ca="1" si="55"/>
        <v>0.58619407014538438</v>
      </c>
      <c r="AA271" s="6">
        <f t="shared" ca="1" si="56"/>
        <v>48910.956357623392</v>
      </c>
      <c r="AB271" s="6">
        <f t="shared" ca="1" si="57"/>
        <v>1245.9055821512575</v>
      </c>
    </row>
    <row r="272" spans="1:28" x14ac:dyDescent="0.3">
      <c r="A272" s="53"/>
      <c r="B272" s="54"/>
      <c r="C272" s="65" t="s">
        <v>242</v>
      </c>
      <c r="D272" s="65">
        <f t="shared" ca="1" si="50"/>
        <v>3</v>
      </c>
      <c r="E272" s="3">
        <f t="shared" ca="1" si="51"/>
        <v>0.12237896378844793</v>
      </c>
      <c r="F272" s="6">
        <f t="shared" ca="1" si="52"/>
        <v>41651.276276269164</v>
      </c>
      <c r="G272" s="6">
        <f t="shared" ca="1" si="53"/>
        <v>727.90987281859816</v>
      </c>
      <c r="V272" s="53"/>
      <c r="W272" s="54"/>
      <c r="X272" s="65" t="s">
        <v>242</v>
      </c>
      <c r="Y272" s="65">
        <f t="shared" ca="1" si="54"/>
        <v>4</v>
      </c>
      <c r="Z272" s="3">
        <f t="shared" ca="1" si="55"/>
        <v>0.93926939336477511</v>
      </c>
      <c r="AA272" s="6">
        <f t="shared" ca="1" si="56"/>
        <v>55484.442464759901</v>
      </c>
      <c r="AB272" s="6">
        <f t="shared" ca="1" si="57"/>
        <v>220.43330798479778</v>
      </c>
    </row>
    <row r="273" spans="1:28" x14ac:dyDescent="0.3">
      <c r="A273" s="53"/>
      <c r="B273" s="54"/>
      <c r="C273" s="65" t="s">
        <v>242</v>
      </c>
      <c r="D273" s="65">
        <f t="shared" ca="1" si="50"/>
        <v>2</v>
      </c>
      <c r="E273" s="3">
        <f t="shared" ca="1" si="51"/>
        <v>0.94562445882712565</v>
      </c>
      <c r="F273" s="6">
        <f t="shared" ca="1" si="52"/>
        <v>19342.160425595088</v>
      </c>
      <c r="G273" s="6">
        <f t="shared" ca="1" si="53"/>
        <v>121.36241973477114</v>
      </c>
      <c r="V273" s="53"/>
      <c r="W273" s="54"/>
      <c r="X273" s="65" t="s">
        <v>242</v>
      </c>
      <c r="Y273" s="65">
        <f t="shared" ca="1" si="54"/>
        <v>4</v>
      </c>
      <c r="Z273" s="3">
        <f t="shared" ca="1" si="55"/>
        <v>0.52182101759162969</v>
      </c>
      <c r="AA273" s="6">
        <f t="shared" ca="1" si="56"/>
        <v>39017.572249231103</v>
      </c>
      <c r="AB273" s="6">
        <f t="shared" ca="1" si="57"/>
        <v>1667.1127436122556</v>
      </c>
    </row>
    <row r="274" spans="1:28" x14ac:dyDescent="0.3">
      <c r="A274" s="53"/>
      <c r="B274" s="54"/>
      <c r="C274" s="65" t="s">
        <v>242</v>
      </c>
      <c r="D274" s="65">
        <f t="shared" ca="1" si="50"/>
        <v>4</v>
      </c>
      <c r="E274" s="3">
        <f t="shared" ca="1" si="51"/>
        <v>0.23684526686207852</v>
      </c>
      <c r="F274" s="6">
        <f t="shared" ca="1" si="52"/>
        <v>54145.169398003112</v>
      </c>
      <c r="G274" s="6">
        <f t="shared" ca="1" si="53"/>
        <v>905.92162976837983</v>
      </c>
      <c r="V274" s="53"/>
      <c r="W274" s="54"/>
      <c r="X274" s="65" t="s">
        <v>242</v>
      </c>
      <c r="Y274" s="65">
        <f t="shared" ca="1" si="54"/>
        <v>2</v>
      </c>
      <c r="Z274" s="3">
        <f t="shared" ca="1" si="55"/>
        <v>0.20289181949487467</v>
      </c>
      <c r="AA274" s="6">
        <f t="shared" ca="1" si="56"/>
        <v>142311.41713672804</v>
      </c>
      <c r="AB274" s="6">
        <f t="shared" ca="1" si="57"/>
        <v>1517.3122877412193</v>
      </c>
    </row>
    <row r="275" spans="1:28" x14ac:dyDescent="0.3">
      <c r="A275" s="53"/>
      <c r="B275" s="54"/>
      <c r="C275" s="65" t="s">
        <v>242</v>
      </c>
      <c r="D275" s="65">
        <f t="shared" ca="1" si="50"/>
        <v>1</v>
      </c>
      <c r="E275" s="3">
        <f t="shared" ca="1" si="51"/>
        <v>0.94996871789768111</v>
      </c>
      <c r="F275" s="6">
        <f t="shared" ca="1" si="52"/>
        <v>19907.877854812472</v>
      </c>
      <c r="G275" s="6">
        <f t="shared" ca="1" si="53"/>
        <v>1359.6329349942655</v>
      </c>
      <c r="V275" s="53"/>
      <c r="W275" s="54"/>
      <c r="X275" s="65" t="s">
        <v>242</v>
      </c>
      <c r="Y275" s="65">
        <f t="shared" ca="1" si="54"/>
        <v>4</v>
      </c>
      <c r="Z275" s="3">
        <f t="shared" ca="1" si="55"/>
        <v>0.57933102331624475</v>
      </c>
      <c r="AA275" s="6">
        <f t="shared" ca="1" si="56"/>
        <v>141032.60565265417</v>
      </c>
      <c r="AB275" s="6">
        <f t="shared" ca="1" si="57"/>
        <v>1728.9406648322902</v>
      </c>
    </row>
    <row r="276" spans="1:28" x14ac:dyDescent="0.3">
      <c r="A276" s="53"/>
      <c r="B276" s="54"/>
      <c r="C276" s="65" t="s">
        <v>242</v>
      </c>
      <c r="D276" s="65">
        <f t="shared" ca="1" si="50"/>
        <v>2</v>
      </c>
      <c r="E276" s="3">
        <f t="shared" ca="1" si="51"/>
        <v>0.32622730584411752</v>
      </c>
      <c r="F276" s="6">
        <f t="shared" ca="1" si="52"/>
        <v>194384.17089879134</v>
      </c>
      <c r="G276" s="6">
        <f t="shared" ca="1" si="53"/>
        <v>1010.3971389353834</v>
      </c>
      <c r="V276" s="53"/>
      <c r="W276" s="54"/>
      <c r="X276" s="65" t="s">
        <v>242</v>
      </c>
      <c r="Y276" s="65">
        <f t="shared" ca="1" si="54"/>
        <v>3</v>
      </c>
      <c r="Z276" s="3">
        <f t="shared" ca="1" si="55"/>
        <v>0.43286639587762421</v>
      </c>
      <c r="AA276" s="6">
        <f t="shared" ca="1" si="56"/>
        <v>65879.895095495856</v>
      </c>
      <c r="AB276" s="6">
        <f t="shared" ca="1" si="57"/>
        <v>1485.4313694226869</v>
      </c>
    </row>
    <row r="277" spans="1:28" x14ac:dyDescent="0.3">
      <c r="A277" s="53"/>
      <c r="B277" s="54"/>
      <c r="C277" s="65" t="s">
        <v>242</v>
      </c>
      <c r="D277" s="65">
        <f t="shared" ca="1" si="50"/>
        <v>4</v>
      </c>
      <c r="E277" s="3">
        <f t="shared" ca="1" si="51"/>
        <v>0.97263810530680406</v>
      </c>
      <c r="F277" s="6">
        <f t="shared" ca="1" si="52"/>
        <v>98378.170126981029</v>
      </c>
      <c r="G277" s="6">
        <f t="shared" ca="1" si="53"/>
        <v>1486.459435887188</v>
      </c>
      <c r="V277" s="53"/>
      <c r="W277" s="54"/>
      <c r="X277" s="65" t="s">
        <v>242</v>
      </c>
      <c r="Y277" s="65">
        <f t="shared" ca="1" si="54"/>
        <v>1</v>
      </c>
      <c r="Z277" s="3">
        <f t="shared" ca="1" si="55"/>
        <v>0.69587995965651961</v>
      </c>
      <c r="AA277" s="6">
        <f t="shared" ca="1" si="56"/>
        <v>157376.21594088539</v>
      </c>
      <c r="AB277" s="6">
        <f t="shared" ca="1" si="57"/>
        <v>1410.447094554569</v>
      </c>
    </row>
    <row r="278" spans="1:28" x14ac:dyDescent="0.3">
      <c r="A278" s="53"/>
      <c r="B278" s="54"/>
      <c r="C278" s="65" t="s">
        <v>242</v>
      </c>
      <c r="D278" s="65">
        <f t="shared" ca="1" si="50"/>
        <v>3</v>
      </c>
      <c r="E278" s="3">
        <f t="shared" ca="1" si="51"/>
        <v>6.0389597734681555E-2</v>
      </c>
      <c r="F278" s="6">
        <f t="shared" ca="1" si="52"/>
        <v>93390.276093470922</v>
      </c>
      <c r="G278" s="6">
        <f t="shared" ca="1" si="53"/>
        <v>182.69555231712496</v>
      </c>
      <c r="V278" s="53"/>
      <c r="W278" s="54"/>
      <c r="X278" s="65" t="s">
        <v>242</v>
      </c>
      <c r="Y278" s="65">
        <f t="shared" ca="1" si="54"/>
        <v>4</v>
      </c>
      <c r="Z278" s="3">
        <f t="shared" ca="1" si="55"/>
        <v>0.17951246838553359</v>
      </c>
      <c r="AA278" s="6">
        <f t="shared" ca="1" si="56"/>
        <v>94370.128419846849</v>
      </c>
      <c r="AB278" s="6">
        <f t="shared" ca="1" si="57"/>
        <v>1087.1492786859596</v>
      </c>
    </row>
    <row r="279" spans="1:28" x14ac:dyDescent="0.3">
      <c r="A279" s="53"/>
      <c r="B279" s="54"/>
      <c r="C279" s="65" t="s">
        <v>242</v>
      </c>
      <c r="D279" s="65">
        <f t="shared" ca="1" si="50"/>
        <v>2</v>
      </c>
      <c r="E279" s="3">
        <f t="shared" ca="1" si="51"/>
        <v>0.14178715808715403</v>
      </c>
      <c r="F279" s="6">
        <f t="shared" ca="1" si="52"/>
        <v>101802.98156453151</v>
      </c>
      <c r="G279" s="6">
        <f t="shared" ca="1" si="53"/>
        <v>1551.9273228420786</v>
      </c>
      <c r="V279" s="53"/>
      <c r="W279" s="54"/>
      <c r="X279" s="65" t="s">
        <v>242</v>
      </c>
      <c r="Y279" s="65">
        <f t="shared" ca="1" si="54"/>
        <v>1</v>
      </c>
      <c r="Z279" s="3">
        <f t="shared" ca="1" si="55"/>
        <v>0.16439182866649082</v>
      </c>
      <c r="AA279" s="6">
        <f t="shared" ca="1" si="56"/>
        <v>43291.215493720301</v>
      </c>
      <c r="AB279" s="6">
        <f t="shared" ca="1" si="57"/>
        <v>1542.7875116985256</v>
      </c>
    </row>
    <row r="280" spans="1:28" x14ac:dyDescent="0.3">
      <c r="A280" s="53"/>
      <c r="B280" s="54"/>
      <c r="C280" s="65" t="s">
        <v>242</v>
      </c>
      <c r="D280" s="65">
        <f t="shared" ca="1" si="50"/>
        <v>4</v>
      </c>
      <c r="E280" s="3">
        <f t="shared" ca="1" si="51"/>
        <v>0.19346925198550535</v>
      </c>
      <c r="F280" s="6">
        <f t="shared" ca="1" si="52"/>
        <v>16989.326469381314</v>
      </c>
      <c r="G280" s="6">
        <f t="shared" ca="1" si="53"/>
        <v>1071.9313531081727</v>
      </c>
      <c r="V280" s="53"/>
      <c r="W280" s="54"/>
      <c r="X280" s="65" t="s">
        <v>242</v>
      </c>
      <c r="Y280" s="65">
        <f t="shared" ca="1" si="54"/>
        <v>3</v>
      </c>
      <c r="Z280" s="3">
        <f t="shared" ca="1" si="55"/>
        <v>0.62125210408290132</v>
      </c>
      <c r="AA280" s="6">
        <f t="shared" ca="1" si="56"/>
        <v>56800.511556364232</v>
      </c>
      <c r="AB280" s="6">
        <f t="shared" ca="1" si="57"/>
        <v>387.09484575249297</v>
      </c>
    </row>
    <row r="281" spans="1:28" x14ac:dyDescent="0.3">
      <c r="A281" s="53"/>
      <c r="B281" s="54"/>
      <c r="C281" s="65" t="s">
        <v>242</v>
      </c>
      <c r="D281" s="65">
        <f t="shared" ca="1" si="50"/>
        <v>1</v>
      </c>
      <c r="E281" s="3">
        <f t="shared" ca="1" si="51"/>
        <v>0.44929779788059487</v>
      </c>
      <c r="F281" s="6">
        <f t="shared" ca="1" si="52"/>
        <v>8871.7340812780149</v>
      </c>
      <c r="G281" s="6">
        <f t="shared" ca="1" si="53"/>
        <v>1170.7907722369912</v>
      </c>
      <c r="V281" s="53"/>
      <c r="W281" s="54"/>
      <c r="X281" s="65" t="s">
        <v>242</v>
      </c>
      <c r="Y281" s="65">
        <f t="shared" ca="1" si="54"/>
        <v>1</v>
      </c>
      <c r="Z281" s="3">
        <f t="shared" ca="1" si="55"/>
        <v>0.61324373580967528</v>
      </c>
      <c r="AA281" s="6">
        <f t="shared" ca="1" si="56"/>
        <v>109167.20914936844</v>
      </c>
      <c r="AB281" s="6">
        <f t="shared" ca="1" si="57"/>
        <v>1537.4271246975675</v>
      </c>
    </row>
    <row r="282" spans="1:28" x14ac:dyDescent="0.3">
      <c r="A282" s="53"/>
      <c r="B282" s="54"/>
      <c r="C282" s="65" t="s">
        <v>242</v>
      </c>
      <c r="D282" s="65">
        <f t="shared" ca="1" si="50"/>
        <v>3</v>
      </c>
      <c r="E282" s="3">
        <f t="shared" ca="1" si="51"/>
        <v>0.3895085881303969</v>
      </c>
      <c r="F282" s="6">
        <f t="shared" ca="1" si="52"/>
        <v>155116.06884238057</v>
      </c>
      <c r="G282" s="6">
        <f t="shared" ca="1" si="53"/>
        <v>853.64549800746772</v>
      </c>
      <c r="V282" s="53"/>
      <c r="W282" s="54"/>
      <c r="X282" s="65" t="s">
        <v>242</v>
      </c>
      <c r="Y282" s="65">
        <f t="shared" ca="1" si="54"/>
        <v>4</v>
      </c>
      <c r="Z282" s="3">
        <f t="shared" ca="1" si="55"/>
        <v>0.32203313792288424</v>
      </c>
      <c r="AA282" s="6">
        <f t="shared" ca="1" si="56"/>
        <v>121450.53409433583</v>
      </c>
      <c r="AB282" s="6">
        <f t="shared" ca="1" si="57"/>
        <v>1608.1863119704358</v>
      </c>
    </row>
    <row r="283" spans="1:28" x14ac:dyDescent="0.3">
      <c r="A283" s="53"/>
      <c r="B283" s="54"/>
      <c r="C283" s="65" t="s">
        <v>242</v>
      </c>
      <c r="D283" s="65">
        <f t="shared" ca="1" si="50"/>
        <v>3</v>
      </c>
      <c r="E283" s="3">
        <f t="shared" ca="1" si="51"/>
        <v>0.95150683795844504</v>
      </c>
      <c r="F283" s="6">
        <f t="shared" ca="1" si="52"/>
        <v>2323.0164926384855</v>
      </c>
      <c r="G283" s="6">
        <f t="shared" ca="1" si="53"/>
        <v>110.00702445391997</v>
      </c>
      <c r="V283" s="53"/>
      <c r="W283" s="54"/>
      <c r="X283" s="65" t="s">
        <v>242</v>
      </c>
      <c r="Y283" s="65">
        <f t="shared" ca="1" si="54"/>
        <v>3</v>
      </c>
      <c r="Z283" s="3">
        <f t="shared" ca="1" si="55"/>
        <v>0.44676241982263609</v>
      </c>
      <c r="AA283" s="6">
        <f t="shared" ca="1" si="56"/>
        <v>106183.18825705288</v>
      </c>
      <c r="AB283" s="6">
        <f t="shared" ca="1" si="57"/>
        <v>151.95084101965017</v>
      </c>
    </row>
    <row r="284" spans="1:28" x14ac:dyDescent="0.3">
      <c r="A284" s="53"/>
      <c r="B284" s="54"/>
      <c r="C284" s="65" t="s">
        <v>242</v>
      </c>
      <c r="D284" s="65">
        <f t="shared" ca="1" si="50"/>
        <v>4</v>
      </c>
      <c r="E284" s="3">
        <f t="shared" ca="1" si="51"/>
        <v>6.810173625631144E-2</v>
      </c>
      <c r="F284" s="6">
        <f t="shared" ca="1" si="52"/>
        <v>38881.754274425795</v>
      </c>
      <c r="G284" s="6">
        <f t="shared" ca="1" si="53"/>
        <v>693.77955946078475</v>
      </c>
      <c r="V284" s="53"/>
      <c r="W284" s="54"/>
      <c r="X284" s="65" t="s">
        <v>242</v>
      </c>
      <c r="Y284" s="65">
        <f t="shared" ca="1" si="54"/>
        <v>2</v>
      </c>
      <c r="Z284" s="3">
        <f t="shared" ca="1" si="55"/>
        <v>5.1142185568904153E-2</v>
      </c>
      <c r="AA284" s="6">
        <f t="shared" ca="1" si="56"/>
        <v>143458.24302979914</v>
      </c>
      <c r="AB284" s="6">
        <f t="shared" ca="1" si="57"/>
        <v>1706.2062027193599</v>
      </c>
    </row>
    <row r="285" spans="1:28" x14ac:dyDescent="0.3">
      <c r="A285" s="53"/>
      <c r="B285" s="54"/>
      <c r="C285" s="65" t="s">
        <v>242</v>
      </c>
      <c r="D285" s="65">
        <f t="shared" ca="1" si="50"/>
        <v>2</v>
      </c>
      <c r="E285" s="3">
        <f t="shared" ca="1" si="51"/>
        <v>0.83435595611855673</v>
      </c>
      <c r="F285" s="6">
        <f t="shared" ca="1" si="52"/>
        <v>117804.42551168347</v>
      </c>
      <c r="G285" s="6">
        <f t="shared" ca="1" si="53"/>
        <v>452.81275573108928</v>
      </c>
      <c r="V285" s="53"/>
      <c r="W285" s="54"/>
      <c r="X285" s="65" t="s">
        <v>242</v>
      </c>
      <c r="Y285" s="65">
        <f t="shared" ca="1" si="54"/>
        <v>2</v>
      </c>
      <c r="Z285" s="3">
        <f t="shared" ca="1" si="55"/>
        <v>0.7935628376939361</v>
      </c>
      <c r="AA285" s="6">
        <f t="shared" ca="1" si="56"/>
        <v>98196.316192709433</v>
      </c>
      <c r="AB285" s="6">
        <f t="shared" ca="1" si="57"/>
        <v>51.115866991204854</v>
      </c>
    </row>
    <row r="286" spans="1:28" x14ac:dyDescent="0.3">
      <c r="A286" s="53"/>
      <c r="B286" s="54"/>
      <c r="C286" s="65" t="s">
        <v>242</v>
      </c>
      <c r="D286" s="65">
        <f t="shared" ca="1" si="50"/>
        <v>3</v>
      </c>
      <c r="E286" s="3">
        <f t="shared" ca="1" si="51"/>
        <v>0.40268825245399087</v>
      </c>
      <c r="F286" s="6">
        <f t="shared" ca="1" si="52"/>
        <v>163783.37064079358</v>
      </c>
      <c r="G286" s="6">
        <f t="shared" ca="1" si="53"/>
        <v>1196.2084506832425</v>
      </c>
      <c r="V286" s="53"/>
      <c r="W286" s="54"/>
      <c r="X286" s="65" t="s">
        <v>242</v>
      </c>
      <c r="Y286" s="65">
        <f t="shared" ca="1" si="54"/>
        <v>4</v>
      </c>
      <c r="Z286" s="3">
        <f t="shared" ca="1" si="55"/>
        <v>0.2220978385006287</v>
      </c>
      <c r="AA286" s="6">
        <f t="shared" ca="1" si="56"/>
        <v>111839.0274598126</v>
      </c>
      <c r="AB286" s="6">
        <f t="shared" ca="1" si="57"/>
        <v>1853.2037351628171</v>
      </c>
    </row>
    <row r="287" spans="1:28" x14ac:dyDescent="0.3">
      <c r="A287" s="53"/>
      <c r="B287" s="54"/>
      <c r="C287" s="65" t="s">
        <v>242</v>
      </c>
      <c r="D287" s="65">
        <f t="shared" ca="1" si="50"/>
        <v>1</v>
      </c>
      <c r="E287" s="3">
        <f t="shared" ca="1" si="51"/>
        <v>2.1344541343193968E-2</v>
      </c>
      <c r="F287" s="6">
        <f t="shared" ca="1" si="52"/>
        <v>35500.727914980227</v>
      </c>
      <c r="G287" s="6">
        <f t="shared" ca="1" si="53"/>
        <v>926.00433939606637</v>
      </c>
      <c r="V287" s="53"/>
      <c r="W287" s="54"/>
      <c r="X287" s="65" t="s">
        <v>242</v>
      </c>
      <c r="Y287" s="65">
        <f t="shared" ca="1" si="54"/>
        <v>3</v>
      </c>
      <c r="Z287" s="3">
        <f t="shared" ca="1" si="55"/>
        <v>0.68155218485838887</v>
      </c>
      <c r="AA287" s="6">
        <f t="shared" ca="1" si="56"/>
        <v>23803.911085944994</v>
      </c>
      <c r="AB287" s="6">
        <f t="shared" ca="1" si="57"/>
        <v>642.33727728411566</v>
      </c>
    </row>
    <row r="288" spans="1:28" x14ac:dyDescent="0.3">
      <c r="A288" s="53"/>
      <c r="B288" s="54"/>
      <c r="C288" s="65" t="s">
        <v>242</v>
      </c>
      <c r="D288" s="65">
        <f t="shared" ca="1" si="50"/>
        <v>1</v>
      </c>
      <c r="E288" s="3">
        <f t="shared" ca="1" si="51"/>
        <v>0.63335486124748452</v>
      </c>
      <c r="F288" s="6">
        <f t="shared" ca="1" si="52"/>
        <v>193055.64308595809</v>
      </c>
      <c r="G288" s="6">
        <f t="shared" ca="1" si="53"/>
        <v>568.23544578956682</v>
      </c>
      <c r="V288" s="53"/>
      <c r="W288" s="54"/>
      <c r="X288" s="65" t="s">
        <v>242</v>
      </c>
      <c r="Y288" s="65">
        <f t="shared" ca="1" si="54"/>
        <v>4</v>
      </c>
      <c r="Z288" s="3">
        <f t="shared" ca="1" si="55"/>
        <v>0.75604132950469705</v>
      </c>
      <c r="AA288" s="6">
        <f t="shared" ca="1" si="56"/>
        <v>39881.736901880417</v>
      </c>
      <c r="AB288" s="6">
        <f t="shared" ca="1" si="57"/>
        <v>1961.376230074728</v>
      </c>
    </row>
    <row r="289" spans="1:28" x14ac:dyDescent="0.3">
      <c r="A289" s="53"/>
      <c r="B289" s="54"/>
      <c r="C289" s="65" t="s">
        <v>242</v>
      </c>
      <c r="D289" s="65">
        <f t="shared" ca="1" si="50"/>
        <v>2</v>
      </c>
      <c r="E289" s="3">
        <f t="shared" ca="1" si="51"/>
        <v>0.50703505484606204</v>
      </c>
      <c r="F289" s="6">
        <f t="shared" ca="1" si="52"/>
        <v>128814.00031759428</v>
      </c>
      <c r="G289" s="6">
        <f t="shared" ca="1" si="53"/>
        <v>1528.0444559501611</v>
      </c>
      <c r="V289" s="53"/>
      <c r="W289" s="54"/>
      <c r="X289" s="65" t="s">
        <v>242</v>
      </c>
      <c r="Y289" s="65">
        <f t="shared" ca="1" si="54"/>
        <v>2</v>
      </c>
      <c r="Z289" s="3">
        <f t="shared" ca="1" si="55"/>
        <v>0.15480701892048043</v>
      </c>
      <c r="AA289" s="6">
        <f t="shared" ca="1" si="56"/>
        <v>20874.375409009805</v>
      </c>
      <c r="AB289" s="6">
        <f t="shared" ca="1" si="57"/>
        <v>44.162456175813162</v>
      </c>
    </row>
    <row r="290" spans="1:28" x14ac:dyDescent="0.3">
      <c r="A290" s="53"/>
      <c r="B290" s="54"/>
      <c r="C290" s="65" t="s">
        <v>242</v>
      </c>
      <c r="D290" s="65">
        <f t="shared" ca="1" si="50"/>
        <v>3</v>
      </c>
      <c r="E290" s="3">
        <f t="shared" ca="1" si="51"/>
        <v>0.64677948553518894</v>
      </c>
      <c r="F290" s="6">
        <f t="shared" ca="1" si="52"/>
        <v>28955.664124905423</v>
      </c>
      <c r="G290" s="6">
        <f t="shared" ca="1" si="53"/>
        <v>698.02409089017999</v>
      </c>
      <c r="V290" s="53"/>
      <c r="W290" s="54"/>
      <c r="X290" s="65" t="s">
        <v>242</v>
      </c>
      <c r="Y290" s="65">
        <f t="shared" ca="1" si="54"/>
        <v>1</v>
      </c>
      <c r="Z290" s="3">
        <f t="shared" ca="1" si="55"/>
        <v>0.84484992204089826</v>
      </c>
      <c r="AA290" s="6">
        <f t="shared" ca="1" si="56"/>
        <v>110220.84088066571</v>
      </c>
      <c r="AB290" s="6">
        <f t="shared" ca="1" si="57"/>
        <v>1941.895801586486</v>
      </c>
    </row>
    <row r="291" spans="1:28" x14ac:dyDescent="0.3">
      <c r="A291" s="53"/>
      <c r="B291" s="54"/>
      <c r="C291" s="65" t="s">
        <v>242</v>
      </c>
      <c r="D291" s="65">
        <f t="shared" ca="1" si="50"/>
        <v>3</v>
      </c>
      <c r="E291" s="3">
        <f t="shared" ca="1" si="51"/>
        <v>0.53150842722765546</v>
      </c>
      <c r="F291" s="6">
        <f t="shared" ca="1" si="52"/>
        <v>127300.91552797602</v>
      </c>
      <c r="G291" s="6">
        <f t="shared" ca="1" si="53"/>
        <v>863.06164187827972</v>
      </c>
      <c r="V291" s="53"/>
      <c r="W291" s="54"/>
      <c r="X291" s="65" t="s">
        <v>242</v>
      </c>
      <c r="Y291" s="65">
        <f t="shared" ca="1" si="54"/>
        <v>3</v>
      </c>
      <c r="Z291" s="3">
        <f t="shared" ca="1" si="55"/>
        <v>0.4869314790532645</v>
      </c>
      <c r="AA291" s="6">
        <f t="shared" ca="1" si="56"/>
        <v>191094.97140836963</v>
      </c>
      <c r="AB291" s="6">
        <f t="shared" ca="1" si="57"/>
        <v>2.9942105624123361</v>
      </c>
    </row>
    <row r="292" spans="1:28" x14ac:dyDescent="0.3">
      <c r="A292" s="53"/>
      <c r="B292" s="54"/>
      <c r="C292" s="65" t="s">
        <v>242</v>
      </c>
      <c r="D292" s="65">
        <f t="shared" ca="1" si="50"/>
        <v>1</v>
      </c>
      <c r="E292" s="3">
        <f t="shared" ca="1" si="51"/>
        <v>0.37407347510774913</v>
      </c>
      <c r="F292" s="6">
        <f t="shared" ca="1" si="52"/>
        <v>150977.41037643907</v>
      </c>
      <c r="G292" s="6">
        <f t="shared" ca="1" si="53"/>
        <v>1307.3465968641249</v>
      </c>
      <c r="V292" s="53"/>
      <c r="W292" s="54"/>
      <c r="X292" s="65" t="s">
        <v>242</v>
      </c>
      <c r="Y292" s="65">
        <f t="shared" ca="1" si="54"/>
        <v>3</v>
      </c>
      <c r="Z292" s="3">
        <f t="shared" ca="1" si="55"/>
        <v>0.39793186699075267</v>
      </c>
      <c r="AA292" s="6">
        <f t="shared" ca="1" si="56"/>
        <v>41187.739878311346</v>
      </c>
      <c r="AB292" s="6">
        <f t="shared" ca="1" si="57"/>
        <v>900.24001476983108</v>
      </c>
    </row>
    <row r="293" spans="1:28" x14ac:dyDescent="0.3">
      <c r="A293" s="53"/>
      <c r="B293" s="54"/>
      <c r="C293" s="65" t="s">
        <v>242</v>
      </c>
      <c r="D293" s="65">
        <f t="shared" ca="1" si="50"/>
        <v>1</v>
      </c>
      <c r="E293" s="3">
        <f t="shared" ca="1" si="51"/>
        <v>0.32794376404087089</v>
      </c>
      <c r="F293" s="6">
        <f t="shared" ca="1" si="52"/>
        <v>25641.174078679785</v>
      </c>
      <c r="G293" s="6">
        <f t="shared" ca="1" si="53"/>
        <v>1926.5912176413613</v>
      </c>
      <c r="V293" s="53"/>
      <c r="W293" s="54"/>
      <c r="X293" s="65" t="s">
        <v>242</v>
      </c>
      <c r="Y293" s="65">
        <f t="shared" ca="1" si="54"/>
        <v>1</v>
      </c>
      <c r="Z293" s="3">
        <f t="shared" ca="1" si="55"/>
        <v>0.93999685251403586</v>
      </c>
      <c r="AA293" s="6">
        <f t="shared" ca="1" si="56"/>
        <v>33600.187069005318</v>
      </c>
      <c r="AB293" s="6">
        <f t="shared" ca="1" si="57"/>
        <v>473.80417036840907</v>
      </c>
    </row>
    <row r="294" spans="1:28" x14ac:dyDescent="0.3">
      <c r="A294" s="53"/>
      <c r="B294" s="54"/>
      <c r="C294" s="65" t="s">
        <v>242</v>
      </c>
      <c r="D294" s="65">
        <f t="shared" ca="1" si="50"/>
        <v>2</v>
      </c>
      <c r="E294" s="3">
        <f t="shared" ca="1" si="51"/>
        <v>0.44042561278059067</v>
      </c>
      <c r="F294" s="6">
        <f t="shared" ca="1" si="52"/>
        <v>107909.52453361142</v>
      </c>
      <c r="G294" s="6">
        <f t="shared" ca="1" si="53"/>
        <v>1798.84511801855</v>
      </c>
      <c r="V294" s="53"/>
      <c r="W294" s="54"/>
      <c r="X294" s="65" t="s">
        <v>242</v>
      </c>
      <c r="Y294" s="65">
        <f t="shared" ca="1" si="54"/>
        <v>3</v>
      </c>
      <c r="Z294" s="3">
        <f t="shared" ca="1" si="55"/>
        <v>1.0336427450742147E-2</v>
      </c>
      <c r="AA294" s="6">
        <f t="shared" ca="1" si="56"/>
        <v>140612.29100441973</v>
      </c>
      <c r="AB294" s="6">
        <f t="shared" ca="1" si="57"/>
        <v>1093.3942573967947</v>
      </c>
    </row>
    <row r="295" spans="1:28" x14ac:dyDescent="0.3">
      <c r="A295" s="53"/>
      <c r="B295" s="54"/>
      <c r="C295" s="65" t="s">
        <v>242</v>
      </c>
      <c r="D295" s="65">
        <f t="shared" ca="1" si="50"/>
        <v>1</v>
      </c>
      <c r="E295" s="3">
        <f t="shared" ca="1" si="51"/>
        <v>0.84192263527565636</v>
      </c>
      <c r="F295" s="6">
        <f t="shared" ca="1" si="52"/>
        <v>171116.27814856276</v>
      </c>
      <c r="G295" s="6">
        <f t="shared" ca="1" si="53"/>
        <v>71.009867934914269</v>
      </c>
      <c r="V295" s="53"/>
      <c r="W295" s="54"/>
      <c r="X295" s="65" t="s">
        <v>242</v>
      </c>
      <c r="Y295" s="65">
        <f t="shared" ca="1" si="54"/>
        <v>4</v>
      </c>
      <c r="Z295" s="3">
        <f t="shared" ca="1" si="55"/>
        <v>0.71424253110912417</v>
      </c>
      <c r="AA295" s="6">
        <f t="shared" ca="1" si="56"/>
        <v>30819.547990927986</v>
      </c>
      <c r="AB295" s="6">
        <f t="shared" ca="1" si="57"/>
        <v>610.14277733768199</v>
      </c>
    </row>
    <row r="296" spans="1:28" x14ac:dyDescent="0.3">
      <c r="A296" s="53"/>
      <c r="B296" s="54"/>
      <c r="C296" s="65" t="s">
        <v>242</v>
      </c>
      <c r="D296" s="65">
        <f t="shared" ca="1" si="50"/>
        <v>4</v>
      </c>
      <c r="E296" s="3">
        <f t="shared" ca="1" si="51"/>
        <v>0.232632565777114</v>
      </c>
      <c r="F296" s="6">
        <f t="shared" ca="1" si="52"/>
        <v>178808.86937425879</v>
      </c>
      <c r="G296" s="6">
        <f t="shared" ca="1" si="53"/>
        <v>880.952099963916</v>
      </c>
      <c r="V296" s="53"/>
      <c r="W296" s="54"/>
      <c r="X296" s="65" t="s">
        <v>242</v>
      </c>
      <c r="Y296" s="65">
        <f t="shared" ca="1" si="54"/>
        <v>3</v>
      </c>
      <c r="Z296" s="3">
        <f t="shared" ca="1" si="55"/>
        <v>0.4724621235608778</v>
      </c>
      <c r="AA296" s="6">
        <f t="shared" ca="1" si="56"/>
        <v>189516.23048272211</v>
      </c>
      <c r="AB296" s="6">
        <f t="shared" ca="1" si="57"/>
        <v>1741.8155661406779</v>
      </c>
    </row>
    <row r="297" spans="1:28" x14ac:dyDescent="0.3">
      <c r="A297" s="53"/>
      <c r="B297" s="54"/>
      <c r="C297" s="65" t="s">
        <v>242</v>
      </c>
      <c r="D297" s="65">
        <f t="shared" ca="1" si="50"/>
        <v>2</v>
      </c>
      <c r="E297" s="3">
        <f t="shared" ca="1" si="51"/>
        <v>0.21774235669317066</v>
      </c>
      <c r="F297" s="6">
        <f t="shared" ca="1" si="52"/>
        <v>131246.18354960019</v>
      </c>
      <c r="G297" s="6">
        <f t="shared" ca="1" si="53"/>
        <v>821.55677135573831</v>
      </c>
      <c r="V297" s="53"/>
      <c r="W297" s="54"/>
      <c r="X297" s="65" t="s">
        <v>242</v>
      </c>
      <c r="Y297" s="65">
        <f t="shared" ca="1" si="54"/>
        <v>1</v>
      </c>
      <c r="Z297" s="3">
        <f t="shared" ca="1" si="55"/>
        <v>0.21286850734504348</v>
      </c>
      <c r="AA297" s="6">
        <f t="shared" ca="1" si="56"/>
        <v>39818.374231503141</v>
      </c>
      <c r="AB297" s="6">
        <f t="shared" ca="1" si="57"/>
        <v>674.28810220222829</v>
      </c>
    </row>
    <row r="298" spans="1:28" x14ac:dyDescent="0.3">
      <c r="A298" s="53"/>
      <c r="B298" s="54"/>
      <c r="C298" s="65" t="s">
        <v>242</v>
      </c>
      <c r="D298" s="65">
        <f t="shared" ca="1" si="50"/>
        <v>4</v>
      </c>
      <c r="E298" s="3">
        <f t="shared" ca="1" si="51"/>
        <v>0.61948442623082933</v>
      </c>
      <c r="F298" s="6">
        <f t="shared" ca="1" si="52"/>
        <v>105316.03516355496</v>
      </c>
      <c r="G298" s="6">
        <f t="shared" ca="1" si="53"/>
        <v>405.83885176470778</v>
      </c>
      <c r="V298" s="53"/>
      <c r="W298" s="54"/>
      <c r="X298" s="65" t="s">
        <v>242</v>
      </c>
      <c r="Y298" s="65">
        <f t="shared" ca="1" si="54"/>
        <v>3</v>
      </c>
      <c r="Z298" s="3">
        <f t="shared" ca="1" si="55"/>
        <v>0.91731509924857779</v>
      </c>
      <c r="AA298" s="6">
        <f t="shared" ca="1" si="56"/>
        <v>121962.00538602284</v>
      </c>
      <c r="AB298" s="6">
        <f t="shared" ca="1" si="57"/>
        <v>2.4680920670692164</v>
      </c>
    </row>
    <row r="299" spans="1:28" x14ac:dyDescent="0.3">
      <c r="A299" s="53"/>
      <c r="B299" s="54"/>
      <c r="C299" s="65" t="s">
        <v>242</v>
      </c>
      <c r="D299" s="65">
        <f t="shared" ca="1" si="50"/>
        <v>2</v>
      </c>
      <c r="E299" s="3">
        <f t="shared" ca="1" si="51"/>
        <v>0.921024595501862</v>
      </c>
      <c r="F299" s="6">
        <f t="shared" ca="1" si="52"/>
        <v>21300.812099362854</v>
      </c>
      <c r="G299" s="6">
        <f t="shared" ca="1" si="53"/>
        <v>719.84761214673858</v>
      </c>
      <c r="V299" s="53"/>
      <c r="W299" s="54"/>
      <c r="X299" s="65" t="s">
        <v>242</v>
      </c>
      <c r="Y299" s="65">
        <f t="shared" ca="1" si="54"/>
        <v>3</v>
      </c>
      <c r="Z299" s="3">
        <f t="shared" ca="1" si="55"/>
        <v>0.9601813102507466</v>
      </c>
      <c r="AA299" s="6">
        <f t="shared" ca="1" si="56"/>
        <v>108117.80399642892</v>
      </c>
      <c r="AB299" s="6">
        <f t="shared" ca="1" si="57"/>
        <v>1684.952813864724</v>
      </c>
    </row>
    <row r="300" spans="1:28" x14ac:dyDescent="0.3">
      <c r="A300" s="53"/>
      <c r="B300" s="54"/>
      <c r="C300" s="65" t="s">
        <v>242</v>
      </c>
      <c r="D300" s="65">
        <f t="shared" ca="1" si="50"/>
        <v>2</v>
      </c>
      <c r="E300" s="3">
        <f t="shared" ca="1" si="51"/>
        <v>8.0173445697442669E-2</v>
      </c>
      <c r="F300" s="6">
        <f t="shared" ca="1" si="52"/>
        <v>65064.155615060939</v>
      </c>
      <c r="G300" s="6">
        <f t="shared" ca="1" si="53"/>
        <v>731.08378909472549</v>
      </c>
      <c r="V300" s="53"/>
      <c r="W300" s="54"/>
      <c r="X300" s="65" t="s">
        <v>242</v>
      </c>
      <c r="Y300" s="65">
        <f t="shared" ca="1" si="54"/>
        <v>1</v>
      </c>
      <c r="Z300" s="3">
        <f t="shared" ca="1" si="55"/>
        <v>0.66000963324629447</v>
      </c>
      <c r="AA300" s="6">
        <f t="shared" ca="1" si="56"/>
        <v>87523.923540699718</v>
      </c>
      <c r="AB300" s="6">
        <f t="shared" ca="1" si="57"/>
        <v>1643.2477905909757</v>
      </c>
    </row>
    <row r="301" spans="1:28" x14ac:dyDescent="0.3">
      <c r="A301" s="53"/>
      <c r="B301" s="54"/>
      <c r="C301" s="65" t="s">
        <v>242</v>
      </c>
      <c r="D301" s="65">
        <f t="shared" ca="1" si="50"/>
        <v>3</v>
      </c>
      <c r="E301" s="3">
        <f t="shared" ca="1" si="51"/>
        <v>0.56955901313974844</v>
      </c>
      <c r="F301" s="6">
        <f t="shared" ca="1" si="52"/>
        <v>174172.07038296951</v>
      </c>
      <c r="G301" s="6">
        <f t="shared" ca="1" si="53"/>
        <v>1159.0400346389415</v>
      </c>
      <c r="V301" s="53"/>
      <c r="W301" s="54"/>
      <c r="X301" s="65" t="s">
        <v>242</v>
      </c>
      <c r="Y301" s="65">
        <f t="shared" ca="1" si="54"/>
        <v>2</v>
      </c>
      <c r="Z301" s="3">
        <f t="shared" ca="1" si="55"/>
        <v>0.48524324965082444</v>
      </c>
      <c r="AA301" s="6">
        <f t="shared" ca="1" si="56"/>
        <v>20329.606481098563</v>
      </c>
      <c r="AB301" s="6">
        <f t="shared" ca="1" si="57"/>
        <v>1155.0540711557994</v>
      </c>
    </row>
    <row r="302" spans="1:28" x14ac:dyDescent="0.3">
      <c r="A302" s="53"/>
      <c r="B302" s="54"/>
      <c r="C302" s="65" t="s">
        <v>242</v>
      </c>
      <c r="D302" s="65">
        <f t="shared" ca="1" si="50"/>
        <v>3</v>
      </c>
      <c r="E302" s="3">
        <f t="shared" ca="1" si="51"/>
        <v>0.95625902508320837</v>
      </c>
      <c r="F302" s="6">
        <f t="shared" ca="1" si="52"/>
        <v>108220.9549873745</v>
      </c>
      <c r="G302" s="6">
        <f t="shared" ca="1" si="53"/>
        <v>1588.8916382055008</v>
      </c>
      <c r="V302" s="53"/>
      <c r="W302" s="54"/>
      <c r="X302" s="65" t="s">
        <v>242</v>
      </c>
      <c r="Y302" s="65">
        <f t="shared" ca="1" si="54"/>
        <v>3</v>
      </c>
      <c r="Z302" s="3">
        <f t="shared" ca="1" si="55"/>
        <v>0.20111669280049382</v>
      </c>
      <c r="AA302" s="6">
        <f t="shared" ca="1" si="56"/>
        <v>139318.36076602843</v>
      </c>
      <c r="AB302" s="6">
        <f t="shared" ca="1" si="57"/>
        <v>768.02543669598708</v>
      </c>
    </row>
    <row r="303" spans="1:28" x14ac:dyDescent="0.3">
      <c r="A303" s="53"/>
      <c r="B303" s="54"/>
      <c r="C303" s="65" t="s">
        <v>242</v>
      </c>
      <c r="D303" s="65">
        <f t="shared" ca="1" si="50"/>
        <v>1</v>
      </c>
      <c r="E303" s="3">
        <f t="shared" ca="1" si="51"/>
        <v>0.27541508830214989</v>
      </c>
      <c r="F303" s="6">
        <f t="shared" ca="1" si="52"/>
        <v>124334.44787234411</v>
      </c>
      <c r="G303" s="6">
        <f t="shared" ca="1" si="53"/>
        <v>1750.4464816610312</v>
      </c>
      <c r="V303" s="53"/>
      <c r="W303" s="54"/>
      <c r="X303" s="65" t="s">
        <v>242</v>
      </c>
      <c r="Y303" s="65">
        <f t="shared" ca="1" si="54"/>
        <v>2</v>
      </c>
      <c r="Z303" s="3">
        <f t="shared" ca="1" si="55"/>
        <v>0.17237873876542753</v>
      </c>
      <c r="AA303" s="6">
        <f t="shared" ca="1" si="56"/>
        <v>176095.74328101409</v>
      </c>
      <c r="AB303" s="6">
        <f t="shared" ca="1" si="57"/>
        <v>122.75032379413409</v>
      </c>
    </row>
    <row r="304" spans="1:28" x14ac:dyDescent="0.3">
      <c r="A304" s="53"/>
      <c r="B304" s="54"/>
      <c r="C304" s="65" t="s">
        <v>242</v>
      </c>
      <c r="D304" s="65">
        <f t="shared" ca="1" si="50"/>
        <v>1</v>
      </c>
      <c r="E304" s="3">
        <f t="shared" ca="1" si="51"/>
        <v>0.11974674921052009</v>
      </c>
      <c r="F304" s="6">
        <f t="shared" ca="1" si="52"/>
        <v>186939.62307699188</v>
      </c>
      <c r="G304" s="6">
        <f t="shared" ca="1" si="53"/>
        <v>1249.2859156806164</v>
      </c>
      <c r="V304" s="53"/>
      <c r="W304" s="54"/>
      <c r="X304" s="65" t="s">
        <v>242</v>
      </c>
      <c r="Y304" s="65">
        <f t="shared" ca="1" si="54"/>
        <v>3</v>
      </c>
      <c r="Z304" s="3">
        <f t="shared" ca="1" si="55"/>
        <v>0.58131376692148928</v>
      </c>
      <c r="AA304" s="6">
        <f t="shared" ca="1" si="56"/>
        <v>60286.417805591074</v>
      </c>
      <c r="AB304" s="6">
        <f t="shared" ca="1" si="57"/>
        <v>1064.3500297584094</v>
      </c>
    </row>
    <row r="305" spans="1:28" x14ac:dyDescent="0.3">
      <c r="A305" s="53"/>
      <c r="B305" s="54"/>
      <c r="C305" s="65" t="s">
        <v>242</v>
      </c>
      <c r="D305" s="65">
        <f t="shared" ca="1" si="50"/>
        <v>1</v>
      </c>
      <c r="E305" s="3">
        <f t="shared" ca="1" si="51"/>
        <v>0.54751892395609714</v>
      </c>
      <c r="F305" s="6">
        <f t="shared" ca="1" si="52"/>
        <v>122049.27251606713</v>
      </c>
      <c r="G305" s="6">
        <f t="shared" ca="1" si="53"/>
        <v>990.6712287912809</v>
      </c>
      <c r="V305" s="53"/>
      <c r="W305" s="54"/>
      <c r="X305" s="65" t="s">
        <v>242</v>
      </c>
      <c r="Y305" s="65">
        <f t="shared" ca="1" si="54"/>
        <v>1</v>
      </c>
      <c r="Z305" s="3">
        <f t="shared" ca="1" si="55"/>
        <v>0.83698082317665567</v>
      </c>
      <c r="AA305" s="6">
        <f t="shared" ca="1" si="56"/>
        <v>91132.374226923755</v>
      </c>
      <c r="AB305" s="6">
        <f t="shared" ca="1" si="57"/>
        <v>649.80748402621805</v>
      </c>
    </row>
    <row r="306" spans="1:28" x14ac:dyDescent="0.3">
      <c r="A306" s="53"/>
      <c r="B306" s="54"/>
      <c r="C306" s="65" t="s">
        <v>242</v>
      </c>
      <c r="D306" s="65">
        <f t="shared" ca="1" si="50"/>
        <v>3</v>
      </c>
      <c r="E306" s="3">
        <f t="shared" ca="1" si="51"/>
        <v>0.68338477902171579</v>
      </c>
      <c r="F306" s="6">
        <f t="shared" ca="1" si="52"/>
        <v>196581.00441530254</v>
      </c>
      <c r="G306" s="6">
        <f t="shared" ca="1" si="53"/>
        <v>1373.5513685924768</v>
      </c>
      <c r="V306" s="53"/>
      <c r="W306" s="54"/>
      <c r="X306" s="65" t="s">
        <v>242</v>
      </c>
      <c r="Y306" s="65">
        <f t="shared" ca="1" si="54"/>
        <v>2</v>
      </c>
      <c r="Z306" s="3">
        <f t="shared" ca="1" si="55"/>
        <v>0.61352323589871105</v>
      </c>
      <c r="AA306" s="6">
        <f t="shared" ca="1" si="56"/>
        <v>138158.37106506497</v>
      </c>
      <c r="AB306" s="6">
        <f t="shared" ca="1" si="57"/>
        <v>368.21279352848421</v>
      </c>
    </row>
    <row r="307" spans="1:28" x14ac:dyDescent="0.3">
      <c r="A307" s="53"/>
      <c r="B307" s="54"/>
      <c r="C307" s="65" t="s">
        <v>242</v>
      </c>
      <c r="D307" s="65">
        <f t="shared" ca="1" si="50"/>
        <v>2</v>
      </c>
      <c r="E307" s="3">
        <f t="shared" ca="1" si="51"/>
        <v>0.19813549392786234</v>
      </c>
      <c r="F307" s="6">
        <f t="shared" ca="1" si="52"/>
        <v>28863.971271748644</v>
      </c>
      <c r="G307" s="6">
        <f t="shared" ca="1" si="53"/>
        <v>1760.1814535465694</v>
      </c>
      <c r="V307" s="53"/>
      <c r="W307" s="54"/>
      <c r="X307" s="65" t="s">
        <v>242</v>
      </c>
      <c r="Y307" s="65">
        <f t="shared" ca="1" si="54"/>
        <v>2</v>
      </c>
      <c r="Z307" s="3">
        <f t="shared" ca="1" si="55"/>
        <v>0.52549325614911824</v>
      </c>
      <c r="AA307" s="6">
        <f t="shared" ca="1" si="56"/>
        <v>155663.15097643851</v>
      </c>
      <c r="AB307" s="6">
        <f t="shared" ca="1" si="57"/>
        <v>1510.2274853513081</v>
      </c>
    </row>
    <row r="308" spans="1:28" x14ac:dyDescent="0.3">
      <c r="A308" s="53"/>
      <c r="B308" s="54"/>
      <c r="C308" s="65" t="s">
        <v>242</v>
      </c>
      <c r="D308" s="65">
        <f t="shared" ca="1" si="50"/>
        <v>3</v>
      </c>
      <c r="E308" s="3">
        <f t="shared" ca="1" si="51"/>
        <v>5.6250850445082379E-2</v>
      </c>
      <c r="F308" s="6">
        <f t="shared" ca="1" si="52"/>
        <v>19595.138295727698</v>
      </c>
      <c r="G308" s="6">
        <f t="shared" ca="1" si="53"/>
        <v>1259.8160994150458</v>
      </c>
      <c r="V308" s="53"/>
      <c r="W308" s="54"/>
      <c r="X308" s="65" t="s">
        <v>242</v>
      </c>
      <c r="Y308" s="65">
        <f t="shared" ca="1" si="54"/>
        <v>2</v>
      </c>
      <c r="Z308" s="3">
        <f t="shared" ca="1" si="55"/>
        <v>0.85949307790397977</v>
      </c>
      <c r="AA308" s="6">
        <f t="shared" ca="1" si="56"/>
        <v>196413.87880640637</v>
      </c>
      <c r="AB308" s="6">
        <f t="shared" ca="1" si="57"/>
        <v>1524.2970963236723</v>
      </c>
    </row>
    <row r="309" spans="1:28" x14ac:dyDescent="0.3">
      <c r="A309" s="53"/>
      <c r="B309" s="54"/>
      <c r="C309" s="65" t="s">
        <v>242</v>
      </c>
      <c r="D309" s="65">
        <f t="shared" ca="1" si="50"/>
        <v>4</v>
      </c>
      <c r="E309" s="3">
        <f t="shared" ca="1" si="51"/>
        <v>6.5594545969039131E-2</v>
      </c>
      <c r="F309" s="6">
        <f t="shared" ca="1" si="52"/>
        <v>27959.238969495393</v>
      </c>
      <c r="G309" s="6">
        <f t="shared" ca="1" si="53"/>
        <v>364.38410989157387</v>
      </c>
      <c r="V309" s="53"/>
      <c r="W309" s="54"/>
      <c r="X309" s="65" t="s">
        <v>242</v>
      </c>
      <c r="Y309" s="65">
        <f t="shared" ca="1" si="54"/>
        <v>4</v>
      </c>
      <c r="Z309" s="3">
        <f t="shared" ca="1" si="55"/>
        <v>0.31649861574262583</v>
      </c>
      <c r="AA309" s="6">
        <f t="shared" ca="1" si="56"/>
        <v>98446.89380741975</v>
      </c>
      <c r="AB309" s="6">
        <f t="shared" ca="1" si="57"/>
        <v>657.28722532944528</v>
      </c>
    </row>
    <row r="310" spans="1:28" x14ac:dyDescent="0.3">
      <c r="A310" s="53"/>
      <c r="B310" s="54"/>
      <c r="C310" s="65" t="s">
        <v>242</v>
      </c>
      <c r="D310" s="65">
        <f t="shared" ca="1" si="50"/>
        <v>4</v>
      </c>
      <c r="E310" s="3">
        <f t="shared" ca="1" si="51"/>
        <v>7.7736520622898708E-2</v>
      </c>
      <c r="F310" s="6">
        <f t="shared" ca="1" si="52"/>
        <v>25657.799714328157</v>
      </c>
      <c r="G310" s="6">
        <f t="shared" ca="1" si="53"/>
        <v>840.12322298732727</v>
      </c>
      <c r="V310" s="53"/>
      <c r="W310" s="54"/>
      <c r="X310" s="65" t="s">
        <v>242</v>
      </c>
      <c r="Y310" s="65">
        <f t="shared" ca="1" si="54"/>
        <v>3</v>
      </c>
      <c r="Z310" s="3">
        <f t="shared" ca="1" si="55"/>
        <v>0.43538396672565793</v>
      </c>
      <c r="AA310" s="6">
        <f t="shared" ca="1" si="56"/>
        <v>145532.90593296426</v>
      </c>
      <c r="AB310" s="6">
        <f t="shared" ca="1" si="57"/>
        <v>1327.357263404655</v>
      </c>
    </row>
    <row r="311" spans="1:28" x14ac:dyDescent="0.3">
      <c r="A311" s="53"/>
      <c r="B311" s="54"/>
      <c r="C311" s="65" t="s">
        <v>242</v>
      </c>
      <c r="D311" s="65">
        <f t="shared" ca="1" si="50"/>
        <v>3</v>
      </c>
      <c r="E311" s="3">
        <f t="shared" ca="1" si="51"/>
        <v>0.52050558542323</v>
      </c>
      <c r="F311" s="6">
        <f t="shared" ca="1" si="52"/>
        <v>45713.212339648489</v>
      </c>
      <c r="G311" s="6">
        <f t="shared" ca="1" si="53"/>
        <v>1483.8002307586553</v>
      </c>
      <c r="V311" s="53"/>
      <c r="W311" s="54"/>
      <c r="X311" s="65" t="s">
        <v>242</v>
      </c>
      <c r="Y311" s="65">
        <f t="shared" ca="1" si="54"/>
        <v>1</v>
      </c>
      <c r="Z311" s="3">
        <f t="shared" ca="1" si="55"/>
        <v>0.66705397670103406</v>
      </c>
      <c r="AA311" s="6">
        <f t="shared" ca="1" si="56"/>
        <v>108608.84656300805</v>
      </c>
      <c r="AB311" s="6">
        <f t="shared" ca="1" si="57"/>
        <v>300.34445528860408</v>
      </c>
    </row>
    <row r="312" spans="1:28" x14ac:dyDescent="0.3">
      <c r="A312" s="53"/>
      <c r="B312" s="54"/>
      <c r="C312" s="65" t="s">
        <v>242</v>
      </c>
      <c r="D312" s="65">
        <f t="shared" ca="1" si="50"/>
        <v>3</v>
      </c>
      <c r="E312" s="3">
        <f t="shared" ca="1" si="51"/>
        <v>0.89422711698210378</v>
      </c>
      <c r="F312" s="6">
        <f t="shared" ca="1" si="52"/>
        <v>124125.27738455578</v>
      </c>
      <c r="G312" s="6">
        <f t="shared" ca="1" si="53"/>
        <v>42.627550265246448</v>
      </c>
      <c r="V312" s="53"/>
      <c r="W312" s="54"/>
      <c r="X312" s="65" t="s">
        <v>242</v>
      </c>
      <c r="Y312" s="65">
        <f t="shared" ca="1" si="54"/>
        <v>1</v>
      </c>
      <c r="Z312" s="3">
        <f t="shared" ca="1" si="55"/>
        <v>0.60440699797768394</v>
      </c>
      <c r="AA312" s="6">
        <f t="shared" ca="1" si="56"/>
        <v>191357.75884590956</v>
      </c>
      <c r="AB312" s="6">
        <f t="shared" ca="1" si="57"/>
        <v>767.34179045170436</v>
      </c>
    </row>
    <row r="313" spans="1:28" x14ac:dyDescent="0.3">
      <c r="A313" s="53"/>
      <c r="B313" s="54"/>
      <c r="C313" s="65" t="s">
        <v>242</v>
      </c>
      <c r="D313" s="65">
        <f t="shared" ca="1" si="50"/>
        <v>4</v>
      </c>
      <c r="E313" s="3">
        <f t="shared" ca="1" si="51"/>
        <v>0.35640672239876359</v>
      </c>
      <c r="F313" s="6">
        <f t="shared" ca="1" si="52"/>
        <v>41145.385529147061</v>
      </c>
      <c r="G313" s="6">
        <f t="shared" ca="1" si="53"/>
        <v>1949.8342313964795</v>
      </c>
      <c r="V313" s="53"/>
      <c r="W313" s="54"/>
      <c r="X313" s="65" t="s">
        <v>242</v>
      </c>
      <c r="Y313" s="65">
        <f t="shared" ca="1" si="54"/>
        <v>3</v>
      </c>
      <c r="Z313" s="3">
        <f t="shared" ca="1" si="55"/>
        <v>2.4282231964526391E-2</v>
      </c>
      <c r="AA313" s="6">
        <f t="shared" ca="1" si="56"/>
        <v>136896.51890809817</v>
      </c>
      <c r="AB313" s="6">
        <f t="shared" ca="1" si="57"/>
        <v>1400.9936765983016</v>
      </c>
    </row>
    <row r="314" spans="1:28" x14ac:dyDescent="0.3">
      <c r="A314" s="53"/>
      <c r="B314" s="54"/>
      <c r="C314" s="65" t="s">
        <v>242</v>
      </c>
      <c r="D314" s="65">
        <f t="shared" ca="1" si="50"/>
        <v>4</v>
      </c>
      <c r="E314" s="3">
        <f t="shared" ca="1" si="51"/>
        <v>0.88986237690937298</v>
      </c>
      <c r="F314" s="6">
        <f t="shared" ca="1" si="52"/>
        <v>56740.290778025163</v>
      </c>
      <c r="G314" s="6">
        <f t="shared" ca="1" si="53"/>
        <v>20.18586687349422</v>
      </c>
      <c r="V314" s="53"/>
      <c r="W314" s="54"/>
      <c r="X314" s="65" t="s">
        <v>242</v>
      </c>
      <c r="Y314" s="65">
        <f t="shared" ca="1" si="54"/>
        <v>1</v>
      </c>
      <c r="Z314" s="3">
        <f t="shared" ca="1" si="55"/>
        <v>0.8799511545164711</v>
      </c>
      <c r="AA314" s="6">
        <f t="shared" ca="1" si="56"/>
        <v>144665.14192556622</v>
      </c>
      <c r="AB314" s="6">
        <f t="shared" ca="1" si="57"/>
        <v>1472.6446327386689</v>
      </c>
    </row>
    <row r="315" spans="1:28" x14ac:dyDescent="0.3">
      <c r="A315" s="53"/>
      <c r="B315" s="54"/>
      <c r="C315" s="65" t="s">
        <v>242</v>
      </c>
      <c r="D315" s="65">
        <f t="shared" ca="1" si="50"/>
        <v>3</v>
      </c>
      <c r="E315" s="3">
        <f t="shared" ca="1" si="51"/>
        <v>0.54285482521985884</v>
      </c>
      <c r="F315" s="6">
        <f t="shared" ca="1" si="52"/>
        <v>191761.86641973016</v>
      </c>
      <c r="G315" s="6">
        <f t="shared" ca="1" si="53"/>
        <v>1878.6055107621166</v>
      </c>
      <c r="V315" s="53"/>
      <c r="W315" s="54"/>
      <c r="X315" s="65" t="s">
        <v>242</v>
      </c>
      <c r="Y315" s="65">
        <f t="shared" ca="1" si="54"/>
        <v>1</v>
      </c>
      <c r="Z315" s="3">
        <f t="shared" ca="1" si="55"/>
        <v>0.56010418008962404</v>
      </c>
      <c r="AA315" s="6">
        <f t="shared" ca="1" si="56"/>
        <v>135736.9888809624</v>
      </c>
      <c r="AB315" s="6">
        <f t="shared" ca="1" si="57"/>
        <v>717.59921313292853</v>
      </c>
    </row>
    <row r="316" spans="1:28" x14ac:dyDescent="0.3">
      <c r="A316" s="53"/>
      <c r="B316" s="54"/>
      <c r="C316" s="65" t="s">
        <v>242</v>
      </c>
      <c r="D316" s="65">
        <f t="shared" ca="1" si="50"/>
        <v>2</v>
      </c>
      <c r="E316" s="3">
        <f t="shared" ca="1" si="51"/>
        <v>0.47834760025061185</v>
      </c>
      <c r="F316" s="6">
        <f t="shared" ca="1" si="52"/>
        <v>183234.01021223969</v>
      </c>
      <c r="G316" s="6">
        <f t="shared" ca="1" si="53"/>
        <v>1796.1524319288978</v>
      </c>
      <c r="V316" s="53"/>
      <c r="W316" s="54"/>
      <c r="X316" s="65" t="s">
        <v>242</v>
      </c>
      <c r="Y316" s="65">
        <f t="shared" ca="1" si="54"/>
        <v>4</v>
      </c>
      <c r="Z316" s="3">
        <f t="shared" ca="1" si="55"/>
        <v>0.84010386237800982</v>
      </c>
      <c r="AA316" s="6">
        <f t="shared" ca="1" si="56"/>
        <v>32092.325239896556</v>
      </c>
      <c r="AB316" s="6">
        <f t="shared" ca="1" si="57"/>
        <v>1459.613281019477</v>
      </c>
    </row>
    <row r="317" spans="1:28" x14ac:dyDescent="0.3">
      <c r="A317" s="53"/>
      <c r="B317" s="54"/>
      <c r="C317" s="65" t="s">
        <v>242</v>
      </c>
      <c r="D317" s="65">
        <f t="shared" ca="1" si="50"/>
        <v>2</v>
      </c>
      <c r="E317" s="3">
        <f t="shared" ca="1" si="51"/>
        <v>0.43121023656257529</v>
      </c>
      <c r="F317" s="6">
        <f t="shared" ca="1" si="52"/>
        <v>161273.25056639864</v>
      </c>
      <c r="G317" s="6">
        <f t="shared" ca="1" si="53"/>
        <v>772.83526597269622</v>
      </c>
      <c r="V317" s="53"/>
      <c r="W317" s="54"/>
      <c r="X317" s="65" t="s">
        <v>242</v>
      </c>
      <c r="Y317" s="65">
        <f t="shared" ca="1" si="54"/>
        <v>2</v>
      </c>
      <c r="Z317" s="3">
        <f t="shared" ca="1" si="55"/>
        <v>0.21203851565613296</v>
      </c>
      <c r="AA317" s="6">
        <f t="shared" ca="1" si="56"/>
        <v>186892.79220743015</v>
      </c>
      <c r="AB317" s="6">
        <f t="shared" ca="1" si="57"/>
        <v>751.69576079071555</v>
      </c>
    </row>
    <row r="318" spans="1:28" x14ac:dyDescent="0.3">
      <c r="A318" s="53"/>
      <c r="B318" s="54"/>
      <c r="C318" s="65" t="s">
        <v>242</v>
      </c>
      <c r="D318" s="65">
        <f t="shared" ca="1" si="50"/>
        <v>2</v>
      </c>
      <c r="E318" s="3">
        <f t="shared" ca="1" si="51"/>
        <v>0.39622260222614258</v>
      </c>
      <c r="F318" s="6">
        <f t="shared" ca="1" si="52"/>
        <v>24598.725920220542</v>
      </c>
      <c r="G318" s="6">
        <f t="shared" ca="1" si="53"/>
        <v>1398.1163357699591</v>
      </c>
      <c r="V318" s="53"/>
      <c r="W318" s="54"/>
      <c r="X318" s="65" t="s">
        <v>242</v>
      </c>
      <c r="Y318" s="65">
        <f t="shared" ca="1" si="54"/>
        <v>1</v>
      </c>
      <c r="Z318" s="3">
        <f t="shared" ca="1" si="55"/>
        <v>0.26319637639024485</v>
      </c>
      <c r="AA318" s="6">
        <f t="shared" ca="1" si="56"/>
        <v>119330.57035201808</v>
      </c>
      <c r="AB318" s="6">
        <f t="shared" ca="1" si="57"/>
        <v>1555.094840116896</v>
      </c>
    </row>
    <row r="319" spans="1:28" x14ac:dyDescent="0.3">
      <c r="A319" s="53"/>
      <c r="B319" s="54"/>
      <c r="C319" s="65" t="s">
        <v>242</v>
      </c>
      <c r="D319" s="65">
        <f t="shared" ca="1" si="50"/>
        <v>2</v>
      </c>
      <c r="E319" s="3">
        <f t="shared" ca="1" si="51"/>
        <v>0.71418712218692737</v>
      </c>
      <c r="F319" s="6">
        <f t="shared" ca="1" si="52"/>
        <v>180597.64890640756</v>
      </c>
      <c r="G319" s="6">
        <f t="shared" ca="1" si="53"/>
        <v>434.03629473812487</v>
      </c>
      <c r="V319" s="53"/>
      <c r="W319" s="54"/>
      <c r="X319" s="65" t="s">
        <v>242</v>
      </c>
      <c r="Y319" s="65">
        <f t="shared" ca="1" si="54"/>
        <v>1</v>
      </c>
      <c r="Z319" s="3">
        <f t="shared" ca="1" si="55"/>
        <v>0.84779296509274171</v>
      </c>
      <c r="AA319" s="6">
        <f t="shared" ca="1" si="56"/>
        <v>31956.865984132277</v>
      </c>
      <c r="AB319" s="6">
        <f t="shared" ca="1" si="57"/>
        <v>1133.172302948801</v>
      </c>
    </row>
    <row r="320" spans="1:28" x14ac:dyDescent="0.3">
      <c r="A320" s="53"/>
      <c r="B320" s="54"/>
      <c r="C320" s="65" t="s">
        <v>242</v>
      </c>
      <c r="D320" s="65">
        <f t="shared" ca="1" si="50"/>
        <v>2</v>
      </c>
      <c r="E320" s="3">
        <f t="shared" ca="1" si="51"/>
        <v>0.31820223972484707</v>
      </c>
      <c r="F320" s="6">
        <f t="shared" ca="1" si="52"/>
        <v>149829.22221801497</v>
      </c>
      <c r="G320" s="6">
        <f t="shared" ca="1" si="53"/>
        <v>1581.7606037943403</v>
      </c>
      <c r="V320" s="53"/>
      <c r="W320" s="54"/>
      <c r="X320" s="65" t="s">
        <v>242</v>
      </c>
      <c r="Y320" s="65">
        <f t="shared" ca="1" si="54"/>
        <v>2</v>
      </c>
      <c r="Z320" s="3">
        <f t="shared" ca="1" si="55"/>
        <v>0.47028416951252883</v>
      </c>
      <c r="AA320" s="6">
        <f t="shared" ca="1" si="56"/>
        <v>43733.392167080012</v>
      </c>
      <c r="AB320" s="6">
        <f t="shared" ca="1" si="57"/>
        <v>130.48317403300302</v>
      </c>
    </row>
    <row r="321" spans="1:28" x14ac:dyDescent="0.3">
      <c r="A321" s="53"/>
      <c r="B321" s="54"/>
      <c r="C321" s="65" t="s">
        <v>242</v>
      </c>
      <c r="D321" s="65">
        <f t="shared" ca="1" si="50"/>
        <v>1</v>
      </c>
      <c r="E321" s="3">
        <f t="shared" ca="1" si="51"/>
        <v>9.952674532191319E-2</v>
      </c>
      <c r="F321" s="6">
        <f t="shared" ca="1" si="52"/>
        <v>115043.07267927493</v>
      </c>
      <c r="G321" s="6">
        <f t="shared" ca="1" si="53"/>
        <v>1491.5989418712886</v>
      </c>
      <c r="V321" s="53"/>
      <c r="W321" s="54"/>
      <c r="X321" s="65" t="s">
        <v>242</v>
      </c>
      <c r="Y321" s="65">
        <f t="shared" ca="1" si="54"/>
        <v>3</v>
      </c>
      <c r="Z321" s="3">
        <f t="shared" ca="1" si="55"/>
        <v>0.67632070318833837</v>
      </c>
      <c r="AA321" s="6">
        <f t="shared" ca="1" si="56"/>
        <v>122717.32246140481</v>
      </c>
      <c r="AB321" s="6">
        <f t="shared" ca="1" si="57"/>
        <v>1846.8924815912533</v>
      </c>
    </row>
    <row r="322" spans="1:28" x14ac:dyDescent="0.3">
      <c r="A322" s="53"/>
      <c r="B322" s="54"/>
      <c r="C322" s="65" t="s">
        <v>219</v>
      </c>
      <c r="D322" s="65">
        <f t="shared" ca="1" si="50"/>
        <v>2</v>
      </c>
      <c r="E322" s="3">
        <f t="shared" ca="1" si="51"/>
        <v>0.15868765598351686</v>
      </c>
      <c r="F322" s="6">
        <f t="shared" ca="1" si="52"/>
        <v>59361.411580250169</v>
      </c>
      <c r="G322" s="6">
        <f t="shared" ca="1" si="53"/>
        <v>1996.7877237632429</v>
      </c>
      <c r="V322" s="53"/>
      <c r="W322" s="54"/>
      <c r="X322" s="65" t="s">
        <v>219</v>
      </c>
      <c r="Y322" s="65">
        <f t="shared" ca="1" si="54"/>
        <v>1</v>
      </c>
      <c r="Z322" s="3">
        <f t="shared" ca="1" si="55"/>
        <v>0.95860745354118115</v>
      </c>
      <c r="AA322" s="6">
        <f t="shared" ca="1" si="56"/>
        <v>64116.629219947448</v>
      </c>
      <c r="AB322" s="6">
        <f t="shared" ca="1" si="57"/>
        <v>877.06518505736233</v>
      </c>
    </row>
    <row r="323" spans="1:28" x14ac:dyDescent="0.3">
      <c r="A323" s="53"/>
      <c r="B323" s="54"/>
      <c r="C323" s="65" t="s">
        <v>219</v>
      </c>
      <c r="D323" s="65">
        <f t="shared" ca="1" si="50"/>
        <v>4</v>
      </c>
      <c r="E323" s="3">
        <f t="shared" ca="1" si="51"/>
        <v>7.7891601517983133E-3</v>
      </c>
      <c r="F323" s="6">
        <f t="shared" ca="1" si="52"/>
        <v>153511.94536233298</v>
      </c>
      <c r="G323" s="6">
        <f t="shared" ca="1" si="53"/>
        <v>278.69731016174978</v>
      </c>
      <c r="V323" s="53"/>
      <c r="W323" s="54"/>
      <c r="X323" s="65" t="s">
        <v>219</v>
      </c>
      <c r="Y323" s="65">
        <f t="shared" ca="1" si="54"/>
        <v>3</v>
      </c>
      <c r="Z323" s="3">
        <f t="shared" ca="1" si="55"/>
        <v>0.15947436950568628</v>
      </c>
      <c r="AA323" s="6">
        <f t="shared" ca="1" si="56"/>
        <v>145548.83710146285</v>
      </c>
      <c r="AB323" s="6">
        <f t="shared" ca="1" si="57"/>
        <v>1504.0228556757559</v>
      </c>
    </row>
    <row r="324" spans="1:28" x14ac:dyDescent="0.3">
      <c r="A324" s="53"/>
      <c r="B324" s="54"/>
      <c r="C324" s="65" t="s">
        <v>219</v>
      </c>
      <c r="D324" s="65">
        <f t="shared" ca="1" si="50"/>
        <v>4</v>
      </c>
      <c r="E324" s="3">
        <f t="shared" ca="1" si="51"/>
        <v>0.96112609404731719</v>
      </c>
      <c r="F324" s="6">
        <f t="shared" ca="1" si="52"/>
        <v>105868.99369001441</v>
      </c>
      <c r="G324" s="6">
        <f t="shared" ca="1" si="53"/>
        <v>829.30716888186873</v>
      </c>
      <c r="V324" s="53"/>
      <c r="W324" s="54"/>
      <c r="X324" s="65" t="s">
        <v>219</v>
      </c>
      <c r="Y324" s="65">
        <f t="shared" ca="1" si="54"/>
        <v>1</v>
      </c>
      <c r="Z324" s="3">
        <f t="shared" ca="1" si="55"/>
        <v>0.53537116481489799</v>
      </c>
      <c r="AA324" s="6">
        <f t="shared" ca="1" si="56"/>
        <v>158382.12923998339</v>
      </c>
      <c r="AB324" s="6">
        <f t="shared" ca="1" si="57"/>
        <v>627.87254840264836</v>
      </c>
    </row>
    <row r="325" spans="1:28" x14ac:dyDescent="0.3">
      <c r="A325" s="53"/>
      <c r="B325" s="54"/>
      <c r="C325" s="65" t="s">
        <v>219</v>
      </c>
      <c r="D325" s="65">
        <f t="shared" ca="1" si="50"/>
        <v>1</v>
      </c>
      <c r="E325" s="3">
        <f t="shared" ca="1" si="51"/>
        <v>0.8229259021219496</v>
      </c>
      <c r="F325" s="6">
        <f t="shared" ca="1" si="52"/>
        <v>142118.98568456728</v>
      </c>
      <c r="G325" s="6">
        <f t="shared" ca="1" si="53"/>
        <v>892.63503548092626</v>
      </c>
      <c r="V325" s="53"/>
      <c r="W325" s="54"/>
      <c r="X325" s="65" t="s">
        <v>219</v>
      </c>
      <c r="Y325" s="65">
        <f t="shared" ca="1" si="54"/>
        <v>3</v>
      </c>
      <c r="Z325" s="3">
        <f t="shared" ca="1" si="55"/>
        <v>0.32307238965512775</v>
      </c>
      <c r="AA325" s="6">
        <f t="shared" ca="1" si="56"/>
        <v>12522.30996619641</v>
      </c>
      <c r="AB325" s="6">
        <f t="shared" ca="1" si="57"/>
        <v>261.36188988789752</v>
      </c>
    </row>
    <row r="326" spans="1:28" x14ac:dyDescent="0.3">
      <c r="A326" s="53"/>
      <c r="B326" s="54"/>
      <c r="C326" s="65" t="s">
        <v>219</v>
      </c>
      <c r="D326" s="65">
        <f t="shared" ca="1" si="50"/>
        <v>2</v>
      </c>
      <c r="E326" s="3">
        <f t="shared" ca="1" si="51"/>
        <v>0.4494161003009044</v>
      </c>
      <c r="F326" s="6">
        <f t="shared" ca="1" si="52"/>
        <v>147624.14257937332</v>
      </c>
      <c r="G326" s="6">
        <f t="shared" ca="1" si="53"/>
        <v>1551.7788419366086</v>
      </c>
      <c r="V326" s="53"/>
      <c r="W326" s="54"/>
      <c r="X326" s="65" t="s">
        <v>219</v>
      </c>
      <c r="Y326" s="65">
        <f t="shared" ca="1" si="54"/>
        <v>4</v>
      </c>
      <c r="Z326" s="3">
        <f t="shared" ca="1" si="55"/>
        <v>0.37221162352796144</v>
      </c>
      <c r="AA326" s="6">
        <f t="shared" ca="1" si="56"/>
        <v>68718.148111778835</v>
      </c>
      <c r="AB326" s="6">
        <f t="shared" ca="1" si="57"/>
        <v>1191.3662738657988</v>
      </c>
    </row>
    <row r="327" spans="1:28" x14ac:dyDescent="0.3">
      <c r="A327" s="53"/>
      <c r="B327" s="54"/>
      <c r="C327" s="65" t="s">
        <v>219</v>
      </c>
      <c r="D327" s="65">
        <f t="shared" ca="1" si="50"/>
        <v>4</v>
      </c>
      <c r="E327" s="3">
        <f t="shared" ca="1" si="51"/>
        <v>5.9165558428583287E-2</v>
      </c>
      <c r="F327" s="6">
        <f t="shared" ca="1" si="52"/>
        <v>94310.979608208363</v>
      </c>
      <c r="G327" s="6">
        <f t="shared" ca="1" si="53"/>
        <v>1169.9203343868394</v>
      </c>
      <c r="V327" s="53"/>
      <c r="W327" s="54"/>
      <c r="X327" s="65" t="s">
        <v>219</v>
      </c>
      <c r="Y327" s="65">
        <f t="shared" ca="1" si="54"/>
        <v>1</v>
      </c>
      <c r="Z327" s="3">
        <f t="shared" ca="1" si="55"/>
        <v>0.78833382325750256</v>
      </c>
      <c r="AA327" s="6">
        <f t="shared" ca="1" si="56"/>
        <v>88999.083136844303</v>
      </c>
      <c r="AB327" s="6">
        <f t="shared" ca="1" si="57"/>
        <v>1755.000375184685</v>
      </c>
    </row>
    <row r="328" spans="1:28" x14ac:dyDescent="0.3">
      <c r="A328" s="53"/>
      <c r="B328" s="54"/>
      <c r="C328" s="65" t="s">
        <v>219</v>
      </c>
      <c r="D328" s="65">
        <f t="shared" ca="1" si="50"/>
        <v>1</v>
      </c>
      <c r="E328" s="3">
        <f t="shared" ca="1" si="51"/>
        <v>0.73049014107251442</v>
      </c>
      <c r="F328" s="6">
        <f t="shared" ca="1" si="52"/>
        <v>17331.104544577956</v>
      </c>
      <c r="G328" s="6">
        <f t="shared" ca="1" si="53"/>
        <v>1620.4932655038126</v>
      </c>
      <c r="V328" s="53"/>
      <c r="W328" s="54"/>
      <c r="X328" s="65" t="s">
        <v>219</v>
      </c>
      <c r="Y328" s="65">
        <f t="shared" ca="1" si="54"/>
        <v>4</v>
      </c>
      <c r="Z328" s="3">
        <f t="shared" ca="1" si="55"/>
        <v>0.39315138270852001</v>
      </c>
      <c r="AA328" s="6">
        <f t="shared" ca="1" si="56"/>
        <v>77314.472666371497</v>
      </c>
      <c r="AB328" s="6">
        <f t="shared" ca="1" si="57"/>
        <v>1568.8511990699697</v>
      </c>
    </row>
    <row r="329" spans="1:28" x14ac:dyDescent="0.3">
      <c r="A329" s="53"/>
      <c r="B329" s="54"/>
      <c r="C329" s="65" t="s">
        <v>219</v>
      </c>
      <c r="D329" s="65">
        <f t="shared" ca="1" si="50"/>
        <v>3</v>
      </c>
      <c r="E329" s="3">
        <f t="shared" ca="1" si="51"/>
        <v>0.57130678707234539</v>
      </c>
      <c r="F329" s="6">
        <f t="shared" ca="1" si="52"/>
        <v>178920.32535256568</v>
      </c>
      <c r="G329" s="6">
        <f t="shared" ca="1" si="53"/>
        <v>59.890476514210093</v>
      </c>
      <c r="V329" s="53"/>
      <c r="W329" s="54"/>
      <c r="X329" s="65" t="s">
        <v>219</v>
      </c>
      <c r="Y329" s="65">
        <f t="shared" ca="1" si="54"/>
        <v>2</v>
      </c>
      <c r="Z329" s="3">
        <f t="shared" ca="1" si="55"/>
        <v>0.51164919279652554</v>
      </c>
      <c r="AA329" s="6">
        <f t="shared" ca="1" si="56"/>
        <v>62538.399989830221</v>
      </c>
      <c r="AB329" s="6">
        <f t="shared" ca="1" si="57"/>
        <v>1875.7284452254883</v>
      </c>
    </row>
    <row r="330" spans="1:28" x14ac:dyDescent="0.3">
      <c r="A330" s="53"/>
      <c r="B330" s="54"/>
      <c r="C330" s="65" t="s">
        <v>219</v>
      </c>
      <c r="D330" s="65">
        <f t="shared" ca="1" si="50"/>
        <v>3</v>
      </c>
      <c r="E330" s="3">
        <f t="shared" ca="1" si="51"/>
        <v>0.50147780801095088</v>
      </c>
      <c r="F330" s="6">
        <f t="shared" ca="1" si="52"/>
        <v>155226.13099583375</v>
      </c>
      <c r="G330" s="6">
        <f t="shared" ca="1" si="53"/>
        <v>1778.9688185070906</v>
      </c>
      <c r="V330" s="53"/>
      <c r="W330" s="54"/>
      <c r="X330" s="65" t="s">
        <v>219</v>
      </c>
      <c r="Y330" s="65">
        <f t="shared" ca="1" si="54"/>
        <v>3</v>
      </c>
      <c r="Z330" s="3">
        <f t="shared" ca="1" si="55"/>
        <v>0.80922878798871378</v>
      </c>
      <c r="AA330" s="6">
        <f t="shared" ca="1" si="56"/>
        <v>79463.517757462847</v>
      </c>
      <c r="AB330" s="6">
        <f t="shared" ca="1" si="57"/>
        <v>1067.0089855073568</v>
      </c>
    </row>
    <row r="331" spans="1:28" x14ac:dyDescent="0.3">
      <c r="A331" s="53"/>
      <c r="B331" s="54"/>
      <c r="C331" s="65" t="s">
        <v>219</v>
      </c>
      <c r="D331" s="65">
        <f t="shared" ca="1" si="50"/>
        <v>3</v>
      </c>
      <c r="E331" s="3">
        <f t="shared" ca="1" si="51"/>
        <v>0.66462801718354036</v>
      </c>
      <c r="F331" s="6">
        <f t="shared" ca="1" si="52"/>
        <v>176233.25244985669</v>
      </c>
      <c r="G331" s="6">
        <f t="shared" ca="1" si="53"/>
        <v>1458.1025078373143</v>
      </c>
      <c r="V331" s="53"/>
      <c r="W331" s="54"/>
      <c r="X331" s="65" t="s">
        <v>219</v>
      </c>
      <c r="Y331" s="65">
        <f t="shared" ca="1" si="54"/>
        <v>4</v>
      </c>
      <c r="Z331" s="3">
        <f t="shared" ca="1" si="55"/>
        <v>0.28381319821765338</v>
      </c>
      <c r="AA331" s="6">
        <f t="shared" ca="1" si="56"/>
        <v>163552.40322376363</v>
      </c>
      <c r="AB331" s="6">
        <f t="shared" ca="1" si="57"/>
        <v>1318.3799649733471</v>
      </c>
    </row>
    <row r="332" spans="1:28" x14ac:dyDescent="0.3">
      <c r="A332" s="53"/>
      <c r="B332" s="54"/>
      <c r="C332" s="65" t="s">
        <v>219</v>
      </c>
      <c r="D332" s="65">
        <f t="shared" ca="1" si="50"/>
        <v>4</v>
      </c>
      <c r="E332" s="3">
        <f t="shared" ca="1" si="51"/>
        <v>0.22296590955137285</v>
      </c>
      <c r="F332" s="6">
        <f t="shared" ca="1" si="52"/>
        <v>146710.12695366098</v>
      </c>
      <c r="G332" s="6">
        <f t="shared" ca="1" si="53"/>
        <v>1964.5371214760937</v>
      </c>
      <c r="V332" s="53"/>
      <c r="W332" s="54"/>
      <c r="X332" s="65" t="s">
        <v>219</v>
      </c>
      <c r="Y332" s="65">
        <f t="shared" ca="1" si="54"/>
        <v>1</v>
      </c>
      <c r="Z332" s="3">
        <f t="shared" ca="1" si="55"/>
        <v>4.8310126960363409E-2</v>
      </c>
      <c r="AA332" s="6">
        <f t="shared" ca="1" si="56"/>
        <v>6902.8712032711328</v>
      </c>
      <c r="AB332" s="6">
        <f t="shared" ca="1" si="57"/>
        <v>1553.4744660699098</v>
      </c>
    </row>
    <row r="333" spans="1:28" x14ac:dyDescent="0.3">
      <c r="A333" s="53"/>
      <c r="B333" s="54"/>
      <c r="C333" s="65" t="s">
        <v>219</v>
      </c>
      <c r="D333" s="65">
        <f t="shared" ref="D333:D396" ca="1" si="58">INT(RAND()*4)+1</f>
        <v>4</v>
      </c>
      <c r="E333" s="3">
        <f t="shared" ref="E333:E396" ca="1" si="59">RAND()</f>
        <v>0.74572597132877383</v>
      </c>
      <c r="F333" s="6">
        <f t="shared" ref="F333:F396" ca="1" si="60">RAND()*200000</f>
        <v>169566.46962938912</v>
      </c>
      <c r="G333" s="6">
        <f t="shared" ref="G333:G396" ca="1" si="61">RAND()*2000</f>
        <v>1047.8313401707919</v>
      </c>
      <c r="V333" s="53"/>
      <c r="W333" s="54"/>
      <c r="X333" s="65" t="s">
        <v>219</v>
      </c>
      <c r="Y333" s="65">
        <f t="shared" ref="Y333:Y396" ca="1" si="62">INT(RAND()*4)+1</f>
        <v>2</v>
      </c>
      <c r="Z333" s="3">
        <f t="shared" ref="Z333:Z396" ca="1" si="63">RAND()</f>
        <v>0.6144553067055909</v>
      </c>
      <c r="AA333" s="6">
        <f t="shared" ref="AA333:AA396" ca="1" si="64">RAND()*200000</f>
        <v>109448.97693312909</v>
      </c>
      <c r="AB333" s="6">
        <f t="shared" ref="AB333:AB396" ca="1" si="65">RAND()*2000</f>
        <v>773.63159054934977</v>
      </c>
    </row>
    <row r="334" spans="1:28" x14ac:dyDescent="0.3">
      <c r="A334" s="53"/>
      <c r="B334" s="54"/>
      <c r="C334" s="65" t="s">
        <v>219</v>
      </c>
      <c r="D334" s="65">
        <f t="shared" ca="1" si="58"/>
        <v>4</v>
      </c>
      <c r="E334" s="3">
        <f t="shared" ca="1" si="59"/>
        <v>0.14247475445953151</v>
      </c>
      <c r="F334" s="6">
        <f t="shared" ca="1" si="60"/>
        <v>2670.6595555842096</v>
      </c>
      <c r="G334" s="6">
        <f t="shared" ca="1" si="61"/>
        <v>1442.4695327307388</v>
      </c>
      <c r="V334" s="53"/>
      <c r="W334" s="54"/>
      <c r="X334" s="65" t="s">
        <v>219</v>
      </c>
      <c r="Y334" s="65">
        <f t="shared" ca="1" si="62"/>
        <v>4</v>
      </c>
      <c r="Z334" s="3">
        <f t="shared" ca="1" si="63"/>
        <v>0.94964179520158798</v>
      </c>
      <c r="AA334" s="6">
        <f t="shared" ca="1" si="64"/>
        <v>79878.063802768054</v>
      </c>
      <c r="AB334" s="6">
        <f t="shared" ca="1" si="65"/>
        <v>355.81676686469052</v>
      </c>
    </row>
    <row r="335" spans="1:28" x14ac:dyDescent="0.3">
      <c r="A335" s="53"/>
      <c r="B335" s="54"/>
      <c r="C335" s="65" t="s">
        <v>219</v>
      </c>
      <c r="D335" s="65">
        <f t="shared" ca="1" si="58"/>
        <v>3</v>
      </c>
      <c r="E335" s="3">
        <f t="shared" ca="1" si="59"/>
        <v>0.92859756310323438</v>
      </c>
      <c r="F335" s="6">
        <f t="shared" ca="1" si="60"/>
        <v>86265.650950336581</v>
      </c>
      <c r="G335" s="6">
        <f t="shared" ca="1" si="61"/>
        <v>868.2686506349055</v>
      </c>
      <c r="V335" s="53"/>
      <c r="W335" s="54"/>
      <c r="X335" s="65" t="s">
        <v>219</v>
      </c>
      <c r="Y335" s="65">
        <f t="shared" ca="1" si="62"/>
        <v>3</v>
      </c>
      <c r="Z335" s="3">
        <f t="shared" ca="1" si="63"/>
        <v>6.9448810448777931E-2</v>
      </c>
      <c r="AA335" s="6">
        <f t="shared" ca="1" si="64"/>
        <v>134236.89603169664</v>
      </c>
      <c r="AB335" s="6">
        <f t="shared" ca="1" si="65"/>
        <v>1752.5820343106177</v>
      </c>
    </row>
    <row r="336" spans="1:28" x14ac:dyDescent="0.3">
      <c r="A336" s="53"/>
      <c r="B336" s="54"/>
      <c r="C336" s="65" t="s">
        <v>219</v>
      </c>
      <c r="D336" s="65">
        <f t="shared" ca="1" si="58"/>
        <v>3</v>
      </c>
      <c r="E336" s="3">
        <f t="shared" ca="1" si="59"/>
        <v>0.43548851293953983</v>
      </c>
      <c r="F336" s="6">
        <f t="shared" ca="1" si="60"/>
        <v>52361.265661568155</v>
      </c>
      <c r="G336" s="6">
        <f t="shared" ca="1" si="61"/>
        <v>1926.7947607381161</v>
      </c>
      <c r="V336" s="53"/>
      <c r="W336" s="54"/>
      <c r="X336" s="65" t="s">
        <v>219</v>
      </c>
      <c r="Y336" s="65">
        <f t="shared" ca="1" si="62"/>
        <v>4</v>
      </c>
      <c r="Z336" s="3">
        <f t="shared" ca="1" si="63"/>
        <v>0.91337474572980848</v>
      </c>
      <c r="AA336" s="6">
        <f t="shared" ca="1" si="64"/>
        <v>5035.8346598137205</v>
      </c>
      <c r="AB336" s="6">
        <f t="shared" ca="1" si="65"/>
        <v>1638.7939752474674</v>
      </c>
    </row>
    <row r="337" spans="1:28" x14ac:dyDescent="0.3">
      <c r="A337" s="53"/>
      <c r="B337" s="54"/>
      <c r="C337" s="65" t="s">
        <v>219</v>
      </c>
      <c r="D337" s="65">
        <f t="shared" ca="1" si="58"/>
        <v>3</v>
      </c>
      <c r="E337" s="3">
        <f t="shared" ca="1" si="59"/>
        <v>0.44876671779201849</v>
      </c>
      <c r="F337" s="6">
        <f t="shared" ca="1" si="60"/>
        <v>192580.77844549643</v>
      </c>
      <c r="G337" s="6">
        <f t="shared" ca="1" si="61"/>
        <v>498.1170119565752</v>
      </c>
      <c r="V337" s="53"/>
      <c r="W337" s="54"/>
      <c r="X337" s="65" t="s">
        <v>219</v>
      </c>
      <c r="Y337" s="65">
        <f t="shared" ca="1" si="62"/>
        <v>2</v>
      </c>
      <c r="Z337" s="3">
        <f t="shared" ca="1" si="63"/>
        <v>4.7574631805013756E-2</v>
      </c>
      <c r="AA337" s="6">
        <f t="shared" ca="1" si="64"/>
        <v>7995.993296470916</v>
      </c>
      <c r="AB337" s="6">
        <f t="shared" ca="1" si="65"/>
        <v>1451.5042896198443</v>
      </c>
    </row>
    <row r="338" spans="1:28" x14ac:dyDescent="0.3">
      <c r="A338" s="53"/>
      <c r="B338" s="54"/>
      <c r="C338" s="65" t="s">
        <v>219</v>
      </c>
      <c r="D338" s="65">
        <f t="shared" ca="1" si="58"/>
        <v>3</v>
      </c>
      <c r="E338" s="3">
        <f t="shared" ca="1" si="59"/>
        <v>0.57592821364569391</v>
      </c>
      <c r="F338" s="6">
        <f t="shared" ca="1" si="60"/>
        <v>142860.19438350518</v>
      </c>
      <c r="G338" s="6">
        <f t="shared" ca="1" si="61"/>
        <v>251.56888213789341</v>
      </c>
      <c r="V338" s="53"/>
      <c r="W338" s="54"/>
      <c r="X338" s="65" t="s">
        <v>219</v>
      </c>
      <c r="Y338" s="65">
        <f t="shared" ca="1" si="62"/>
        <v>3</v>
      </c>
      <c r="Z338" s="3">
        <f t="shared" ca="1" si="63"/>
        <v>0.61984327166796438</v>
      </c>
      <c r="AA338" s="6">
        <f t="shared" ca="1" si="64"/>
        <v>42701.520987150208</v>
      </c>
      <c r="AB338" s="6">
        <f t="shared" ca="1" si="65"/>
        <v>928.79724367634481</v>
      </c>
    </row>
    <row r="339" spans="1:28" x14ac:dyDescent="0.3">
      <c r="A339" s="53"/>
      <c r="B339" s="54"/>
      <c r="C339" s="65" t="s">
        <v>219</v>
      </c>
      <c r="D339" s="65">
        <f t="shared" ca="1" si="58"/>
        <v>3</v>
      </c>
      <c r="E339" s="3">
        <f t="shared" ca="1" si="59"/>
        <v>0.71322579503337347</v>
      </c>
      <c r="F339" s="6">
        <f t="shared" ca="1" si="60"/>
        <v>157760.18766247728</v>
      </c>
      <c r="G339" s="6">
        <f t="shared" ca="1" si="61"/>
        <v>691.52907063910266</v>
      </c>
      <c r="V339" s="53"/>
      <c r="W339" s="54"/>
      <c r="X339" s="65" t="s">
        <v>219</v>
      </c>
      <c r="Y339" s="65">
        <f t="shared" ca="1" si="62"/>
        <v>2</v>
      </c>
      <c r="Z339" s="3">
        <f t="shared" ca="1" si="63"/>
        <v>0.33621439279441645</v>
      </c>
      <c r="AA339" s="6">
        <f t="shared" ca="1" si="64"/>
        <v>146216.64944061951</v>
      </c>
      <c r="AB339" s="6">
        <f t="shared" ca="1" si="65"/>
        <v>1181.7433734725032</v>
      </c>
    </row>
    <row r="340" spans="1:28" x14ac:dyDescent="0.3">
      <c r="A340" s="53"/>
      <c r="B340" s="54"/>
      <c r="C340" s="65" t="s">
        <v>231</v>
      </c>
      <c r="D340" s="65">
        <f t="shared" ca="1" si="58"/>
        <v>2</v>
      </c>
      <c r="E340" s="3">
        <f t="shared" ca="1" si="59"/>
        <v>0.83416592968010095</v>
      </c>
      <c r="F340" s="6">
        <f t="shared" ca="1" si="60"/>
        <v>66423.551150133411</v>
      </c>
      <c r="G340" s="6">
        <f t="shared" ca="1" si="61"/>
        <v>769.14920166324157</v>
      </c>
      <c r="V340" s="53"/>
      <c r="W340" s="54"/>
      <c r="X340" s="65" t="s">
        <v>231</v>
      </c>
      <c r="Y340" s="65">
        <f t="shared" ca="1" si="62"/>
        <v>3</v>
      </c>
      <c r="Z340" s="3">
        <f t="shared" ca="1" si="63"/>
        <v>0.98545630667716966</v>
      </c>
      <c r="AA340" s="6">
        <f t="shared" ca="1" si="64"/>
        <v>105308.68684951297</v>
      </c>
      <c r="AB340" s="6">
        <f t="shared" ca="1" si="65"/>
        <v>822.57929461604022</v>
      </c>
    </row>
    <row r="341" spans="1:28" x14ac:dyDescent="0.3">
      <c r="A341" s="53"/>
      <c r="B341" s="54"/>
      <c r="C341" s="65" t="s">
        <v>231</v>
      </c>
      <c r="D341" s="65">
        <f t="shared" ca="1" si="58"/>
        <v>1</v>
      </c>
      <c r="E341" s="3">
        <f t="shared" ca="1" si="59"/>
        <v>0.88899743606327553</v>
      </c>
      <c r="F341" s="6">
        <f t="shared" ca="1" si="60"/>
        <v>9291.9562651119668</v>
      </c>
      <c r="G341" s="6">
        <f t="shared" ca="1" si="61"/>
        <v>1485.2672720216551</v>
      </c>
      <c r="V341" s="53"/>
      <c r="W341" s="54"/>
      <c r="X341" s="65" t="s">
        <v>231</v>
      </c>
      <c r="Y341" s="65">
        <f t="shared" ca="1" si="62"/>
        <v>1</v>
      </c>
      <c r="Z341" s="3">
        <f t="shared" ca="1" si="63"/>
        <v>0.34519943335751302</v>
      </c>
      <c r="AA341" s="6">
        <f t="shared" ca="1" si="64"/>
        <v>140449.09931916653</v>
      </c>
      <c r="AB341" s="6">
        <f t="shared" ca="1" si="65"/>
        <v>1947.6864417293896</v>
      </c>
    </row>
    <row r="342" spans="1:28" x14ac:dyDescent="0.3">
      <c r="A342" s="53"/>
      <c r="B342" s="54"/>
      <c r="C342" s="65" t="s">
        <v>242</v>
      </c>
      <c r="D342" s="65">
        <f t="shared" ca="1" si="58"/>
        <v>4</v>
      </c>
      <c r="E342" s="3">
        <f t="shared" ca="1" si="59"/>
        <v>0.43953235974816174</v>
      </c>
      <c r="F342" s="6">
        <f t="shared" ca="1" si="60"/>
        <v>196066.38731359754</v>
      </c>
      <c r="G342" s="6">
        <f t="shared" ca="1" si="61"/>
        <v>1137.9444656919081</v>
      </c>
      <c r="V342" s="53"/>
      <c r="W342" s="54"/>
      <c r="X342" s="65" t="s">
        <v>242</v>
      </c>
      <c r="Y342" s="65">
        <f t="shared" ca="1" si="62"/>
        <v>1</v>
      </c>
      <c r="Z342" s="3">
        <f t="shared" ca="1" si="63"/>
        <v>8.5989769299397723E-2</v>
      </c>
      <c r="AA342" s="6">
        <f t="shared" ca="1" si="64"/>
        <v>81184.124262320664</v>
      </c>
      <c r="AB342" s="6">
        <f t="shared" ca="1" si="65"/>
        <v>1015.6401767734349</v>
      </c>
    </row>
    <row r="343" spans="1:28" x14ac:dyDescent="0.3">
      <c r="A343" s="53"/>
      <c r="B343" s="54"/>
      <c r="C343" s="65" t="s">
        <v>242</v>
      </c>
      <c r="D343" s="65">
        <f t="shared" ca="1" si="58"/>
        <v>4</v>
      </c>
      <c r="E343" s="3">
        <f t="shared" ca="1" si="59"/>
        <v>0.86458837764447682</v>
      </c>
      <c r="F343" s="6">
        <f t="shared" ca="1" si="60"/>
        <v>197032.43740695383</v>
      </c>
      <c r="G343" s="6">
        <f t="shared" ca="1" si="61"/>
        <v>1177.3442489376691</v>
      </c>
      <c r="V343" s="53"/>
      <c r="W343" s="54"/>
      <c r="X343" s="65" t="s">
        <v>242</v>
      </c>
      <c r="Y343" s="65">
        <f t="shared" ca="1" si="62"/>
        <v>4</v>
      </c>
      <c r="Z343" s="3">
        <f t="shared" ca="1" si="63"/>
        <v>2.5874723030792635E-2</v>
      </c>
      <c r="AA343" s="6">
        <f t="shared" ca="1" si="64"/>
        <v>39605.867462727714</v>
      </c>
      <c r="AB343" s="6">
        <f t="shared" ca="1" si="65"/>
        <v>354.4484453048795</v>
      </c>
    </row>
    <row r="344" spans="1:28" x14ac:dyDescent="0.3">
      <c r="A344" s="53"/>
      <c r="B344" s="54"/>
      <c r="C344" s="65" t="s">
        <v>242</v>
      </c>
      <c r="D344" s="65">
        <f t="shared" ca="1" si="58"/>
        <v>3</v>
      </c>
      <c r="E344" s="3">
        <f t="shared" ca="1" si="59"/>
        <v>0.69150776166746608</v>
      </c>
      <c r="F344" s="6">
        <f t="shared" ca="1" si="60"/>
        <v>2674.2016472222076</v>
      </c>
      <c r="G344" s="6">
        <f t="shared" ca="1" si="61"/>
        <v>1430.6291721540483</v>
      </c>
      <c r="V344" s="53"/>
      <c r="W344" s="54"/>
      <c r="X344" s="65" t="s">
        <v>242</v>
      </c>
      <c r="Y344" s="65">
        <f t="shared" ca="1" si="62"/>
        <v>2</v>
      </c>
      <c r="Z344" s="3">
        <f t="shared" ca="1" si="63"/>
        <v>0.87538935959439934</v>
      </c>
      <c r="AA344" s="6">
        <f t="shared" ca="1" si="64"/>
        <v>170295.67024964679</v>
      </c>
      <c r="AB344" s="6">
        <f t="shared" ca="1" si="65"/>
        <v>1014.6818168514721</v>
      </c>
    </row>
    <row r="345" spans="1:28" x14ac:dyDescent="0.3">
      <c r="A345" s="53"/>
      <c r="B345" s="54"/>
      <c r="C345" s="65" t="s">
        <v>242</v>
      </c>
      <c r="D345" s="65">
        <f t="shared" ca="1" si="58"/>
        <v>3</v>
      </c>
      <c r="E345" s="3">
        <f t="shared" ca="1" si="59"/>
        <v>0.38234432707714805</v>
      </c>
      <c r="F345" s="6">
        <f t="shared" ca="1" si="60"/>
        <v>15900.802847859819</v>
      </c>
      <c r="G345" s="6">
        <f t="shared" ca="1" si="61"/>
        <v>1443.819343108054</v>
      </c>
      <c r="V345" s="53"/>
      <c r="W345" s="54"/>
      <c r="X345" s="65" t="s">
        <v>242</v>
      </c>
      <c r="Y345" s="65">
        <f t="shared" ca="1" si="62"/>
        <v>1</v>
      </c>
      <c r="Z345" s="3">
        <f t="shared" ca="1" si="63"/>
        <v>4.8119892149548926E-2</v>
      </c>
      <c r="AA345" s="6">
        <f t="shared" ca="1" si="64"/>
        <v>88517.37386634342</v>
      </c>
      <c r="AB345" s="6">
        <f t="shared" ca="1" si="65"/>
        <v>1272.2774310240411</v>
      </c>
    </row>
    <row r="346" spans="1:28" x14ac:dyDescent="0.3">
      <c r="A346" s="53"/>
      <c r="B346" s="54"/>
      <c r="C346" s="65" t="s">
        <v>242</v>
      </c>
      <c r="D346" s="65">
        <f t="shared" ca="1" si="58"/>
        <v>1</v>
      </c>
      <c r="E346" s="3">
        <f t="shared" ca="1" si="59"/>
        <v>0.4872289173037686</v>
      </c>
      <c r="F346" s="6">
        <f t="shared" ca="1" si="60"/>
        <v>140743.71817388252</v>
      </c>
      <c r="G346" s="6">
        <f t="shared" ca="1" si="61"/>
        <v>157.35483039367759</v>
      </c>
      <c r="V346" s="53"/>
      <c r="W346" s="54"/>
      <c r="X346" s="65" t="s">
        <v>242</v>
      </c>
      <c r="Y346" s="65">
        <f t="shared" ca="1" si="62"/>
        <v>3</v>
      </c>
      <c r="Z346" s="3">
        <f t="shared" ca="1" si="63"/>
        <v>0.94179990636326194</v>
      </c>
      <c r="AA346" s="6">
        <f t="shared" ca="1" si="64"/>
        <v>18774.129961620911</v>
      </c>
      <c r="AB346" s="6">
        <f t="shared" ca="1" si="65"/>
        <v>1005.3141414449833</v>
      </c>
    </row>
    <row r="347" spans="1:28" x14ac:dyDescent="0.3">
      <c r="A347" s="53"/>
      <c r="B347" s="54"/>
      <c r="C347" s="65" t="s">
        <v>242</v>
      </c>
      <c r="D347" s="65">
        <f t="shared" ca="1" si="58"/>
        <v>1</v>
      </c>
      <c r="E347" s="3">
        <f t="shared" ca="1" si="59"/>
        <v>0.15378555289070051</v>
      </c>
      <c r="F347" s="6">
        <f t="shared" ca="1" si="60"/>
        <v>58744.243546748628</v>
      </c>
      <c r="G347" s="6">
        <f t="shared" ca="1" si="61"/>
        <v>1945.4386163708041</v>
      </c>
      <c r="V347" s="53"/>
      <c r="W347" s="54"/>
      <c r="X347" s="65" t="s">
        <v>242</v>
      </c>
      <c r="Y347" s="65">
        <f t="shared" ca="1" si="62"/>
        <v>1</v>
      </c>
      <c r="Z347" s="3">
        <f t="shared" ca="1" si="63"/>
        <v>0.89572747818573606</v>
      </c>
      <c r="AA347" s="6">
        <f t="shared" ca="1" si="64"/>
        <v>59506.992563452353</v>
      </c>
      <c r="AB347" s="6">
        <f t="shared" ca="1" si="65"/>
        <v>1430.7093871035361</v>
      </c>
    </row>
    <row r="348" spans="1:28" x14ac:dyDescent="0.3">
      <c r="A348" s="53"/>
      <c r="B348" s="54"/>
      <c r="C348" s="65" t="s">
        <v>231</v>
      </c>
      <c r="D348" s="65">
        <f t="shared" ca="1" si="58"/>
        <v>3</v>
      </c>
      <c r="E348" s="3">
        <f t="shared" ca="1" si="59"/>
        <v>3.243083822781323E-2</v>
      </c>
      <c r="F348" s="6">
        <f t="shared" ca="1" si="60"/>
        <v>3165.0245997291604</v>
      </c>
      <c r="G348" s="6">
        <f t="shared" ca="1" si="61"/>
        <v>983.14777378976294</v>
      </c>
      <c r="V348" s="53"/>
      <c r="W348" s="54"/>
      <c r="X348" s="65" t="s">
        <v>231</v>
      </c>
      <c r="Y348" s="65">
        <f t="shared" ca="1" si="62"/>
        <v>4</v>
      </c>
      <c r="Z348" s="3">
        <f t="shared" ca="1" si="63"/>
        <v>0.99373964328851805</v>
      </c>
      <c r="AA348" s="6">
        <f t="shared" ca="1" si="64"/>
        <v>146064.59344733565</v>
      </c>
      <c r="AB348" s="6">
        <f t="shared" ca="1" si="65"/>
        <v>794.59791782699153</v>
      </c>
    </row>
    <row r="349" spans="1:28" x14ac:dyDescent="0.3">
      <c r="A349" s="53"/>
      <c r="B349" s="54"/>
      <c r="C349" s="65" t="s">
        <v>242</v>
      </c>
      <c r="D349" s="65">
        <f t="shared" ca="1" si="58"/>
        <v>4</v>
      </c>
      <c r="E349" s="3">
        <f t="shared" ca="1" si="59"/>
        <v>0.7622200076333463</v>
      </c>
      <c r="F349" s="6">
        <f t="shared" ca="1" si="60"/>
        <v>585.83137731906822</v>
      </c>
      <c r="G349" s="6">
        <f t="shared" ca="1" si="61"/>
        <v>253.36582742563252</v>
      </c>
      <c r="V349" s="53"/>
      <c r="W349" s="54"/>
      <c r="X349" s="65" t="s">
        <v>242</v>
      </c>
      <c r="Y349" s="65">
        <f t="shared" ca="1" si="62"/>
        <v>2</v>
      </c>
      <c r="Z349" s="3">
        <f t="shared" ca="1" si="63"/>
        <v>0.11283128665224629</v>
      </c>
      <c r="AA349" s="6">
        <f t="shared" ca="1" si="64"/>
        <v>54200.849129368442</v>
      </c>
      <c r="AB349" s="6">
        <f t="shared" ca="1" si="65"/>
        <v>1145.6419615583636</v>
      </c>
    </row>
    <row r="350" spans="1:28" x14ac:dyDescent="0.3">
      <c r="A350" s="53"/>
      <c r="B350" s="54"/>
      <c r="C350" s="65" t="s">
        <v>242</v>
      </c>
      <c r="D350" s="65">
        <f t="shared" ca="1" si="58"/>
        <v>3</v>
      </c>
      <c r="E350" s="3">
        <f t="shared" ca="1" si="59"/>
        <v>0.62742442672411491</v>
      </c>
      <c r="F350" s="6">
        <f t="shared" ca="1" si="60"/>
        <v>161339.73859321783</v>
      </c>
      <c r="G350" s="6">
        <f t="shared" ca="1" si="61"/>
        <v>247.61096641662994</v>
      </c>
      <c r="V350" s="53"/>
      <c r="W350" s="54"/>
      <c r="X350" s="65" t="s">
        <v>242</v>
      </c>
      <c r="Y350" s="65">
        <f t="shared" ca="1" si="62"/>
        <v>3</v>
      </c>
      <c r="Z350" s="3">
        <f t="shared" ca="1" si="63"/>
        <v>0.48125868410058292</v>
      </c>
      <c r="AA350" s="6">
        <f t="shared" ca="1" si="64"/>
        <v>184627.88825730811</v>
      </c>
      <c r="AB350" s="6">
        <f t="shared" ca="1" si="65"/>
        <v>1170.4114350957404</v>
      </c>
    </row>
    <row r="351" spans="1:28" x14ac:dyDescent="0.3">
      <c r="A351" s="53"/>
      <c r="B351" s="54"/>
      <c r="C351" s="65" t="s">
        <v>242</v>
      </c>
      <c r="D351" s="65">
        <f t="shared" ca="1" si="58"/>
        <v>1</v>
      </c>
      <c r="E351" s="3">
        <f t="shared" ca="1" si="59"/>
        <v>0.7944535488610901</v>
      </c>
      <c r="F351" s="6">
        <f t="shared" ca="1" si="60"/>
        <v>22774.365044545153</v>
      </c>
      <c r="G351" s="6">
        <f t="shared" ca="1" si="61"/>
        <v>310.81740602098142</v>
      </c>
      <c r="V351" s="53"/>
      <c r="W351" s="54"/>
      <c r="X351" s="65" t="s">
        <v>242</v>
      </c>
      <c r="Y351" s="65">
        <f t="shared" ca="1" si="62"/>
        <v>2</v>
      </c>
      <c r="Z351" s="3">
        <f t="shared" ca="1" si="63"/>
        <v>0.73669751146265106</v>
      </c>
      <c r="AA351" s="6">
        <f t="shared" ca="1" si="64"/>
        <v>49913.000144257145</v>
      </c>
      <c r="AB351" s="6">
        <f t="shared" ca="1" si="65"/>
        <v>1622.030027945066</v>
      </c>
    </row>
    <row r="352" spans="1:28" x14ac:dyDescent="0.3">
      <c r="A352" s="53"/>
      <c r="B352" s="54"/>
      <c r="C352" s="65" t="s">
        <v>242</v>
      </c>
      <c r="D352" s="65">
        <f t="shared" ca="1" si="58"/>
        <v>3</v>
      </c>
      <c r="E352" s="3">
        <f t="shared" ca="1" si="59"/>
        <v>0.71766116881239128</v>
      </c>
      <c r="F352" s="6">
        <f t="shared" ca="1" si="60"/>
        <v>158941.61087608588</v>
      </c>
      <c r="G352" s="6">
        <f t="shared" ca="1" si="61"/>
        <v>1195.9410294766246</v>
      </c>
      <c r="V352" s="53"/>
      <c r="W352" s="54"/>
      <c r="X352" s="65" t="s">
        <v>242</v>
      </c>
      <c r="Y352" s="65">
        <f t="shared" ca="1" si="62"/>
        <v>2</v>
      </c>
      <c r="Z352" s="3">
        <f t="shared" ca="1" si="63"/>
        <v>0.63464236735212631</v>
      </c>
      <c r="AA352" s="6">
        <f t="shared" ca="1" si="64"/>
        <v>123241.57738469787</v>
      </c>
      <c r="AB352" s="6">
        <f t="shared" ca="1" si="65"/>
        <v>954.45623752765619</v>
      </c>
    </row>
    <row r="353" spans="1:28" x14ac:dyDescent="0.3">
      <c r="A353" s="53"/>
      <c r="B353" s="54"/>
      <c r="C353" s="65" t="s">
        <v>242</v>
      </c>
      <c r="D353" s="65">
        <f t="shared" ca="1" si="58"/>
        <v>2</v>
      </c>
      <c r="E353" s="3">
        <f t="shared" ca="1" si="59"/>
        <v>0.8431164700109125</v>
      </c>
      <c r="F353" s="6">
        <f t="shared" ca="1" si="60"/>
        <v>185153.46186020997</v>
      </c>
      <c r="G353" s="6">
        <f t="shared" ca="1" si="61"/>
        <v>494.37932650190606</v>
      </c>
      <c r="V353" s="53"/>
      <c r="W353" s="54"/>
      <c r="X353" s="65" t="s">
        <v>242</v>
      </c>
      <c r="Y353" s="65">
        <f t="shared" ca="1" si="62"/>
        <v>2</v>
      </c>
      <c r="Z353" s="3">
        <f t="shared" ca="1" si="63"/>
        <v>5.8554907046908022E-2</v>
      </c>
      <c r="AA353" s="6">
        <f t="shared" ca="1" si="64"/>
        <v>36494.405350957939</v>
      </c>
      <c r="AB353" s="6">
        <f t="shared" ca="1" si="65"/>
        <v>1112.20022257593</v>
      </c>
    </row>
    <row r="354" spans="1:28" x14ac:dyDescent="0.3">
      <c r="A354" s="53"/>
      <c r="B354" s="54"/>
      <c r="C354" s="65" t="s">
        <v>242</v>
      </c>
      <c r="D354" s="65">
        <f t="shared" ca="1" si="58"/>
        <v>4</v>
      </c>
      <c r="E354" s="3">
        <f t="shared" ca="1" si="59"/>
        <v>0.58246298371101968</v>
      </c>
      <c r="F354" s="6">
        <f t="shared" ca="1" si="60"/>
        <v>67958.75182575715</v>
      </c>
      <c r="G354" s="6">
        <f t="shared" ca="1" si="61"/>
        <v>892.53364944882492</v>
      </c>
      <c r="V354" s="53"/>
      <c r="W354" s="54"/>
      <c r="X354" s="65" t="s">
        <v>242</v>
      </c>
      <c r="Y354" s="65">
        <f t="shared" ca="1" si="62"/>
        <v>4</v>
      </c>
      <c r="Z354" s="3">
        <f t="shared" ca="1" si="63"/>
        <v>0.86141681198474673</v>
      </c>
      <c r="AA354" s="6">
        <f t="shared" ca="1" si="64"/>
        <v>56120.122782200466</v>
      </c>
      <c r="AB354" s="6">
        <f t="shared" ca="1" si="65"/>
        <v>1203.8725156529429</v>
      </c>
    </row>
    <row r="355" spans="1:28" x14ac:dyDescent="0.3">
      <c r="A355" s="53"/>
      <c r="B355" s="54"/>
      <c r="C355" s="65" t="s">
        <v>242</v>
      </c>
      <c r="D355" s="65">
        <f t="shared" ca="1" si="58"/>
        <v>1</v>
      </c>
      <c r="E355" s="3">
        <f t="shared" ca="1" si="59"/>
        <v>0.54735970204763662</v>
      </c>
      <c r="F355" s="6">
        <f t="shared" ca="1" si="60"/>
        <v>82179.841895364021</v>
      </c>
      <c r="G355" s="6">
        <f t="shared" ca="1" si="61"/>
        <v>1235.2590801806311</v>
      </c>
      <c r="V355" s="53"/>
      <c r="W355" s="54"/>
      <c r="X355" s="65" t="s">
        <v>242</v>
      </c>
      <c r="Y355" s="65">
        <f t="shared" ca="1" si="62"/>
        <v>4</v>
      </c>
      <c r="Z355" s="3">
        <f t="shared" ca="1" si="63"/>
        <v>3.397703459106538E-2</v>
      </c>
      <c r="AA355" s="6">
        <f t="shared" ca="1" si="64"/>
        <v>176905.68242211387</v>
      </c>
      <c r="AB355" s="6">
        <f t="shared" ca="1" si="65"/>
        <v>1921.0460654016174</v>
      </c>
    </row>
    <row r="356" spans="1:28" x14ac:dyDescent="0.3">
      <c r="A356" s="53"/>
      <c r="B356" s="54"/>
      <c r="C356" s="65" t="s">
        <v>242</v>
      </c>
      <c r="D356" s="65">
        <f t="shared" ca="1" si="58"/>
        <v>1</v>
      </c>
      <c r="E356" s="3">
        <f t="shared" ca="1" si="59"/>
        <v>0.55694954291710441</v>
      </c>
      <c r="F356" s="6">
        <f t="shared" ca="1" si="60"/>
        <v>159535.14051612563</v>
      </c>
      <c r="G356" s="6">
        <f t="shared" ca="1" si="61"/>
        <v>991.31370922042913</v>
      </c>
      <c r="V356" s="53"/>
      <c r="W356" s="54"/>
      <c r="X356" s="65" t="s">
        <v>242</v>
      </c>
      <c r="Y356" s="65">
        <f t="shared" ca="1" si="62"/>
        <v>2</v>
      </c>
      <c r="Z356" s="3">
        <f t="shared" ca="1" si="63"/>
        <v>0.57319337643455126</v>
      </c>
      <c r="AA356" s="6">
        <f t="shared" ca="1" si="64"/>
        <v>95243.387768878601</v>
      </c>
      <c r="AB356" s="6">
        <f t="shared" ca="1" si="65"/>
        <v>1780.7143483293214</v>
      </c>
    </row>
    <row r="357" spans="1:28" x14ac:dyDescent="0.3">
      <c r="A357" s="53"/>
      <c r="B357" s="54"/>
      <c r="C357" s="65" t="s">
        <v>231</v>
      </c>
      <c r="D357" s="65">
        <f t="shared" ca="1" si="58"/>
        <v>4</v>
      </c>
      <c r="E357" s="3">
        <f t="shared" ca="1" si="59"/>
        <v>0.70594179008904023</v>
      </c>
      <c r="F357" s="6">
        <f t="shared" ca="1" si="60"/>
        <v>175512.33260545268</v>
      </c>
      <c r="G357" s="6">
        <f t="shared" ca="1" si="61"/>
        <v>63.23929311680687</v>
      </c>
      <c r="V357" s="53"/>
      <c r="W357" s="54"/>
      <c r="X357" s="65" t="s">
        <v>231</v>
      </c>
      <c r="Y357" s="65">
        <f t="shared" ca="1" si="62"/>
        <v>1</v>
      </c>
      <c r="Z357" s="3">
        <f t="shared" ca="1" si="63"/>
        <v>0.74400630282359548</v>
      </c>
      <c r="AA357" s="6">
        <f t="shared" ca="1" si="64"/>
        <v>152249.7502128655</v>
      </c>
      <c r="AB357" s="6">
        <f t="shared" ca="1" si="65"/>
        <v>1676.7244667838618</v>
      </c>
    </row>
    <row r="358" spans="1:28" x14ac:dyDescent="0.3">
      <c r="A358" s="53"/>
      <c r="B358" s="54"/>
      <c r="C358" s="65" t="s">
        <v>242</v>
      </c>
      <c r="D358" s="65">
        <f t="shared" ca="1" si="58"/>
        <v>4</v>
      </c>
      <c r="E358" s="3">
        <f t="shared" ca="1" si="59"/>
        <v>3.3444366248328361E-2</v>
      </c>
      <c r="F358" s="6">
        <f t="shared" ca="1" si="60"/>
        <v>111898.26775836284</v>
      </c>
      <c r="G358" s="6">
        <f t="shared" ca="1" si="61"/>
        <v>830.83095219180132</v>
      </c>
      <c r="V358" s="53"/>
      <c r="W358" s="54"/>
      <c r="X358" s="65" t="s">
        <v>242</v>
      </c>
      <c r="Y358" s="65">
        <f t="shared" ca="1" si="62"/>
        <v>1</v>
      </c>
      <c r="Z358" s="3">
        <f t="shared" ca="1" si="63"/>
        <v>0.34117641004828414</v>
      </c>
      <c r="AA358" s="6">
        <f t="shared" ca="1" si="64"/>
        <v>61976.062933513786</v>
      </c>
      <c r="AB358" s="6">
        <f t="shared" ca="1" si="65"/>
        <v>1835.9927179058657</v>
      </c>
    </row>
    <row r="359" spans="1:28" x14ac:dyDescent="0.3">
      <c r="A359" s="53"/>
      <c r="B359" s="54"/>
      <c r="C359" s="65" t="s">
        <v>242</v>
      </c>
      <c r="D359" s="65">
        <f t="shared" ca="1" si="58"/>
        <v>3</v>
      </c>
      <c r="E359" s="3">
        <f t="shared" ca="1" si="59"/>
        <v>0.49956383827517536</v>
      </c>
      <c r="F359" s="6">
        <f t="shared" ca="1" si="60"/>
        <v>108925.20919816392</v>
      </c>
      <c r="G359" s="6">
        <f t="shared" ca="1" si="61"/>
        <v>1390.9967017837109</v>
      </c>
      <c r="V359" s="53"/>
      <c r="W359" s="54"/>
      <c r="X359" s="65" t="s">
        <v>242</v>
      </c>
      <c r="Y359" s="65">
        <f t="shared" ca="1" si="62"/>
        <v>2</v>
      </c>
      <c r="Z359" s="3">
        <f t="shared" ca="1" si="63"/>
        <v>0.8603030318799294</v>
      </c>
      <c r="AA359" s="6">
        <f t="shared" ca="1" si="64"/>
        <v>43839.823034093642</v>
      </c>
      <c r="AB359" s="6">
        <f t="shared" ca="1" si="65"/>
        <v>1761.6545600612392</v>
      </c>
    </row>
    <row r="360" spans="1:28" x14ac:dyDescent="0.3">
      <c r="A360" s="53"/>
      <c r="B360" s="54"/>
      <c r="C360" s="65" t="s">
        <v>242</v>
      </c>
      <c r="D360" s="65">
        <f t="shared" ca="1" si="58"/>
        <v>4</v>
      </c>
      <c r="E360" s="3">
        <f t="shared" ca="1" si="59"/>
        <v>0.12855522214256621</v>
      </c>
      <c r="F360" s="6">
        <f t="shared" ca="1" si="60"/>
        <v>55776.757935809277</v>
      </c>
      <c r="G360" s="6">
        <f t="shared" ca="1" si="61"/>
        <v>656.44421516792238</v>
      </c>
      <c r="V360" s="53"/>
      <c r="W360" s="54"/>
      <c r="X360" s="65" t="s">
        <v>242</v>
      </c>
      <c r="Y360" s="65">
        <f t="shared" ca="1" si="62"/>
        <v>2</v>
      </c>
      <c r="Z360" s="3">
        <f t="shared" ca="1" si="63"/>
        <v>0.41612852671567468</v>
      </c>
      <c r="AA360" s="6">
        <f t="shared" ca="1" si="64"/>
        <v>108540.45465173443</v>
      </c>
      <c r="AB360" s="6">
        <f t="shared" ca="1" si="65"/>
        <v>1271.2766247562593</v>
      </c>
    </row>
    <row r="361" spans="1:28" x14ac:dyDescent="0.3">
      <c r="A361" s="53"/>
      <c r="B361" s="54"/>
      <c r="C361" s="65" t="s">
        <v>242</v>
      </c>
      <c r="D361" s="65">
        <f t="shared" ca="1" si="58"/>
        <v>2</v>
      </c>
      <c r="E361" s="3">
        <f t="shared" ca="1" si="59"/>
        <v>0.55754012750953952</v>
      </c>
      <c r="F361" s="6">
        <f t="shared" ca="1" si="60"/>
        <v>36377.995213567192</v>
      </c>
      <c r="G361" s="6">
        <f t="shared" ca="1" si="61"/>
        <v>1562.6593141701435</v>
      </c>
      <c r="V361" s="53"/>
      <c r="W361" s="54"/>
      <c r="X361" s="65" t="s">
        <v>242</v>
      </c>
      <c r="Y361" s="65">
        <f t="shared" ca="1" si="62"/>
        <v>2</v>
      </c>
      <c r="Z361" s="3">
        <f t="shared" ca="1" si="63"/>
        <v>0.29913286452173382</v>
      </c>
      <c r="AA361" s="6">
        <f t="shared" ca="1" si="64"/>
        <v>28002.242176479442</v>
      </c>
      <c r="AB361" s="6">
        <f t="shared" ca="1" si="65"/>
        <v>1824.0553968305046</v>
      </c>
    </row>
    <row r="362" spans="1:28" x14ac:dyDescent="0.3">
      <c r="A362" s="53"/>
      <c r="B362" s="54"/>
      <c r="C362" s="65" t="s">
        <v>242</v>
      </c>
      <c r="D362" s="65">
        <f t="shared" ca="1" si="58"/>
        <v>3</v>
      </c>
      <c r="E362" s="3">
        <f t="shared" ca="1" si="59"/>
        <v>0.12461786585150936</v>
      </c>
      <c r="F362" s="6">
        <f t="shared" ca="1" si="60"/>
        <v>45042.489103625026</v>
      </c>
      <c r="G362" s="6">
        <f t="shared" ca="1" si="61"/>
        <v>505.74727947432564</v>
      </c>
      <c r="V362" s="53"/>
      <c r="W362" s="54"/>
      <c r="X362" s="65" t="s">
        <v>242</v>
      </c>
      <c r="Y362" s="65">
        <f t="shared" ca="1" si="62"/>
        <v>2</v>
      </c>
      <c r="Z362" s="3">
        <f t="shared" ca="1" si="63"/>
        <v>0.39962214449633615</v>
      </c>
      <c r="AA362" s="6">
        <f t="shared" ca="1" si="64"/>
        <v>2796.6499728509175</v>
      </c>
      <c r="AB362" s="6">
        <f t="shared" ca="1" si="65"/>
        <v>1825.9978981399875</v>
      </c>
    </row>
    <row r="363" spans="1:28" x14ac:dyDescent="0.3">
      <c r="A363" s="53"/>
      <c r="B363" s="54"/>
      <c r="C363" s="65" t="s">
        <v>242</v>
      </c>
      <c r="D363" s="65">
        <f t="shared" ca="1" si="58"/>
        <v>2</v>
      </c>
      <c r="E363" s="3">
        <f t="shared" ca="1" si="59"/>
        <v>0.93485897205575363</v>
      </c>
      <c r="F363" s="6">
        <f t="shared" ca="1" si="60"/>
        <v>98965.038811261737</v>
      </c>
      <c r="G363" s="6">
        <f t="shared" ca="1" si="61"/>
        <v>1361.1625231238627</v>
      </c>
      <c r="V363" s="53"/>
      <c r="W363" s="54"/>
      <c r="X363" s="65" t="s">
        <v>242</v>
      </c>
      <c r="Y363" s="65">
        <f t="shared" ca="1" si="62"/>
        <v>3</v>
      </c>
      <c r="Z363" s="3">
        <f t="shared" ca="1" si="63"/>
        <v>0.26134372094829605</v>
      </c>
      <c r="AA363" s="6">
        <f t="shared" ca="1" si="64"/>
        <v>132556.66579220333</v>
      </c>
      <c r="AB363" s="6">
        <f t="shared" ca="1" si="65"/>
        <v>974.45058677827842</v>
      </c>
    </row>
    <row r="364" spans="1:28" x14ac:dyDescent="0.3">
      <c r="A364" s="53"/>
      <c r="B364" s="54"/>
      <c r="C364" s="65" t="s">
        <v>242</v>
      </c>
      <c r="D364" s="65">
        <f t="shared" ca="1" si="58"/>
        <v>4</v>
      </c>
      <c r="E364" s="3">
        <f t="shared" ca="1" si="59"/>
        <v>0.79503587078830396</v>
      </c>
      <c r="F364" s="6">
        <f t="shared" ca="1" si="60"/>
        <v>77655.739311241763</v>
      </c>
      <c r="G364" s="6">
        <f t="shared" ca="1" si="61"/>
        <v>138.71838296470605</v>
      </c>
      <c r="V364" s="53"/>
      <c r="W364" s="54"/>
      <c r="X364" s="65" t="s">
        <v>242</v>
      </c>
      <c r="Y364" s="65">
        <f t="shared" ca="1" si="62"/>
        <v>1</v>
      </c>
      <c r="Z364" s="3">
        <f t="shared" ca="1" si="63"/>
        <v>0.92659688582316069</v>
      </c>
      <c r="AA364" s="6">
        <f t="shared" ca="1" si="64"/>
        <v>191274.29866008344</v>
      </c>
      <c r="AB364" s="6">
        <f t="shared" ca="1" si="65"/>
        <v>1890.2006069782576</v>
      </c>
    </row>
    <row r="365" spans="1:28" x14ac:dyDescent="0.3">
      <c r="A365" s="53"/>
      <c r="B365" s="54"/>
      <c r="C365" s="65" t="s">
        <v>242</v>
      </c>
      <c r="D365" s="65">
        <f t="shared" ca="1" si="58"/>
        <v>1</v>
      </c>
      <c r="E365" s="3">
        <f t="shared" ca="1" si="59"/>
        <v>0.40315959795721901</v>
      </c>
      <c r="F365" s="6">
        <f t="shared" ca="1" si="60"/>
        <v>35770.761173382758</v>
      </c>
      <c r="G365" s="6">
        <f t="shared" ca="1" si="61"/>
        <v>1294.0745159092594</v>
      </c>
      <c r="V365" s="53"/>
      <c r="W365" s="54"/>
      <c r="X365" s="65" t="s">
        <v>242</v>
      </c>
      <c r="Y365" s="65">
        <f t="shared" ca="1" si="62"/>
        <v>3</v>
      </c>
      <c r="Z365" s="3">
        <f t="shared" ca="1" si="63"/>
        <v>0.96028891212186596</v>
      </c>
      <c r="AA365" s="6">
        <f t="shared" ca="1" si="64"/>
        <v>152156.72958986356</v>
      </c>
      <c r="AB365" s="6">
        <f t="shared" ca="1" si="65"/>
        <v>1725.3596620330206</v>
      </c>
    </row>
    <row r="366" spans="1:28" x14ac:dyDescent="0.3">
      <c r="A366" s="53"/>
      <c r="B366" s="54"/>
      <c r="C366" s="65" t="s">
        <v>242</v>
      </c>
      <c r="D366" s="65">
        <f t="shared" ca="1" si="58"/>
        <v>1</v>
      </c>
      <c r="E366" s="3">
        <f t="shared" ca="1" si="59"/>
        <v>0.76726702846413841</v>
      </c>
      <c r="F366" s="6">
        <f t="shared" ca="1" si="60"/>
        <v>157080.46984765559</v>
      </c>
      <c r="G366" s="6">
        <f t="shared" ca="1" si="61"/>
        <v>1302.1150801984825</v>
      </c>
      <c r="V366" s="53"/>
      <c r="W366" s="54"/>
      <c r="X366" s="65" t="s">
        <v>242</v>
      </c>
      <c r="Y366" s="65">
        <f t="shared" ca="1" si="62"/>
        <v>2</v>
      </c>
      <c r="Z366" s="3">
        <f t="shared" ca="1" si="63"/>
        <v>0.6236199169418023</v>
      </c>
      <c r="AA366" s="6">
        <f t="shared" ca="1" si="64"/>
        <v>33968.335868218877</v>
      </c>
      <c r="AB366" s="6">
        <f t="shared" ca="1" si="65"/>
        <v>1087.6035567461483</v>
      </c>
    </row>
    <row r="367" spans="1:28" x14ac:dyDescent="0.3">
      <c r="A367" s="53"/>
      <c r="B367" s="54"/>
      <c r="C367" s="65" t="s">
        <v>242</v>
      </c>
      <c r="D367" s="65">
        <f t="shared" ca="1" si="58"/>
        <v>4</v>
      </c>
      <c r="E367" s="3">
        <f t="shared" ca="1" si="59"/>
        <v>0.78117934802393119</v>
      </c>
      <c r="F367" s="6">
        <f t="shared" ca="1" si="60"/>
        <v>199515.47266089852</v>
      </c>
      <c r="G367" s="6">
        <f t="shared" ca="1" si="61"/>
        <v>1768.5885199196643</v>
      </c>
      <c r="V367" s="53"/>
      <c r="W367" s="54"/>
      <c r="X367" s="65" t="s">
        <v>242</v>
      </c>
      <c r="Y367" s="65">
        <f t="shared" ca="1" si="62"/>
        <v>1</v>
      </c>
      <c r="Z367" s="3">
        <f t="shared" ca="1" si="63"/>
        <v>0.43741487236880916</v>
      </c>
      <c r="AA367" s="6">
        <f t="shared" ca="1" si="64"/>
        <v>48159.407628350804</v>
      </c>
      <c r="AB367" s="6">
        <f t="shared" ca="1" si="65"/>
        <v>767.09787861905636</v>
      </c>
    </row>
    <row r="368" spans="1:28" x14ac:dyDescent="0.3">
      <c r="A368" s="53"/>
      <c r="B368" s="54"/>
      <c r="C368" s="65" t="s">
        <v>231</v>
      </c>
      <c r="D368" s="65">
        <f t="shared" ca="1" si="58"/>
        <v>2</v>
      </c>
      <c r="E368" s="3">
        <f t="shared" ca="1" si="59"/>
        <v>0.88449816980988138</v>
      </c>
      <c r="F368" s="6">
        <f t="shared" ca="1" si="60"/>
        <v>193171.77013614363</v>
      </c>
      <c r="G368" s="6">
        <f t="shared" ca="1" si="61"/>
        <v>1157.0132758696834</v>
      </c>
      <c r="V368" s="53"/>
      <c r="W368" s="54"/>
      <c r="X368" s="65" t="s">
        <v>231</v>
      </c>
      <c r="Y368" s="65">
        <f t="shared" ca="1" si="62"/>
        <v>2</v>
      </c>
      <c r="Z368" s="3">
        <f t="shared" ca="1" si="63"/>
        <v>0.92581069326084442</v>
      </c>
      <c r="AA368" s="6">
        <f t="shared" ca="1" si="64"/>
        <v>73611.418956908703</v>
      </c>
      <c r="AB368" s="6">
        <f t="shared" ca="1" si="65"/>
        <v>821.51985329064246</v>
      </c>
    </row>
    <row r="369" spans="1:28" x14ac:dyDescent="0.3">
      <c r="A369" s="53"/>
      <c r="B369" s="54"/>
      <c r="C369" s="65" t="s">
        <v>242</v>
      </c>
      <c r="D369" s="65">
        <f t="shared" ca="1" si="58"/>
        <v>1</v>
      </c>
      <c r="E369" s="3">
        <f t="shared" ca="1" si="59"/>
        <v>0.30760033471175929</v>
      </c>
      <c r="F369" s="6">
        <f t="shared" ca="1" si="60"/>
        <v>125622.69741486982</v>
      </c>
      <c r="G369" s="6">
        <f t="shared" ca="1" si="61"/>
        <v>1929.4152164669495</v>
      </c>
      <c r="V369" s="53"/>
      <c r="W369" s="54"/>
      <c r="X369" s="65" t="s">
        <v>242</v>
      </c>
      <c r="Y369" s="65">
        <f t="shared" ca="1" si="62"/>
        <v>4</v>
      </c>
      <c r="Z369" s="3">
        <f t="shared" ca="1" si="63"/>
        <v>0.90344506095610155</v>
      </c>
      <c r="AA369" s="6">
        <f t="shared" ca="1" si="64"/>
        <v>80113.280796975509</v>
      </c>
      <c r="AB369" s="6">
        <f t="shared" ca="1" si="65"/>
        <v>745.53664110006036</v>
      </c>
    </row>
    <row r="370" spans="1:28" x14ac:dyDescent="0.3">
      <c r="A370" s="53"/>
      <c r="B370" s="54"/>
      <c r="C370" s="65" t="s">
        <v>242</v>
      </c>
      <c r="D370" s="65">
        <f t="shared" ca="1" si="58"/>
        <v>3</v>
      </c>
      <c r="E370" s="3">
        <f t="shared" ca="1" si="59"/>
        <v>0.16404372587826177</v>
      </c>
      <c r="F370" s="6">
        <f t="shared" ca="1" si="60"/>
        <v>4605.0775429740124</v>
      </c>
      <c r="G370" s="6">
        <f t="shared" ca="1" si="61"/>
        <v>487.05620342177934</v>
      </c>
      <c r="V370" s="53"/>
      <c r="W370" s="54"/>
      <c r="X370" s="65" t="s">
        <v>242</v>
      </c>
      <c r="Y370" s="65">
        <f t="shared" ca="1" si="62"/>
        <v>4</v>
      </c>
      <c r="Z370" s="3">
        <f t="shared" ca="1" si="63"/>
        <v>0.13657151975256476</v>
      </c>
      <c r="AA370" s="6">
        <f t="shared" ca="1" si="64"/>
        <v>57784.142653451396</v>
      </c>
      <c r="AB370" s="6">
        <f t="shared" ca="1" si="65"/>
        <v>1453.6738570078683</v>
      </c>
    </row>
    <row r="371" spans="1:28" x14ac:dyDescent="0.3">
      <c r="A371" s="53"/>
      <c r="B371" s="54"/>
      <c r="C371" s="65" t="s">
        <v>231</v>
      </c>
      <c r="D371" s="65">
        <f t="shared" ca="1" si="58"/>
        <v>3</v>
      </c>
      <c r="E371" s="3">
        <f t="shared" ca="1" si="59"/>
        <v>0.6100725774279937</v>
      </c>
      <c r="F371" s="6">
        <f t="shared" ca="1" si="60"/>
        <v>149643.84288695813</v>
      </c>
      <c r="G371" s="6">
        <f t="shared" ca="1" si="61"/>
        <v>205.07954841092868</v>
      </c>
      <c r="V371" s="53"/>
      <c r="W371" s="54"/>
      <c r="X371" s="65" t="s">
        <v>231</v>
      </c>
      <c r="Y371" s="65">
        <f t="shared" ca="1" si="62"/>
        <v>2</v>
      </c>
      <c r="Z371" s="3">
        <f t="shared" ca="1" si="63"/>
        <v>0.54048471041867552</v>
      </c>
      <c r="AA371" s="6">
        <f t="shared" ca="1" si="64"/>
        <v>70932.696332903492</v>
      </c>
      <c r="AB371" s="6">
        <f t="shared" ca="1" si="65"/>
        <v>1860.4072627576102</v>
      </c>
    </row>
    <row r="372" spans="1:28" x14ac:dyDescent="0.3">
      <c r="A372" s="53"/>
      <c r="B372" s="54"/>
      <c r="C372" s="65" t="s">
        <v>231</v>
      </c>
      <c r="D372" s="65">
        <f t="shared" ca="1" si="58"/>
        <v>1</v>
      </c>
      <c r="E372" s="3">
        <f t="shared" ca="1" si="59"/>
        <v>6.7543643487170235E-2</v>
      </c>
      <c r="F372" s="6">
        <f t="shared" ca="1" si="60"/>
        <v>88597.371607003181</v>
      </c>
      <c r="G372" s="6">
        <f t="shared" ca="1" si="61"/>
        <v>1282.8404171530881</v>
      </c>
      <c r="V372" s="53"/>
      <c r="W372" s="54"/>
      <c r="X372" s="65" t="s">
        <v>231</v>
      </c>
      <c r="Y372" s="65">
        <f t="shared" ca="1" si="62"/>
        <v>3</v>
      </c>
      <c r="Z372" s="3">
        <f t="shared" ca="1" si="63"/>
        <v>0.1423207159522627</v>
      </c>
      <c r="AA372" s="6">
        <f t="shared" ca="1" si="64"/>
        <v>1349.982164210295</v>
      </c>
      <c r="AB372" s="6">
        <f t="shared" ca="1" si="65"/>
        <v>1556.2853441388536</v>
      </c>
    </row>
    <row r="373" spans="1:28" x14ac:dyDescent="0.3">
      <c r="A373" s="53"/>
      <c r="B373" s="54"/>
      <c r="C373" s="65" t="s">
        <v>231</v>
      </c>
      <c r="D373" s="65">
        <f t="shared" ca="1" si="58"/>
        <v>1</v>
      </c>
      <c r="E373" s="3">
        <f t="shared" ca="1" si="59"/>
        <v>0.3093948921290065</v>
      </c>
      <c r="F373" s="6">
        <f t="shared" ca="1" si="60"/>
        <v>113086.32452519237</v>
      </c>
      <c r="G373" s="6">
        <f t="shared" ca="1" si="61"/>
        <v>729.48834272645422</v>
      </c>
      <c r="V373" s="53"/>
      <c r="W373" s="54"/>
      <c r="X373" s="65" t="s">
        <v>231</v>
      </c>
      <c r="Y373" s="65">
        <f t="shared" ca="1" si="62"/>
        <v>1</v>
      </c>
      <c r="Z373" s="3">
        <f t="shared" ca="1" si="63"/>
        <v>0.30536249808071025</v>
      </c>
      <c r="AA373" s="6">
        <f t="shared" ca="1" si="64"/>
        <v>30403.437689487499</v>
      </c>
      <c r="AB373" s="6">
        <f t="shared" ca="1" si="65"/>
        <v>1680.4918478998</v>
      </c>
    </row>
    <row r="374" spans="1:28" x14ac:dyDescent="0.3">
      <c r="A374" s="53"/>
      <c r="B374" s="54"/>
      <c r="C374" s="65" t="s">
        <v>242</v>
      </c>
      <c r="D374" s="65">
        <f t="shared" ca="1" si="58"/>
        <v>1</v>
      </c>
      <c r="E374" s="3">
        <f t="shared" ca="1" si="59"/>
        <v>0.78761377860541093</v>
      </c>
      <c r="F374" s="6">
        <f t="shared" ca="1" si="60"/>
        <v>150185.64331500584</v>
      </c>
      <c r="G374" s="6">
        <f t="shared" ca="1" si="61"/>
        <v>1046.6876594103237</v>
      </c>
      <c r="V374" s="53"/>
      <c r="W374" s="54"/>
      <c r="X374" s="65" t="s">
        <v>242</v>
      </c>
      <c r="Y374" s="65">
        <f t="shared" ca="1" si="62"/>
        <v>3</v>
      </c>
      <c r="Z374" s="3">
        <f t="shared" ca="1" si="63"/>
        <v>0.78454215754922774</v>
      </c>
      <c r="AA374" s="6">
        <f t="shared" ca="1" si="64"/>
        <v>137524.36573535326</v>
      </c>
      <c r="AB374" s="6">
        <f t="shared" ca="1" si="65"/>
        <v>1181.1718775244885</v>
      </c>
    </row>
    <row r="375" spans="1:28" x14ac:dyDescent="0.3">
      <c r="A375" s="53"/>
      <c r="B375" s="54"/>
      <c r="C375" s="65" t="s">
        <v>231</v>
      </c>
      <c r="D375" s="65">
        <f t="shared" ca="1" si="58"/>
        <v>4</v>
      </c>
      <c r="E375" s="3">
        <f t="shared" ca="1" si="59"/>
        <v>0.63864411197863613</v>
      </c>
      <c r="F375" s="6">
        <f t="shared" ca="1" si="60"/>
        <v>175248.1434843379</v>
      </c>
      <c r="G375" s="6">
        <f t="shared" ca="1" si="61"/>
        <v>1182.9739876355029</v>
      </c>
      <c r="V375" s="53"/>
      <c r="W375" s="54"/>
      <c r="X375" s="65" t="s">
        <v>231</v>
      </c>
      <c r="Y375" s="65">
        <f t="shared" ca="1" si="62"/>
        <v>3</v>
      </c>
      <c r="Z375" s="3">
        <f t="shared" ca="1" si="63"/>
        <v>0.89650958395819524</v>
      </c>
      <c r="AA375" s="6">
        <f t="shared" ca="1" si="64"/>
        <v>130361.80622032163</v>
      </c>
      <c r="AB375" s="6">
        <f t="shared" ca="1" si="65"/>
        <v>1332.3385619634146</v>
      </c>
    </row>
    <row r="376" spans="1:28" x14ac:dyDescent="0.3">
      <c r="A376" s="53"/>
      <c r="B376" s="54"/>
      <c r="C376" s="65" t="s">
        <v>242</v>
      </c>
      <c r="D376" s="65">
        <f t="shared" ca="1" si="58"/>
        <v>4</v>
      </c>
      <c r="E376" s="3">
        <f t="shared" ca="1" si="59"/>
        <v>0.69959180595268922</v>
      </c>
      <c r="F376" s="6">
        <f t="shared" ca="1" si="60"/>
        <v>140048.48059250764</v>
      </c>
      <c r="G376" s="6">
        <f t="shared" ca="1" si="61"/>
        <v>1384.6313530922523</v>
      </c>
      <c r="V376" s="53"/>
      <c r="W376" s="54"/>
      <c r="X376" s="65" t="s">
        <v>242</v>
      </c>
      <c r="Y376" s="65">
        <f t="shared" ca="1" si="62"/>
        <v>4</v>
      </c>
      <c r="Z376" s="3">
        <f t="shared" ca="1" si="63"/>
        <v>0.7554403366337169</v>
      </c>
      <c r="AA376" s="6">
        <f t="shared" ca="1" si="64"/>
        <v>76142.925150958923</v>
      </c>
      <c r="AB376" s="6">
        <f t="shared" ca="1" si="65"/>
        <v>1781.4655144465933</v>
      </c>
    </row>
    <row r="377" spans="1:28" x14ac:dyDescent="0.3">
      <c r="A377" s="53"/>
      <c r="B377" s="54"/>
      <c r="C377" s="65" t="s">
        <v>231</v>
      </c>
      <c r="D377" s="65">
        <f t="shared" ca="1" si="58"/>
        <v>1</v>
      </c>
      <c r="E377" s="3">
        <f t="shared" ca="1" si="59"/>
        <v>0.45561192143202422</v>
      </c>
      <c r="F377" s="6">
        <f t="shared" ca="1" si="60"/>
        <v>174719.26644828735</v>
      </c>
      <c r="G377" s="6">
        <f t="shared" ca="1" si="61"/>
        <v>1115.0796311019051</v>
      </c>
      <c r="V377" s="53"/>
      <c r="W377" s="54"/>
      <c r="X377" s="65" t="s">
        <v>231</v>
      </c>
      <c r="Y377" s="65">
        <f t="shared" ca="1" si="62"/>
        <v>2</v>
      </c>
      <c r="Z377" s="3">
        <f t="shared" ca="1" si="63"/>
        <v>0.21563589666762029</v>
      </c>
      <c r="AA377" s="6">
        <f t="shared" ca="1" si="64"/>
        <v>26204.639855111345</v>
      </c>
      <c r="AB377" s="6">
        <f t="shared" ca="1" si="65"/>
        <v>1591.6481761833677</v>
      </c>
    </row>
    <row r="378" spans="1:28" x14ac:dyDescent="0.3">
      <c r="A378" s="53"/>
      <c r="B378" s="54"/>
      <c r="C378" s="65" t="s">
        <v>231</v>
      </c>
      <c r="D378" s="65">
        <f t="shared" ca="1" si="58"/>
        <v>2</v>
      </c>
      <c r="E378" s="3">
        <f t="shared" ca="1" si="59"/>
        <v>0.36550610448549403</v>
      </c>
      <c r="F378" s="6">
        <f t="shared" ca="1" si="60"/>
        <v>34106.158417912804</v>
      </c>
      <c r="G378" s="6">
        <f t="shared" ca="1" si="61"/>
        <v>1610.3050576359935</v>
      </c>
      <c r="V378" s="53"/>
      <c r="W378" s="54"/>
      <c r="X378" s="65" t="s">
        <v>231</v>
      </c>
      <c r="Y378" s="65">
        <f t="shared" ca="1" si="62"/>
        <v>1</v>
      </c>
      <c r="Z378" s="3">
        <f t="shared" ca="1" si="63"/>
        <v>0.42146464149711449</v>
      </c>
      <c r="AA378" s="6">
        <f t="shared" ca="1" si="64"/>
        <v>84864.656886387442</v>
      </c>
      <c r="AB378" s="6">
        <f t="shared" ca="1" si="65"/>
        <v>1816.0537722533606</v>
      </c>
    </row>
    <row r="379" spans="1:28" x14ac:dyDescent="0.3">
      <c r="A379" s="53"/>
      <c r="B379" s="54"/>
      <c r="C379" s="65" t="s">
        <v>231</v>
      </c>
      <c r="D379" s="65">
        <f t="shared" ca="1" si="58"/>
        <v>4</v>
      </c>
      <c r="E379" s="3">
        <f t="shared" ca="1" si="59"/>
        <v>0.25693770267653582</v>
      </c>
      <c r="F379" s="6">
        <f t="shared" ca="1" si="60"/>
        <v>93607.799546857947</v>
      </c>
      <c r="G379" s="6">
        <f t="shared" ca="1" si="61"/>
        <v>1591.7650728415022</v>
      </c>
      <c r="V379" s="53"/>
      <c r="W379" s="54"/>
      <c r="X379" s="65" t="s">
        <v>231</v>
      </c>
      <c r="Y379" s="65">
        <f t="shared" ca="1" si="62"/>
        <v>3</v>
      </c>
      <c r="Z379" s="3">
        <f t="shared" ca="1" si="63"/>
        <v>0.4341026156812734</v>
      </c>
      <c r="AA379" s="6">
        <f t="shared" ca="1" si="64"/>
        <v>55033.56063700893</v>
      </c>
      <c r="AB379" s="6">
        <f t="shared" ca="1" si="65"/>
        <v>1441.5138205386609</v>
      </c>
    </row>
    <row r="380" spans="1:28" x14ac:dyDescent="0.3">
      <c r="A380" s="53"/>
      <c r="B380" s="54"/>
      <c r="C380" s="65" t="s">
        <v>231</v>
      </c>
      <c r="D380" s="65">
        <f t="shared" ca="1" si="58"/>
        <v>3</v>
      </c>
      <c r="E380" s="3">
        <f t="shared" ca="1" si="59"/>
        <v>0.91863921651777225</v>
      </c>
      <c r="F380" s="6">
        <f t="shared" ca="1" si="60"/>
        <v>36983.216621232539</v>
      </c>
      <c r="G380" s="6">
        <f t="shared" ca="1" si="61"/>
        <v>1240.88460113463</v>
      </c>
      <c r="V380" s="53"/>
      <c r="W380" s="54"/>
      <c r="X380" s="65" t="s">
        <v>231</v>
      </c>
      <c r="Y380" s="65">
        <f t="shared" ca="1" si="62"/>
        <v>2</v>
      </c>
      <c r="Z380" s="3">
        <f t="shared" ca="1" si="63"/>
        <v>0.49712923692192834</v>
      </c>
      <c r="AA380" s="6">
        <f t="shared" ca="1" si="64"/>
        <v>186965.49775724718</v>
      </c>
      <c r="AB380" s="6">
        <f t="shared" ca="1" si="65"/>
        <v>14.34806222980578</v>
      </c>
    </row>
    <row r="381" spans="1:28" x14ac:dyDescent="0.3">
      <c r="A381" s="53"/>
      <c r="B381" s="54"/>
      <c r="C381" s="65" t="s">
        <v>231</v>
      </c>
      <c r="D381" s="65">
        <f t="shared" ca="1" si="58"/>
        <v>1</v>
      </c>
      <c r="E381" s="3">
        <f t="shared" ca="1" si="59"/>
        <v>5.0234388602863334E-2</v>
      </c>
      <c r="F381" s="6">
        <f t="shared" ca="1" si="60"/>
        <v>100819.95248877649</v>
      </c>
      <c r="G381" s="6">
        <f t="shared" ca="1" si="61"/>
        <v>1587.8124143702096</v>
      </c>
      <c r="V381" s="53"/>
      <c r="W381" s="54"/>
      <c r="X381" s="65" t="s">
        <v>231</v>
      </c>
      <c r="Y381" s="65">
        <f t="shared" ca="1" si="62"/>
        <v>3</v>
      </c>
      <c r="Z381" s="3">
        <f t="shared" ca="1" si="63"/>
        <v>0.91594777431162155</v>
      </c>
      <c r="AA381" s="6">
        <f t="shared" ca="1" si="64"/>
        <v>168934.73457209201</v>
      </c>
      <c r="AB381" s="6">
        <f t="shared" ca="1" si="65"/>
        <v>986.36641449142951</v>
      </c>
    </row>
    <row r="382" spans="1:28" x14ac:dyDescent="0.3">
      <c r="A382" s="53"/>
      <c r="B382" s="54"/>
      <c r="C382" s="65" t="s">
        <v>242</v>
      </c>
      <c r="D382" s="65">
        <f t="shared" ca="1" si="58"/>
        <v>1</v>
      </c>
      <c r="E382" s="3">
        <f t="shared" ca="1" si="59"/>
        <v>0.59436421859703781</v>
      </c>
      <c r="F382" s="6">
        <f t="shared" ca="1" si="60"/>
        <v>167981.05320921756</v>
      </c>
      <c r="G382" s="6">
        <f t="shared" ca="1" si="61"/>
        <v>1952.3930121083565</v>
      </c>
      <c r="V382" s="53"/>
      <c r="W382" s="54"/>
      <c r="X382" s="65" t="s">
        <v>242</v>
      </c>
      <c r="Y382" s="65">
        <f t="shared" ca="1" si="62"/>
        <v>1</v>
      </c>
      <c r="Z382" s="3">
        <f t="shared" ca="1" si="63"/>
        <v>0.42620942828854247</v>
      </c>
      <c r="AA382" s="6">
        <f t="shared" ca="1" si="64"/>
        <v>9203.8191593629035</v>
      </c>
      <c r="AB382" s="6">
        <f t="shared" ca="1" si="65"/>
        <v>1887.1561921371786</v>
      </c>
    </row>
    <row r="383" spans="1:28" x14ac:dyDescent="0.3">
      <c r="A383" s="53"/>
      <c r="B383" s="54"/>
      <c r="C383" s="65" t="s">
        <v>231</v>
      </c>
      <c r="D383" s="65">
        <f t="shared" ca="1" si="58"/>
        <v>1</v>
      </c>
      <c r="E383" s="3">
        <f t="shared" ca="1" si="59"/>
        <v>0.71292110347344839</v>
      </c>
      <c r="F383" s="6">
        <f t="shared" ca="1" si="60"/>
        <v>32415.925481625662</v>
      </c>
      <c r="G383" s="6">
        <f t="shared" ca="1" si="61"/>
        <v>928.47299779682442</v>
      </c>
      <c r="V383" s="53"/>
      <c r="W383" s="54"/>
      <c r="X383" s="65" t="s">
        <v>231</v>
      </c>
      <c r="Y383" s="65">
        <f t="shared" ca="1" si="62"/>
        <v>1</v>
      </c>
      <c r="Z383" s="3">
        <f t="shared" ca="1" si="63"/>
        <v>0.80259548791959656</v>
      </c>
      <c r="AA383" s="6">
        <f t="shared" ca="1" si="64"/>
        <v>90182.550322062787</v>
      </c>
      <c r="AB383" s="6">
        <f t="shared" ca="1" si="65"/>
        <v>1858.5921473226986</v>
      </c>
    </row>
    <row r="384" spans="1:28" x14ac:dyDescent="0.3">
      <c r="A384" s="53"/>
      <c r="B384" s="54"/>
      <c r="C384" s="65" t="s">
        <v>242</v>
      </c>
      <c r="D384" s="65">
        <f t="shared" ca="1" si="58"/>
        <v>1</v>
      </c>
      <c r="E384" s="3">
        <f t="shared" ca="1" si="59"/>
        <v>0.39516965448732677</v>
      </c>
      <c r="F384" s="6">
        <f t="shared" ca="1" si="60"/>
        <v>125569.18973495784</v>
      </c>
      <c r="G384" s="6">
        <f t="shared" ca="1" si="61"/>
        <v>1811.5719504758433</v>
      </c>
      <c r="V384" s="53"/>
      <c r="W384" s="54"/>
      <c r="X384" s="65" t="s">
        <v>242</v>
      </c>
      <c r="Y384" s="65">
        <f t="shared" ca="1" si="62"/>
        <v>4</v>
      </c>
      <c r="Z384" s="3">
        <f t="shared" ca="1" si="63"/>
        <v>0.73878133933385481</v>
      </c>
      <c r="AA384" s="6">
        <f t="shared" ca="1" si="64"/>
        <v>144754.75355725395</v>
      </c>
      <c r="AB384" s="6">
        <f t="shared" ca="1" si="65"/>
        <v>1232.5056792341295</v>
      </c>
    </row>
    <row r="385" spans="1:28" x14ac:dyDescent="0.3">
      <c r="A385" s="53"/>
      <c r="B385" s="54"/>
      <c r="C385" s="65" t="s">
        <v>231</v>
      </c>
      <c r="D385" s="65">
        <f t="shared" ca="1" si="58"/>
        <v>3</v>
      </c>
      <c r="E385" s="3">
        <f t="shared" ca="1" si="59"/>
        <v>0.86856124488187669</v>
      </c>
      <c r="F385" s="6">
        <f t="shared" ca="1" si="60"/>
        <v>111239.17105831447</v>
      </c>
      <c r="G385" s="6">
        <f t="shared" ca="1" si="61"/>
        <v>1457.7635670451989</v>
      </c>
      <c r="V385" s="53"/>
      <c r="W385" s="54"/>
      <c r="X385" s="65" t="s">
        <v>231</v>
      </c>
      <c r="Y385" s="65">
        <f t="shared" ca="1" si="62"/>
        <v>2</v>
      </c>
      <c r="Z385" s="3">
        <f t="shared" ca="1" si="63"/>
        <v>0.70700066666630335</v>
      </c>
      <c r="AA385" s="6">
        <f t="shared" ca="1" si="64"/>
        <v>101370.95753293439</v>
      </c>
      <c r="AB385" s="6">
        <f t="shared" ca="1" si="65"/>
        <v>1967.8611718067255</v>
      </c>
    </row>
    <row r="386" spans="1:28" x14ac:dyDescent="0.3">
      <c r="A386" s="53"/>
      <c r="B386" s="54"/>
      <c r="C386" s="65" t="s">
        <v>231</v>
      </c>
      <c r="D386" s="65">
        <f t="shared" ca="1" si="58"/>
        <v>2</v>
      </c>
      <c r="E386" s="3">
        <f t="shared" ca="1" si="59"/>
        <v>0.57373826991482157</v>
      </c>
      <c r="F386" s="6">
        <f t="shared" ca="1" si="60"/>
        <v>15852.713486977655</v>
      </c>
      <c r="G386" s="6">
        <f t="shared" ca="1" si="61"/>
        <v>1221.4471144174588</v>
      </c>
      <c r="V386" s="53"/>
      <c r="W386" s="54"/>
      <c r="X386" s="65" t="s">
        <v>231</v>
      </c>
      <c r="Y386" s="65">
        <f t="shared" ca="1" si="62"/>
        <v>2</v>
      </c>
      <c r="Z386" s="3">
        <f t="shared" ca="1" si="63"/>
        <v>0.76061682449727863</v>
      </c>
      <c r="AA386" s="6">
        <f t="shared" ca="1" si="64"/>
        <v>101924.57442456413</v>
      </c>
      <c r="AB386" s="6">
        <f t="shared" ca="1" si="65"/>
        <v>356.29289205983429</v>
      </c>
    </row>
    <row r="387" spans="1:28" x14ac:dyDescent="0.3">
      <c r="A387" s="53"/>
      <c r="B387" s="54"/>
      <c r="C387" s="65" t="s">
        <v>231</v>
      </c>
      <c r="D387" s="65">
        <f t="shared" ca="1" si="58"/>
        <v>3</v>
      </c>
      <c r="E387" s="3">
        <f t="shared" ca="1" si="59"/>
        <v>0.86424666054868104</v>
      </c>
      <c r="F387" s="6">
        <f t="shared" ca="1" si="60"/>
        <v>87923.069087721247</v>
      </c>
      <c r="G387" s="6">
        <f t="shared" ca="1" si="61"/>
        <v>865.50119763507928</v>
      </c>
      <c r="V387" s="53"/>
      <c r="W387" s="54"/>
      <c r="X387" s="65" t="s">
        <v>231</v>
      </c>
      <c r="Y387" s="65">
        <f t="shared" ca="1" si="62"/>
        <v>2</v>
      </c>
      <c r="Z387" s="3">
        <f t="shared" ca="1" si="63"/>
        <v>0.60132065778561528</v>
      </c>
      <c r="AA387" s="6">
        <f t="shared" ca="1" si="64"/>
        <v>124031.61460864132</v>
      </c>
      <c r="AB387" s="6">
        <f t="shared" ca="1" si="65"/>
        <v>419.96884671059485</v>
      </c>
    </row>
    <row r="388" spans="1:28" x14ac:dyDescent="0.3">
      <c r="A388" s="53"/>
      <c r="B388" s="54"/>
      <c r="C388" s="65" t="s">
        <v>231</v>
      </c>
      <c r="D388" s="65">
        <f t="shared" ca="1" si="58"/>
        <v>2</v>
      </c>
      <c r="E388" s="3">
        <f t="shared" ca="1" si="59"/>
        <v>0.14042297920022528</v>
      </c>
      <c r="F388" s="6">
        <f t="shared" ca="1" si="60"/>
        <v>61412.410889577695</v>
      </c>
      <c r="G388" s="6">
        <f t="shared" ca="1" si="61"/>
        <v>572.24661308658926</v>
      </c>
      <c r="V388" s="53"/>
      <c r="W388" s="54"/>
      <c r="X388" s="65" t="s">
        <v>231</v>
      </c>
      <c r="Y388" s="65">
        <f t="shared" ca="1" si="62"/>
        <v>4</v>
      </c>
      <c r="Z388" s="3">
        <f t="shared" ca="1" si="63"/>
        <v>0.38690757318486635</v>
      </c>
      <c r="AA388" s="6">
        <f t="shared" ca="1" si="64"/>
        <v>86861.879380554339</v>
      </c>
      <c r="AB388" s="6">
        <f t="shared" ca="1" si="65"/>
        <v>45.231262202606089</v>
      </c>
    </row>
    <row r="389" spans="1:28" x14ac:dyDescent="0.3">
      <c r="A389" s="53"/>
      <c r="B389" s="54"/>
      <c r="C389" s="65" t="s">
        <v>242</v>
      </c>
      <c r="D389" s="65">
        <f t="shared" ca="1" si="58"/>
        <v>2</v>
      </c>
      <c r="E389" s="3">
        <f t="shared" ca="1" si="59"/>
        <v>0.50351160666557049</v>
      </c>
      <c r="F389" s="6">
        <f t="shared" ca="1" si="60"/>
        <v>62834.842515054268</v>
      </c>
      <c r="G389" s="6">
        <f t="shared" ca="1" si="61"/>
        <v>1389.7786081897548</v>
      </c>
      <c r="V389" s="53"/>
      <c r="W389" s="54"/>
      <c r="X389" s="65" t="s">
        <v>242</v>
      </c>
      <c r="Y389" s="65">
        <f t="shared" ca="1" si="62"/>
        <v>4</v>
      </c>
      <c r="Z389" s="3">
        <f t="shared" ca="1" si="63"/>
        <v>0.33290466064587776</v>
      </c>
      <c r="AA389" s="6">
        <f t="shared" ca="1" si="64"/>
        <v>183369.29251868281</v>
      </c>
      <c r="AB389" s="6">
        <f t="shared" ca="1" si="65"/>
        <v>256.76709284704179</v>
      </c>
    </row>
    <row r="390" spans="1:28" x14ac:dyDescent="0.3">
      <c r="A390" s="53"/>
      <c r="B390" s="54"/>
      <c r="C390" s="65" t="s">
        <v>231</v>
      </c>
      <c r="D390" s="65">
        <f t="shared" ca="1" si="58"/>
        <v>3</v>
      </c>
      <c r="E390" s="3">
        <f t="shared" ca="1" si="59"/>
        <v>0.53525120903406143</v>
      </c>
      <c r="F390" s="6">
        <f t="shared" ca="1" si="60"/>
        <v>101888.47523730669</v>
      </c>
      <c r="G390" s="6">
        <f t="shared" ca="1" si="61"/>
        <v>1311.8485625398143</v>
      </c>
      <c r="V390" s="53"/>
      <c r="W390" s="54"/>
      <c r="X390" s="65" t="s">
        <v>231</v>
      </c>
      <c r="Y390" s="65">
        <f t="shared" ca="1" si="62"/>
        <v>3</v>
      </c>
      <c r="Z390" s="3">
        <f t="shared" ca="1" si="63"/>
        <v>0.93798003604089086</v>
      </c>
      <c r="AA390" s="6">
        <f t="shared" ca="1" si="64"/>
        <v>73253.737922556465</v>
      </c>
      <c r="AB390" s="6">
        <f t="shared" ca="1" si="65"/>
        <v>1068.7101842490902</v>
      </c>
    </row>
    <row r="391" spans="1:28" x14ac:dyDescent="0.3">
      <c r="A391" s="53"/>
      <c r="B391" s="54"/>
      <c r="C391" s="65" t="s">
        <v>242</v>
      </c>
      <c r="D391" s="65">
        <f t="shared" ca="1" si="58"/>
        <v>1</v>
      </c>
      <c r="E391" s="3">
        <f t="shared" ca="1" si="59"/>
        <v>0.11748525951656741</v>
      </c>
      <c r="F391" s="6">
        <f t="shared" ca="1" si="60"/>
        <v>148643.16732786206</v>
      </c>
      <c r="G391" s="6">
        <f t="shared" ca="1" si="61"/>
        <v>898.55091283740524</v>
      </c>
      <c r="V391" s="53"/>
      <c r="W391" s="54"/>
      <c r="X391" s="65" t="s">
        <v>242</v>
      </c>
      <c r="Y391" s="65">
        <f t="shared" ca="1" si="62"/>
        <v>4</v>
      </c>
      <c r="Z391" s="3">
        <f t="shared" ca="1" si="63"/>
        <v>0.45732382112337577</v>
      </c>
      <c r="AA391" s="6">
        <f t="shared" ca="1" si="64"/>
        <v>43545.902785200473</v>
      </c>
      <c r="AB391" s="6">
        <f t="shared" ca="1" si="65"/>
        <v>1825.1668054431566</v>
      </c>
    </row>
    <row r="392" spans="1:28" x14ac:dyDescent="0.3">
      <c r="A392" s="53"/>
      <c r="B392" s="54"/>
      <c r="C392" s="65" t="s">
        <v>231</v>
      </c>
      <c r="D392" s="65">
        <f t="shared" ca="1" si="58"/>
        <v>1</v>
      </c>
      <c r="E392" s="3">
        <f t="shared" ca="1" si="59"/>
        <v>0.66570387742942483</v>
      </c>
      <c r="F392" s="6">
        <f t="shared" ca="1" si="60"/>
        <v>95577.446854165115</v>
      </c>
      <c r="G392" s="6">
        <f t="shared" ca="1" si="61"/>
        <v>1436.2110755047224</v>
      </c>
      <c r="V392" s="53"/>
      <c r="W392" s="54"/>
      <c r="X392" s="65" t="s">
        <v>231</v>
      </c>
      <c r="Y392" s="65">
        <f t="shared" ca="1" si="62"/>
        <v>1</v>
      </c>
      <c r="Z392" s="3">
        <f t="shared" ca="1" si="63"/>
        <v>0.16118323747736996</v>
      </c>
      <c r="AA392" s="6">
        <f t="shared" ca="1" si="64"/>
        <v>25942.083774593149</v>
      </c>
      <c r="AB392" s="6">
        <f t="shared" ca="1" si="65"/>
        <v>1616.7345960232517</v>
      </c>
    </row>
    <row r="393" spans="1:28" x14ac:dyDescent="0.3">
      <c r="A393" s="53"/>
      <c r="B393" s="54"/>
      <c r="C393" s="65" t="s">
        <v>231</v>
      </c>
      <c r="D393" s="65">
        <f t="shared" ca="1" si="58"/>
        <v>4</v>
      </c>
      <c r="E393" s="3">
        <f t="shared" ca="1" si="59"/>
        <v>0.99840329339479417</v>
      </c>
      <c r="F393" s="6">
        <f t="shared" ca="1" si="60"/>
        <v>189933.92139323798</v>
      </c>
      <c r="G393" s="6">
        <f t="shared" ca="1" si="61"/>
        <v>732.79912312394458</v>
      </c>
      <c r="V393" s="53"/>
      <c r="W393" s="54"/>
      <c r="X393" s="65" t="s">
        <v>231</v>
      </c>
      <c r="Y393" s="65">
        <f t="shared" ca="1" si="62"/>
        <v>3</v>
      </c>
      <c r="Z393" s="3">
        <f t="shared" ca="1" si="63"/>
        <v>0.12535620055129104</v>
      </c>
      <c r="AA393" s="6">
        <f t="shared" ca="1" si="64"/>
        <v>103604.75073819442</v>
      </c>
      <c r="AB393" s="6">
        <f t="shared" ca="1" si="65"/>
        <v>1800.6485360159452</v>
      </c>
    </row>
    <row r="394" spans="1:28" x14ac:dyDescent="0.3">
      <c r="A394" s="53"/>
      <c r="B394" s="54"/>
      <c r="C394" s="65" t="s">
        <v>231</v>
      </c>
      <c r="D394" s="65">
        <f t="shared" ca="1" si="58"/>
        <v>2</v>
      </c>
      <c r="E394" s="3">
        <f t="shared" ca="1" si="59"/>
        <v>0.2983129481097615</v>
      </c>
      <c r="F394" s="6">
        <f t="shared" ca="1" si="60"/>
        <v>21832.785645203545</v>
      </c>
      <c r="G394" s="6">
        <f t="shared" ca="1" si="61"/>
        <v>343.40424188825705</v>
      </c>
      <c r="V394" s="53"/>
      <c r="W394" s="54"/>
      <c r="X394" s="65" t="s">
        <v>231</v>
      </c>
      <c r="Y394" s="65">
        <f t="shared" ca="1" si="62"/>
        <v>1</v>
      </c>
      <c r="Z394" s="3">
        <f t="shared" ca="1" si="63"/>
        <v>0.12763605121799126</v>
      </c>
      <c r="AA394" s="6">
        <f t="shared" ca="1" si="64"/>
        <v>84512.207433661039</v>
      </c>
      <c r="AB394" s="6">
        <f t="shared" ca="1" si="65"/>
        <v>619.43864989216206</v>
      </c>
    </row>
    <row r="395" spans="1:28" x14ac:dyDescent="0.3">
      <c r="A395" s="53"/>
      <c r="B395" s="54"/>
      <c r="C395" s="65" t="s">
        <v>231</v>
      </c>
      <c r="D395" s="65">
        <f t="shared" ca="1" si="58"/>
        <v>2</v>
      </c>
      <c r="E395" s="3">
        <f t="shared" ca="1" si="59"/>
        <v>0.84222515514099638</v>
      </c>
      <c r="F395" s="6">
        <f t="shared" ca="1" si="60"/>
        <v>37811.568650493064</v>
      </c>
      <c r="G395" s="6">
        <f t="shared" ca="1" si="61"/>
        <v>680.47562724588693</v>
      </c>
      <c r="V395" s="53"/>
      <c r="W395" s="54"/>
      <c r="X395" s="65" t="s">
        <v>231</v>
      </c>
      <c r="Y395" s="65">
        <f t="shared" ca="1" si="62"/>
        <v>3</v>
      </c>
      <c r="Z395" s="3">
        <f t="shared" ca="1" si="63"/>
        <v>0.21245400965296446</v>
      </c>
      <c r="AA395" s="6">
        <f t="shared" ca="1" si="64"/>
        <v>135465.97944070643</v>
      </c>
      <c r="AB395" s="6">
        <f t="shared" ca="1" si="65"/>
        <v>354.65982196499766</v>
      </c>
    </row>
    <row r="396" spans="1:28" x14ac:dyDescent="0.3">
      <c r="A396" s="53"/>
      <c r="B396" s="54"/>
      <c r="C396" s="65" t="s">
        <v>231</v>
      </c>
      <c r="D396" s="65">
        <f t="shared" ca="1" si="58"/>
        <v>2</v>
      </c>
      <c r="E396" s="3">
        <f t="shared" ca="1" si="59"/>
        <v>0.16291717186975418</v>
      </c>
      <c r="F396" s="6">
        <f t="shared" ca="1" si="60"/>
        <v>92205.904051262944</v>
      </c>
      <c r="G396" s="6">
        <f t="shared" ca="1" si="61"/>
        <v>792.46470976004684</v>
      </c>
      <c r="V396" s="53"/>
      <c r="W396" s="54"/>
      <c r="X396" s="65" t="s">
        <v>231</v>
      </c>
      <c r="Y396" s="65">
        <f t="shared" ca="1" si="62"/>
        <v>2</v>
      </c>
      <c r="Z396" s="3">
        <f t="shared" ca="1" si="63"/>
        <v>0.51898536651581684</v>
      </c>
      <c r="AA396" s="6">
        <f t="shared" ca="1" si="64"/>
        <v>185139.56137561877</v>
      </c>
      <c r="AB396" s="6">
        <f t="shared" ca="1" si="65"/>
        <v>496.16130369510955</v>
      </c>
    </row>
    <row r="397" spans="1:28" x14ac:dyDescent="0.3">
      <c r="A397" s="53"/>
      <c r="B397" s="54"/>
      <c r="C397" s="65" t="s">
        <v>231</v>
      </c>
      <c r="D397" s="65">
        <f t="shared" ref="D397:D460" ca="1" si="66">INT(RAND()*4)+1</f>
        <v>1</v>
      </c>
      <c r="E397" s="3">
        <f t="shared" ref="E397:E460" ca="1" si="67">RAND()</f>
        <v>0.4302643449935013</v>
      </c>
      <c r="F397" s="6">
        <f t="shared" ref="F397:F460" ca="1" si="68">RAND()*200000</f>
        <v>64330.165243480966</v>
      </c>
      <c r="G397" s="6">
        <f t="shared" ref="G397:G460" ca="1" si="69">RAND()*2000</f>
        <v>670.23165902609435</v>
      </c>
      <c r="V397" s="53"/>
      <c r="W397" s="54"/>
      <c r="X397" s="65" t="s">
        <v>231</v>
      </c>
      <c r="Y397" s="65">
        <f t="shared" ref="Y397:Y460" ca="1" si="70">INT(RAND()*4)+1</f>
        <v>4</v>
      </c>
      <c r="Z397" s="3">
        <f t="shared" ref="Z397:Z460" ca="1" si="71">RAND()</f>
        <v>9.2242736567800132E-2</v>
      </c>
      <c r="AA397" s="6">
        <f t="shared" ref="AA397:AA460" ca="1" si="72">RAND()*200000</f>
        <v>111969.66027036852</v>
      </c>
      <c r="AB397" s="6">
        <f t="shared" ref="AB397:AB460" ca="1" si="73">RAND()*2000</f>
        <v>1677.9722354782325</v>
      </c>
    </row>
    <row r="398" spans="1:28" x14ac:dyDescent="0.3">
      <c r="A398" s="53"/>
      <c r="B398" s="54"/>
      <c r="C398" s="65" t="s">
        <v>231</v>
      </c>
      <c r="D398" s="65">
        <f t="shared" ca="1" si="66"/>
        <v>1</v>
      </c>
      <c r="E398" s="3">
        <f t="shared" ca="1" si="67"/>
        <v>0.47666532359101443</v>
      </c>
      <c r="F398" s="6">
        <f t="shared" ca="1" si="68"/>
        <v>113212.87261272818</v>
      </c>
      <c r="G398" s="6">
        <f t="shared" ca="1" si="69"/>
        <v>1480.3364071076999</v>
      </c>
      <c r="V398" s="53"/>
      <c r="W398" s="54"/>
      <c r="X398" s="65" t="s">
        <v>231</v>
      </c>
      <c r="Y398" s="65">
        <f t="shared" ca="1" si="70"/>
        <v>4</v>
      </c>
      <c r="Z398" s="3">
        <f t="shared" ca="1" si="71"/>
        <v>7.6379800556600541E-2</v>
      </c>
      <c r="AA398" s="6">
        <f t="shared" ca="1" si="72"/>
        <v>46311.243032529426</v>
      </c>
      <c r="AB398" s="6">
        <f t="shared" ca="1" si="73"/>
        <v>554.33763427325516</v>
      </c>
    </row>
    <row r="399" spans="1:28" x14ac:dyDescent="0.3">
      <c r="A399" s="53"/>
      <c r="B399" s="54"/>
      <c r="C399" s="65" t="s">
        <v>231</v>
      </c>
      <c r="D399" s="65">
        <f t="shared" ca="1" si="66"/>
        <v>3</v>
      </c>
      <c r="E399" s="3">
        <f t="shared" ca="1" si="67"/>
        <v>0.83698641328724654</v>
      </c>
      <c r="F399" s="6">
        <f t="shared" ca="1" si="68"/>
        <v>135843.76896794417</v>
      </c>
      <c r="G399" s="6">
        <f t="shared" ca="1" si="69"/>
        <v>1832.7078869699326</v>
      </c>
      <c r="V399" s="53"/>
      <c r="W399" s="54"/>
      <c r="X399" s="65" t="s">
        <v>231</v>
      </c>
      <c r="Y399" s="65">
        <f t="shared" ca="1" si="70"/>
        <v>1</v>
      </c>
      <c r="Z399" s="3">
        <f t="shared" ca="1" si="71"/>
        <v>0.10866828747032642</v>
      </c>
      <c r="AA399" s="6">
        <f t="shared" ca="1" si="72"/>
        <v>185075.04424633287</v>
      </c>
      <c r="AB399" s="6">
        <f t="shared" ca="1" si="73"/>
        <v>1746.2398219398203</v>
      </c>
    </row>
    <row r="400" spans="1:28" x14ac:dyDescent="0.3">
      <c r="A400" s="53"/>
      <c r="B400" s="54"/>
      <c r="C400" s="65" t="s">
        <v>231</v>
      </c>
      <c r="D400" s="65">
        <f t="shared" ca="1" si="66"/>
        <v>2</v>
      </c>
      <c r="E400" s="3">
        <f t="shared" ca="1" si="67"/>
        <v>0.59182424732643246</v>
      </c>
      <c r="F400" s="6">
        <f t="shared" ca="1" si="68"/>
        <v>175950.31641204696</v>
      </c>
      <c r="G400" s="6">
        <f t="shared" ca="1" si="69"/>
        <v>1378.1041381167822</v>
      </c>
      <c r="V400" s="53"/>
      <c r="W400" s="54"/>
      <c r="X400" s="65" t="s">
        <v>231</v>
      </c>
      <c r="Y400" s="65">
        <f t="shared" ca="1" si="70"/>
        <v>3</v>
      </c>
      <c r="Z400" s="3">
        <f t="shared" ca="1" si="71"/>
        <v>0.94705470781746837</v>
      </c>
      <c r="AA400" s="6">
        <f t="shared" ca="1" si="72"/>
        <v>183476.08565099403</v>
      </c>
      <c r="AB400" s="6">
        <f t="shared" ca="1" si="73"/>
        <v>1743.855381424913</v>
      </c>
    </row>
    <row r="401" spans="1:28" x14ac:dyDescent="0.3">
      <c r="A401" s="53"/>
      <c r="B401" s="54"/>
      <c r="C401" s="65" t="s">
        <v>231</v>
      </c>
      <c r="D401" s="65">
        <f t="shared" ca="1" si="66"/>
        <v>2</v>
      </c>
      <c r="E401" s="3">
        <f t="shared" ca="1" si="67"/>
        <v>0.76059330925109048</v>
      </c>
      <c r="F401" s="6">
        <f t="shared" ca="1" si="68"/>
        <v>150549.94562588228</v>
      </c>
      <c r="G401" s="6">
        <f t="shared" ca="1" si="69"/>
        <v>1621.0931556741298</v>
      </c>
      <c r="V401" s="53"/>
      <c r="W401" s="54"/>
      <c r="X401" s="65" t="s">
        <v>231</v>
      </c>
      <c r="Y401" s="65">
        <f t="shared" ca="1" si="70"/>
        <v>1</v>
      </c>
      <c r="Z401" s="3">
        <f t="shared" ca="1" si="71"/>
        <v>0.57476831793542327</v>
      </c>
      <c r="AA401" s="6">
        <f t="shared" ca="1" si="72"/>
        <v>116021.24588789984</v>
      </c>
      <c r="AB401" s="6">
        <f t="shared" ca="1" si="73"/>
        <v>1797.2524458253058</v>
      </c>
    </row>
    <row r="402" spans="1:28" x14ac:dyDescent="0.3">
      <c r="A402" s="53"/>
      <c r="B402" s="54"/>
      <c r="C402" s="65" t="s">
        <v>231</v>
      </c>
      <c r="D402" s="65">
        <f t="shared" ca="1" si="66"/>
        <v>3</v>
      </c>
      <c r="E402" s="3">
        <f t="shared" ca="1" si="67"/>
        <v>0.85433902675252715</v>
      </c>
      <c r="F402" s="6">
        <f t="shared" ca="1" si="68"/>
        <v>100669.4671925404</v>
      </c>
      <c r="G402" s="6">
        <f t="shared" ca="1" si="69"/>
        <v>1456.4157470634671</v>
      </c>
      <c r="V402" s="53"/>
      <c r="W402" s="54"/>
      <c r="X402" s="65" t="s">
        <v>231</v>
      </c>
      <c r="Y402" s="65">
        <f t="shared" ca="1" si="70"/>
        <v>2</v>
      </c>
      <c r="Z402" s="3">
        <f t="shared" ca="1" si="71"/>
        <v>0.60240732037423472</v>
      </c>
      <c r="AA402" s="6">
        <f t="shared" ca="1" si="72"/>
        <v>197287.20906908211</v>
      </c>
      <c r="AB402" s="6">
        <f t="shared" ca="1" si="73"/>
        <v>333.79267173876184</v>
      </c>
    </row>
    <row r="403" spans="1:28" x14ac:dyDescent="0.3">
      <c r="A403" s="53"/>
      <c r="B403" s="54"/>
      <c r="C403" s="65" t="s">
        <v>242</v>
      </c>
      <c r="D403" s="65">
        <f t="shared" ca="1" si="66"/>
        <v>1</v>
      </c>
      <c r="E403" s="3">
        <f t="shared" ca="1" si="67"/>
        <v>0.70599183375337504</v>
      </c>
      <c r="F403" s="6">
        <f t="shared" ca="1" si="68"/>
        <v>33110.129119245801</v>
      </c>
      <c r="G403" s="6">
        <f t="shared" ca="1" si="69"/>
        <v>404.71577667228996</v>
      </c>
      <c r="V403" s="53"/>
      <c r="W403" s="54"/>
      <c r="X403" s="65" t="s">
        <v>242</v>
      </c>
      <c r="Y403" s="65">
        <f t="shared" ca="1" si="70"/>
        <v>1</v>
      </c>
      <c r="Z403" s="3">
        <f t="shared" ca="1" si="71"/>
        <v>0.96926112010031285</v>
      </c>
      <c r="AA403" s="6">
        <f t="shared" ca="1" si="72"/>
        <v>131556.39059682735</v>
      </c>
      <c r="AB403" s="6">
        <f t="shared" ca="1" si="73"/>
        <v>207.20878555874944</v>
      </c>
    </row>
    <row r="404" spans="1:28" x14ac:dyDescent="0.3">
      <c r="A404" s="53"/>
      <c r="B404" s="54"/>
      <c r="C404" s="65" t="s">
        <v>231</v>
      </c>
      <c r="D404" s="65">
        <f t="shared" ca="1" si="66"/>
        <v>1</v>
      </c>
      <c r="E404" s="3">
        <f t="shared" ca="1" si="67"/>
        <v>0.47992641051798357</v>
      </c>
      <c r="F404" s="6">
        <f t="shared" ca="1" si="68"/>
        <v>191678.42190191519</v>
      </c>
      <c r="G404" s="6">
        <f t="shared" ca="1" si="69"/>
        <v>420.49613344223769</v>
      </c>
      <c r="V404" s="53"/>
      <c r="W404" s="54"/>
      <c r="X404" s="65" t="s">
        <v>231</v>
      </c>
      <c r="Y404" s="65">
        <f t="shared" ca="1" si="70"/>
        <v>3</v>
      </c>
      <c r="Z404" s="3">
        <f t="shared" ca="1" si="71"/>
        <v>0.88435005728649041</v>
      </c>
      <c r="AA404" s="6">
        <f t="shared" ca="1" si="72"/>
        <v>125750.50986970506</v>
      </c>
      <c r="AB404" s="6">
        <f t="shared" ca="1" si="73"/>
        <v>1887.6931646148053</v>
      </c>
    </row>
    <row r="405" spans="1:28" x14ac:dyDescent="0.3">
      <c r="A405" s="53"/>
      <c r="B405" s="54"/>
      <c r="C405" s="65" t="s">
        <v>231</v>
      </c>
      <c r="D405" s="65">
        <f t="shared" ca="1" si="66"/>
        <v>4</v>
      </c>
      <c r="E405" s="3">
        <f t="shared" ca="1" si="67"/>
        <v>0.61667840850302091</v>
      </c>
      <c r="F405" s="6">
        <f t="shared" ca="1" si="68"/>
        <v>113793.83436495585</v>
      </c>
      <c r="G405" s="6">
        <f t="shared" ca="1" si="69"/>
        <v>624.51786996341241</v>
      </c>
      <c r="V405" s="53"/>
      <c r="W405" s="54"/>
      <c r="X405" s="65" t="s">
        <v>231</v>
      </c>
      <c r="Y405" s="65">
        <f t="shared" ca="1" si="70"/>
        <v>1</v>
      </c>
      <c r="Z405" s="3">
        <f t="shared" ca="1" si="71"/>
        <v>0.86082547452805058</v>
      </c>
      <c r="AA405" s="6">
        <f t="shared" ca="1" si="72"/>
        <v>124793.03739176426</v>
      </c>
      <c r="AB405" s="6">
        <f t="shared" ca="1" si="73"/>
        <v>1047.6021166740816</v>
      </c>
    </row>
    <row r="406" spans="1:28" x14ac:dyDescent="0.3">
      <c r="A406" s="53"/>
      <c r="B406" s="54"/>
      <c r="C406" s="65" t="s">
        <v>242</v>
      </c>
      <c r="D406" s="65">
        <f t="shared" ca="1" si="66"/>
        <v>2</v>
      </c>
      <c r="E406" s="3">
        <f t="shared" ca="1" si="67"/>
        <v>0.54933129383674939</v>
      </c>
      <c r="F406" s="6">
        <f t="shared" ca="1" si="68"/>
        <v>87110.584076757645</v>
      </c>
      <c r="G406" s="6">
        <f t="shared" ca="1" si="69"/>
        <v>463.31288052925169</v>
      </c>
      <c r="V406" s="53"/>
      <c r="W406" s="54"/>
      <c r="X406" s="65" t="s">
        <v>242</v>
      </c>
      <c r="Y406" s="65">
        <f t="shared" ca="1" si="70"/>
        <v>2</v>
      </c>
      <c r="Z406" s="3">
        <f t="shared" ca="1" si="71"/>
        <v>0.48524187427558241</v>
      </c>
      <c r="AA406" s="6">
        <f t="shared" ca="1" si="72"/>
        <v>36520.28458226315</v>
      </c>
      <c r="AB406" s="6">
        <f t="shared" ca="1" si="73"/>
        <v>1621.419021296163</v>
      </c>
    </row>
    <row r="407" spans="1:28" x14ac:dyDescent="0.3">
      <c r="A407" s="53"/>
      <c r="B407" s="54"/>
      <c r="C407" s="65" t="s">
        <v>219</v>
      </c>
      <c r="D407" s="65">
        <f t="shared" ca="1" si="66"/>
        <v>4</v>
      </c>
      <c r="E407" s="3">
        <f t="shared" ca="1" si="67"/>
        <v>0.13068315918581763</v>
      </c>
      <c r="F407" s="6">
        <f t="shared" ca="1" si="68"/>
        <v>164697.30356710483</v>
      </c>
      <c r="G407" s="6">
        <f t="shared" ca="1" si="69"/>
        <v>1555.6351265396852</v>
      </c>
      <c r="V407" s="53"/>
      <c r="W407" s="54"/>
      <c r="X407" s="65" t="s">
        <v>219</v>
      </c>
      <c r="Y407" s="65">
        <f t="shared" ca="1" si="70"/>
        <v>2</v>
      </c>
      <c r="Z407" s="3">
        <f t="shared" ca="1" si="71"/>
        <v>0.65840720167558986</v>
      </c>
      <c r="AA407" s="6">
        <f t="shared" ca="1" si="72"/>
        <v>162279.49277778176</v>
      </c>
      <c r="AB407" s="6">
        <f t="shared" ca="1" si="73"/>
        <v>714.39177907257647</v>
      </c>
    </row>
    <row r="408" spans="1:28" x14ac:dyDescent="0.3">
      <c r="A408" s="53"/>
      <c r="B408" s="54"/>
      <c r="C408" s="65" t="s">
        <v>219</v>
      </c>
      <c r="D408" s="65">
        <f t="shared" ca="1" si="66"/>
        <v>2</v>
      </c>
      <c r="E408" s="3">
        <f t="shared" ca="1" si="67"/>
        <v>0.57601233026809306</v>
      </c>
      <c r="F408" s="6">
        <f t="shared" ca="1" si="68"/>
        <v>167712.58393391749</v>
      </c>
      <c r="G408" s="6">
        <f t="shared" ca="1" si="69"/>
        <v>1286.9948118038083</v>
      </c>
      <c r="V408" s="53"/>
      <c r="W408" s="54"/>
      <c r="X408" s="65" t="s">
        <v>219</v>
      </c>
      <c r="Y408" s="65">
        <f t="shared" ca="1" si="70"/>
        <v>1</v>
      </c>
      <c r="Z408" s="3">
        <f t="shared" ca="1" si="71"/>
        <v>0.36907522806799364</v>
      </c>
      <c r="AA408" s="6">
        <f t="shared" ca="1" si="72"/>
        <v>58102.398369139082</v>
      </c>
      <c r="AB408" s="6">
        <f t="shared" ca="1" si="73"/>
        <v>1383.6167614809779</v>
      </c>
    </row>
    <row r="409" spans="1:28" x14ac:dyDescent="0.3">
      <c r="A409" s="53"/>
      <c r="B409" s="54"/>
      <c r="C409" s="65" t="s">
        <v>219</v>
      </c>
      <c r="D409" s="65">
        <f t="shared" ca="1" si="66"/>
        <v>3</v>
      </c>
      <c r="E409" s="3">
        <f t="shared" ca="1" si="67"/>
        <v>0.90477597662805542</v>
      </c>
      <c r="F409" s="6">
        <f t="shared" ca="1" si="68"/>
        <v>4545.0803761756915</v>
      </c>
      <c r="G409" s="6">
        <f t="shared" ca="1" si="69"/>
        <v>277.7903595945632</v>
      </c>
      <c r="V409" s="53"/>
      <c r="W409" s="54"/>
      <c r="X409" s="65" t="s">
        <v>219</v>
      </c>
      <c r="Y409" s="65">
        <f t="shared" ca="1" si="70"/>
        <v>3</v>
      </c>
      <c r="Z409" s="3">
        <f t="shared" ca="1" si="71"/>
        <v>0.66574384761661143</v>
      </c>
      <c r="AA409" s="6">
        <f t="shared" ca="1" si="72"/>
        <v>86785.680304431633</v>
      </c>
      <c r="AB409" s="6">
        <f t="shared" ca="1" si="73"/>
        <v>1529.3949328510139</v>
      </c>
    </row>
    <row r="410" spans="1:28" x14ac:dyDescent="0.3">
      <c r="A410" s="53"/>
      <c r="B410" s="54"/>
      <c r="C410" s="65" t="s">
        <v>219</v>
      </c>
      <c r="D410" s="65">
        <f t="shared" ca="1" si="66"/>
        <v>2</v>
      </c>
      <c r="E410" s="3">
        <f t="shared" ca="1" si="67"/>
        <v>0.85568305718284765</v>
      </c>
      <c r="F410" s="6">
        <f t="shared" ca="1" si="68"/>
        <v>37725.177398975138</v>
      </c>
      <c r="G410" s="6">
        <f t="shared" ca="1" si="69"/>
        <v>447.85886816308016</v>
      </c>
      <c r="V410" s="53"/>
      <c r="W410" s="54"/>
      <c r="X410" s="65" t="s">
        <v>219</v>
      </c>
      <c r="Y410" s="65">
        <f t="shared" ca="1" si="70"/>
        <v>2</v>
      </c>
      <c r="Z410" s="3">
        <f t="shared" ca="1" si="71"/>
        <v>0.235329918184075</v>
      </c>
      <c r="AA410" s="6">
        <f t="shared" ca="1" si="72"/>
        <v>130076.1872479336</v>
      </c>
      <c r="AB410" s="6">
        <f t="shared" ca="1" si="73"/>
        <v>1183.243580127536</v>
      </c>
    </row>
    <row r="411" spans="1:28" x14ac:dyDescent="0.3">
      <c r="A411" s="53"/>
      <c r="B411" s="54"/>
      <c r="C411" s="65" t="s">
        <v>219</v>
      </c>
      <c r="D411" s="65">
        <f t="shared" ca="1" si="66"/>
        <v>3</v>
      </c>
      <c r="E411" s="3">
        <f t="shared" ca="1" si="67"/>
        <v>0.15728712597905559</v>
      </c>
      <c r="F411" s="6">
        <f t="shared" ca="1" si="68"/>
        <v>48148.307157615331</v>
      </c>
      <c r="G411" s="6">
        <f t="shared" ca="1" si="69"/>
        <v>305.09158245941251</v>
      </c>
      <c r="V411" s="53"/>
      <c r="W411" s="54"/>
      <c r="X411" s="65" t="s">
        <v>219</v>
      </c>
      <c r="Y411" s="65">
        <f t="shared" ca="1" si="70"/>
        <v>3</v>
      </c>
      <c r="Z411" s="3">
        <f t="shared" ca="1" si="71"/>
        <v>0.55524881334255038</v>
      </c>
      <c r="AA411" s="6">
        <f t="shared" ca="1" si="72"/>
        <v>88100.336087758085</v>
      </c>
      <c r="AB411" s="6">
        <f t="shared" ca="1" si="73"/>
        <v>1645.4270476665565</v>
      </c>
    </row>
    <row r="412" spans="1:28" x14ac:dyDescent="0.3">
      <c r="A412" s="53"/>
      <c r="B412" s="54"/>
      <c r="C412" s="65" t="s">
        <v>219</v>
      </c>
      <c r="D412" s="65">
        <f t="shared" ca="1" si="66"/>
        <v>1</v>
      </c>
      <c r="E412" s="3">
        <f t="shared" ca="1" si="67"/>
        <v>0.9553901211840089</v>
      </c>
      <c r="F412" s="6">
        <f t="shared" ca="1" si="68"/>
        <v>50047.163373302261</v>
      </c>
      <c r="G412" s="6">
        <f t="shared" ca="1" si="69"/>
        <v>737.71119391347679</v>
      </c>
      <c r="V412" s="53"/>
      <c r="W412" s="54"/>
      <c r="X412" s="65" t="s">
        <v>219</v>
      </c>
      <c r="Y412" s="65">
        <f t="shared" ca="1" si="70"/>
        <v>1</v>
      </c>
      <c r="Z412" s="3">
        <f t="shared" ca="1" si="71"/>
        <v>0.45798495043237353</v>
      </c>
      <c r="AA412" s="6">
        <f t="shared" ca="1" si="72"/>
        <v>21951.530618175962</v>
      </c>
      <c r="AB412" s="6">
        <f t="shared" ca="1" si="73"/>
        <v>1856.9504200491374</v>
      </c>
    </row>
    <row r="413" spans="1:28" x14ac:dyDescent="0.3">
      <c r="A413" s="53"/>
      <c r="B413" s="54"/>
      <c r="C413" s="65" t="s">
        <v>231</v>
      </c>
      <c r="D413" s="65">
        <f t="shared" ca="1" si="66"/>
        <v>4</v>
      </c>
      <c r="E413" s="3">
        <f t="shared" ca="1" si="67"/>
        <v>0.94314392304715122</v>
      </c>
      <c r="F413" s="6">
        <f t="shared" ca="1" si="68"/>
        <v>134984.75640386582</v>
      </c>
      <c r="G413" s="6">
        <f t="shared" ca="1" si="69"/>
        <v>509.25246826573334</v>
      </c>
      <c r="V413" s="53"/>
      <c r="W413" s="54"/>
      <c r="X413" s="65" t="s">
        <v>231</v>
      </c>
      <c r="Y413" s="65">
        <f t="shared" ca="1" si="70"/>
        <v>3</v>
      </c>
      <c r="Z413" s="3">
        <f t="shared" ca="1" si="71"/>
        <v>0.2562427041016242</v>
      </c>
      <c r="AA413" s="6">
        <f t="shared" ca="1" si="72"/>
        <v>185.44360903054445</v>
      </c>
      <c r="AB413" s="6">
        <f t="shared" ca="1" si="73"/>
        <v>229.36378300935579</v>
      </c>
    </row>
    <row r="414" spans="1:28" x14ac:dyDescent="0.3">
      <c r="A414" s="53"/>
      <c r="B414" s="54"/>
      <c r="C414" s="65" t="s">
        <v>219</v>
      </c>
      <c r="D414" s="65">
        <f t="shared" ca="1" si="66"/>
        <v>3</v>
      </c>
      <c r="E414" s="3">
        <f t="shared" ca="1" si="67"/>
        <v>0.48161328690906136</v>
      </c>
      <c r="F414" s="6">
        <f t="shared" ca="1" si="68"/>
        <v>4596.1996577401633</v>
      </c>
      <c r="G414" s="6">
        <f t="shared" ca="1" si="69"/>
        <v>1407.8053505625462</v>
      </c>
      <c r="V414" s="53"/>
      <c r="W414" s="54"/>
      <c r="X414" s="65" t="s">
        <v>219</v>
      </c>
      <c r="Y414" s="65">
        <f t="shared" ca="1" si="70"/>
        <v>1</v>
      </c>
      <c r="Z414" s="3">
        <f t="shared" ca="1" si="71"/>
        <v>0.73396265632626356</v>
      </c>
      <c r="AA414" s="6">
        <f t="shared" ca="1" si="72"/>
        <v>114015.54937537237</v>
      </c>
      <c r="AB414" s="6">
        <f t="shared" ca="1" si="73"/>
        <v>1377.3915236762371</v>
      </c>
    </row>
    <row r="415" spans="1:28" x14ac:dyDescent="0.3">
      <c r="A415" s="53"/>
      <c r="B415" s="54"/>
      <c r="C415" s="65" t="s">
        <v>219</v>
      </c>
      <c r="D415" s="65">
        <f t="shared" ca="1" si="66"/>
        <v>3</v>
      </c>
      <c r="E415" s="3">
        <f t="shared" ca="1" si="67"/>
        <v>0.93585059224744971</v>
      </c>
      <c r="F415" s="6">
        <f t="shared" ca="1" si="68"/>
        <v>86113.657761084527</v>
      </c>
      <c r="G415" s="6">
        <f t="shared" ca="1" si="69"/>
        <v>434.32654370185554</v>
      </c>
      <c r="V415" s="53"/>
      <c r="W415" s="54"/>
      <c r="X415" s="65" t="s">
        <v>219</v>
      </c>
      <c r="Y415" s="65">
        <f t="shared" ca="1" si="70"/>
        <v>3</v>
      </c>
      <c r="Z415" s="3">
        <f t="shared" ca="1" si="71"/>
        <v>0.13699049325097101</v>
      </c>
      <c r="AA415" s="6">
        <f t="shared" ca="1" si="72"/>
        <v>147924.33268456574</v>
      </c>
      <c r="AB415" s="6">
        <f t="shared" ca="1" si="73"/>
        <v>1666.2673548706739</v>
      </c>
    </row>
    <row r="416" spans="1:28" x14ac:dyDescent="0.3">
      <c r="A416" s="53"/>
      <c r="B416" s="54"/>
      <c r="C416" s="65" t="s">
        <v>219</v>
      </c>
      <c r="D416" s="65">
        <f t="shared" ca="1" si="66"/>
        <v>4</v>
      </c>
      <c r="E416" s="3">
        <f t="shared" ca="1" si="67"/>
        <v>0.17246869799397146</v>
      </c>
      <c r="F416" s="6">
        <f t="shared" ca="1" si="68"/>
        <v>116619.91140659401</v>
      </c>
      <c r="G416" s="6">
        <f t="shared" ca="1" si="69"/>
        <v>583.7743761692999</v>
      </c>
      <c r="V416" s="53"/>
      <c r="W416" s="54"/>
      <c r="X416" s="65" t="s">
        <v>219</v>
      </c>
      <c r="Y416" s="65">
        <f t="shared" ca="1" si="70"/>
        <v>4</v>
      </c>
      <c r="Z416" s="3">
        <f t="shared" ca="1" si="71"/>
        <v>0.68264487760030901</v>
      </c>
      <c r="AA416" s="6">
        <f t="shared" ca="1" si="72"/>
        <v>163746.35687463428</v>
      </c>
      <c r="AB416" s="6">
        <f t="shared" ca="1" si="73"/>
        <v>536.24228452257296</v>
      </c>
    </row>
    <row r="417" spans="1:28" x14ac:dyDescent="0.3">
      <c r="A417" s="53"/>
      <c r="B417" s="54"/>
      <c r="C417" s="65" t="s">
        <v>219</v>
      </c>
      <c r="D417" s="65">
        <f t="shared" ca="1" si="66"/>
        <v>4</v>
      </c>
      <c r="E417" s="3">
        <f t="shared" ca="1" si="67"/>
        <v>0.39941910965836547</v>
      </c>
      <c r="F417" s="6">
        <f t="shared" ca="1" si="68"/>
        <v>190206.20557527072</v>
      </c>
      <c r="G417" s="6">
        <f t="shared" ca="1" si="69"/>
        <v>938.97754859930353</v>
      </c>
      <c r="V417" s="53"/>
      <c r="W417" s="54"/>
      <c r="X417" s="65" t="s">
        <v>219</v>
      </c>
      <c r="Y417" s="65">
        <f t="shared" ca="1" si="70"/>
        <v>3</v>
      </c>
      <c r="Z417" s="3">
        <f t="shared" ca="1" si="71"/>
        <v>0.71607827992214212</v>
      </c>
      <c r="AA417" s="6">
        <f t="shared" ca="1" si="72"/>
        <v>6795.9398939189123</v>
      </c>
      <c r="AB417" s="6">
        <f t="shared" ca="1" si="73"/>
        <v>886.9023705224281</v>
      </c>
    </row>
    <row r="418" spans="1:28" x14ac:dyDescent="0.3">
      <c r="A418" s="53"/>
      <c r="B418" s="54"/>
      <c r="C418" s="65" t="s">
        <v>219</v>
      </c>
      <c r="D418" s="65">
        <f t="shared" ca="1" si="66"/>
        <v>3</v>
      </c>
      <c r="E418" s="3">
        <f t="shared" ca="1" si="67"/>
        <v>0.43141911717808457</v>
      </c>
      <c r="F418" s="6">
        <f t="shared" ca="1" si="68"/>
        <v>198243.25463401899</v>
      </c>
      <c r="G418" s="6">
        <f t="shared" ca="1" si="69"/>
        <v>1072.893254335728</v>
      </c>
      <c r="V418" s="53"/>
      <c r="W418" s="54"/>
      <c r="X418" s="65" t="s">
        <v>219</v>
      </c>
      <c r="Y418" s="65">
        <f t="shared" ca="1" si="70"/>
        <v>4</v>
      </c>
      <c r="Z418" s="3">
        <f t="shared" ca="1" si="71"/>
        <v>0.62138910313121942</v>
      </c>
      <c r="AA418" s="6">
        <f t="shared" ca="1" si="72"/>
        <v>114319.44536591951</v>
      </c>
      <c r="AB418" s="6">
        <f t="shared" ca="1" si="73"/>
        <v>1776.6027759670646</v>
      </c>
    </row>
    <row r="419" spans="1:28" x14ac:dyDescent="0.3">
      <c r="A419" s="53"/>
      <c r="B419" s="54"/>
      <c r="C419" s="65" t="s">
        <v>219</v>
      </c>
      <c r="D419" s="65">
        <f t="shared" ca="1" si="66"/>
        <v>3</v>
      </c>
      <c r="E419" s="3">
        <f t="shared" ca="1" si="67"/>
        <v>0.18278954145667148</v>
      </c>
      <c r="F419" s="6">
        <f t="shared" ca="1" si="68"/>
        <v>185142.49800970408</v>
      </c>
      <c r="G419" s="6">
        <f t="shared" ca="1" si="69"/>
        <v>1092.9074661651448</v>
      </c>
      <c r="V419" s="53"/>
      <c r="W419" s="54"/>
      <c r="X419" s="65" t="s">
        <v>219</v>
      </c>
      <c r="Y419" s="65">
        <f t="shared" ca="1" si="70"/>
        <v>3</v>
      </c>
      <c r="Z419" s="3">
        <f t="shared" ca="1" si="71"/>
        <v>0.90210576599714409</v>
      </c>
      <c r="AA419" s="6">
        <f t="shared" ca="1" si="72"/>
        <v>162878.06527832398</v>
      </c>
      <c r="AB419" s="6">
        <f t="shared" ca="1" si="73"/>
        <v>1766.2347350884222</v>
      </c>
    </row>
    <row r="420" spans="1:28" x14ac:dyDescent="0.3">
      <c r="A420" s="53"/>
      <c r="B420" s="54"/>
      <c r="C420" s="65" t="s">
        <v>219</v>
      </c>
      <c r="D420" s="65">
        <f t="shared" ca="1" si="66"/>
        <v>2</v>
      </c>
      <c r="E420" s="3">
        <f t="shared" ca="1" si="67"/>
        <v>0.40593480743919408</v>
      </c>
      <c r="F420" s="6">
        <f t="shared" ca="1" si="68"/>
        <v>156641.39096660577</v>
      </c>
      <c r="G420" s="6">
        <f t="shared" ca="1" si="69"/>
        <v>1901.7133415319347</v>
      </c>
      <c r="V420" s="53"/>
      <c r="W420" s="54"/>
      <c r="X420" s="65" t="s">
        <v>219</v>
      </c>
      <c r="Y420" s="65">
        <f t="shared" ca="1" si="70"/>
        <v>1</v>
      </c>
      <c r="Z420" s="3">
        <f t="shared" ca="1" si="71"/>
        <v>0.45319982155640814</v>
      </c>
      <c r="AA420" s="6">
        <f t="shared" ca="1" si="72"/>
        <v>191594.55178398109</v>
      </c>
      <c r="AB420" s="6">
        <f t="shared" ca="1" si="73"/>
        <v>553.3280495909994</v>
      </c>
    </row>
    <row r="421" spans="1:28" x14ac:dyDescent="0.3">
      <c r="A421" s="53"/>
      <c r="B421" s="54"/>
      <c r="C421" s="65" t="s">
        <v>219</v>
      </c>
      <c r="D421" s="65">
        <f t="shared" ca="1" si="66"/>
        <v>3</v>
      </c>
      <c r="E421" s="3">
        <f t="shared" ca="1" si="67"/>
        <v>2.9644894570451386E-2</v>
      </c>
      <c r="F421" s="6">
        <f t="shared" ca="1" si="68"/>
        <v>10273.58621189085</v>
      </c>
      <c r="G421" s="6">
        <f t="shared" ca="1" si="69"/>
        <v>664.02572123620553</v>
      </c>
      <c r="V421" s="53"/>
      <c r="W421" s="54"/>
      <c r="X421" s="65" t="s">
        <v>219</v>
      </c>
      <c r="Y421" s="65">
        <f t="shared" ca="1" si="70"/>
        <v>3</v>
      </c>
      <c r="Z421" s="3">
        <f t="shared" ca="1" si="71"/>
        <v>0.45588390629262432</v>
      </c>
      <c r="AA421" s="6">
        <f t="shared" ca="1" si="72"/>
        <v>138613.99728670352</v>
      </c>
      <c r="AB421" s="6">
        <f t="shared" ca="1" si="73"/>
        <v>411.18058070883779</v>
      </c>
    </row>
    <row r="422" spans="1:28" x14ac:dyDescent="0.3">
      <c r="A422" s="53"/>
      <c r="B422" s="54"/>
      <c r="C422" s="65" t="s">
        <v>219</v>
      </c>
      <c r="D422" s="65">
        <f t="shared" ca="1" si="66"/>
        <v>4</v>
      </c>
      <c r="E422" s="3">
        <f t="shared" ca="1" si="67"/>
        <v>0.33784367162796691</v>
      </c>
      <c r="F422" s="6">
        <f t="shared" ca="1" si="68"/>
        <v>62937.802875614543</v>
      </c>
      <c r="G422" s="6">
        <f t="shared" ca="1" si="69"/>
        <v>651.88848473210271</v>
      </c>
      <c r="V422" s="53"/>
      <c r="W422" s="54"/>
      <c r="X422" s="65" t="s">
        <v>219</v>
      </c>
      <c r="Y422" s="65">
        <f t="shared" ca="1" si="70"/>
        <v>4</v>
      </c>
      <c r="Z422" s="3">
        <f t="shared" ca="1" si="71"/>
        <v>0.98251829246238365</v>
      </c>
      <c r="AA422" s="6">
        <f t="shared" ca="1" si="72"/>
        <v>34144.172166372467</v>
      </c>
      <c r="AB422" s="6">
        <f t="shared" ca="1" si="73"/>
        <v>1383.3823709902967</v>
      </c>
    </row>
    <row r="423" spans="1:28" x14ac:dyDescent="0.3">
      <c r="A423" s="53"/>
      <c r="B423" s="54"/>
      <c r="C423" s="65" t="s">
        <v>219</v>
      </c>
      <c r="D423" s="65">
        <f t="shared" ca="1" si="66"/>
        <v>3</v>
      </c>
      <c r="E423" s="3">
        <f t="shared" ca="1" si="67"/>
        <v>0.69562166243915491</v>
      </c>
      <c r="F423" s="6">
        <f t="shared" ca="1" si="68"/>
        <v>84961.008337865002</v>
      </c>
      <c r="G423" s="6">
        <f t="shared" ca="1" si="69"/>
        <v>1139.7817249131294</v>
      </c>
      <c r="V423" s="53"/>
      <c r="W423" s="54"/>
      <c r="X423" s="65" t="s">
        <v>219</v>
      </c>
      <c r="Y423" s="65">
        <f t="shared" ca="1" si="70"/>
        <v>1</v>
      </c>
      <c r="Z423" s="3">
        <f t="shared" ca="1" si="71"/>
        <v>0.36470782604900787</v>
      </c>
      <c r="AA423" s="6">
        <f t="shared" ca="1" si="72"/>
        <v>100115.78673454383</v>
      </c>
      <c r="AB423" s="6">
        <f t="shared" ca="1" si="73"/>
        <v>27.711023564670256</v>
      </c>
    </row>
    <row r="424" spans="1:28" x14ac:dyDescent="0.3">
      <c r="A424" s="53"/>
      <c r="B424" s="54"/>
      <c r="C424" s="65" t="s">
        <v>219</v>
      </c>
      <c r="D424" s="65">
        <f t="shared" ca="1" si="66"/>
        <v>2</v>
      </c>
      <c r="E424" s="3">
        <f t="shared" ca="1" si="67"/>
        <v>0.85230955095043337</v>
      </c>
      <c r="F424" s="6">
        <f t="shared" ca="1" si="68"/>
        <v>177809.51494124031</v>
      </c>
      <c r="G424" s="6">
        <f t="shared" ca="1" si="69"/>
        <v>1108.8738641047926</v>
      </c>
      <c r="V424" s="53"/>
      <c r="W424" s="54"/>
      <c r="X424" s="65" t="s">
        <v>219</v>
      </c>
      <c r="Y424" s="65">
        <f t="shared" ca="1" si="70"/>
        <v>1</v>
      </c>
      <c r="Z424" s="3">
        <f t="shared" ca="1" si="71"/>
        <v>0.28752445637636725</v>
      </c>
      <c r="AA424" s="6">
        <f t="shared" ca="1" si="72"/>
        <v>36071.545512502467</v>
      </c>
      <c r="AB424" s="6">
        <f t="shared" ca="1" si="73"/>
        <v>1257.8285491982847</v>
      </c>
    </row>
    <row r="425" spans="1:28" x14ac:dyDescent="0.3">
      <c r="A425" s="53"/>
      <c r="B425" s="54"/>
      <c r="C425" s="65" t="s">
        <v>219</v>
      </c>
      <c r="D425" s="65">
        <f t="shared" ca="1" si="66"/>
        <v>4</v>
      </c>
      <c r="E425" s="3">
        <f t="shared" ca="1" si="67"/>
        <v>0.76137943044188261</v>
      </c>
      <c r="F425" s="6">
        <f t="shared" ca="1" si="68"/>
        <v>146707.79350381388</v>
      </c>
      <c r="G425" s="6">
        <f t="shared" ca="1" si="69"/>
        <v>748.7786296975338</v>
      </c>
      <c r="V425" s="53"/>
      <c r="W425" s="54"/>
      <c r="X425" s="65" t="s">
        <v>219</v>
      </c>
      <c r="Y425" s="65">
        <f t="shared" ca="1" si="70"/>
        <v>1</v>
      </c>
      <c r="Z425" s="3">
        <f t="shared" ca="1" si="71"/>
        <v>0.66099088142614415</v>
      </c>
      <c r="AA425" s="6">
        <f t="shared" ca="1" si="72"/>
        <v>14217.404070805007</v>
      </c>
      <c r="AB425" s="6">
        <f t="shared" ca="1" si="73"/>
        <v>1544.2824674900057</v>
      </c>
    </row>
    <row r="426" spans="1:28" x14ac:dyDescent="0.3">
      <c r="A426" s="53"/>
      <c r="B426" s="54"/>
      <c r="C426" s="65" t="s">
        <v>219</v>
      </c>
      <c r="D426" s="65">
        <f t="shared" ca="1" si="66"/>
        <v>1</v>
      </c>
      <c r="E426" s="3">
        <f t="shared" ca="1" si="67"/>
        <v>0.5647387283443619</v>
      </c>
      <c r="F426" s="6">
        <f t="shared" ca="1" si="68"/>
        <v>142144.83244469279</v>
      </c>
      <c r="G426" s="6">
        <f t="shared" ca="1" si="69"/>
        <v>1877.5513496173464</v>
      </c>
      <c r="V426" s="53"/>
      <c r="W426" s="54"/>
      <c r="X426" s="65" t="s">
        <v>219</v>
      </c>
      <c r="Y426" s="65">
        <f t="shared" ca="1" si="70"/>
        <v>3</v>
      </c>
      <c r="Z426" s="3">
        <f t="shared" ca="1" si="71"/>
        <v>0.52902205262239621</v>
      </c>
      <c r="AA426" s="6">
        <f t="shared" ca="1" si="72"/>
        <v>1483.7244711132457</v>
      </c>
      <c r="AB426" s="6">
        <f t="shared" ca="1" si="73"/>
        <v>171.87337250571866</v>
      </c>
    </row>
    <row r="427" spans="1:28" x14ac:dyDescent="0.3">
      <c r="A427" s="53"/>
      <c r="B427" s="54"/>
      <c r="C427" s="65" t="s">
        <v>219</v>
      </c>
      <c r="D427" s="65">
        <f t="shared" ca="1" si="66"/>
        <v>2</v>
      </c>
      <c r="E427" s="3">
        <f t="shared" ca="1" si="67"/>
        <v>0.17669559027887338</v>
      </c>
      <c r="F427" s="6">
        <f t="shared" ca="1" si="68"/>
        <v>131173.91461138139</v>
      </c>
      <c r="G427" s="6">
        <f t="shared" ca="1" si="69"/>
        <v>175.51834049968917</v>
      </c>
      <c r="V427" s="53"/>
      <c r="W427" s="54"/>
      <c r="X427" s="65" t="s">
        <v>219</v>
      </c>
      <c r="Y427" s="65">
        <f t="shared" ca="1" si="70"/>
        <v>2</v>
      </c>
      <c r="Z427" s="3">
        <f t="shared" ca="1" si="71"/>
        <v>0.54617275585696312</v>
      </c>
      <c r="AA427" s="6">
        <f t="shared" ca="1" si="72"/>
        <v>63398.721952992542</v>
      </c>
      <c r="AB427" s="6">
        <f t="shared" ca="1" si="73"/>
        <v>1380.1571359978343</v>
      </c>
    </row>
    <row r="428" spans="1:28" x14ac:dyDescent="0.3">
      <c r="A428" s="53"/>
      <c r="B428" s="54"/>
      <c r="C428" s="65" t="s">
        <v>219</v>
      </c>
      <c r="D428" s="65">
        <f t="shared" ca="1" si="66"/>
        <v>3</v>
      </c>
      <c r="E428" s="3">
        <f t="shared" ca="1" si="67"/>
        <v>0.27203189855554566</v>
      </c>
      <c r="F428" s="6">
        <f t="shared" ca="1" si="68"/>
        <v>30860.159577293289</v>
      </c>
      <c r="G428" s="6">
        <f t="shared" ca="1" si="69"/>
        <v>2.4190192330548754</v>
      </c>
      <c r="V428" s="53"/>
      <c r="W428" s="54"/>
      <c r="X428" s="65" t="s">
        <v>219</v>
      </c>
      <c r="Y428" s="65">
        <f t="shared" ca="1" si="70"/>
        <v>2</v>
      </c>
      <c r="Z428" s="3">
        <f t="shared" ca="1" si="71"/>
        <v>0.78076060925433399</v>
      </c>
      <c r="AA428" s="6">
        <f t="shared" ca="1" si="72"/>
        <v>136739.14132164925</v>
      </c>
      <c r="AB428" s="6">
        <f t="shared" ca="1" si="73"/>
        <v>1500.7629112145087</v>
      </c>
    </row>
    <row r="429" spans="1:28" x14ac:dyDescent="0.3">
      <c r="A429" s="53"/>
      <c r="B429" s="54"/>
      <c r="C429" s="65" t="s">
        <v>219</v>
      </c>
      <c r="D429" s="65">
        <f t="shared" ca="1" si="66"/>
        <v>3</v>
      </c>
      <c r="E429" s="3">
        <f t="shared" ca="1" si="67"/>
        <v>0.92658567659418123</v>
      </c>
      <c r="F429" s="6">
        <f t="shared" ca="1" si="68"/>
        <v>100438.42396769789</v>
      </c>
      <c r="G429" s="6">
        <f t="shared" ca="1" si="69"/>
        <v>381.89153573590119</v>
      </c>
      <c r="V429" s="53"/>
      <c r="W429" s="54"/>
      <c r="X429" s="65" t="s">
        <v>219</v>
      </c>
      <c r="Y429" s="65">
        <f t="shared" ca="1" si="70"/>
        <v>3</v>
      </c>
      <c r="Z429" s="3">
        <f t="shared" ca="1" si="71"/>
        <v>0.19762458042776598</v>
      </c>
      <c r="AA429" s="6">
        <f t="shared" ca="1" si="72"/>
        <v>105620.32625516782</v>
      </c>
      <c r="AB429" s="6">
        <f t="shared" ca="1" si="73"/>
        <v>1188.0025381394078</v>
      </c>
    </row>
    <row r="430" spans="1:28" x14ac:dyDescent="0.3">
      <c r="A430" s="53"/>
      <c r="B430" s="54"/>
      <c r="C430" s="65" t="s">
        <v>219</v>
      </c>
      <c r="D430" s="65">
        <f t="shared" ca="1" si="66"/>
        <v>4</v>
      </c>
      <c r="E430" s="3">
        <f t="shared" ca="1" si="67"/>
        <v>0.54544010735188886</v>
      </c>
      <c r="F430" s="6">
        <f t="shared" ca="1" si="68"/>
        <v>76952.973556799334</v>
      </c>
      <c r="G430" s="6">
        <f t="shared" ca="1" si="69"/>
        <v>282.7692576122227</v>
      </c>
      <c r="V430" s="53"/>
      <c r="W430" s="54"/>
      <c r="X430" s="65" t="s">
        <v>219</v>
      </c>
      <c r="Y430" s="65">
        <f t="shared" ca="1" si="70"/>
        <v>4</v>
      </c>
      <c r="Z430" s="3">
        <f t="shared" ca="1" si="71"/>
        <v>0.78507486915056868</v>
      </c>
      <c r="AA430" s="6">
        <f t="shared" ca="1" si="72"/>
        <v>168267.22421198883</v>
      </c>
      <c r="AB430" s="6">
        <f t="shared" ca="1" si="73"/>
        <v>109.25223302959463</v>
      </c>
    </row>
    <row r="431" spans="1:28" x14ac:dyDescent="0.3">
      <c r="A431" s="53"/>
      <c r="B431" s="54"/>
      <c r="C431" s="65" t="s">
        <v>219</v>
      </c>
      <c r="D431" s="65">
        <f t="shared" ca="1" si="66"/>
        <v>1</v>
      </c>
      <c r="E431" s="3">
        <f t="shared" ca="1" si="67"/>
        <v>0.93450678355941386</v>
      </c>
      <c r="F431" s="6">
        <f t="shared" ca="1" si="68"/>
        <v>166307.62158813147</v>
      </c>
      <c r="G431" s="6">
        <f t="shared" ca="1" si="69"/>
        <v>382.99395493332077</v>
      </c>
      <c r="V431" s="53"/>
      <c r="W431" s="54"/>
      <c r="X431" s="65" t="s">
        <v>219</v>
      </c>
      <c r="Y431" s="65">
        <f t="shared" ca="1" si="70"/>
        <v>4</v>
      </c>
      <c r="Z431" s="3">
        <f t="shared" ca="1" si="71"/>
        <v>0.89181200287514573</v>
      </c>
      <c r="AA431" s="6">
        <f t="shared" ca="1" si="72"/>
        <v>48669.682669221824</v>
      </c>
      <c r="AB431" s="6">
        <f t="shared" ca="1" si="73"/>
        <v>1465.2061356749684</v>
      </c>
    </row>
    <row r="432" spans="1:28" x14ac:dyDescent="0.3">
      <c r="A432" s="53"/>
      <c r="B432" s="54"/>
      <c r="C432" s="65" t="s">
        <v>219</v>
      </c>
      <c r="D432" s="65">
        <f t="shared" ca="1" si="66"/>
        <v>4</v>
      </c>
      <c r="E432" s="3">
        <f t="shared" ca="1" si="67"/>
        <v>0.36515408392003257</v>
      </c>
      <c r="F432" s="6">
        <f t="shared" ca="1" si="68"/>
        <v>144510.42057091804</v>
      </c>
      <c r="G432" s="6">
        <f t="shared" ca="1" si="69"/>
        <v>244.27786116368532</v>
      </c>
      <c r="V432" s="53"/>
      <c r="W432" s="54"/>
      <c r="X432" s="65" t="s">
        <v>219</v>
      </c>
      <c r="Y432" s="65">
        <f t="shared" ca="1" si="70"/>
        <v>1</v>
      </c>
      <c r="Z432" s="3">
        <f t="shared" ca="1" si="71"/>
        <v>0.90395889241396699</v>
      </c>
      <c r="AA432" s="6">
        <f t="shared" ca="1" si="72"/>
        <v>78839.064113935325</v>
      </c>
      <c r="AB432" s="6">
        <f t="shared" ca="1" si="73"/>
        <v>1041.8369948952168</v>
      </c>
    </row>
    <row r="433" spans="1:28" x14ac:dyDescent="0.3">
      <c r="A433" s="53"/>
      <c r="B433" s="54"/>
      <c r="C433" s="65" t="s">
        <v>219</v>
      </c>
      <c r="D433" s="65">
        <f t="shared" ca="1" si="66"/>
        <v>4</v>
      </c>
      <c r="E433" s="3">
        <f t="shared" ca="1" si="67"/>
        <v>0.25265106654815572</v>
      </c>
      <c r="F433" s="6">
        <f t="shared" ca="1" si="68"/>
        <v>77043.412917582071</v>
      </c>
      <c r="G433" s="6">
        <f t="shared" ca="1" si="69"/>
        <v>1203.3147082370649</v>
      </c>
      <c r="V433" s="53"/>
      <c r="W433" s="54"/>
      <c r="X433" s="65" t="s">
        <v>219</v>
      </c>
      <c r="Y433" s="65">
        <f t="shared" ca="1" si="70"/>
        <v>4</v>
      </c>
      <c r="Z433" s="3">
        <f t="shared" ca="1" si="71"/>
        <v>0.83712484680347143</v>
      </c>
      <c r="AA433" s="6">
        <f t="shared" ca="1" si="72"/>
        <v>109871.45278994266</v>
      </c>
      <c r="AB433" s="6">
        <f t="shared" ca="1" si="73"/>
        <v>1444.3578765918996</v>
      </c>
    </row>
    <row r="434" spans="1:28" x14ac:dyDescent="0.3">
      <c r="A434" s="53"/>
      <c r="B434" s="54"/>
      <c r="C434" s="65" t="s">
        <v>219</v>
      </c>
      <c r="D434" s="65">
        <f t="shared" ca="1" si="66"/>
        <v>4</v>
      </c>
      <c r="E434" s="3">
        <f t="shared" ca="1" si="67"/>
        <v>0.66087623477315194</v>
      </c>
      <c r="F434" s="6">
        <f t="shared" ca="1" si="68"/>
        <v>91430.289189364048</v>
      </c>
      <c r="G434" s="6">
        <f t="shared" ca="1" si="69"/>
        <v>713.57554099508218</v>
      </c>
      <c r="V434" s="53"/>
      <c r="W434" s="54"/>
      <c r="X434" s="65" t="s">
        <v>219</v>
      </c>
      <c r="Y434" s="65">
        <f t="shared" ca="1" si="70"/>
        <v>4</v>
      </c>
      <c r="Z434" s="3">
        <f t="shared" ca="1" si="71"/>
        <v>0.13050845943445988</v>
      </c>
      <c r="AA434" s="6">
        <f t="shared" ca="1" si="72"/>
        <v>98218.97975527028</v>
      </c>
      <c r="AB434" s="6">
        <f t="shared" ca="1" si="73"/>
        <v>985.92071687291275</v>
      </c>
    </row>
    <row r="435" spans="1:28" x14ac:dyDescent="0.3">
      <c r="A435" s="53"/>
      <c r="B435" s="54"/>
      <c r="C435" s="65" t="s">
        <v>219</v>
      </c>
      <c r="D435" s="65">
        <f t="shared" ca="1" si="66"/>
        <v>4</v>
      </c>
      <c r="E435" s="3">
        <f t="shared" ca="1" si="67"/>
        <v>0.15275026557705307</v>
      </c>
      <c r="F435" s="6">
        <f t="shared" ca="1" si="68"/>
        <v>16863.417875134255</v>
      </c>
      <c r="G435" s="6">
        <f t="shared" ca="1" si="69"/>
        <v>1841.3122334618299</v>
      </c>
      <c r="V435" s="53"/>
      <c r="W435" s="54"/>
      <c r="X435" s="65" t="s">
        <v>219</v>
      </c>
      <c r="Y435" s="65">
        <f t="shared" ca="1" si="70"/>
        <v>2</v>
      </c>
      <c r="Z435" s="3">
        <f t="shared" ca="1" si="71"/>
        <v>0.9480342700047163</v>
      </c>
      <c r="AA435" s="6">
        <f t="shared" ca="1" si="72"/>
        <v>66289.545746930846</v>
      </c>
      <c r="AB435" s="6">
        <f t="shared" ca="1" si="73"/>
        <v>880.86980757719789</v>
      </c>
    </row>
    <row r="436" spans="1:28" x14ac:dyDescent="0.3">
      <c r="A436" s="53"/>
      <c r="B436" s="54"/>
      <c r="C436" s="65" t="s">
        <v>219</v>
      </c>
      <c r="D436" s="65">
        <f t="shared" ca="1" si="66"/>
        <v>3</v>
      </c>
      <c r="E436" s="3">
        <f t="shared" ca="1" si="67"/>
        <v>0.23003125889143095</v>
      </c>
      <c r="F436" s="6">
        <f t="shared" ca="1" si="68"/>
        <v>157988.43756250109</v>
      </c>
      <c r="G436" s="6">
        <f t="shared" ca="1" si="69"/>
        <v>1911.9597779205103</v>
      </c>
      <c r="V436" s="53"/>
      <c r="W436" s="54"/>
      <c r="X436" s="65" t="s">
        <v>219</v>
      </c>
      <c r="Y436" s="65">
        <f t="shared" ca="1" si="70"/>
        <v>1</v>
      </c>
      <c r="Z436" s="3">
        <f t="shared" ca="1" si="71"/>
        <v>0.79264471893225941</v>
      </c>
      <c r="AA436" s="6">
        <f t="shared" ca="1" si="72"/>
        <v>11367.012869388904</v>
      </c>
      <c r="AB436" s="6">
        <f t="shared" ca="1" si="73"/>
        <v>741.73553616009769</v>
      </c>
    </row>
    <row r="437" spans="1:28" x14ac:dyDescent="0.3">
      <c r="A437" s="53"/>
      <c r="B437" s="54"/>
      <c r="C437" s="65" t="s">
        <v>219</v>
      </c>
      <c r="D437" s="65">
        <f t="shared" ca="1" si="66"/>
        <v>4</v>
      </c>
      <c r="E437" s="3">
        <f t="shared" ca="1" si="67"/>
        <v>0.23654572334699808</v>
      </c>
      <c r="F437" s="6">
        <f t="shared" ca="1" si="68"/>
        <v>93784.834645656229</v>
      </c>
      <c r="G437" s="6">
        <f t="shared" ca="1" si="69"/>
        <v>1395.021774489579</v>
      </c>
      <c r="V437" s="53"/>
      <c r="W437" s="54"/>
      <c r="X437" s="65" t="s">
        <v>219</v>
      </c>
      <c r="Y437" s="65">
        <f t="shared" ca="1" si="70"/>
        <v>1</v>
      </c>
      <c r="Z437" s="3">
        <f t="shared" ca="1" si="71"/>
        <v>3.6351099718915036E-2</v>
      </c>
      <c r="AA437" s="6">
        <f t="shared" ca="1" si="72"/>
        <v>118677.85574907339</v>
      </c>
      <c r="AB437" s="6">
        <f t="shared" ca="1" si="73"/>
        <v>956.28876628017997</v>
      </c>
    </row>
    <row r="438" spans="1:28" x14ac:dyDescent="0.3">
      <c r="A438" s="53"/>
      <c r="B438" s="54"/>
      <c r="C438" s="65" t="s">
        <v>219</v>
      </c>
      <c r="D438" s="65">
        <f t="shared" ca="1" si="66"/>
        <v>1</v>
      </c>
      <c r="E438" s="3">
        <f t="shared" ca="1" si="67"/>
        <v>0.90320006810425768</v>
      </c>
      <c r="F438" s="6">
        <f t="shared" ca="1" si="68"/>
        <v>172293.85721109287</v>
      </c>
      <c r="G438" s="6">
        <f t="shared" ca="1" si="69"/>
        <v>408.60928866447057</v>
      </c>
      <c r="V438" s="53"/>
      <c r="W438" s="54"/>
      <c r="X438" s="65" t="s">
        <v>219</v>
      </c>
      <c r="Y438" s="65">
        <f t="shared" ca="1" si="70"/>
        <v>2</v>
      </c>
      <c r="Z438" s="3">
        <f t="shared" ca="1" si="71"/>
        <v>0.74822706346997914</v>
      </c>
      <c r="AA438" s="6">
        <f t="shared" ca="1" si="72"/>
        <v>167856.147758654</v>
      </c>
      <c r="AB438" s="6">
        <f t="shared" ca="1" si="73"/>
        <v>438.73297973616701</v>
      </c>
    </row>
    <row r="439" spans="1:28" x14ac:dyDescent="0.3">
      <c r="A439" s="53"/>
      <c r="B439" s="54"/>
      <c r="C439" s="65" t="s">
        <v>219</v>
      </c>
      <c r="D439" s="65">
        <f t="shared" ca="1" si="66"/>
        <v>4</v>
      </c>
      <c r="E439" s="3">
        <f t="shared" ca="1" si="67"/>
        <v>0.23849202391689961</v>
      </c>
      <c r="F439" s="6">
        <f t="shared" ca="1" si="68"/>
        <v>72270.950988854616</v>
      </c>
      <c r="G439" s="6">
        <f t="shared" ca="1" si="69"/>
        <v>1377.8728795505883</v>
      </c>
      <c r="V439" s="53"/>
      <c r="W439" s="54"/>
      <c r="X439" s="65" t="s">
        <v>219</v>
      </c>
      <c r="Y439" s="65">
        <f t="shared" ca="1" si="70"/>
        <v>2</v>
      </c>
      <c r="Z439" s="3">
        <f t="shared" ca="1" si="71"/>
        <v>9.8311462565716212E-2</v>
      </c>
      <c r="AA439" s="6">
        <f t="shared" ca="1" si="72"/>
        <v>84607.387219128155</v>
      </c>
      <c r="AB439" s="6">
        <f t="shared" ca="1" si="73"/>
        <v>975.17697004935178</v>
      </c>
    </row>
    <row r="440" spans="1:28" x14ac:dyDescent="0.3">
      <c r="A440" s="53"/>
      <c r="B440" s="54"/>
      <c r="C440" s="65" t="s">
        <v>219</v>
      </c>
      <c r="D440" s="65">
        <f t="shared" ca="1" si="66"/>
        <v>1</v>
      </c>
      <c r="E440" s="3">
        <f t="shared" ca="1" si="67"/>
        <v>0.7186738009317869</v>
      </c>
      <c r="F440" s="6">
        <f t="shared" ca="1" si="68"/>
        <v>35270.977201388167</v>
      </c>
      <c r="G440" s="6">
        <f t="shared" ca="1" si="69"/>
        <v>1033.2892214281667</v>
      </c>
      <c r="V440" s="53"/>
      <c r="W440" s="54"/>
      <c r="X440" s="65" t="s">
        <v>219</v>
      </c>
      <c r="Y440" s="65">
        <f t="shared" ca="1" si="70"/>
        <v>2</v>
      </c>
      <c r="Z440" s="3">
        <f t="shared" ca="1" si="71"/>
        <v>0.99563819715503243</v>
      </c>
      <c r="AA440" s="6">
        <f t="shared" ca="1" si="72"/>
        <v>94053.894765391786</v>
      </c>
      <c r="AB440" s="6">
        <f t="shared" ca="1" si="73"/>
        <v>463.51601679407264</v>
      </c>
    </row>
    <row r="441" spans="1:28" x14ac:dyDescent="0.3">
      <c r="A441" s="53"/>
      <c r="B441" s="54"/>
      <c r="C441" s="65" t="s">
        <v>219</v>
      </c>
      <c r="D441" s="65">
        <f t="shared" ca="1" si="66"/>
        <v>2</v>
      </c>
      <c r="E441" s="3">
        <f t="shared" ca="1" si="67"/>
        <v>0.99122226887921439</v>
      </c>
      <c r="F441" s="6">
        <f t="shared" ca="1" si="68"/>
        <v>193526.42169033387</v>
      </c>
      <c r="G441" s="6">
        <f t="shared" ca="1" si="69"/>
        <v>1927.9738366169365</v>
      </c>
      <c r="V441" s="53"/>
      <c r="W441" s="54"/>
      <c r="X441" s="65" t="s">
        <v>219</v>
      </c>
      <c r="Y441" s="65">
        <f t="shared" ca="1" si="70"/>
        <v>2</v>
      </c>
      <c r="Z441" s="3">
        <f t="shared" ca="1" si="71"/>
        <v>0.92183663320074782</v>
      </c>
      <c r="AA441" s="6">
        <f t="shared" ca="1" si="72"/>
        <v>186716.68824923594</v>
      </c>
      <c r="AB441" s="6">
        <f t="shared" ca="1" si="73"/>
        <v>90.211430679982826</v>
      </c>
    </row>
    <row r="442" spans="1:28" x14ac:dyDescent="0.3">
      <c r="A442" s="53"/>
      <c r="B442" s="54"/>
      <c r="C442" s="65" t="s">
        <v>219</v>
      </c>
      <c r="D442" s="65">
        <f t="shared" ca="1" si="66"/>
        <v>2</v>
      </c>
      <c r="E442" s="3">
        <f t="shared" ca="1" si="67"/>
        <v>0.39559031176905046</v>
      </c>
      <c r="F442" s="6">
        <f t="shared" ca="1" si="68"/>
        <v>696.4928223439415</v>
      </c>
      <c r="G442" s="6">
        <f t="shared" ca="1" si="69"/>
        <v>955.51801460526133</v>
      </c>
      <c r="V442" s="53"/>
      <c r="W442" s="54"/>
      <c r="X442" s="65" t="s">
        <v>219</v>
      </c>
      <c r="Y442" s="65">
        <f t="shared" ca="1" si="70"/>
        <v>1</v>
      </c>
      <c r="Z442" s="3">
        <f t="shared" ca="1" si="71"/>
        <v>0.71272861508301488</v>
      </c>
      <c r="AA442" s="6">
        <f t="shared" ca="1" si="72"/>
        <v>165678.89283575074</v>
      </c>
      <c r="AB442" s="6">
        <f t="shared" ca="1" si="73"/>
        <v>314.17828793434575</v>
      </c>
    </row>
    <row r="443" spans="1:28" x14ac:dyDescent="0.3">
      <c r="A443" s="53"/>
      <c r="B443" s="54"/>
      <c r="C443" s="65" t="s">
        <v>219</v>
      </c>
      <c r="D443" s="65">
        <f t="shared" ca="1" si="66"/>
        <v>2</v>
      </c>
      <c r="E443" s="3">
        <f t="shared" ca="1" si="67"/>
        <v>0.30129124003077534</v>
      </c>
      <c r="F443" s="6">
        <f t="shared" ca="1" si="68"/>
        <v>9979.2925130131935</v>
      </c>
      <c r="G443" s="6">
        <f t="shared" ca="1" si="69"/>
        <v>1516.9639743204175</v>
      </c>
      <c r="V443" s="53"/>
      <c r="W443" s="54"/>
      <c r="X443" s="65" t="s">
        <v>219</v>
      </c>
      <c r="Y443" s="65">
        <f t="shared" ca="1" si="70"/>
        <v>2</v>
      </c>
      <c r="Z443" s="3">
        <f t="shared" ca="1" si="71"/>
        <v>0.97830873000978325</v>
      </c>
      <c r="AA443" s="6">
        <f t="shared" ca="1" si="72"/>
        <v>119071.24099206759</v>
      </c>
      <c r="AB443" s="6">
        <f t="shared" ca="1" si="73"/>
        <v>775.67141797951206</v>
      </c>
    </row>
    <row r="444" spans="1:28" x14ac:dyDescent="0.3">
      <c r="A444" s="53"/>
      <c r="B444" s="54"/>
      <c r="C444" s="65" t="s">
        <v>219</v>
      </c>
      <c r="D444" s="65">
        <f t="shared" ca="1" si="66"/>
        <v>3</v>
      </c>
      <c r="E444" s="3">
        <f t="shared" ca="1" si="67"/>
        <v>0.21185340704529732</v>
      </c>
      <c r="F444" s="6">
        <f t="shared" ca="1" si="68"/>
        <v>171867.15966477673</v>
      </c>
      <c r="G444" s="6">
        <f t="shared" ca="1" si="69"/>
        <v>69.455639282396845</v>
      </c>
      <c r="V444" s="53"/>
      <c r="W444" s="54"/>
      <c r="X444" s="65" t="s">
        <v>219</v>
      </c>
      <c r="Y444" s="65">
        <f t="shared" ca="1" si="70"/>
        <v>4</v>
      </c>
      <c r="Z444" s="3">
        <f t="shared" ca="1" si="71"/>
        <v>0.49782301337825896</v>
      </c>
      <c r="AA444" s="6">
        <f t="shared" ca="1" si="72"/>
        <v>126771.91595696335</v>
      </c>
      <c r="AB444" s="6">
        <f t="shared" ca="1" si="73"/>
        <v>859.62725045238074</v>
      </c>
    </row>
    <row r="445" spans="1:28" x14ac:dyDescent="0.3">
      <c r="A445" s="53"/>
      <c r="B445" s="54"/>
      <c r="C445" s="65" t="s">
        <v>219</v>
      </c>
      <c r="D445" s="65">
        <f t="shared" ca="1" si="66"/>
        <v>4</v>
      </c>
      <c r="E445" s="3">
        <f t="shared" ca="1" si="67"/>
        <v>0.22675687426160041</v>
      </c>
      <c r="F445" s="6">
        <f t="shared" ca="1" si="68"/>
        <v>171026.42731801266</v>
      </c>
      <c r="G445" s="6">
        <f t="shared" ca="1" si="69"/>
        <v>380.43190327214705</v>
      </c>
      <c r="V445" s="53"/>
      <c r="W445" s="54"/>
      <c r="X445" s="65" t="s">
        <v>219</v>
      </c>
      <c r="Y445" s="65">
        <f t="shared" ca="1" si="70"/>
        <v>4</v>
      </c>
      <c r="Z445" s="3">
        <f t="shared" ca="1" si="71"/>
        <v>8.7441909858664069E-2</v>
      </c>
      <c r="AA445" s="6">
        <f t="shared" ca="1" si="72"/>
        <v>49046.782412600187</v>
      </c>
      <c r="AB445" s="6">
        <f t="shared" ca="1" si="73"/>
        <v>1347.8125107991641</v>
      </c>
    </row>
    <row r="446" spans="1:28" x14ac:dyDescent="0.3">
      <c r="A446" s="53"/>
      <c r="B446" s="54"/>
      <c r="C446" s="65" t="s">
        <v>219</v>
      </c>
      <c r="D446" s="65">
        <f t="shared" ca="1" si="66"/>
        <v>2</v>
      </c>
      <c r="E446" s="3">
        <f t="shared" ca="1" si="67"/>
        <v>0.12816514062013629</v>
      </c>
      <c r="F446" s="6">
        <f t="shared" ca="1" si="68"/>
        <v>51502.807214974309</v>
      </c>
      <c r="G446" s="6">
        <f t="shared" ca="1" si="69"/>
        <v>969.50327278933355</v>
      </c>
      <c r="V446" s="53"/>
      <c r="W446" s="54"/>
      <c r="X446" s="65" t="s">
        <v>219</v>
      </c>
      <c r="Y446" s="65">
        <f t="shared" ca="1" si="70"/>
        <v>2</v>
      </c>
      <c r="Z446" s="3">
        <f t="shared" ca="1" si="71"/>
        <v>0.65604261350731774</v>
      </c>
      <c r="AA446" s="6">
        <f t="shared" ca="1" si="72"/>
        <v>150657.33414843091</v>
      </c>
      <c r="AB446" s="6">
        <f t="shared" ca="1" si="73"/>
        <v>166.07413290524065</v>
      </c>
    </row>
    <row r="447" spans="1:28" x14ac:dyDescent="0.3">
      <c r="A447" s="53"/>
      <c r="B447" s="54"/>
      <c r="C447" s="65" t="s">
        <v>219</v>
      </c>
      <c r="D447" s="65">
        <f t="shared" ca="1" si="66"/>
        <v>3</v>
      </c>
      <c r="E447" s="3">
        <f t="shared" ca="1" si="67"/>
        <v>5.8262337059115876E-2</v>
      </c>
      <c r="F447" s="6">
        <f t="shared" ca="1" si="68"/>
        <v>23399.017033195156</v>
      </c>
      <c r="G447" s="6">
        <f t="shared" ca="1" si="69"/>
        <v>354.28624237574269</v>
      </c>
      <c r="V447" s="53"/>
      <c r="W447" s="54"/>
      <c r="X447" s="65" t="s">
        <v>219</v>
      </c>
      <c r="Y447" s="65">
        <f t="shared" ca="1" si="70"/>
        <v>4</v>
      </c>
      <c r="Z447" s="3">
        <f t="shared" ca="1" si="71"/>
        <v>0.49429124960670923</v>
      </c>
      <c r="AA447" s="6">
        <f t="shared" ca="1" si="72"/>
        <v>109437.61247909085</v>
      </c>
      <c r="AB447" s="6">
        <f t="shared" ca="1" si="73"/>
        <v>79.93863233583798</v>
      </c>
    </row>
    <row r="448" spans="1:28" x14ac:dyDescent="0.3">
      <c r="A448" s="53"/>
      <c r="B448" s="54"/>
      <c r="C448" s="65" t="s">
        <v>219</v>
      </c>
      <c r="D448" s="65">
        <f t="shared" ca="1" si="66"/>
        <v>3</v>
      </c>
      <c r="E448" s="3">
        <f t="shared" ca="1" si="67"/>
        <v>0.10475096300719344</v>
      </c>
      <c r="F448" s="6">
        <f t="shared" ca="1" si="68"/>
        <v>125914.14247184656</v>
      </c>
      <c r="G448" s="6">
        <f t="shared" ca="1" si="69"/>
        <v>251.26179210892218</v>
      </c>
      <c r="V448" s="53"/>
      <c r="W448" s="54"/>
      <c r="X448" s="65" t="s">
        <v>219</v>
      </c>
      <c r="Y448" s="65">
        <f t="shared" ca="1" si="70"/>
        <v>4</v>
      </c>
      <c r="Z448" s="3">
        <f t="shared" ca="1" si="71"/>
        <v>0.48241297617034784</v>
      </c>
      <c r="AA448" s="6">
        <f t="shared" ca="1" si="72"/>
        <v>67939.456878811732</v>
      </c>
      <c r="AB448" s="6">
        <f t="shared" ca="1" si="73"/>
        <v>18.085714261512955</v>
      </c>
    </row>
    <row r="449" spans="1:28" x14ac:dyDescent="0.3">
      <c r="A449" s="53"/>
      <c r="B449" s="54"/>
      <c r="C449" s="65" t="s">
        <v>219</v>
      </c>
      <c r="D449" s="65">
        <f t="shared" ca="1" si="66"/>
        <v>3</v>
      </c>
      <c r="E449" s="3">
        <f t="shared" ca="1" si="67"/>
        <v>0.18276691699922443</v>
      </c>
      <c r="F449" s="6">
        <f t="shared" ca="1" si="68"/>
        <v>124243.75085204282</v>
      </c>
      <c r="G449" s="6">
        <f t="shared" ca="1" si="69"/>
        <v>1823.3606212313296</v>
      </c>
      <c r="V449" s="53"/>
      <c r="W449" s="54"/>
      <c r="X449" s="65" t="s">
        <v>219</v>
      </c>
      <c r="Y449" s="65">
        <f t="shared" ca="1" si="70"/>
        <v>3</v>
      </c>
      <c r="Z449" s="3">
        <f t="shared" ca="1" si="71"/>
        <v>0.9375133475575792</v>
      </c>
      <c r="AA449" s="6">
        <f t="shared" ca="1" si="72"/>
        <v>85454.767181095231</v>
      </c>
      <c r="AB449" s="6">
        <f t="shared" ca="1" si="73"/>
        <v>1923.4152910285777</v>
      </c>
    </row>
    <row r="450" spans="1:28" x14ac:dyDescent="0.3">
      <c r="A450" s="53"/>
      <c r="B450" s="54"/>
      <c r="C450" s="65" t="s">
        <v>242</v>
      </c>
      <c r="D450" s="65">
        <f t="shared" ca="1" si="66"/>
        <v>3</v>
      </c>
      <c r="E450" s="3">
        <f t="shared" ca="1" si="67"/>
        <v>0.68346506246359351</v>
      </c>
      <c r="F450" s="6">
        <f t="shared" ca="1" si="68"/>
        <v>111961.14012399645</v>
      </c>
      <c r="G450" s="6">
        <f t="shared" ca="1" si="69"/>
        <v>37.854380107252616</v>
      </c>
      <c r="V450" s="53"/>
      <c r="W450" s="54"/>
      <c r="X450" s="65" t="s">
        <v>242</v>
      </c>
      <c r="Y450" s="65">
        <f t="shared" ca="1" si="70"/>
        <v>3</v>
      </c>
      <c r="Z450" s="3">
        <f t="shared" ca="1" si="71"/>
        <v>0.8100416744482053</v>
      </c>
      <c r="AA450" s="6">
        <f t="shared" ca="1" si="72"/>
        <v>150412.70837299901</v>
      </c>
      <c r="AB450" s="6">
        <f t="shared" ca="1" si="73"/>
        <v>340.23117248379185</v>
      </c>
    </row>
    <row r="451" spans="1:28" x14ac:dyDescent="0.3">
      <c r="A451" s="53"/>
      <c r="B451" s="54"/>
      <c r="C451" s="65" t="s">
        <v>242</v>
      </c>
      <c r="D451" s="65">
        <f t="shared" ca="1" si="66"/>
        <v>4</v>
      </c>
      <c r="E451" s="3">
        <f t="shared" ca="1" si="67"/>
        <v>0.89460272369001115</v>
      </c>
      <c r="F451" s="6">
        <f t="shared" ca="1" si="68"/>
        <v>14118.744544697547</v>
      </c>
      <c r="G451" s="6">
        <f t="shared" ca="1" si="69"/>
        <v>1103.9034399072602</v>
      </c>
      <c r="V451" s="53"/>
      <c r="W451" s="54"/>
      <c r="X451" s="65" t="s">
        <v>242</v>
      </c>
      <c r="Y451" s="65">
        <f t="shared" ca="1" si="70"/>
        <v>2</v>
      </c>
      <c r="Z451" s="3">
        <f t="shared" ca="1" si="71"/>
        <v>0.33287143897457305</v>
      </c>
      <c r="AA451" s="6">
        <f t="shared" ca="1" si="72"/>
        <v>1589.7153118020979</v>
      </c>
      <c r="AB451" s="6">
        <f t="shared" ca="1" si="73"/>
        <v>631.88104652043592</v>
      </c>
    </row>
    <row r="452" spans="1:28" x14ac:dyDescent="0.3">
      <c r="A452" s="53"/>
      <c r="B452" s="54"/>
      <c r="C452" s="65" t="s">
        <v>242</v>
      </c>
      <c r="D452" s="65">
        <f t="shared" ca="1" si="66"/>
        <v>4</v>
      </c>
      <c r="E452" s="3">
        <f t="shared" ca="1" si="67"/>
        <v>0.99427194510148009</v>
      </c>
      <c r="F452" s="6">
        <f t="shared" ca="1" si="68"/>
        <v>173675.48221548757</v>
      </c>
      <c r="G452" s="6">
        <f t="shared" ca="1" si="69"/>
        <v>276.53415408518532</v>
      </c>
      <c r="V452" s="53"/>
      <c r="W452" s="54"/>
      <c r="X452" s="65" t="s">
        <v>242</v>
      </c>
      <c r="Y452" s="65">
        <f t="shared" ca="1" si="70"/>
        <v>2</v>
      </c>
      <c r="Z452" s="3">
        <f t="shared" ca="1" si="71"/>
        <v>0.14009931435979717</v>
      </c>
      <c r="AA452" s="6">
        <f t="shared" ca="1" si="72"/>
        <v>78952.599737843164</v>
      </c>
      <c r="AB452" s="6">
        <f t="shared" ca="1" si="73"/>
        <v>1794.0830387024378</v>
      </c>
    </row>
    <row r="453" spans="1:28" x14ac:dyDescent="0.3">
      <c r="A453" s="53"/>
      <c r="B453" s="54"/>
      <c r="C453" s="65" t="s">
        <v>219</v>
      </c>
      <c r="D453" s="65">
        <f t="shared" ca="1" si="66"/>
        <v>2</v>
      </c>
      <c r="E453" s="3">
        <f t="shared" ca="1" si="67"/>
        <v>0.94578535299143873</v>
      </c>
      <c r="F453" s="6">
        <f t="shared" ca="1" si="68"/>
        <v>145845.05966746423</v>
      </c>
      <c r="G453" s="6">
        <f t="shared" ca="1" si="69"/>
        <v>1419.5031579459026</v>
      </c>
      <c r="V453" s="53"/>
      <c r="W453" s="54"/>
      <c r="X453" s="65" t="s">
        <v>219</v>
      </c>
      <c r="Y453" s="65">
        <f t="shared" ca="1" si="70"/>
        <v>2</v>
      </c>
      <c r="Z453" s="3">
        <f t="shared" ca="1" si="71"/>
        <v>0.98198535331828729</v>
      </c>
      <c r="AA453" s="6">
        <f t="shared" ca="1" si="72"/>
        <v>146445.33639452685</v>
      </c>
      <c r="AB453" s="6">
        <f t="shared" ca="1" si="73"/>
        <v>751.64625802032629</v>
      </c>
    </row>
    <row r="454" spans="1:28" x14ac:dyDescent="0.3">
      <c r="A454" s="53"/>
      <c r="B454" s="54"/>
      <c r="C454" s="65" t="s">
        <v>242</v>
      </c>
      <c r="D454" s="65">
        <f t="shared" ca="1" si="66"/>
        <v>1</v>
      </c>
      <c r="E454" s="3">
        <f t="shared" ca="1" si="67"/>
        <v>0.27183832349240267</v>
      </c>
      <c r="F454" s="6">
        <f t="shared" ca="1" si="68"/>
        <v>95818.366609955352</v>
      </c>
      <c r="G454" s="6">
        <f t="shared" ca="1" si="69"/>
        <v>526.62879464471746</v>
      </c>
      <c r="V454" s="53"/>
      <c r="W454" s="54"/>
      <c r="X454" s="65" t="s">
        <v>242</v>
      </c>
      <c r="Y454" s="65">
        <f t="shared" ca="1" si="70"/>
        <v>1</v>
      </c>
      <c r="Z454" s="3">
        <f t="shared" ca="1" si="71"/>
        <v>0.66775620618968579</v>
      </c>
      <c r="AA454" s="6">
        <f t="shared" ca="1" si="72"/>
        <v>134027.91583588521</v>
      </c>
      <c r="AB454" s="6">
        <f t="shared" ca="1" si="73"/>
        <v>1965.5951383628037</v>
      </c>
    </row>
    <row r="455" spans="1:28" x14ac:dyDescent="0.3">
      <c r="A455" s="53"/>
      <c r="B455" s="54"/>
      <c r="C455" s="65" t="s">
        <v>219</v>
      </c>
      <c r="D455" s="65">
        <f t="shared" ca="1" si="66"/>
        <v>3</v>
      </c>
      <c r="E455" s="3">
        <f t="shared" ca="1" si="67"/>
        <v>0.91183386676612477</v>
      </c>
      <c r="F455" s="6">
        <f t="shared" ca="1" si="68"/>
        <v>29127.96791753962</v>
      </c>
      <c r="G455" s="6">
        <f t="shared" ca="1" si="69"/>
        <v>1746.2007217060304</v>
      </c>
      <c r="V455" s="53"/>
      <c r="W455" s="54"/>
      <c r="X455" s="65" t="s">
        <v>219</v>
      </c>
      <c r="Y455" s="65">
        <f t="shared" ca="1" si="70"/>
        <v>4</v>
      </c>
      <c r="Z455" s="3">
        <f t="shared" ca="1" si="71"/>
        <v>0.49303428431517438</v>
      </c>
      <c r="AA455" s="6">
        <f t="shared" ca="1" si="72"/>
        <v>150741.67014452707</v>
      </c>
      <c r="AB455" s="6">
        <f t="shared" ca="1" si="73"/>
        <v>465.3463901724806</v>
      </c>
    </row>
    <row r="456" spans="1:28" x14ac:dyDescent="0.3">
      <c r="A456" s="53"/>
      <c r="B456" s="54"/>
      <c r="C456" s="65" t="s">
        <v>242</v>
      </c>
      <c r="D456" s="65">
        <f t="shared" ca="1" si="66"/>
        <v>3</v>
      </c>
      <c r="E456" s="3">
        <f t="shared" ca="1" si="67"/>
        <v>0.99409247036010118</v>
      </c>
      <c r="F456" s="6">
        <f t="shared" ca="1" si="68"/>
        <v>175796.24177472116</v>
      </c>
      <c r="G456" s="6">
        <f t="shared" ca="1" si="69"/>
        <v>742.40126215938301</v>
      </c>
      <c r="V456" s="53"/>
      <c r="W456" s="54"/>
      <c r="X456" s="65" t="s">
        <v>242</v>
      </c>
      <c r="Y456" s="65">
        <f t="shared" ca="1" si="70"/>
        <v>2</v>
      </c>
      <c r="Z456" s="3">
        <f t="shared" ca="1" si="71"/>
        <v>0.97825909337277739</v>
      </c>
      <c r="AA456" s="6">
        <f t="shared" ca="1" si="72"/>
        <v>40886.843627685688</v>
      </c>
      <c r="AB456" s="6">
        <f t="shared" ca="1" si="73"/>
        <v>591.55451805594134</v>
      </c>
    </row>
    <row r="457" spans="1:28" x14ac:dyDescent="0.3">
      <c r="A457" s="53"/>
      <c r="B457" s="54"/>
      <c r="C457" s="65" t="s">
        <v>242</v>
      </c>
      <c r="D457" s="65">
        <f t="shared" ca="1" si="66"/>
        <v>3</v>
      </c>
      <c r="E457" s="3">
        <f t="shared" ca="1" si="67"/>
        <v>0.91993107550023878</v>
      </c>
      <c r="F457" s="6">
        <f t="shared" ca="1" si="68"/>
        <v>181820.10628808281</v>
      </c>
      <c r="G457" s="6">
        <f t="shared" ca="1" si="69"/>
        <v>1247.860440683048</v>
      </c>
      <c r="V457" s="53"/>
      <c r="W457" s="54"/>
      <c r="X457" s="65" t="s">
        <v>242</v>
      </c>
      <c r="Y457" s="65">
        <f t="shared" ca="1" si="70"/>
        <v>3</v>
      </c>
      <c r="Z457" s="3">
        <f t="shared" ca="1" si="71"/>
        <v>0.54754605151552327</v>
      </c>
      <c r="AA457" s="6">
        <f t="shared" ca="1" si="72"/>
        <v>159039.88190079809</v>
      </c>
      <c r="AB457" s="6">
        <f t="shared" ca="1" si="73"/>
        <v>870.72979961607496</v>
      </c>
    </row>
    <row r="458" spans="1:28" x14ac:dyDescent="0.3">
      <c r="A458" s="53"/>
      <c r="B458" s="54"/>
      <c r="C458" s="65" t="s">
        <v>242</v>
      </c>
      <c r="D458" s="65">
        <f t="shared" ca="1" si="66"/>
        <v>3</v>
      </c>
      <c r="E458" s="3">
        <f t="shared" ca="1" si="67"/>
        <v>0.52543395751513944</v>
      </c>
      <c r="F458" s="6">
        <f t="shared" ca="1" si="68"/>
        <v>138200.78082277859</v>
      </c>
      <c r="G458" s="6">
        <f t="shared" ca="1" si="69"/>
        <v>1412.4509266611531</v>
      </c>
      <c r="V458" s="53"/>
      <c r="W458" s="54"/>
      <c r="X458" s="65" t="s">
        <v>242</v>
      </c>
      <c r="Y458" s="65">
        <f t="shared" ca="1" si="70"/>
        <v>2</v>
      </c>
      <c r="Z458" s="3">
        <f t="shared" ca="1" si="71"/>
        <v>0.24915755038986964</v>
      </c>
      <c r="AA458" s="6">
        <f t="shared" ca="1" si="72"/>
        <v>150345.59266870248</v>
      </c>
      <c r="AB458" s="6">
        <f t="shared" ca="1" si="73"/>
        <v>296.34712206731331</v>
      </c>
    </row>
    <row r="459" spans="1:28" x14ac:dyDescent="0.3">
      <c r="A459" s="53"/>
      <c r="B459" s="54"/>
      <c r="C459" s="65" t="s">
        <v>219</v>
      </c>
      <c r="D459" s="65">
        <f t="shared" ca="1" si="66"/>
        <v>4</v>
      </c>
      <c r="E459" s="3">
        <f t="shared" ca="1" si="67"/>
        <v>0.86300600160077634</v>
      </c>
      <c r="F459" s="6">
        <f t="shared" ca="1" si="68"/>
        <v>180216.48300997875</v>
      </c>
      <c r="G459" s="6">
        <f t="shared" ca="1" si="69"/>
        <v>1071.4104649931294</v>
      </c>
      <c r="V459" s="53"/>
      <c r="W459" s="54"/>
      <c r="X459" s="65" t="s">
        <v>219</v>
      </c>
      <c r="Y459" s="65">
        <f t="shared" ca="1" si="70"/>
        <v>4</v>
      </c>
      <c r="Z459" s="3">
        <f t="shared" ca="1" si="71"/>
        <v>4.8900359021099349E-2</v>
      </c>
      <c r="AA459" s="6">
        <f t="shared" ca="1" si="72"/>
        <v>96363.61013025367</v>
      </c>
      <c r="AB459" s="6">
        <f t="shared" ca="1" si="73"/>
        <v>620.00486644138948</v>
      </c>
    </row>
    <row r="460" spans="1:28" x14ac:dyDescent="0.3">
      <c r="A460" s="53"/>
      <c r="B460" s="54"/>
      <c r="C460" s="65" t="s">
        <v>219</v>
      </c>
      <c r="D460" s="65">
        <f t="shared" ca="1" si="66"/>
        <v>3</v>
      </c>
      <c r="E460" s="3">
        <f t="shared" ca="1" si="67"/>
        <v>0.55562797921434504</v>
      </c>
      <c r="F460" s="6">
        <f t="shared" ca="1" si="68"/>
        <v>10463.391944336054</v>
      </c>
      <c r="G460" s="6">
        <f t="shared" ca="1" si="69"/>
        <v>576.71963249770022</v>
      </c>
      <c r="V460" s="53"/>
      <c r="W460" s="54"/>
      <c r="X460" s="65" t="s">
        <v>219</v>
      </c>
      <c r="Y460" s="65">
        <f t="shared" ca="1" si="70"/>
        <v>1</v>
      </c>
      <c r="Z460" s="3">
        <f t="shared" ca="1" si="71"/>
        <v>0.45003335902619013</v>
      </c>
      <c r="AA460" s="6">
        <f t="shared" ca="1" si="72"/>
        <v>155276.2915719114</v>
      </c>
      <c r="AB460" s="6">
        <f t="shared" ca="1" si="73"/>
        <v>74.119595401774816</v>
      </c>
    </row>
    <row r="461" spans="1:28" x14ac:dyDescent="0.3">
      <c r="A461" s="53"/>
      <c r="B461" s="54"/>
      <c r="C461" s="65" t="s">
        <v>219</v>
      </c>
      <c r="D461" s="65">
        <f t="shared" ref="D461:D524" ca="1" si="74">INT(RAND()*4)+1</f>
        <v>3</v>
      </c>
      <c r="E461" s="3">
        <f t="shared" ref="E461:E524" ca="1" si="75">RAND()</f>
        <v>6.8884528329858474E-2</v>
      </c>
      <c r="F461" s="6">
        <f t="shared" ref="F461:F524" ca="1" si="76">RAND()*200000</f>
        <v>55890.591590568707</v>
      </c>
      <c r="G461" s="6">
        <f t="shared" ref="G461:G524" ca="1" si="77">RAND()*2000</f>
        <v>756.94721497017053</v>
      </c>
      <c r="V461" s="53"/>
      <c r="W461" s="54"/>
      <c r="X461" s="65" t="s">
        <v>219</v>
      </c>
      <c r="Y461" s="65">
        <f t="shared" ref="Y461:Y524" ca="1" si="78">INT(RAND()*4)+1</f>
        <v>4</v>
      </c>
      <c r="Z461" s="3">
        <f t="shared" ref="Z461:Z524" ca="1" si="79">RAND()</f>
        <v>0.91196846313852631</v>
      </c>
      <c r="AA461" s="6">
        <f t="shared" ref="AA461:AA524" ca="1" si="80">RAND()*200000</f>
        <v>63833.27607311149</v>
      </c>
      <c r="AB461" s="6">
        <f t="shared" ref="AB461:AB524" ca="1" si="81">RAND()*2000</f>
        <v>241.21749194550856</v>
      </c>
    </row>
    <row r="462" spans="1:28" x14ac:dyDescent="0.3">
      <c r="A462" s="53"/>
      <c r="B462" s="54"/>
      <c r="C462" s="65" t="s">
        <v>242</v>
      </c>
      <c r="D462" s="65">
        <f t="shared" ca="1" si="74"/>
        <v>3</v>
      </c>
      <c r="E462" s="3">
        <f t="shared" ca="1" si="75"/>
        <v>0.32401718792082124</v>
      </c>
      <c r="F462" s="6">
        <f t="shared" ca="1" si="76"/>
        <v>6017.9610057782047</v>
      </c>
      <c r="G462" s="6">
        <f t="shared" ca="1" si="77"/>
        <v>848.02875799359435</v>
      </c>
      <c r="V462" s="53"/>
      <c r="W462" s="54"/>
      <c r="X462" s="65" t="s">
        <v>242</v>
      </c>
      <c r="Y462" s="65">
        <f t="shared" ca="1" si="78"/>
        <v>2</v>
      </c>
      <c r="Z462" s="3">
        <f t="shared" ca="1" si="79"/>
        <v>0.91143777820600114</v>
      </c>
      <c r="AA462" s="6">
        <f t="shared" ca="1" si="80"/>
        <v>139611.24306586268</v>
      </c>
      <c r="AB462" s="6">
        <f t="shared" ca="1" si="81"/>
        <v>1486.9182036659734</v>
      </c>
    </row>
    <row r="463" spans="1:28" x14ac:dyDescent="0.3">
      <c r="A463" s="53"/>
      <c r="B463" s="54"/>
      <c r="C463" s="65" t="s">
        <v>242</v>
      </c>
      <c r="D463" s="65">
        <f t="shared" ca="1" si="74"/>
        <v>1</v>
      </c>
      <c r="E463" s="3">
        <f t="shared" ca="1" si="75"/>
        <v>0.99723331076139443</v>
      </c>
      <c r="F463" s="6">
        <f t="shared" ca="1" si="76"/>
        <v>80078.656177253069</v>
      </c>
      <c r="G463" s="6">
        <f t="shared" ca="1" si="77"/>
        <v>910.83799297504368</v>
      </c>
      <c r="V463" s="53"/>
      <c r="W463" s="54"/>
      <c r="X463" s="65" t="s">
        <v>242</v>
      </c>
      <c r="Y463" s="65">
        <f t="shared" ca="1" si="78"/>
        <v>4</v>
      </c>
      <c r="Z463" s="3">
        <f t="shared" ca="1" si="79"/>
        <v>0.77964099868507208</v>
      </c>
      <c r="AA463" s="6">
        <f t="shared" ca="1" si="80"/>
        <v>2524.5209653090628</v>
      </c>
      <c r="AB463" s="6">
        <f t="shared" ca="1" si="81"/>
        <v>852.57159328991986</v>
      </c>
    </row>
    <row r="464" spans="1:28" x14ac:dyDescent="0.3">
      <c r="A464" s="53"/>
      <c r="B464" s="54"/>
      <c r="C464" s="65" t="s">
        <v>242</v>
      </c>
      <c r="D464" s="65">
        <f t="shared" ca="1" si="74"/>
        <v>1</v>
      </c>
      <c r="E464" s="3">
        <f t="shared" ca="1" si="75"/>
        <v>0.4373062313300754</v>
      </c>
      <c r="F464" s="6">
        <f t="shared" ca="1" si="76"/>
        <v>32965.793186208226</v>
      </c>
      <c r="G464" s="6">
        <f t="shared" ca="1" si="77"/>
        <v>999.14025184084744</v>
      </c>
      <c r="V464" s="53"/>
      <c r="W464" s="54"/>
      <c r="X464" s="65" t="s">
        <v>242</v>
      </c>
      <c r="Y464" s="65">
        <f t="shared" ca="1" si="78"/>
        <v>1</v>
      </c>
      <c r="Z464" s="3">
        <f t="shared" ca="1" si="79"/>
        <v>0.47993925734018972</v>
      </c>
      <c r="AA464" s="6">
        <f t="shared" ca="1" si="80"/>
        <v>53045.511910333706</v>
      </c>
      <c r="AB464" s="6">
        <f t="shared" ca="1" si="81"/>
        <v>1419.5549495705629</v>
      </c>
    </row>
    <row r="465" spans="1:28" x14ac:dyDescent="0.3">
      <c r="A465" s="53"/>
      <c r="B465" s="54"/>
      <c r="C465" s="65" t="s">
        <v>219</v>
      </c>
      <c r="D465" s="65">
        <f t="shared" ca="1" si="74"/>
        <v>2</v>
      </c>
      <c r="E465" s="3">
        <f t="shared" ca="1" si="75"/>
        <v>0.41878930256474445</v>
      </c>
      <c r="F465" s="6">
        <f t="shared" ca="1" si="76"/>
        <v>135408.57293845827</v>
      </c>
      <c r="G465" s="6">
        <f t="shared" ca="1" si="77"/>
        <v>1751.3155795953051</v>
      </c>
      <c r="V465" s="53"/>
      <c r="W465" s="54"/>
      <c r="X465" s="65" t="s">
        <v>219</v>
      </c>
      <c r="Y465" s="65">
        <f t="shared" ca="1" si="78"/>
        <v>1</v>
      </c>
      <c r="Z465" s="3">
        <f t="shared" ca="1" si="79"/>
        <v>0.15953112463958552</v>
      </c>
      <c r="AA465" s="6">
        <f t="shared" ca="1" si="80"/>
        <v>159883.86819849035</v>
      </c>
      <c r="AB465" s="6">
        <f t="shared" ca="1" si="81"/>
        <v>546.18587010514227</v>
      </c>
    </row>
    <row r="466" spans="1:28" x14ac:dyDescent="0.3">
      <c r="A466" s="53"/>
      <c r="B466" s="54"/>
      <c r="C466" s="65" t="s">
        <v>242</v>
      </c>
      <c r="D466" s="65">
        <f t="shared" ca="1" si="74"/>
        <v>4</v>
      </c>
      <c r="E466" s="3">
        <f t="shared" ca="1" si="75"/>
        <v>5.4452245690852497E-2</v>
      </c>
      <c r="F466" s="6">
        <f t="shared" ca="1" si="76"/>
        <v>49520.936885763069</v>
      </c>
      <c r="G466" s="6">
        <f t="shared" ca="1" si="77"/>
        <v>1554.9569745998376</v>
      </c>
      <c r="V466" s="53"/>
      <c r="W466" s="54"/>
      <c r="X466" s="65" t="s">
        <v>242</v>
      </c>
      <c r="Y466" s="65">
        <f t="shared" ca="1" si="78"/>
        <v>1</v>
      </c>
      <c r="Z466" s="3">
        <f t="shared" ca="1" si="79"/>
        <v>0.66204230864738312</v>
      </c>
      <c r="AA466" s="6">
        <f t="shared" ca="1" si="80"/>
        <v>118226.52554085235</v>
      </c>
      <c r="AB466" s="6">
        <f t="shared" ca="1" si="81"/>
        <v>1761.8147629911257</v>
      </c>
    </row>
    <row r="467" spans="1:28" x14ac:dyDescent="0.3">
      <c r="A467" s="53"/>
      <c r="B467" s="54"/>
      <c r="C467" s="65" t="s">
        <v>242</v>
      </c>
      <c r="D467" s="65">
        <f t="shared" ca="1" si="74"/>
        <v>2</v>
      </c>
      <c r="E467" s="3">
        <f t="shared" ca="1" si="75"/>
        <v>0.87448057655927103</v>
      </c>
      <c r="F467" s="6">
        <f t="shared" ca="1" si="76"/>
        <v>185255.93427471977</v>
      </c>
      <c r="G467" s="6">
        <f t="shared" ca="1" si="77"/>
        <v>1697.0830220302294</v>
      </c>
      <c r="V467" s="53"/>
      <c r="W467" s="54"/>
      <c r="X467" s="65" t="s">
        <v>242</v>
      </c>
      <c r="Y467" s="65">
        <f t="shared" ca="1" si="78"/>
        <v>2</v>
      </c>
      <c r="Z467" s="3">
        <f t="shared" ca="1" si="79"/>
        <v>3.0639643738926026E-2</v>
      </c>
      <c r="AA467" s="6">
        <f t="shared" ca="1" si="80"/>
        <v>28221.130380905102</v>
      </c>
      <c r="AB467" s="6">
        <f t="shared" ca="1" si="81"/>
        <v>168.10186535249773</v>
      </c>
    </row>
    <row r="468" spans="1:28" x14ac:dyDescent="0.3">
      <c r="A468" s="53"/>
      <c r="B468" s="54"/>
      <c r="C468" s="65" t="s">
        <v>242</v>
      </c>
      <c r="D468" s="65">
        <f t="shared" ca="1" si="74"/>
        <v>3</v>
      </c>
      <c r="E468" s="3">
        <f t="shared" ca="1" si="75"/>
        <v>0.81320923480793339</v>
      </c>
      <c r="F468" s="6">
        <f t="shared" ca="1" si="76"/>
        <v>172981.8457671192</v>
      </c>
      <c r="G468" s="6">
        <f t="shared" ca="1" si="77"/>
        <v>677.40349352563123</v>
      </c>
      <c r="V468" s="53"/>
      <c r="W468" s="54"/>
      <c r="X468" s="65" t="s">
        <v>242</v>
      </c>
      <c r="Y468" s="65">
        <f t="shared" ca="1" si="78"/>
        <v>1</v>
      </c>
      <c r="Z468" s="3">
        <f t="shared" ca="1" si="79"/>
        <v>0.27608796208879638</v>
      </c>
      <c r="AA468" s="6">
        <f t="shared" ca="1" si="80"/>
        <v>189598.52956561089</v>
      </c>
      <c r="AB468" s="6">
        <f t="shared" ca="1" si="81"/>
        <v>1863.7207130523022</v>
      </c>
    </row>
    <row r="469" spans="1:28" x14ac:dyDescent="0.3">
      <c r="A469" s="53"/>
      <c r="B469" s="54"/>
      <c r="C469" s="65" t="s">
        <v>219</v>
      </c>
      <c r="D469" s="65">
        <f t="shared" ca="1" si="74"/>
        <v>1</v>
      </c>
      <c r="E469" s="3">
        <f t="shared" ca="1" si="75"/>
        <v>0.79766164260084949</v>
      </c>
      <c r="F469" s="6">
        <f t="shared" ca="1" si="76"/>
        <v>27617.442932977388</v>
      </c>
      <c r="G469" s="6">
        <f t="shared" ca="1" si="77"/>
        <v>1253.6428276329484</v>
      </c>
      <c r="V469" s="53"/>
      <c r="W469" s="54"/>
      <c r="X469" s="65" t="s">
        <v>219</v>
      </c>
      <c r="Y469" s="65">
        <f t="shared" ca="1" si="78"/>
        <v>3</v>
      </c>
      <c r="Z469" s="3">
        <f t="shared" ca="1" si="79"/>
        <v>8.7278472595234691E-2</v>
      </c>
      <c r="AA469" s="6">
        <f t="shared" ca="1" si="80"/>
        <v>38369.354134157249</v>
      </c>
      <c r="AB469" s="6">
        <f t="shared" ca="1" si="81"/>
        <v>1833.8506061731539</v>
      </c>
    </row>
    <row r="470" spans="1:28" x14ac:dyDescent="0.3">
      <c r="A470" s="53"/>
      <c r="B470" s="54"/>
      <c r="C470" s="65" t="s">
        <v>219</v>
      </c>
      <c r="D470" s="65">
        <f t="shared" ca="1" si="74"/>
        <v>2</v>
      </c>
      <c r="E470" s="3">
        <f t="shared" ca="1" si="75"/>
        <v>0.59511186772181379</v>
      </c>
      <c r="F470" s="6">
        <f t="shared" ca="1" si="76"/>
        <v>13901.676325838496</v>
      </c>
      <c r="G470" s="6">
        <f t="shared" ca="1" si="77"/>
        <v>773.9038111811567</v>
      </c>
      <c r="V470" s="53"/>
      <c r="W470" s="54"/>
      <c r="X470" s="65" t="s">
        <v>219</v>
      </c>
      <c r="Y470" s="65">
        <f t="shared" ca="1" si="78"/>
        <v>2</v>
      </c>
      <c r="Z470" s="3">
        <f t="shared" ca="1" si="79"/>
        <v>0.72411005456615507</v>
      </c>
      <c r="AA470" s="6">
        <f t="shared" ca="1" si="80"/>
        <v>103461.59187842091</v>
      </c>
      <c r="AB470" s="6">
        <f t="shared" ca="1" si="81"/>
        <v>362.76840952667231</v>
      </c>
    </row>
    <row r="471" spans="1:28" x14ac:dyDescent="0.3">
      <c r="A471" s="53"/>
      <c r="B471" s="54"/>
      <c r="C471" s="65" t="s">
        <v>219</v>
      </c>
      <c r="D471" s="65">
        <f t="shared" ca="1" si="74"/>
        <v>1</v>
      </c>
      <c r="E471" s="3">
        <f t="shared" ca="1" si="75"/>
        <v>0.58865435197209681</v>
      </c>
      <c r="F471" s="6">
        <f t="shared" ca="1" si="76"/>
        <v>132044.47913958741</v>
      </c>
      <c r="G471" s="6">
        <f t="shared" ca="1" si="77"/>
        <v>611.26174341529645</v>
      </c>
      <c r="V471" s="53"/>
      <c r="W471" s="54"/>
      <c r="X471" s="65" t="s">
        <v>219</v>
      </c>
      <c r="Y471" s="65">
        <f t="shared" ca="1" si="78"/>
        <v>4</v>
      </c>
      <c r="Z471" s="3">
        <f t="shared" ca="1" si="79"/>
        <v>0.45736461879950718</v>
      </c>
      <c r="AA471" s="6">
        <f t="shared" ca="1" si="80"/>
        <v>123209.67746998275</v>
      </c>
      <c r="AB471" s="6">
        <f t="shared" ca="1" si="81"/>
        <v>1553.7569403347127</v>
      </c>
    </row>
    <row r="472" spans="1:28" x14ac:dyDescent="0.3">
      <c r="A472" s="53"/>
      <c r="B472" s="54"/>
      <c r="C472" s="65" t="s">
        <v>219</v>
      </c>
      <c r="D472" s="65">
        <f t="shared" ca="1" si="74"/>
        <v>3</v>
      </c>
      <c r="E472" s="3">
        <f t="shared" ca="1" si="75"/>
        <v>0.34810773177758969</v>
      </c>
      <c r="F472" s="6">
        <f t="shared" ca="1" si="76"/>
        <v>118617.9545261044</v>
      </c>
      <c r="G472" s="6">
        <f t="shared" ca="1" si="77"/>
        <v>1475.1854752896168</v>
      </c>
      <c r="V472" s="53"/>
      <c r="W472" s="54"/>
      <c r="X472" s="65" t="s">
        <v>219</v>
      </c>
      <c r="Y472" s="65">
        <f t="shared" ca="1" si="78"/>
        <v>2</v>
      </c>
      <c r="Z472" s="3">
        <f t="shared" ca="1" si="79"/>
        <v>0.30050173764537436</v>
      </c>
      <c r="AA472" s="6">
        <f t="shared" ca="1" si="80"/>
        <v>98592.429300420205</v>
      </c>
      <c r="AB472" s="6">
        <f t="shared" ca="1" si="81"/>
        <v>935.30143947274632</v>
      </c>
    </row>
    <row r="473" spans="1:28" x14ac:dyDescent="0.3">
      <c r="A473" s="53"/>
      <c r="B473" s="54"/>
      <c r="C473" s="65" t="s">
        <v>219</v>
      </c>
      <c r="D473" s="65">
        <f t="shared" ca="1" si="74"/>
        <v>4</v>
      </c>
      <c r="E473" s="3">
        <f t="shared" ca="1" si="75"/>
        <v>0.17770942517924071</v>
      </c>
      <c r="F473" s="6">
        <f t="shared" ca="1" si="76"/>
        <v>82961.437998799185</v>
      </c>
      <c r="G473" s="6">
        <f t="shared" ca="1" si="77"/>
        <v>912.71846573226821</v>
      </c>
      <c r="V473" s="53"/>
      <c r="W473" s="54"/>
      <c r="X473" s="65" t="s">
        <v>219</v>
      </c>
      <c r="Y473" s="65">
        <f t="shared" ca="1" si="78"/>
        <v>4</v>
      </c>
      <c r="Z473" s="3">
        <f t="shared" ca="1" si="79"/>
        <v>0.28606688287253612</v>
      </c>
      <c r="AA473" s="6">
        <f t="shared" ca="1" si="80"/>
        <v>57369.76562351179</v>
      </c>
      <c r="AB473" s="6">
        <f t="shared" ca="1" si="81"/>
        <v>1398.9853550571668</v>
      </c>
    </row>
    <row r="474" spans="1:28" x14ac:dyDescent="0.3">
      <c r="A474" s="53"/>
      <c r="B474" s="54"/>
      <c r="C474" s="65" t="s">
        <v>242</v>
      </c>
      <c r="D474" s="65">
        <f t="shared" ca="1" si="74"/>
        <v>3</v>
      </c>
      <c r="E474" s="3">
        <f t="shared" ca="1" si="75"/>
        <v>0.87387732744096247</v>
      </c>
      <c r="F474" s="6">
        <f t="shared" ca="1" si="76"/>
        <v>58041.44262833766</v>
      </c>
      <c r="G474" s="6">
        <f t="shared" ca="1" si="77"/>
        <v>1971.788605739637</v>
      </c>
      <c r="V474" s="53"/>
      <c r="W474" s="54"/>
      <c r="X474" s="65" t="s">
        <v>242</v>
      </c>
      <c r="Y474" s="65">
        <f t="shared" ca="1" si="78"/>
        <v>2</v>
      </c>
      <c r="Z474" s="3">
        <f t="shared" ca="1" si="79"/>
        <v>0.34497860344458409</v>
      </c>
      <c r="AA474" s="6">
        <f t="shared" ca="1" si="80"/>
        <v>14276.071537083368</v>
      </c>
      <c r="AB474" s="6">
        <f t="shared" ca="1" si="81"/>
        <v>1401.2883064990203</v>
      </c>
    </row>
    <row r="475" spans="1:28" x14ac:dyDescent="0.3">
      <c r="A475" s="53"/>
      <c r="B475" s="54"/>
      <c r="C475" s="65" t="s">
        <v>219</v>
      </c>
      <c r="D475" s="65">
        <f t="shared" ca="1" si="74"/>
        <v>4</v>
      </c>
      <c r="E475" s="3">
        <f t="shared" ca="1" si="75"/>
        <v>0.43308057443430059</v>
      </c>
      <c r="F475" s="6">
        <f t="shared" ca="1" si="76"/>
        <v>179503.01721096173</v>
      </c>
      <c r="G475" s="6">
        <f t="shared" ca="1" si="77"/>
        <v>635.43547018649508</v>
      </c>
      <c r="V475" s="53"/>
      <c r="W475" s="54"/>
      <c r="X475" s="65" t="s">
        <v>219</v>
      </c>
      <c r="Y475" s="65">
        <f t="shared" ca="1" si="78"/>
        <v>4</v>
      </c>
      <c r="Z475" s="3">
        <f t="shared" ca="1" si="79"/>
        <v>0.62658604034944387</v>
      </c>
      <c r="AA475" s="6">
        <f t="shared" ca="1" si="80"/>
        <v>174738.71179716336</v>
      </c>
      <c r="AB475" s="6">
        <f t="shared" ca="1" si="81"/>
        <v>1512.9483230148637</v>
      </c>
    </row>
    <row r="476" spans="1:28" x14ac:dyDescent="0.3">
      <c r="A476" s="53"/>
      <c r="B476" s="54"/>
      <c r="C476" s="65" t="s">
        <v>242</v>
      </c>
      <c r="D476" s="65">
        <f t="shared" ca="1" si="74"/>
        <v>2</v>
      </c>
      <c r="E476" s="3">
        <f t="shared" ca="1" si="75"/>
        <v>0.36151266897105938</v>
      </c>
      <c r="F476" s="6">
        <f t="shared" ca="1" si="76"/>
        <v>101691.19365035782</v>
      </c>
      <c r="G476" s="6">
        <f t="shared" ca="1" si="77"/>
        <v>1597.1247814684557</v>
      </c>
      <c r="V476" s="53"/>
      <c r="W476" s="54"/>
      <c r="X476" s="65" t="s">
        <v>242</v>
      </c>
      <c r="Y476" s="65">
        <f t="shared" ca="1" si="78"/>
        <v>4</v>
      </c>
      <c r="Z476" s="3">
        <f t="shared" ca="1" si="79"/>
        <v>0.70375897723793268</v>
      </c>
      <c r="AA476" s="6">
        <f t="shared" ca="1" si="80"/>
        <v>100156.16385110356</v>
      </c>
      <c r="AB476" s="6">
        <f t="shared" ca="1" si="81"/>
        <v>704.44593373960049</v>
      </c>
    </row>
    <row r="477" spans="1:28" x14ac:dyDescent="0.3">
      <c r="A477" s="53"/>
      <c r="B477" s="54"/>
      <c r="C477" s="65" t="s">
        <v>219</v>
      </c>
      <c r="D477" s="65">
        <f t="shared" ca="1" si="74"/>
        <v>2</v>
      </c>
      <c r="E477" s="3">
        <f t="shared" ca="1" si="75"/>
        <v>0.38164988104802422</v>
      </c>
      <c r="F477" s="6">
        <f t="shared" ca="1" si="76"/>
        <v>113787.93566417704</v>
      </c>
      <c r="G477" s="6">
        <f t="shared" ca="1" si="77"/>
        <v>1063.6716403724611</v>
      </c>
      <c r="V477" s="53"/>
      <c r="W477" s="54"/>
      <c r="X477" s="65" t="s">
        <v>219</v>
      </c>
      <c r="Y477" s="65">
        <f t="shared" ca="1" si="78"/>
        <v>4</v>
      </c>
      <c r="Z477" s="3">
        <f t="shared" ca="1" si="79"/>
        <v>0.40864766020987653</v>
      </c>
      <c r="AA477" s="6">
        <f t="shared" ca="1" si="80"/>
        <v>188332.64432721338</v>
      </c>
      <c r="AB477" s="6">
        <f t="shared" ca="1" si="81"/>
        <v>1697.356030142236</v>
      </c>
    </row>
    <row r="478" spans="1:28" x14ac:dyDescent="0.3">
      <c r="A478" s="53"/>
      <c r="B478" s="54"/>
      <c r="C478" s="65" t="s">
        <v>242</v>
      </c>
      <c r="D478" s="65">
        <f t="shared" ca="1" si="74"/>
        <v>3</v>
      </c>
      <c r="E478" s="3">
        <f t="shared" ca="1" si="75"/>
        <v>0.98508300737499266</v>
      </c>
      <c r="F478" s="6">
        <f t="shared" ca="1" si="76"/>
        <v>53724.434838045498</v>
      </c>
      <c r="G478" s="6">
        <f t="shared" ca="1" si="77"/>
        <v>1029.5934272350232</v>
      </c>
      <c r="V478" s="53"/>
      <c r="W478" s="54"/>
      <c r="X478" s="65" t="s">
        <v>242</v>
      </c>
      <c r="Y478" s="65">
        <f t="shared" ca="1" si="78"/>
        <v>1</v>
      </c>
      <c r="Z478" s="3">
        <f t="shared" ca="1" si="79"/>
        <v>0.81852456065270851</v>
      </c>
      <c r="AA478" s="6">
        <f t="shared" ca="1" si="80"/>
        <v>124632.52420310273</v>
      </c>
      <c r="AB478" s="6">
        <f t="shared" ca="1" si="81"/>
        <v>12.061125146438201</v>
      </c>
    </row>
    <row r="479" spans="1:28" x14ac:dyDescent="0.3">
      <c r="A479" s="53"/>
      <c r="B479" s="54"/>
      <c r="C479" s="65" t="s">
        <v>219</v>
      </c>
      <c r="D479" s="65">
        <f t="shared" ca="1" si="74"/>
        <v>3</v>
      </c>
      <c r="E479" s="3">
        <f t="shared" ca="1" si="75"/>
        <v>1.9636274545469234E-3</v>
      </c>
      <c r="F479" s="6">
        <f t="shared" ca="1" si="76"/>
        <v>42001.981514497696</v>
      </c>
      <c r="G479" s="6">
        <f t="shared" ca="1" si="77"/>
        <v>1826.3821910375495</v>
      </c>
      <c r="V479" s="53"/>
      <c r="W479" s="54"/>
      <c r="X479" s="65" t="s">
        <v>219</v>
      </c>
      <c r="Y479" s="65">
        <f t="shared" ca="1" si="78"/>
        <v>4</v>
      </c>
      <c r="Z479" s="3">
        <f t="shared" ca="1" si="79"/>
        <v>0.73679668665654829</v>
      </c>
      <c r="AA479" s="6">
        <f t="shared" ca="1" si="80"/>
        <v>57798.076780303396</v>
      </c>
      <c r="AB479" s="6">
        <f t="shared" ca="1" si="81"/>
        <v>1834.1187208214014</v>
      </c>
    </row>
    <row r="480" spans="1:28" x14ac:dyDescent="0.3">
      <c r="A480" s="53"/>
      <c r="B480" s="54"/>
      <c r="C480" s="65" t="s">
        <v>219</v>
      </c>
      <c r="D480" s="65">
        <f t="shared" ca="1" si="74"/>
        <v>4</v>
      </c>
      <c r="E480" s="3">
        <f t="shared" ca="1" si="75"/>
        <v>4.7093528136964546E-2</v>
      </c>
      <c r="F480" s="6">
        <f t="shared" ca="1" si="76"/>
        <v>172887.56446661043</v>
      </c>
      <c r="G480" s="6">
        <f t="shared" ca="1" si="77"/>
        <v>1024.6406570856684</v>
      </c>
      <c r="V480" s="53"/>
      <c r="W480" s="54"/>
      <c r="X480" s="65" t="s">
        <v>219</v>
      </c>
      <c r="Y480" s="65">
        <f t="shared" ca="1" si="78"/>
        <v>4</v>
      </c>
      <c r="Z480" s="3">
        <f t="shared" ca="1" si="79"/>
        <v>0.16810705169908025</v>
      </c>
      <c r="AA480" s="6">
        <f t="shared" ca="1" si="80"/>
        <v>925.75873577225298</v>
      </c>
      <c r="AB480" s="6">
        <f t="shared" ca="1" si="81"/>
        <v>1535.5664333329598</v>
      </c>
    </row>
    <row r="481" spans="1:28" x14ac:dyDescent="0.3">
      <c r="A481" s="53"/>
      <c r="B481" s="54"/>
      <c r="C481" s="65" t="s">
        <v>219</v>
      </c>
      <c r="D481" s="65">
        <f t="shared" ca="1" si="74"/>
        <v>1</v>
      </c>
      <c r="E481" s="3">
        <f t="shared" ca="1" si="75"/>
        <v>0.52472749108771666</v>
      </c>
      <c r="F481" s="6">
        <f t="shared" ca="1" si="76"/>
        <v>24572.998012094537</v>
      </c>
      <c r="G481" s="6">
        <f t="shared" ca="1" si="77"/>
        <v>999.35784973949103</v>
      </c>
      <c r="V481" s="53"/>
      <c r="W481" s="54"/>
      <c r="X481" s="65" t="s">
        <v>219</v>
      </c>
      <c r="Y481" s="65">
        <f t="shared" ca="1" si="78"/>
        <v>4</v>
      </c>
      <c r="Z481" s="3">
        <f t="shared" ca="1" si="79"/>
        <v>3.8717780004986824E-2</v>
      </c>
      <c r="AA481" s="6">
        <f t="shared" ca="1" si="80"/>
        <v>6538.3501770804205</v>
      </c>
      <c r="AB481" s="6">
        <f t="shared" ca="1" si="81"/>
        <v>1185.9977241714284</v>
      </c>
    </row>
    <row r="482" spans="1:28" x14ac:dyDescent="0.3">
      <c r="A482" s="53"/>
      <c r="B482" s="54"/>
      <c r="C482" s="65" t="s">
        <v>219</v>
      </c>
      <c r="D482" s="65">
        <f t="shared" ca="1" si="74"/>
        <v>4</v>
      </c>
      <c r="E482" s="3">
        <f t="shared" ca="1" si="75"/>
        <v>0.31545019434653787</v>
      </c>
      <c r="F482" s="6">
        <f t="shared" ca="1" si="76"/>
        <v>151950.50291674279</v>
      </c>
      <c r="G482" s="6">
        <f t="shared" ca="1" si="77"/>
        <v>1752.5152062492193</v>
      </c>
      <c r="V482" s="53"/>
      <c r="W482" s="54"/>
      <c r="X482" s="65" t="s">
        <v>219</v>
      </c>
      <c r="Y482" s="65">
        <f t="shared" ca="1" si="78"/>
        <v>2</v>
      </c>
      <c r="Z482" s="3">
        <f t="shared" ca="1" si="79"/>
        <v>0.79523224648842306</v>
      </c>
      <c r="AA482" s="6">
        <f t="shared" ca="1" si="80"/>
        <v>79966.196572242159</v>
      </c>
      <c r="AB482" s="6">
        <f t="shared" ca="1" si="81"/>
        <v>148.34477324254047</v>
      </c>
    </row>
    <row r="483" spans="1:28" x14ac:dyDescent="0.3">
      <c r="A483" s="53"/>
      <c r="B483" s="54"/>
      <c r="C483" s="65" t="s">
        <v>219</v>
      </c>
      <c r="D483" s="65">
        <f t="shared" ca="1" si="74"/>
        <v>2</v>
      </c>
      <c r="E483" s="3">
        <f t="shared" ca="1" si="75"/>
        <v>0.91559763379238401</v>
      </c>
      <c r="F483" s="6">
        <f t="shared" ca="1" si="76"/>
        <v>187208.98055495901</v>
      </c>
      <c r="G483" s="6">
        <f t="shared" ca="1" si="77"/>
        <v>1020.014995625181</v>
      </c>
      <c r="V483" s="53"/>
      <c r="W483" s="54"/>
      <c r="X483" s="65" t="s">
        <v>219</v>
      </c>
      <c r="Y483" s="65">
        <f t="shared" ca="1" si="78"/>
        <v>2</v>
      </c>
      <c r="Z483" s="3">
        <f t="shared" ca="1" si="79"/>
        <v>0.64430460325572592</v>
      </c>
      <c r="AA483" s="6">
        <f t="shared" ca="1" si="80"/>
        <v>133740.29971855597</v>
      </c>
      <c r="AB483" s="6">
        <f t="shared" ca="1" si="81"/>
        <v>717.01105099519191</v>
      </c>
    </row>
    <row r="484" spans="1:28" x14ac:dyDescent="0.3">
      <c r="A484" s="53"/>
      <c r="B484" s="54"/>
      <c r="C484" s="65" t="s">
        <v>219</v>
      </c>
      <c r="D484" s="65">
        <f t="shared" ca="1" si="74"/>
        <v>3</v>
      </c>
      <c r="E484" s="3">
        <f t="shared" ca="1" si="75"/>
        <v>0.85728090200676632</v>
      </c>
      <c r="F484" s="6">
        <f t="shared" ca="1" si="76"/>
        <v>126060.72345845508</v>
      </c>
      <c r="G484" s="6">
        <f t="shared" ca="1" si="77"/>
        <v>414.30907043652888</v>
      </c>
      <c r="V484" s="53"/>
      <c r="W484" s="54"/>
      <c r="X484" s="65" t="s">
        <v>219</v>
      </c>
      <c r="Y484" s="65">
        <f t="shared" ca="1" si="78"/>
        <v>1</v>
      </c>
      <c r="Z484" s="3">
        <f t="shared" ca="1" si="79"/>
        <v>0.96774712803331275</v>
      </c>
      <c r="AA484" s="6">
        <f t="shared" ca="1" si="80"/>
        <v>191946.78435706571</v>
      </c>
      <c r="AB484" s="6">
        <f t="shared" ca="1" si="81"/>
        <v>282.11213696329349</v>
      </c>
    </row>
    <row r="485" spans="1:28" x14ac:dyDescent="0.3">
      <c r="A485" s="53"/>
      <c r="B485" s="54"/>
      <c r="C485" s="65" t="s">
        <v>219</v>
      </c>
      <c r="D485" s="65">
        <f t="shared" ca="1" si="74"/>
        <v>1</v>
      </c>
      <c r="E485" s="3">
        <f t="shared" ca="1" si="75"/>
        <v>0.22106699746057079</v>
      </c>
      <c r="F485" s="6">
        <f t="shared" ca="1" si="76"/>
        <v>170994.54224317672</v>
      </c>
      <c r="G485" s="6">
        <f t="shared" ca="1" si="77"/>
        <v>1861.1821059766814</v>
      </c>
      <c r="V485" s="53"/>
      <c r="W485" s="54"/>
      <c r="X485" s="65" t="s">
        <v>219</v>
      </c>
      <c r="Y485" s="65">
        <f t="shared" ca="1" si="78"/>
        <v>3</v>
      </c>
      <c r="Z485" s="3">
        <f t="shared" ca="1" si="79"/>
        <v>0.81421606848589512</v>
      </c>
      <c r="AA485" s="6">
        <f t="shared" ca="1" si="80"/>
        <v>103005.09298242844</v>
      </c>
      <c r="AB485" s="6">
        <f t="shared" ca="1" si="81"/>
        <v>296.84255681567873</v>
      </c>
    </row>
    <row r="486" spans="1:28" x14ac:dyDescent="0.3">
      <c r="A486" s="53"/>
      <c r="B486" s="54"/>
      <c r="C486" s="65" t="s">
        <v>219</v>
      </c>
      <c r="D486" s="65">
        <f t="shared" ca="1" si="74"/>
        <v>3</v>
      </c>
      <c r="E486" s="3">
        <f t="shared" ca="1" si="75"/>
        <v>0.37235040899555472</v>
      </c>
      <c r="F486" s="6">
        <f t="shared" ca="1" si="76"/>
        <v>171810.74491172182</v>
      </c>
      <c r="G486" s="6">
        <f t="shared" ca="1" si="77"/>
        <v>474.53717236739078</v>
      </c>
      <c r="V486" s="53"/>
      <c r="W486" s="54"/>
      <c r="X486" s="65" t="s">
        <v>219</v>
      </c>
      <c r="Y486" s="65">
        <f t="shared" ca="1" si="78"/>
        <v>1</v>
      </c>
      <c r="Z486" s="3">
        <f t="shared" ca="1" si="79"/>
        <v>7.2685142343498654E-2</v>
      </c>
      <c r="AA486" s="6">
        <f t="shared" ca="1" si="80"/>
        <v>163036.66533399312</v>
      </c>
      <c r="AB486" s="6">
        <f t="shared" ca="1" si="81"/>
        <v>818.00393659006511</v>
      </c>
    </row>
    <row r="487" spans="1:28" x14ac:dyDescent="0.3">
      <c r="A487" s="53"/>
      <c r="B487" s="54"/>
      <c r="C487" s="65" t="s">
        <v>219</v>
      </c>
      <c r="D487" s="65">
        <f t="shared" ca="1" si="74"/>
        <v>1</v>
      </c>
      <c r="E487" s="3">
        <f t="shared" ca="1" si="75"/>
        <v>0.26852839593520283</v>
      </c>
      <c r="F487" s="6">
        <f t="shared" ca="1" si="76"/>
        <v>150763.54402351487</v>
      </c>
      <c r="G487" s="6">
        <f t="shared" ca="1" si="77"/>
        <v>367.61189532122728</v>
      </c>
      <c r="V487" s="53"/>
      <c r="W487" s="54"/>
      <c r="X487" s="65" t="s">
        <v>219</v>
      </c>
      <c r="Y487" s="65">
        <f t="shared" ca="1" si="78"/>
        <v>2</v>
      </c>
      <c r="Z487" s="3">
        <f t="shared" ca="1" si="79"/>
        <v>0.11137445153214098</v>
      </c>
      <c r="AA487" s="6">
        <f t="shared" ca="1" si="80"/>
        <v>2.1702806797474494</v>
      </c>
      <c r="AB487" s="6">
        <f t="shared" ca="1" si="81"/>
        <v>929.24435771524406</v>
      </c>
    </row>
    <row r="488" spans="1:28" x14ac:dyDescent="0.3">
      <c r="A488" s="53"/>
      <c r="B488" s="54"/>
      <c r="C488" s="65" t="s">
        <v>219</v>
      </c>
      <c r="D488" s="65">
        <f t="shared" ca="1" si="74"/>
        <v>2</v>
      </c>
      <c r="E488" s="3">
        <f t="shared" ca="1" si="75"/>
        <v>0.5267675295639056</v>
      </c>
      <c r="F488" s="6">
        <f t="shared" ca="1" si="76"/>
        <v>113968.25958608625</v>
      </c>
      <c r="G488" s="6">
        <f t="shared" ca="1" si="77"/>
        <v>1703.4345831498649</v>
      </c>
      <c r="V488" s="53"/>
      <c r="W488" s="54"/>
      <c r="X488" s="65" t="s">
        <v>219</v>
      </c>
      <c r="Y488" s="65">
        <f t="shared" ca="1" si="78"/>
        <v>1</v>
      </c>
      <c r="Z488" s="3">
        <f t="shared" ca="1" si="79"/>
        <v>0.69150067528261216</v>
      </c>
      <c r="AA488" s="6">
        <f t="shared" ca="1" si="80"/>
        <v>104969.24691169498</v>
      </c>
      <c r="AB488" s="6">
        <f t="shared" ca="1" si="81"/>
        <v>1560.3620346024486</v>
      </c>
    </row>
    <row r="489" spans="1:28" x14ac:dyDescent="0.3">
      <c r="A489" s="53"/>
      <c r="B489" s="54"/>
      <c r="C489" s="65" t="s">
        <v>219</v>
      </c>
      <c r="D489" s="65">
        <f t="shared" ca="1" si="74"/>
        <v>4</v>
      </c>
      <c r="E489" s="3">
        <f t="shared" ca="1" si="75"/>
        <v>0.93809757592796172</v>
      </c>
      <c r="F489" s="6">
        <f t="shared" ca="1" si="76"/>
        <v>60115.131391458184</v>
      </c>
      <c r="G489" s="6">
        <f t="shared" ca="1" si="77"/>
        <v>1008.9121297251443</v>
      </c>
      <c r="V489" s="53"/>
      <c r="W489" s="54"/>
      <c r="X489" s="65" t="s">
        <v>219</v>
      </c>
      <c r="Y489" s="65">
        <f t="shared" ca="1" si="78"/>
        <v>2</v>
      </c>
      <c r="Z489" s="3">
        <f t="shared" ca="1" si="79"/>
        <v>0.43458019143808657</v>
      </c>
      <c r="AA489" s="6">
        <f t="shared" ca="1" si="80"/>
        <v>162406.91427082178</v>
      </c>
      <c r="AB489" s="6">
        <f t="shared" ca="1" si="81"/>
        <v>933.86984943528887</v>
      </c>
    </row>
    <row r="490" spans="1:28" x14ac:dyDescent="0.3">
      <c r="A490" s="53"/>
      <c r="B490" s="54"/>
      <c r="C490" s="65" t="s">
        <v>219</v>
      </c>
      <c r="D490" s="65">
        <f t="shared" ca="1" si="74"/>
        <v>2</v>
      </c>
      <c r="E490" s="3">
        <f t="shared" ca="1" si="75"/>
        <v>0.36369392468685069</v>
      </c>
      <c r="F490" s="6">
        <f t="shared" ca="1" si="76"/>
        <v>12395.335702887023</v>
      </c>
      <c r="G490" s="6">
        <f t="shared" ca="1" si="77"/>
        <v>1438.817522683988</v>
      </c>
      <c r="V490" s="53"/>
      <c r="W490" s="54"/>
      <c r="X490" s="65" t="s">
        <v>219</v>
      </c>
      <c r="Y490" s="65">
        <f t="shared" ca="1" si="78"/>
        <v>2</v>
      </c>
      <c r="Z490" s="3">
        <f t="shared" ca="1" si="79"/>
        <v>7.2823275759854034E-2</v>
      </c>
      <c r="AA490" s="6">
        <f t="shared" ca="1" si="80"/>
        <v>14284.115810346899</v>
      </c>
      <c r="AB490" s="6">
        <f t="shared" ca="1" si="81"/>
        <v>582.67608778715862</v>
      </c>
    </row>
    <row r="491" spans="1:28" x14ac:dyDescent="0.3">
      <c r="A491" s="53"/>
      <c r="B491" s="54"/>
      <c r="C491" s="65" t="s">
        <v>219</v>
      </c>
      <c r="D491" s="65">
        <f t="shared" ca="1" si="74"/>
        <v>1</v>
      </c>
      <c r="E491" s="3">
        <f t="shared" ca="1" si="75"/>
        <v>0.74295661751323905</v>
      </c>
      <c r="F491" s="6">
        <f t="shared" ca="1" si="76"/>
        <v>47900.506565015967</v>
      </c>
      <c r="G491" s="6">
        <f t="shared" ca="1" si="77"/>
        <v>204.94397696731647</v>
      </c>
      <c r="V491" s="53"/>
      <c r="W491" s="54"/>
      <c r="X491" s="65" t="s">
        <v>219</v>
      </c>
      <c r="Y491" s="65">
        <f t="shared" ca="1" si="78"/>
        <v>3</v>
      </c>
      <c r="Z491" s="3">
        <f t="shared" ca="1" si="79"/>
        <v>0.6501762624698546</v>
      </c>
      <c r="AA491" s="6">
        <f t="shared" ca="1" si="80"/>
        <v>69695.005022536468</v>
      </c>
      <c r="AB491" s="6">
        <f t="shared" ca="1" si="81"/>
        <v>51.147826304130504</v>
      </c>
    </row>
    <row r="492" spans="1:28" x14ac:dyDescent="0.3">
      <c r="A492" s="53"/>
      <c r="B492" s="54"/>
      <c r="C492" s="65" t="s">
        <v>219</v>
      </c>
      <c r="D492" s="65">
        <f t="shared" ca="1" si="74"/>
        <v>4</v>
      </c>
      <c r="E492" s="3">
        <f t="shared" ca="1" si="75"/>
        <v>0.38572716246205185</v>
      </c>
      <c r="F492" s="6">
        <f t="shared" ca="1" si="76"/>
        <v>174523.74743887444</v>
      </c>
      <c r="G492" s="6">
        <f t="shared" ca="1" si="77"/>
        <v>1344.2157346368006</v>
      </c>
      <c r="V492" s="53"/>
      <c r="W492" s="54"/>
      <c r="X492" s="65" t="s">
        <v>219</v>
      </c>
      <c r="Y492" s="65">
        <f t="shared" ca="1" si="78"/>
        <v>3</v>
      </c>
      <c r="Z492" s="3">
        <f t="shared" ca="1" si="79"/>
        <v>0.3988044704519127</v>
      </c>
      <c r="AA492" s="6">
        <f t="shared" ca="1" si="80"/>
        <v>169099.57842376342</v>
      </c>
      <c r="AB492" s="6">
        <f t="shared" ca="1" si="81"/>
        <v>1617.523129708638</v>
      </c>
    </row>
    <row r="493" spans="1:28" x14ac:dyDescent="0.3">
      <c r="A493" s="53"/>
      <c r="B493" s="54"/>
      <c r="C493" s="65" t="s">
        <v>219</v>
      </c>
      <c r="D493" s="65">
        <f t="shared" ca="1" si="74"/>
        <v>1</v>
      </c>
      <c r="E493" s="3">
        <f t="shared" ca="1" si="75"/>
        <v>0.63399284448864324</v>
      </c>
      <c r="F493" s="6">
        <f t="shared" ca="1" si="76"/>
        <v>198208.24279202058</v>
      </c>
      <c r="G493" s="6">
        <f t="shared" ca="1" si="77"/>
        <v>1223.9707015368517</v>
      </c>
      <c r="V493" s="53"/>
      <c r="W493" s="54"/>
      <c r="X493" s="65" t="s">
        <v>219</v>
      </c>
      <c r="Y493" s="65">
        <f t="shared" ca="1" si="78"/>
        <v>4</v>
      </c>
      <c r="Z493" s="3">
        <f t="shared" ca="1" si="79"/>
        <v>0.81793920644132467</v>
      </c>
      <c r="AA493" s="6">
        <f t="shared" ca="1" si="80"/>
        <v>147129.30555226427</v>
      </c>
      <c r="AB493" s="6">
        <f t="shared" ca="1" si="81"/>
        <v>1502.4546133674594</v>
      </c>
    </row>
    <row r="494" spans="1:28" x14ac:dyDescent="0.3">
      <c r="A494" s="53"/>
      <c r="B494" s="54"/>
      <c r="C494" s="65" t="s">
        <v>219</v>
      </c>
      <c r="D494" s="65">
        <f t="shared" ca="1" si="74"/>
        <v>4</v>
      </c>
      <c r="E494" s="3">
        <f t="shared" ca="1" si="75"/>
        <v>7.6510430352237702E-2</v>
      </c>
      <c r="F494" s="6">
        <f t="shared" ca="1" si="76"/>
        <v>28040.433858372471</v>
      </c>
      <c r="G494" s="6">
        <f t="shared" ca="1" si="77"/>
        <v>1294.6488956396656</v>
      </c>
      <c r="V494" s="53"/>
      <c r="W494" s="54"/>
      <c r="X494" s="65" t="s">
        <v>219</v>
      </c>
      <c r="Y494" s="65">
        <f t="shared" ca="1" si="78"/>
        <v>4</v>
      </c>
      <c r="Z494" s="3">
        <f t="shared" ca="1" si="79"/>
        <v>0.75448219193814381</v>
      </c>
      <c r="AA494" s="6">
        <f t="shared" ca="1" si="80"/>
        <v>75054.189743334355</v>
      </c>
      <c r="AB494" s="6">
        <f t="shared" ca="1" si="81"/>
        <v>695.96956919767592</v>
      </c>
    </row>
    <row r="495" spans="1:28" x14ac:dyDescent="0.3">
      <c r="A495" s="53"/>
      <c r="B495" s="54"/>
      <c r="C495" s="65" t="s">
        <v>219</v>
      </c>
      <c r="D495" s="65">
        <f t="shared" ca="1" si="74"/>
        <v>1</v>
      </c>
      <c r="E495" s="3">
        <f t="shared" ca="1" si="75"/>
        <v>8.8135695048969454E-2</v>
      </c>
      <c r="F495" s="6">
        <f t="shared" ca="1" si="76"/>
        <v>199776.14385405648</v>
      </c>
      <c r="G495" s="6">
        <f t="shared" ca="1" si="77"/>
        <v>1499.8805213625021</v>
      </c>
      <c r="V495" s="53"/>
      <c r="W495" s="54"/>
      <c r="X495" s="65" t="s">
        <v>219</v>
      </c>
      <c r="Y495" s="65">
        <f t="shared" ca="1" si="78"/>
        <v>4</v>
      </c>
      <c r="Z495" s="3">
        <f t="shared" ca="1" si="79"/>
        <v>0.58014496587626629</v>
      </c>
      <c r="AA495" s="6">
        <f t="shared" ca="1" si="80"/>
        <v>686.65304561721371</v>
      </c>
      <c r="AB495" s="6">
        <f t="shared" ca="1" si="81"/>
        <v>81.625076058326812</v>
      </c>
    </row>
    <row r="496" spans="1:28" x14ac:dyDescent="0.3">
      <c r="A496" s="53"/>
      <c r="B496" s="54"/>
      <c r="C496" s="65" t="s">
        <v>219</v>
      </c>
      <c r="D496" s="65">
        <f t="shared" ca="1" si="74"/>
        <v>2</v>
      </c>
      <c r="E496" s="3">
        <f t="shared" ca="1" si="75"/>
        <v>0.1278200335106624</v>
      </c>
      <c r="F496" s="6">
        <f t="shared" ca="1" si="76"/>
        <v>37798.786814175459</v>
      </c>
      <c r="G496" s="6">
        <f t="shared" ca="1" si="77"/>
        <v>1124.7468939198629</v>
      </c>
      <c r="V496" s="53"/>
      <c r="W496" s="54"/>
      <c r="X496" s="65" t="s">
        <v>219</v>
      </c>
      <c r="Y496" s="65">
        <f t="shared" ca="1" si="78"/>
        <v>1</v>
      </c>
      <c r="Z496" s="3">
        <f t="shared" ca="1" si="79"/>
        <v>0.18966156181311344</v>
      </c>
      <c r="AA496" s="6">
        <f t="shared" ca="1" si="80"/>
        <v>99566.920170083045</v>
      </c>
      <c r="AB496" s="6">
        <f t="shared" ca="1" si="81"/>
        <v>528.51210656014564</v>
      </c>
    </row>
    <row r="497" spans="1:28" x14ac:dyDescent="0.3">
      <c r="A497" s="53"/>
      <c r="B497" s="54"/>
      <c r="C497" s="65" t="s">
        <v>219</v>
      </c>
      <c r="D497" s="65">
        <f t="shared" ca="1" si="74"/>
        <v>3</v>
      </c>
      <c r="E497" s="3">
        <f t="shared" ca="1" si="75"/>
        <v>3.6698957435862489E-2</v>
      </c>
      <c r="F497" s="6">
        <f t="shared" ca="1" si="76"/>
        <v>147738.39977579785</v>
      </c>
      <c r="G497" s="6">
        <f t="shared" ca="1" si="77"/>
        <v>1161.2214502394331</v>
      </c>
      <c r="V497" s="53"/>
      <c r="W497" s="54"/>
      <c r="X497" s="65" t="s">
        <v>219</v>
      </c>
      <c r="Y497" s="65">
        <f t="shared" ca="1" si="78"/>
        <v>4</v>
      </c>
      <c r="Z497" s="3">
        <f t="shared" ca="1" si="79"/>
        <v>0.24714958753120853</v>
      </c>
      <c r="AA497" s="6">
        <f t="shared" ca="1" si="80"/>
        <v>194770.75002976286</v>
      </c>
      <c r="AB497" s="6">
        <f t="shared" ca="1" si="81"/>
        <v>249.39973967414807</v>
      </c>
    </row>
    <row r="498" spans="1:28" x14ac:dyDescent="0.3">
      <c r="A498" s="53"/>
      <c r="B498" s="54"/>
      <c r="C498" s="65" t="s">
        <v>219</v>
      </c>
      <c r="D498" s="65">
        <f t="shared" ca="1" si="74"/>
        <v>2</v>
      </c>
      <c r="E498" s="3">
        <f t="shared" ca="1" si="75"/>
        <v>0.23528924074430446</v>
      </c>
      <c r="F498" s="6">
        <f t="shared" ca="1" si="76"/>
        <v>137295.83939513526</v>
      </c>
      <c r="G498" s="6">
        <f t="shared" ca="1" si="77"/>
        <v>1458.5902404057074</v>
      </c>
      <c r="V498" s="53"/>
      <c r="W498" s="54"/>
      <c r="X498" s="65" t="s">
        <v>219</v>
      </c>
      <c r="Y498" s="65">
        <f t="shared" ca="1" si="78"/>
        <v>2</v>
      </c>
      <c r="Z498" s="3">
        <f t="shared" ca="1" si="79"/>
        <v>0.5054681938644201</v>
      </c>
      <c r="AA498" s="6">
        <f t="shared" ca="1" si="80"/>
        <v>173477.87175893976</v>
      </c>
      <c r="AB498" s="6">
        <f t="shared" ca="1" si="81"/>
        <v>1140.7915420589436</v>
      </c>
    </row>
    <row r="499" spans="1:28" x14ac:dyDescent="0.3">
      <c r="A499" s="53"/>
      <c r="B499" s="54"/>
      <c r="C499" s="65" t="s">
        <v>219</v>
      </c>
      <c r="D499" s="65">
        <f t="shared" ca="1" si="74"/>
        <v>2</v>
      </c>
      <c r="E499" s="3">
        <f t="shared" ca="1" si="75"/>
        <v>0.24434743706379436</v>
      </c>
      <c r="F499" s="6">
        <f t="shared" ca="1" si="76"/>
        <v>182815.27186418427</v>
      </c>
      <c r="G499" s="6">
        <f t="shared" ca="1" si="77"/>
        <v>1437.3258747687214</v>
      </c>
      <c r="V499" s="53"/>
      <c r="W499" s="54"/>
      <c r="X499" s="65" t="s">
        <v>219</v>
      </c>
      <c r="Y499" s="65">
        <f t="shared" ca="1" si="78"/>
        <v>4</v>
      </c>
      <c r="Z499" s="3">
        <f t="shared" ca="1" si="79"/>
        <v>0.92253616129308624</v>
      </c>
      <c r="AA499" s="6">
        <f t="shared" ca="1" si="80"/>
        <v>128841.18771785716</v>
      </c>
      <c r="AB499" s="6">
        <f t="shared" ca="1" si="81"/>
        <v>806.46226427846648</v>
      </c>
    </row>
    <row r="500" spans="1:28" x14ac:dyDescent="0.3">
      <c r="A500" s="53"/>
      <c r="B500" s="54"/>
      <c r="C500" s="65" t="s">
        <v>219</v>
      </c>
      <c r="D500" s="65">
        <f t="shared" ca="1" si="74"/>
        <v>1</v>
      </c>
      <c r="E500" s="3">
        <f t="shared" ca="1" si="75"/>
        <v>0.50001489083396167</v>
      </c>
      <c r="F500" s="6">
        <f t="shared" ca="1" si="76"/>
        <v>24985.139108040876</v>
      </c>
      <c r="G500" s="6">
        <f t="shared" ca="1" si="77"/>
        <v>1096.6110175754666</v>
      </c>
      <c r="V500" s="53"/>
      <c r="W500" s="54"/>
      <c r="X500" s="65" t="s">
        <v>219</v>
      </c>
      <c r="Y500" s="65">
        <f t="shared" ca="1" si="78"/>
        <v>1</v>
      </c>
      <c r="Z500" s="3">
        <f t="shared" ca="1" si="79"/>
        <v>0.52435585598578627</v>
      </c>
      <c r="AA500" s="6">
        <f t="shared" ca="1" si="80"/>
        <v>29812.01834265146</v>
      </c>
      <c r="AB500" s="6">
        <f t="shared" ca="1" si="81"/>
        <v>1309.2346015285557</v>
      </c>
    </row>
    <row r="501" spans="1:28" x14ac:dyDescent="0.3">
      <c r="A501" s="53"/>
      <c r="B501" s="54"/>
      <c r="C501" s="65" t="s">
        <v>219</v>
      </c>
      <c r="D501" s="65">
        <f t="shared" ca="1" si="74"/>
        <v>1</v>
      </c>
      <c r="E501" s="3">
        <f t="shared" ca="1" si="75"/>
        <v>0.92933746677603335</v>
      </c>
      <c r="F501" s="6">
        <f t="shared" ca="1" si="76"/>
        <v>142032.60540504096</v>
      </c>
      <c r="G501" s="6">
        <f t="shared" ca="1" si="77"/>
        <v>899.87264191589736</v>
      </c>
      <c r="V501" s="53"/>
      <c r="W501" s="54"/>
      <c r="X501" s="65" t="s">
        <v>219</v>
      </c>
      <c r="Y501" s="65">
        <f t="shared" ca="1" si="78"/>
        <v>1</v>
      </c>
      <c r="Z501" s="3">
        <f t="shared" ca="1" si="79"/>
        <v>0.42042704536485342</v>
      </c>
      <c r="AA501" s="6">
        <f t="shared" ca="1" si="80"/>
        <v>50780.241886756849</v>
      </c>
      <c r="AB501" s="6">
        <f t="shared" ca="1" si="81"/>
        <v>421.85598727286822</v>
      </c>
    </row>
    <row r="502" spans="1:28" x14ac:dyDescent="0.3">
      <c r="A502" s="53"/>
      <c r="B502" s="54"/>
      <c r="C502" s="65" t="s">
        <v>242</v>
      </c>
      <c r="D502" s="65">
        <f t="shared" ca="1" si="74"/>
        <v>2</v>
      </c>
      <c r="E502" s="3">
        <f t="shared" ca="1" si="75"/>
        <v>0.36849266350509979</v>
      </c>
      <c r="F502" s="6">
        <f t="shared" ca="1" si="76"/>
        <v>12963.611611539671</v>
      </c>
      <c r="G502" s="6">
        <f t="shared" ca="1" si="77"/>
        <v>360.8537055479182</v>
      </c>
      <c r="V502" s="53"/>
      <c r="W502" s="54"/>
      <c r="X502" s="65" t="s">
        <v>242</v>
      </c>
      <c r="Y502" s="65">
        <f t="shared" ca="1" si="78"/>
        <v>3</v>
      </c>
      <c r="Z502" s="3">
        <f t="shared" ca="1" si="79"/>
        <v>0.83163429500568853</v>
      </c>
      <c r="AA502" s="6">
        <f t="shared" ca="1" si="80"/>
        <v>23682.155484127641</v>
      </c>
      <c r="AB502" s="6">
        <f t="shared" ca="1" si="81"/>
        <v>1473.8726892917778</v>
      </c>
    </row>
    <row r="503" spans="1:28" x14ac:dyDescent="0.3">
      <c r="A503" s="53"/>
      <c r="B503" s="54"/>
      <c r="C503" s="65" t="s">
        <v>242</v>
      </c>
      <c r="D503" s="65">
        <f t="shared" ca="1" si="74"/>
        <v>1</v>
      </c>
      <c r="E503" s="3">
        <f t="shared" ca="1" si="75"/>
        <v>8.9529658758518704E-2</v>
      </c>
      <c r="F503" s="6">
        <f t="shared" ca="1" si="76"/>
        <v>170944.27311316022</v>
      </c>
      <c r="G503" s="6">
        <f t="shared" ca="1" si="77"/>
        <v>1786.4478395867702</v>
      </c>
      <c r="V503" s="53"/>
      <c r="W503" s="54"/>
      <c r="X503" s="65" t="s">
        <v>242</v>
      </c>
      <c r="Y503" s="65">
        <f t="shared" ca="1" si="78"/>
        <v>2</v>
      </c>
      <c r="Z503" s="3">
        <f t="shared" ca="1" si="79"/>
        <v>0.14152613900735611</v>
      </c>
      <c r="AA503" s="6">
        <f t="shared" ca="1" si="80"/>
        <v>194597.89575005951</v>
      </c>
      <c r="AB503" s="6">
        <f t="shared" ca="1" si="81"/>
        <v>1805.1527704291277</v>
      </c>
    </row>
    <row r="504" spans="1:28" x14ac:dyDescent="0.3">
      <c r="A504" s="53"/>
      <c r="B504" s="54"/>
      <c r="C504" s="65" t="s">
        <v>242</v>
      </c>
      <c r="D504" s="65">
        <f t="shared" ca="1" si="74"/>
        <v>4</v>
      </c>
      <c r="E504" s="3">
        <f t="shared" ca="1" si="75"/>
        <v>0.55787366990206666</v>
      </c>
      <c r="F504" s="6">
        <f t="shared" ca="1" si="76"/>
        <v>138205.89275092763</v>
      </c>
      <c r="G504" s="6">
        <f t="shared" ca="1" si="77"/>
        <v>876.74248157234945</v>
      </c>
      <c r="V504" s="53"/>
      <c r="W504" s="54"/>
      <c r="X504" s="65" t="s">
        <v>242</v>
      </c>
      <c r="Y504" s="65">
        <f t="shared" ca="1" si="78"/>
        <v>2</v>
      </c>
      <c r="Z504" s="3">
        <f t="shared" ca="1" si="79"/>
        <v>0.14939430752851124</v>
      </c>
      <c r="AA504" s="6">
        <f t="shared" ca="1" si="80"/>
        <v>131732.96056719226</v>
      </c>
      <c r="AB504" s="6">
        <f t="shared" ca="1" si="81"/>
        <v>261.79893030725367</v>
      </c>
    </row>
    <row r="505" spans="1:28" x14ac:dyDescent="0.3">
      <c r="A505" s="53"/>
      <c r="B505" s="54"/>
      <c r="C505" s="65" t="s">
        <v>242</v>
      </c>
      <c r="D505" s="65">
        <f t="shared" ca="1" si="74"/>
        <v>3</v>
      </c>
      <c r="E505" s="3">
        <f t="shared" ca="1" si="75"/>
        <v>0.21083901428772622</v>
      </c>
      <c r="F505" s="6">
        <f t="shared" ca="1" si="76"/>
        <v>137687.74961211273</v>
      </c>
      <c r="G505" s="6">
        <f t="shared" ca="1" si="77"/>
        <v>977.12870982083496</v>
      </c>
      <c r="V505" s="53"/>
      <c r="W505" s="54"/>
      <c r="X505" s="65" t="s">
        <v>242</v>
      </c>
      <c r="Y505" s="65">
        <f t="shared" ca="1" si="78"/>
        <v>3</v>
      </c>
      <c r="Z505" s="3">
        <f t="shared" ca="1" si="79"/>
        <v>0.83875302695781484</v>
      </c>
      <c r="AA505" s="6">
        <f t="shared" ca="1" si="80"/>
        <v>180884.59450668658</v>
      </c>
      <c r="AB505" s="6">
        <f t="shared" ca="1" si="81"/>
        <v>1815.4750562411111</v>
      </c>
    </row>
    <row r="506" spans="1:28" x14ac:dyDescent="0.3">
      <c r="A506" s="53"/>
      <c r="B506" s="54"/>
      <c r="C506" s="65" t="s">
        <v>242</v>
      </c>
      <c r="D506" s="65">
        <f t="shared" ca="1" si="74"/>
        <v>2</v>
      </c>
      <c r="E506" s="3">
        <f t="shared" ca="1" si="75"/>
        <v>0.57884216923593801</v>
      </c>
      <c r="F506" s="6">
        <f t="shared" ca="1" si="76"/>
        <v>1237.6574281437679</v>
      </c>
      <c r="G506" s="6">
        <f t="shared" ca="1" si="77"/>
        <v>1888.3935556978233</v>
      </c>
      <c r="V506" s="53"/>
      <c r="W506" s="54"/>
      <c r="X506" s="65" t="s">
        <v>242</v>
      </c>
      <c r="Y506" s="65">
        <f t="shared" ca="1" si="78"/>
        <v>3</v>
      </c>
      <c r="Z506" s="3">
        <f t="shared" ca="1" si="79"/>
        <v>0.61971832917930603</v>
      </c>
      <c r="AA506" s="6">
        <f t="shared" ca="1" si="80"/>
        <v>85665.953840457791</v>
      </c>
      <c r="AB506" s="6">
        <f t="shared" ca="1" si="81"/>
        <v>1320.6467681299448</v>
      </c>
    </row>
    <row r="507" spans="1:28" x14ac:dyDescent="0.3">
      <c r="A507" s="53"/>
      <c r="B507" s="54"/>
      <c r="C507" s="65" t="s">
        <v>242</v>
      </c>
      <c r="D507" s="65">
        <f t="shared" ca="1" si="74"/>
        <v>3</v>
      </c>
      <c r="E507" s="3">
        <f t="shared" ca="1" si="75"/>
        <v>0.16855111998537287</v>
      </c>
      <c r="F507" s="6">
        <f t="shared" ca="1" si="76"/>
        <v>64494.435632754255</v>
      </c>
      <c r="G507" s="6">
        <f t="shared" ca="1" si="77"/>
        <v>1863.6137130787999</v>
      </c>
      <c r="V507" s="53"/>
      <c r="W507" s="54"/>
      <c r="X507" s="65" t="s">
        <v>242</v>
      </c>
      <c r="Y507" s="65">
        <f t="shared" ca="1" si="78"/>
        <v>4</v>
      </c>
      <c r="Z507" s="3">
        <f t="shared" ca="1" si="79"/>
        <v>4.6006291269113597E-2</v>
      </c>
      <c r="AA507" s="6">
        <f t="shared" ca="1" si="80"/>
        <v>193187.7176010921</v>
      </c>
      <c r="AB507" s="6">
        <f t="shared" ca="1" si="81"/>
        <v>1299.6464565103447</v>
      </c>
    </row>
    <row r="508" spans="1:28" x14ac:dyDescent="0.3">
      <c r="A508" s="53"/>
      <c r="B508" s="54"/>
      <c r="C508" s="65" t="s">
        <v>242</v>
      </c>
      <c r="D508" s="65">
        <f t="shared" ca="1" si="74"/>
        <v>1</v>
      </c>
      <c r="E508" s="3">
        <f t="shared" ca="1" si="75"/>
        <v>0.76731735751060781</v>
      </c>
      <c r="F508" s="6">
        <f t="shared" ca="1" si="76"/>
        <v>14381.589547593476</v>
      </c>
      <c r="G508" s="6">
        <f t="shared" ca="1" si="77"/>
        <v>1804.8865699986634</v>
      </c>
      <c r="V508" s="53"/>
      <c r="W508" s="54"/>
      <c r="X508" s="65" t="s">
        <v>242</v>
      </c>
      <c r="Y508" s="65">
        <f t="shared" ca="1" si="78"/>
        <v>1</v>
      </c>
      <c r="Z508" s="3">
        <f t="shared" ca="1" si="79"/>
        <v>0.27542803653281944</v>
      </c>
      <c r="AA508" s="6">
        <f t="shared" ca="1" si="80"/>
        <v>22247.50734927634</v>
      </c>
      <c r="AB508" s="6">
        <f t="shared" ca="1" si="81"/>
        <v>412.70643467241786</v>
      </c>
    </row>
    <row r="509" spans="1:28" x14ac:dyDescent="0.3">
      <c r="A509" s="53"/>
      <c r="B509" s="54"/>
      <c r="C509" s="65" t="s">
        <v>242</v>
      </c>
      <c r="D509" s="65">
        <f t="shared" ca="1" si="74"/>
        <v>2</v>
      </c>
      <c r="E509" s="3">
        <f t="shared" ca="1" si="75"/>
        <v>0.62493177796221477</v>
      </c>
      <c r="F509" s="6">
        <f t="shared" ca="1" si="76"/>
        <v>157513.7654630607</v>
      </c>
      <c r="G509" s="6">
        <f t="shared" ca="1" si="77"/>
        <v>651.1352019949876</v>
      </c>
      <c r="V509" s="53"/>
      <c r="W509" s="54"/>
      <c r="X509" s="65" t="s">
        <v>242</v>
      </c>
      <c r="Y509" s="65">
        <f t="shared" ca="1" si="78"/>
        <v>4</v>
      </c>
      <c r="Z509" s="3">
        <f t="shared" ca="1" si="79"/>
        <v>0.37141224585666111</v>
      </c>
      <c r="AA509" s="6">
        <f t="shared" ca="1" si="80"/>
        <v>179498.89772256915</v>
      </c>
      <c r="AB509" s="6">
        <f t="shared" ca="1" si="81"/>
        <v>570.08798412472368</v>
      </c>
    </row>
    <row r="510" spans="1:28" x14ac:dyDescent="0.3">
      <c r="A510" s="53"/>
      <c r="B510" s="54"/>
      <c r="C510" s="65" t="s">
        <v>242</v>
      </c>
      <c r="D510" s="65">
        <f t="shared" ca="1" si="74"/>
        <v>4</v>
      </c>
      <c r="E510" s="3">
        <f t="shared" ca="1" si="75"/>
        <v>3.5145761079274473E-2</v>
      </c>
      <c r="F510" s="6">
        <f t="shared" ca="1" si="76"/>
        <v>45170.12830619864</v>
      </c>
      <c r="G510" s="6">
        <f t="shared" ca="1" si="77"/>
        <v>508.87277789241091</v>
      </c>
      <c r="V510" s="53"/>
      <c r="W510" s="54"/>
      <c r="X510" s="65" t="s">
        <v>242</v>
      </c>
      <c r="Y510" s="65">
        <f t="shared" ca="1" si="78"/>
        <v>3</v>
      </c>
      <c r="Z510" s="3">
        <f t="shared" ca="1" si="79"/>
        <v>0.22440793661793723</v>
      </c>
      <c r="AA510" s="6">
        <f t="shared" ca="1" si="80"/>
        <v>8138.0257217696262</v>
      </c>
      <c r="AB510" s="6">
        <f t="shared" ca="1" si="81"/>
        <v>1073.8566508886652</v>
      </c>
    </row>
    <row r="511" spans="1:28" x14ac:dyDescent="0.3">
      <c r="A511" s="53"/>
      <c r="B511" s="54"/>
      <c r="C511" s="65" t="s">
        <v>242</v>
      </c>
      <c r="D511" s="65">
        <f t="shared" ca="1" si="74"/>
        <v>3</v>
      </c>
      <c r="E511" s="3">
        <f t="shared" ca="1" si="75"/>
        <v>0.77915289150783218</v>
      </c>
      <c r="F511" s="6">
        <f t="shared" ca="1" si="76"/>
        <v>62768.396093622883</v>
      </c>
      <c r="G511" s="6">
        <f t="shared" ca="1" si="77"/>
        <v>1553.2460944949601</v>
      </c>
      <c r="V511" s="53"/>
      <c r="W511" s="54"/>
      <c r="X511" s="65" t="s">
        <v>242</v>
      </c>
      <c r="Y511" s="65">
        <f t="shared" ca="1" si="78"/>
        <v>3</v>
      </c>
      <c r="Z511" s="3">
        <f t="shared" ca="1" si="79"/>
        <v>0.59639614522935924</v>
      </c>
      <c r="AA511" s="6">
        <f t="shared" ca="1" si="80"/>
        <v>180802.71063277539</v>
      </c>
      <c r="AB511" s="6">
        <f t="shared" ca="1" si="81"/>
        <v>56.993077493876719</v>
      </c>
    </row>
    <row r="512" spans="1:28" x14ac:dyDescent="0.3">
      <c r="A512" s="53"/>
      <c r="B512" s="54"/>
      <c r="C512" s="65" t="s">
        <v>242</v>
      </c>
      <c r="D512" s="65">
        <f t="shared" ca="1" si="74"/>
        <v>1</v>
      </c>
      <c r="E512" s="3">
        <f t="shared" ca="1" si="75"/>
        <v>0.26796145968682861</v>
      </c>
      <c r="F512" s="6">
        <f t="shared" ca="1" si="76"/>
        <v>58695.945530294339</v>
      </c>
      <c r="G512" s="6">
        <f t="shared" ca="1" si="77"/>
        <v>1121.3930971650223</v>
      </c>
      <c r="V512" s="53"/>
      <c r="W512" s="54"/>
      <c r="X512" s="65" t="s">
        <v>242</v>
      </c>
      <c r="Y512" s="65">
        <f t="shared" ca="1" si="78"/>
        <v>2</v>
      </c>
      <c r="Z512" s="3">
        <f t="shared" ca="1" si="79"/>
        <v>0.98990979318475236</v>
      </c>
      <c r="AA512" s="6">
        <f t="shared" ca="1" si="80"/>
        <v>81460.57029286804</v>
      </c>
      <c r="AB512" s="6">
        <f t="shared" ca="1" si="81"/>
        <v>1307.7777332219591</v>
      </c>
    </row>
    <row r="513" spans="1:28" x14ac:dyDescent="0.3">
      <c r="A513" s="53"/>
      <c r="B513" s="54"/>
      <c r="C513" s="65" t="s">
        <v>242</v>
      </c>
      <c r="D513" s="65">
        <f t="shared" ca="1" si="74"/>
        <v>4</v>
      </c>
      <c r="E513" s="3">
        <f t="shared" ca="1" si="75"/>
        <v>0.83493775395175873</v>
      </c>
      <c r="F513" s="6">
        <f t="shared" ca="1" si="76"/>
        <v>7523.9900342345845</v>
      </c>
      <c r="G513" s="6">
        <f t="shared" ca="1" si="77"/>
        <v>1283.4343083002125</v>
      </c>
      <c r="V513" s="53"/>
      <c r="W513" s="54"/>
      <c r="X513" s="65" t="s">
        <v>242</v>
      </c>
      <c r="Y513" s="65">
        <f t="shared" ca="1" si="78"/>
        <v>3</v>
      </c>
      <c r="Z513" s="3">
        <f t="shared" ca="1" si="79"/>
        <v>0.41269942347947708</v>
      </c>
      <c r="AA513" s="6">
        <f t="shared" ca="1" si="80"/>
        <v>92874.508415963428</v>
      </c>
      <c r="AB513" s="6">
        <f t="shared" ca="1" si="81"/>
        <v>242.01061407967339</v>
      </c>
    </row>
    <row r="514" spans="1:28" x14ac:dyDescent="0.3">
      <c r="A514" s="53"/>
      <c r="B514" s="54"/>
      <c r="C514" s="65" t="s">
        <v>242</v>
      </c>
      <c r="D514" s="65">
        <f t="shared" ca="1" si="74"/>
        <v>2</v>
      </c>
      <c r="E514" s="3">
        <f t="shared" ca="1" si="75"/>
        <v>0.19945368219092063</v>
      </c>
      <c r="F514" s="6">
        <f t="shared" ca="1" si="76"/>
        <v>47543.055308640112</v>
      </c>
      <c r="G514" s="6">
        <f t="shared" ca="1" si="77"/>
        <v>115.80910457585736</v>
      </c>
      <c r="V514" s="53"/>
      <c r="W514" s="54"/>
      <c r="X514" s="65" t="s">
        <v>242</v>
      </c>
      <c r="Y514" s="65">
        <f t="shared" ca="1" si="78"/>
        <v>3</v>
      </c>
      <c r="Z514" s="3">
        <f t="shared" ca="1" si="79"/>
        <v>0.25343153073455638</v>
      </c>
      <c r="AA514" s="6">
        <f t="shared" ca="1" si="80"/>
        <v>39065.624237267562</v>
      </c>
      <c r="AB514" s="6">
        <f t="shared" ca="1" si="81"/>
        <v>421.07551965425529</v>
      </c>
    </row>
    <row r="515" spans="1:28" x14ac:dyDescent="0.3">
      <c r="A515" s="53"/>
      <c r="B515" s="54"/>
      <c r="C515" s="65" t="s">
        <v>242</v>
      </c>
      <c r="D515" s="65">
        <f t="shared" ca="1" si="74"/>
        <v>4</v>
      </c>
      <c r="E515" s="3">
        <f t="shared" ca="1" si="75"/>
        <v>0.8841779126327397</v>
      </c>
      <c r="F515" s="6">
        <f t="shared" ca="1" si="76"/>
        <v>40681.037319671901</v>
      </c>
      <c r="G515" s="6">
        <f t="shared" ca="1" si="77"/>
        <v>403.5329904287164</v>
      </c>
      <c r="V515" s="53"/>
      <c r="W515" s="54"/>
      <c r="X515" s="65" t="s">
        <v>242</v>
      </c>
      <c r="Y515" s="65">
        <f t="shared" ca="1" si="78"/>
        <v>4</v>
      </c>
      <c r="Z515" s="3">
        <f t="shared" ca="1" si="79"/>
        <v>0.85494608357187829</v>
      </c>
      <c r="AA515" s="6">
        <f t="shared" ca="1" si="80"/>
        <v>155488.86338542</v>
      </c>
      <c r="AB515" s="6">
        <f t="shared" ca="1" si="81"/>
        <v>994.53723299287992</v>
      </c>
    </row>
    <row r="516" spans="1:28" x14ac:dyDescent="0.3">
      <c r="A516" s="53"/>
      <c r="B516" s="54"/>
      <c r="C516" s="65" t="s">
        <v>242</v>
      </c>
      <c r="D516" s="65">
        <f t="shared" ca="1" si="74"/>
        <v>1</v>
      </c>
      <c r="E516" s="3">
        <f t="shared" ca="1" si="75"/>
        <v>8.2043584502273781E-2</v>
      </c>
      <c r="F516" s="6">
        <f t="shared" ca="1" si="76"/>
        <v>106290.55891931831</v>
      </c>
      <c r="G516" s="6">
        <f t="shared" ca="1" si="77"/>
        <v>1395.6743252882884</v>
      </c>
      <c r="V516" s="53"/>
      <c r="W516" s="54"/>
      <c r="X516" s="65" t="s">
        <v>242</v>
      </c>
      <c r="Y516" s="65">
        <f t="shared" ca="1" si="78"/>
        <v>2</v>
      </c>
      <c r="Z516" s="3">
        <f t="shared" ca="1" si="79"/>
        <v>0.73415239772098273</v>
      </c>
      <c r="AA516" s="6">
        <f t="shared" ca="1" si="80"/>
        <v>121276.14770461462</v>
      </c>
      <c r="AB516" s="6">
        <f t="shared" ca="1" si="81"/>
        <v>646.11079235243699</v>
      </c>
    </row>
    <row r="517" spans="1:28" x14ac:dyDescent="0.3">
      <c r="A517" s="53"/>
      <c r="B517" s="54"/>
      <c r="C517" s="65" t="s">
        <v>242</v>
      </c>
      <c r="D517" s="65">
        <f t="shared" ca="1" si="74"/>
        <v>1</v>
      </c>
      <c r="E517" s="3">
        <f t="shared" ca="1" si="75"/>
        <v>0.87351517822173042</v>
      </c>
      <c r="F517" s="6">
        <f t="shared" ca="1" si="76"/>
        <v>173426.469708294</v>
      </c>
      <c r="G517" s="6">
        <f t="shared" ca="1" si="77"/>
        <v>1546.5135361168998</v>
      </c>
      <c r="V517" s="53"/>
      <c r="W517" s="54"/>
      <c r="X517" s="65" t="s">
        <v>242</v>
      </c>
      <c r="Y517" s="65">
        <f t="shared" ca="1" si="78"/>
        <v>1</v>
      </c>
      <c r="Z517" s="3">
        <f t="shared" ca="1" si="79"/>
        <v>0.37070026477421014</v>
      </c>
      <c r="AA517" s="6">
        <f t="shared" ca="1" si="80"/>
        <v>78720.403614725117</v>
      </c>
      <c r="AB517" s="6">
        <f t="shared" ca="1" si="81"/>
        <v>949.55021318275203</v>
      </c>
    </row>
    <row r="518" spans="1:28" x14ac:dyDescent="0.3">
      <c r="A518" s="53"/>
      <c r="B518" s="54"/>
      <c r="C518" s="65" t="s">
        <v>242</v>
      </c>
      <c r="D518" s="65">
        <f t="shared" ca="1" si="74"/>
        <v>3</v>
      </c>
      <c r="E518" s="3">
        <f t="shared" ca="1" si="75"/>
        <v>0.76470935909740512</v>
      </c>
      <c r="F518" s="6">
        <f t="shared" ca="1" si="76"/>
        <v>83565.77466775314</v>
      </c>
      <c r="G518" s="6">
        <f t="shared" ca="1" si="77"/>
        <v>955.84063400229741</v>
      </c>
      <c r="V518" s="53"/>
      <c r="W518" s="54"/>
      <c r="X518" s="65" t="s">
        <v>242</v>
      </c>
      <c r="Y518" s="65">
        <f t="shared" ca="1" si="78"/>
        <v>4</v>
      </c>
      <c r="Z518" s="3">
        <f t="shared" ca="1" si="79"/>
        <v>0.64915895577364602</v>
      </c>
      <c r="AA518" s="6">
        <f t="shared" ca="1" si="80"/>
        <v>104293.6983288208</v>
      </c>
      <c r="AB518" s="6">
        <f t="shared" ca="1" si="81"/>
        <v>101.67527621154827</v>
      </c>
    </row>
    <row r="519" spans="1:28" x14ac:dyDescent="0.3">
      <c r="A519" s="53"/>
      <c r="B519" s="54"/>
      <c r="C519" s="65" t="s">
        <v>242</v>
      </c>
      <c r="D519" s="65">
        <f t="shared" ca="1" si="74"/>
        <v>3</v>
      </c>
      <c r="E519" s="3">
        <f t="shared" ca="1" si="75"/>
        <v>0.32604815739624915</v>
      </c>
      <c r="F519" s="6">
        <f t="shared" ca="1" si="76"/>
        <v>167188.90558703011</v>
      </c>
      <c r="G519" s="6">
        <f t="shared" ca="1" si="77"/>
        <v>1261.7613540995351</v>
      </c>
      <c r="V519" s="53"/>
      <c r="W519" s="54"/>
      <c r="X519" s="65" t="s">
        <v>242</v>
      </c>
      <c r="Y519" s="65">
        <f t="shared" ca="1" si="78"/>
        <v>1</v>
      </c>
      <c r="Z519" s="3">
        <f t="shared" ca="1" si="79"/>
        <v>0.47128856253287033</v>
      </c>
      <c r="AA519" s="6">
        <f t="shared" ca="1" si="80"/>
        <v>5285.0457216358836</v>
      </c>
      <c r="AB519" s="6">
        <f t="shared" ca="1" si="81"/>
        <v>270.22967599364847</v>
      </c>
    </row>
    <row r="520" spans="1:28" x14ac:dyDescent="0.3">
      <c r="A520" s="53"/>
      <c r="B520" s="54"/>
      <c r="C520" s="65" t="s">
        <v>242</v>
      </c>
      <c r="D520" s="65">
        <f t="shared" ca="1" si="74"/>
        <v>1</v>
      </c>
      <c r="E520" s="3">
        <f t="shared" ca="1" si="75"/>
        <v>0.15429245341844378</v>
      </c>
      <c r="F520" s="6">
        <f t="shared" ca="1" si="76"/>
        <v>156766.84657086938</v>
      </c>
      <c r="G520" s="6">
        <f t="shared" ca="1" si="77"/>
        <v>376.98984068187525</v>
      </c>
      <c r="V520" s="53"/>
      <c r="W520" s="54"/>
      <c r="X520" s="65" t="s">
        <v>242</v>
      </c>
      <c r="Y520" s="65">
        <f t="shared" ca="1" si="78"/>
        <v>2</v>
      </c>
      <c r="Z520" s="3">
        <f t="shared" ca="1" si="79"/>
        <v>0.261604226251966</v>
      </c>
      <c r="AA520" s="6">
        <f t="shared" ca="1" si="80"/>
        <v>197958.65716635104</v>
      </c>
      <c r="AB520" s="6">
        <f t="shared" ca="1" si="81"/>
        <v>593.39310847911952</v>
      </c>
    </row>
    <row r="521" spans="1:28" x14ac:dyDescent="0.3">
      <c r="A521" s="53"/>
      <c r="B521" s="54"/>
      <c r="C521" s="65" t="s">
        <v>242</v>
      </c>
      <c r="D521" s="65">
        <f t="shared" ca="1" si="74"/>
        <v>4</v>
      </c>
      <c r="E521" s="3">
        <f t="shared" ca="1" si="75"/>
        <v>0.41079499608379677</v>
      </c>
      <c r="F521" s="6">
        <f t="shared" ca="1" si="76"/>
        <v>54302.68460091485</v>
      </c>
      <c r="G521" s="6">
        <f t="shared" ca="1" si="77"/>
        <v>1367.2597611020678</v>
      </c>
      <c r="V521" s="53"/>
      <c r="W521" s="54"/>
      <c r="X521" s="65" t="s">
        <v>242</v>
      </c>
      <c r="Y521" s="65">
        <f t="shared" ca="1" si="78"/>
        <v>3</v>
      </c>
      <c r="Z521" s="3">
        <f t="shared" ca="1" si="79"/>
        <v>0.64460449998719815</v>
      </c>
      <c r="AA521" s="6">
        <f t="shared" ca="1" si="80"/>
        <v>143632.15303711328</v>
      </c>
      <c r="AB521" s="6">
        <f t="shared" ca="1" si="81"/>
        <v>1805.4510003544422</v>
      </c>
    </row>
    <row r="522" spans="1:28" x14ac:dyDescent="0.3">
      <c r="A522" s="53"/>
      <c r="B522" s="54"/>
      <c r="C522" s="65" t="s">
        <v>242</v>
      </c>
      <c r="D522" s="65">
        <f t="shared" ca="1" si="74"/>
        <v>4</v>
      </c>
      <c r="E522" s="3">
        <f t="shared" ca="1" si="75"/>
        <v>0.26214086866528075</v>
      </c>
      <c r="F522" s="6">
        <f t="shared" ca="1" si="76"/>
        <v>57665.602862479325</v>
      </c>
      <c r="G522" s="6">
        <f t="shared" ca="1" si="77"/>
        <v>128.53032470855962</v>
      </c>
      <c r="V522" s="53"/>
      <c r="W522" s="54"/>
      <c r="X522" s="65" t="s">
        <v>242</v>
      </c>
      <c r="Y522" s="65">
        <f t="shared" ca="1" si="78"/>
        <v>4</v>
      </c>
      <c r="Z522" s="3">
        <f t="shared" ca="1" si="79"/>
        <v>0.70592773028628775</v>
      </c>
      <c r="AA522" s="6">
        <f t="shared" ca="1" si="80"/>
        <v>139651.71966812451</v>
      </c>
      <c r="AB522" s="6">
        <f t="shared" ca="1" si="81"/>
        <v>1910.9965011079717</v>
      </c>
    </row>
    <row r="523" spans="1:28" x14ac:dyDescent="0.3">
      <c r="A523" s="53"/>
      <c r="B523" s="54"/>
      <c r="C523" s="65" t="s">
        <v>242</v>
      </c>
      <c r="D523" s="65">
        <f t="shared" ca="1" si="74"/>
        <v>1</v>
      </c>
      <c r="E523" s="3">
        <f t="shared" ca="1" si="75"/>
        <v>0.34297699299134277</v>
      </c>
      <c r="F523" s="6">
        <f t="shared" ca="1" si="76"/>
        <v>61167.841600150117</v>
      </c>
      <c r="G523" s="6">
        <f t="shared" ca="1" si="77"/>
        <v>1254.6253127669647</v>
      </c>
      <c r="V523" s="53"/>
      <c r="W523" s="54"/>
      <c r="X523" s="65" t="s">
        <v>242</v>
      </c>
      <c r="Y523" s="65">
        <f t="shared" ca="1" si="78"/>
        <v>2</v>
      </c>
      <c r="Z523" s="3">
        <f t="shared" ca="1" si="79"/>
        <v>0.25996308189641726</v>
      </c>
      <c r="AA523" s="6">
        <f t="shared" ca="1" si="80"/>
        <v>22454.754189676685</v>
      </c>
      <c r="AB523" s="6">
        <f t="shared" ca="1" si="81"/>
        <v>633.16125042380884</v>
      </c>
    </row>
    <row r="524" spans="1:28" x14ac:dyDescent="0.3">
      <c r="A524" s="53"/>
      <c r="B524" s="54"/>
      <c r="C524" s="65" t="s">
        <v>242</v>
      </c>
      <c r="D524" s="65">
        <f t="shared" ca="1" si="74"/>
        <v>1</v>
      </c>
      <c r="E524" s="3">
        <f t="shared" ca="1" si="75"/>
        <v>0.66873806059947016</v>
      </c>
      <c r="F524" s="6">
        <f t="shared" ca="1" si="76"/>
        <v>99017.346907173182</v>
      </c>
      <c r="G524" s="6">
        <f t="shared" ca="1" si="77"/>
        <v>4.4655021940276374</v>
      </c>
      <c r="V524" s="53"/>
      <c r="W524" s="54"/>
      <c r="X524" s="65" t="s">
        <v>242</v>
      </c>
      <c r="Y524" s="65">
        <f t="shared" ca="1" si="78"/>
        <v>1</v>
      </c>
      <c r="Z524" s="3">
        <f t="shared" ca="1" si="79"/>
        <v>0.12422982451814191</v>
      </c>
      <c r="AA524" s="6">
        <f t="shared" ca="1" si="80"/>
        <v>106108.68126101281</v>
      </c>
      <c r="AB524" s="6">
        <f t="shared" ca="1" si="81"/>
        <v>1276.5408094206</v>
      </c>
    </row>
    <row r="525" spans="1:28" x14ac:dyDescent="0.3">
      <c r="A525" s="53"/>
      <c r="B525" s="54"/>
      <c r="C525" s="65" t="s">
        <v>242</v>
      </c>
      <c r="D525" s="65">
        <f t="shared" ref="D525:D588" ca="1" si="82">INT(RAND()*4)+1</f>
        <v>2</v>
      </c>
      <c r="E525" s="3">
        <f t="shared" ref="E525:E588" ca="1" si="83">RAND()</f>
        <v>0.38522979420213765</v>
      </c>
      <c r="F525" s="6">
        <f t="shared" ref="F525:F588" ca="1" si="84">RAND()*200000</f>
        <v>131638.97056335732</v>
      </c>
      <c r="G525" s="6">
        <f t="shared" ref="G525:G588" ca="1" si="85">RAND()*2000</f>
        <v>768.01426002994219</v>
      </c>
      <c r="V525" s="53"/>
      <c r="W525" s="54"/>
      <c r="X525" s="65" t="s">
        <v>242</v>
      </c>
      <c r="Y525" s="65">
        <f t="shared" ref="Y525:Y588" ca="1" si="86">INT(RAND()*4)+1</f>
        <v>4</v>
      </c>
      <c r="Z525" s="3">
        <f t="shared" ref="Z525:Z588" ca="1" si="87">RAND()</f>
        <v>0.54438456801215773</v>
      </c>
      <c r="AA525" s="6">
        <f t="shared" ref="AA525:AA588" ca="1" si="88">RAND()*200000</f>
        <v>89343.921047001524</v>
      </c>
      <c r="AB525" s="6">
        <f t="shared" ref="AB525:AB588" ca="1" si="89">RAND()*2000</f>
        <v>733.45559051439352</v>
      </c>
    </row>
    <row r="526" spans="1:28" x14ac:dyDescent="0.3">
      <c r="A526" s="53"/>
      <c r="B526" s="54"/>
      <c r="C526" s="65" t="s">
        <v>242</v>
      </c>
      <c r="D526" s="65">
        <f t="shared" ca="1" si="82"/>
        <v>4</v>
      </c>
      <c r="E526" s="3">
        <f t="shared" ca="1" si="83"/>
        <v>0.4514258377190572</v>
      </c>
      <c r="F526" s="6">
        <f t="shared" ca="1" si="84"/>
        <v>17695.511489408178</v>
      </c>
      <c r="G526" s="6">
        <f t="shared" ca="1" si="85"/>
        <v>1972.1811057112282</v>
      </c>
      <c r="V526" s="53"/>
      <c r="W526" s="54"/>
      <c r="X526" s="65" t="s">
        <v>242</v>
      </c>
      <c r="Y526" s="65">
        <f t="shared" ca="1" si="86"/>
        <v>2</v>
      </c>
      <c r="Z526" s="3">
        <f t="shared" ca="1" si="87"/>
        <v>0.91644708592848712</v>
      </c>
      <c r="AA526" s="6">
        <f t="shared" ca="1" si="88"/>
        <v>59529.987821747476</v>
      </c>
      <c r="AB526" s="6">
        <f t="shared" ca="1" si="89"/>
        <v>66.186540176560229</v>
      </c>
    </row>
    <row r="527" spans="1:28" x14ac:dyDescent="0.3">
      <c r="A527" s="53"/>
      <c r="B527" s="54"/>
      <c r="C527" s="65" t="s">
        <v>242</v>
      </c>
      <c r="D527" s="65">
        <f t="shared" ca="1" si="82"/>
        <v>1</v>
      </c>
      <c r="E527" s="3">
        <f t="shared" ca="1" si="83"/>
        <v>0.64352510364637561</v>
      </c>
      <c r="F527" s="6">
        <f t="shared" ca="1" si="84"/>
        <v>145318.35394538174</v>
      </c>
      <c r="G527" s="6">
        <f t="shared" ca="1" si="85"/>
        <v>1216.6507683174859</v>
      </c>
      <c r="V527" s="53"/>
      <c r="W527" s="54"/>
      <c r="X527" s="65" t="s">
        <v>242</v>
      </c>
      <c r="Y527" s="65">
        <f t="shared" ca="1" si="86"/>
        <v>2</v>
      </c>
      <c r="Z527" s="3">
        <f t="shared" ca="1" si="87"/>
        <v>0.62270298666552815</v>
      </c>
      <c r="AA527" s="6">
        <f t="shared" ca="1" si="88"/>
        <v>118133.88919603381</v>
      </c>
      <c r="AB527" s="6">
        <f t="shared" ca="1" si="89"/>
        <v>1682.1559052267828</v>
      </c>
    </row>
    <row r="528" spans="1:28" x14ac:dyDescent="0.3">
      <c r="A528" s="53"/>
      <c r="B528" s="54"/>
      <c r="C528" s="65" t="s">
        <v>242</v>
      </c>
      <c r="D528" s="65">
        <f t="shared" ca="1" si="82"/>
        <v>3</v>
      </c>
      <c r="E528" s="3">
        <f t="shared" ca="1" si="83"/>
        <v>0.72472562101219862</v>
      </c>
      <c r="F528" s="6">
        <f t="shared" ca="1" si="84"/>
        <v>103909.11963052479</v>
      </c>
      <c r="G528" s="6">
        <f t="shared" ca="1" si="85"/>
        <v>813.06826867525172</v>
      </c>
      <c r="V528" s="53"/>
      <c r="W528" s="54"/>
      <c r="X528" s="65" t="s">
        <v>242</v>
      </c>
      <c r="Y528" s="65">
        <f t="shared" ca="1" si="86"/>
        <v>2</v>
      </c>
      <c r="Z528" s="3">
        <f t="shared" ca="1" si="87"/>
        <v>0.90418103520099224</v>
      </c>
      <c r="AA528" s="6">
        <f t="shared" ca="1" si="88"/>
        <v>122575.43827196388</v>
      </c>
      <c r="AB528" s="6">
        <f t="shared" ca="1" si="89"/>
        <v>1210.8549972573337</v>
      </c>
    </row>
    <row r="529" spans="1:28" x14ac:dyDescent="0.3">
      <c r="A529" s="53"/>
      <c r="B529" s="54"/>
      <c r="C529" s="65" t="s">
        <v>242</v>
      </c>
      <c r="D529" s="65">
        <f t="shared" ca="1" si="82"/>
        <v>1</v>
      </c>
      <c r="E529" s="3">
        <f t="shared" ca="1" si="83"/>
        <v>0.29063488012386229</v>
      </c>
      <c r="F529" s="6">
        <f t="shared" ca="1" si="84"/>
        <v>34611.177698019404</v>
      </c>
      <c r="G529" s="6">
        <f t="shared" ca="1" si="85"/>
        <v>972.39007568461625</v>
      </c>
      <c r="V529" s="53"/>
      <c r="W529" s="54"/>
      <c r="X529" s="65" t="s">
        <v>242</v>
      </c>
      <c r="Y529" s="65">
        <f t="shared" ca="1" si="86"/>
        <v>1</v>
      </c>
      <c r="Z529" s="3">
        <f t="shared" ca="1" si="87"/>
        <v>0.25159616219355163</v>
      </c>
      <c r="AA529" s="6">
        <f t="shared" ca="1" si="88"/>
        <v>177770.3655943122</v>
      </c>
      <c r="AB529" s="6">
        <f t="shared" ca="1" si="89"/>
        <v>1495.0972451566995</v>
      </c>
    </row>
    <row r="530" spans="1:28" x14ac:dyDescent="0.3">
      <c r="A530" s="53"/>
      <c r="B530" s="54"/>
      <c r="C530" s="65" t="s">
        <v>242</v>
      </c>
      <c r="D530" s="65">
        <f t="shared" ca="1" si="82"/>
        <v>3</v>
      </c>
      <c r="E530" s="3">
        <f t="shared" ca="1" si="83"/>
        <v>8.3554524854657863E-2</v>
      </c>
      <c r="F530" s="6">
        <f t="shared" ca="1" si="84"/>
        <v>63738.266534237067</v>
      </c>
      <c r="G530" s="6">
        <f t="shared" ca="1" si="85"/>
        <v>1742.0618281892434</v>
      </c>
      <c r="V530" s="53"/>
      <c r="W530" s="54"/>
      <c r="X530" s="65" t="s">
        <v>242</v>
      </c>
      <c r="Y530" s="65">
        <f t="shared" ca="1" si="86"/>
        <v>1</v>
      </c>
      <c r="Z530" s="3">
        <f t="shared" ca="1" si="87"/>
        <v>0.56940114023470312</v>
      </c>
      <c r="AA530" s="6">
        <f t="shared" ca="1" si="88"/>
        <v>122575.03136709906</v>
      </c>
      <c r="AB530" s="6">
        <f t="shared" ca="1" si="89"/>
        <v>790.76660393952579</v>
      </c>
    </row>
    <row r="531" spans="1:28" x14ac:dyDescent="0.3">
      <c r="A531" s="53"/>
      <c r="B531" s="54"/>
      <c r="C531" s="65" t="s">
        <v>242</v>
      </c>
      <c r="D531" s="65">
        <f t="shared" ca="1" si="82"/>
        <v>1</v>
      </c>
      <c r="E531" s="3">
        <f t="shared" ca="1" si="83"/>
        <v>0.12469789414852528</v>
      </c>
      <c r="F531" s="6">
        <f t="shared" ca="1" si="84"/>
        <v>6364.7134675774987</v>
      </c>
      <c r="G531" s="6">
        <f t="shared" ca="1" si="85"/>
        <v>171.95574674336211</v>
      </c>
      <c r="V531" s="53"/>
      <c r="W531" s="54"/>
      <c r="X531" s="65" t="s">
        <v>242</v>
      </c>
      <c r="Y531" s="65">
        <f t="shared" ca="1" si="86"/>
        <v>3</v>
      </c>
      <c r="Z531" s="3">
        <f t="shared" ca="1" si="87"/>
        <v>0.84519902911748135</v>
      </c>
      <c r="AA531" s="6">
        <f t="shared" ca="1" si="88"/>
        <v>155256.4312672425</v>
      </c>
      <c r="AB531" s="6">
        <f t="shared" ca="1" si="89"/>
        <v>617.49396959878266</v>
      </c>
    </row>
    <row r="532" spans="1:28" x14ac:dyDescent="0.3">
      <c r="A532" s="53"/>
      <c r="B532" s="54"/>
      <c r="C532" s="65" t="s">
        <v>242</v>
      </c>
      <c r="D532" s="65">
        <f t="shared" ca="1" si="82"/>
        <v>3</v>
      </c>
      <c r="E532" s="3">
        <f t="shared" ca="1" si="83"/>
        <v>0.73078681602852047</v>
      </c>
      <c r="F532" s="6">
        <f t="shared" ca="1" si="84"/>
        <v>156707.91907191035</v>
      </c>
      <c r="G532" s="6">
        <f t="shared" ca="1" si="85"/>
        <v>1156.4218656055848</v>
      </c>
      <c r="V532" s="53"/>
      <c r="W532" s="54"/>
      <c r="X532" s="65" t="s">
        <v>242</v>
      </c>
      <c r="Y532" s="65">
        <f t="shared" ca="1" si="86"/>
        <v>4</v>
      </c>
      <c r="Z532" s="3">
        <f t="shared" ca="1" si="87"/>
        <v>0.19838774179780805</v>
      </c>
      <c r="AA532" s="6">
        <f t="shared" ca="1" si="88"/>
        <v>164824.81561102942</v>
      </c>
      <c r="AB532" s="6">
        <f t="shared" ca="1" si="89"/>
        <v>1543.139738715794</v>
      </c>
    </row>
    <row r="533" spans="1:28" x14ac:dyDescent="0.3">
      <c r="A533" s="53"/>
      <c r="B533" s="54"/>
      <c r="C533" s="65" t="s">
        <v>242</v>
      </c>
      <c r="D533" s="65">
        <f t="shared" ca="1" si="82"/>
        <v>1</v>
      </c>
      <c r="E533" s="3">
        <f t="shared" ca="1" si="83"/>
        <v>0.31500765131387964</v>
      </c>
      <c r="F533" s="6">
        <f t="shared" ca="1" si="84"/>
        <v>113724.553190395</v>
      </c>
      <c r="G533" s="6">
        <f t="shared" ca="1" si="85"/>
        <v>851.51741021155453</v>
      </c>
      <c r="V533" s="53"/>
      <c r="W533" s="54"/>
      <c r="X533" s="65" t="s">
        <v>242</v>
      </c>
      <c r="Y533" s="65">
        <f t="shared" ca="1" si="86"/>
        <v>2</v>
      </c>
      <c r="Z533" s="3">
        <f t="shared" ca="1" si="87"/>
        <v>0.53887125396850422</v>
      </c>
      <c r="AA533" s="6">
        <f t="shared" ca="1" si="88"/>
        <v>38322.715754711622</v>
      </c>
      <c r="AB533" s="6">
        <f t="shared" ca="1" si="89"/>
        <v>1694.704811837491</v>
      </c>
    </row>
    <row r="534" spans="1:28" x14ac:dyDescent="0.3">
      <c r="A534" s="53"/>
      <c r="B534" s="54"/>
      <c r="C534" s="65" t="s">
        <v>242</v>
      </c>
      <c r="D534" s="65">
        <f t="shared" ca="1" si="82"/>
        <v>3</v>
      </c>
      <c r="E534" s="3">
        <f t="shared" ca="1" si="83"/>
        <v>0.21038214731898652</v>
      </c>
      <c r="F534" s="6">
        <f t="shared" ca="1" si="84"/>
        <v>85406.871966219478</v>
      </c>
      <c r="G534" s="6">
        <f t="shared" ca="1" si="85"/>
        <v>1545.3571663819457</v>
      </c>
      <c r="V534" s="53"/>
      <c r="W534" s="54"/>
      <c r="X534" s="65" t="s">
        <v>242</v>
      </c>
      <c r="Y534" s="65">
        <f t="shared" ca="1" si="86"/>
        <v>4</v>
      </c>
      <c r="Z534" s="3">
        <f t="shared" ca="1" si="87"/>
        <v>0.32234906279079467</v>
      </c>
      <c r="AA534" s="6">
        <f t="shared" ca="1" si="88"/>
        <v>127358.91802107554</v>
      </c>
      <c r="AB534" s="6">
        <f t="shared" ca="1" si="89"/>
        <v>565.5976290824276</v>
      </c>
    </row>
    <row r="535" spans="1:28" x14ac:dyDescent="0.3">
      <c r="A535" s="53"/>
      <c r="B535" s="54"/>
      <c r="C535" s="65" t="s">
        <v>242</v>
      </c>
      <c r="D535" s="65">
        <f t="shared" ca="1" si="82"/>
        <v>3</v>
      </c>
      <c r="E535" s="3">
        <f t="shared" ca="1" si="83"/>
        <v>0.17905418617345548</v>
      </c>
      <c r="F535" s="6">
        <f t="shared" ca="1" si="84"/>
        <v>189098.76575552791</v>
      </c>
      <c r="G535" s="6">
        <f t="shared" ca="1" si="85"/>
        <v>1497.4018020051649</v>
      </c>
      <c r="V535" s="53"/>
      <c r="W535" s="54"/>
      <c r="X535" s="65" t="s">
        <v>242</v>
      </c>
      <c r="Y535" s="65">
        <f t="shared" ca="1" si="86"/>
        <v>4</v>
      </c>
      <c r="Z535" s="3">
        <f t="shared" ca="1" si="87"/>
        <v>0.98108666910454789</v>
      </c>
      <c r="AA535" s="6">
        <f t="shared" ca="1" si="88"/>
        <v>41915.396326735819</v>
      </c>
      <c r="AB535" s="6">
        <f t="shared" ca="1" si="89"/>
        <v>1070.8996753103436</v>
      </c>
    </row>
    <row r="536" spans="1:28" x14ac:dyDescent="0.3">
      <c r="A536" s="53"/>
      <c r="B536" s="54"/>
      <c r="C536" s="65" t="s">
        <v>242</v>
      </c>
      <c r="D536" s="65">
        <f t="shared" ca="1" si="82"/>
        <v>3</v>
      </c>
      <c r="E536" s="3">
        <f t="shared" ca="1" si="83"/>
        <v>0.84533513636470081</v>
      </c>
      <c r="F536" s="6">
        <f t="shared" ca="1" si="84"/>
        <v>124503.45880598205</v>
      </c>
      <c r="G536" s="6">
        <f t="shared" ca="1" si="85"/>
        <v>1012.5205651521001</v>
      </c>
      <c r="V536" s="53"/>
      <c r="W536" s="54"/>
      <c r="X536" s="65" t="s">
        <v>242</v>
      </c>
      <c r="Y536" s="65">
        <f t="shared" ca="1" si="86"/>
        <v>3</v>
      </c>
      <c r="Z536" s="3">
        <f t="shared" ca="1" si="87"/>
        <v>0.50778880033492524</v>
      </c>
      <c r="AA536" s="6">
        <f t="shared" ca="1" si="88"/>
        <v>130010.00072773577</v>
      </c>
      <c r="AB536" s="6">
        <f t="shared" ca="1" si="89"/>
        <v>1441.6993188036972</v>
      </c>
    </row>
    <row r="537" spans="1:28" x14ac:dyDescent="0.3">
      <c r="A537" s="53"/>
      <c r="B537" s="54"/>
      <c r="C537" s="65" t="s">
        <v>242</v>
      </c>
      <c r="D537" s="65">
        <f t="shared" ca="1" si="82"/>
        <v>3</v>
      </c>
      <c r="E537" s="3">
        <f t="shared" ca="1" si="83"/>
        <v>0.27044227686916256</v>
      </c>
      <c r="F537" s="6">
        <f t="shared" ca="1" si="84"/>
        <v>103148.45585368684</v>
      </c>
      <c r="G537" s="6">
        <f t="shared" ca="1" si="85"/>
        <v>1807.7927147397172</v>
      </c>
      <c r="V537" s="53"/>
      <c r="W537" s="54"/>
      <c r="X537" s="65" t="s">
        <v>242</v>
      </c>
      <c r="Y537" s="65">
        <f t="shared" ca="1" si="86"/>
        <v>3</v>
      </c>
      <c r="Z537" s="3">
        <f t="shared" ca="1" si="87"/>
        <v>2.4750482001273277E-2</v>
      </c>
      <c r="AA537" s="6">
        <f t="shared" ca="1" si="88"/>
        <v>62283.750996205912</v>
      </c>
      <c r="AB537" s="6">
        <f t="shared" ca="1" si="89"/>
        <v>179.7111962573139</v>
      </c>
    </row>
    <row r="538" spans="1:28" x14ac:dyDescent="0.3">
      <c r="A538" s="53"/>
      <c r="B538" s="54"/>
      <c r="C538" s="65" t="s">
        <v>242</v>
      </c>
      <c r="D538" s="65">
        <f t="shared" ca="1" si="82"/>
        <v>1</v>
      </c>
      <c r="E538" s="3">
        <f t="shared" ca="1" si="83"/>
        <v>0.61855651982208792</v>
      </c>
      <c r="F538" s="6">
        <f t="shared" ca="1" si="84"/>
        <v>46015.812805037946</v>
      </c>
      <c r="G538" s="6">
        <f t="shared" ca="1" si="85"/>
        <v>196.38485386779547</v>
      </c>
      <c r="V538" s="53"/>
      <c r="W538" s="54"/>
      <c r="X538" s="65" t="s">
        <v>242</v>
      </c>
      <c r="Y538" s="65">
        <f t="shared" ca="1" si="86"/>
        <v>4</v>
      </c>
      <c r="Z538" s="3">
        <f t="shared" ca="1" si="87"/>
        <v>0.17911661396276735</v>
      </c>
      <c r="AA538" s="6">
        <f t="shared" ca="1" si="88"/>
        <v>37974.179959966859</v>
      </c>
      <c r="AB538" s="6">
        <f t="shared" ca="1" si="89"/>
        <v>1895.8990501189767</v>
      </c>
    </row>
    <row r="539" spans="1:28" x14ac:dyDescent="0.3">
      <c r="A539" s="53"/>
      <c r="B539" s="54"/>
      <c r="C539" s="65" t="s">
        <v>242</v>
      </c>
      <c r="D539" s="65">
        <f t="shared" ca="1" si="82"/>
        <v>2</v>
      </c>
      <c r="E539" s="3">
        <f t="shared" ca="1" si="83"/>
        <v>0.98579673664148204</v>
      </c>
      <c r="F539" s="6">
        <f t="shared" ca="1" si="84"/>
        <v>12340.600726341378</v>
      </c>
      <c r="G539" s="6">
        <f t="shared" ca="1" si="85"/>
        <v>1793.4892409315942</v>
      </c>
      <c r="V539" s="53"/>
      <c r="W539" s="54"/>
      <c r="X539" s="65" t="s">
        <v>242</v>
      </c>
      <c r="Y539" s="65">
        <f t="shared" ca="1" si="86"/>
        <v>2</v>
      </c>
      <c r="Z539" s="3">
        <f t="shared" ca="1" si="87"/>
        <v>0.12476631240680836</v>
      </c>
      <c r="AA539" s="6">
        <f t="shared" ca="1" si="88"/>
        <v>119046.76175910574</v>
      </c>
      <c r="AB539" s="6">
        <f t="shared" ca="1" si="89"/>
        <v>585.55650575428706</v>
      </c>
    </row>
    <row r="540" spans="1:28" x14ac:dyDescent="0.3">
      <c r="A540" s="53"/>
      <c r="B540" s="54"/>
      <c r="C540" s="65" t="s">
        <v>242</v>
      </c>
      <c r="D540" s="65">
        <f t="shared" ca="1" si="82"/>
        <v>1</v>
      </c>
      <c r="E540" s="3">
        <f t="shared" ca="1" si="83"/>
        <v>0.87821203194719566</v>
      </c>
      <c r="F540" s="6">
        <f t="shared" ca="1" si="84"/>
        <v>186684.67462762285</v>
      </c>
      <c r="G540" s="6">
        <f t="shared" ca="1" si="85"/>
        <v>1414.4588345131931</v>
      </c>
      <c r="V540" s="53"/>
      <c r="W540" s="54"/>
      <c r="X540" s="65" t="s">
        <v>242</v>
      </c>
      <c r="Y540" s="65">
        <f t="shared" ca="1" si="86"/>
        <v>4</v>
      </c>
      <c r="Z540" s="3">
        <f t="shared" ca="1" si="87"/>
        <v>0.2342367875085527</v>
      </c>
      <c r="AA540" s="6">
        <f t="shared" ca="1" si="88"/>
        <v>5048.2412524008423</v>
      </c>
      <c r="AB540" s="6">
        <f t="shared" ca="1" si="89"/>
        <v>1120.0368523397801</v>
      </c>
    </row>
    <row r="541" spans="1:28" x14ac:dyDescent="0.3">
      <c r="A541" s="53"/>
      <c r="B541" s="54"/>
      <c r="C541" s="65" t="s">
        <v>242</v>
      </c>
      <c r="D541" s="65">
        <f t="shared" ca="1" si="82"/>
        <v>1</v>
      </c>
      <c r="E541" s="3">
        <f t="shared" ca="1" si="83"/>
        <v>0.95410955335666248</v>
      </c>
      <c r="F541" s="6">
        <f t="shared" ca="1" si="84"/>
        <v>7163.8748491518854</v>
      </c>
      <c r="G541" s="6">
        <f t="shared" ca="1" si="85"/>
        <v>1776.3368526641884</v>
      </c>
      <c r="V541" s="53"/>
      <c r="W541" s="54"/>
      <c r="X541" s="65" t="s">
        <v>242</v>
      </c>
      <c r="Y541" s="65">
        <f t="shared" ca="1" si="86"/>
        <v>2</v>
      </c>
      <c r="Z541" s="3">
        <f t="shared" ca="1" si="87"/>
        <v>0.75045114824989012</v>
      </c>
      <c r="AA541" s="6">
        <f t="shared" ca="1" si="88"/>
        <v>177844.79041598403</v>
      </c>
      <c r="AB541" s="6">
        <f t="shared" ca="1" si="89"/>
        <v>683.00424586167878</v>
      </c>
    </row>
    <row r="542" spans="1:28" x14ac:dyDescent="0.3">
      <c r="A542" s="53"/>
      <c r="B542" s="54"/>
      <c r="C542" s="65" t="s">
        <v>242</v>
      </c>
      <c r="D542" s="65">
        <f t="shared" ca="1" si="82"/>
        <v>2</v>
      </c>
      <c r="E542" s="3">
        <f t="shared" ca="1" si="83"/>
        <v>0.97465002876236084</v>
      </c>
      <c r="F542" s="6">
        <f t="shared" ca="1" si="84"/>
        <v>74796.196990234923</v>
      </c>
      <c r="G542" s="6">
        <f t="shared" ca="1" si="85"/>
        <v>701.68549930298195</v>
      </c>
      <c r="V542" s="53"/>
      <c r="W542" s="54"/>
      <c r="X542" s="65" t="s">
        <v>242</v>
      </c>
      <c r="Y542" s="65">
        <f t="shared" ca="1" si="86"/>
        <v>4</v>
      </c>
      <c r="Z542" s="3">
        <f t="shared" ca="1" si="87"/>
        <v>0.72847544446212364</v>
      </c>
      <c r="AA542" s="6">
        <f t="shared" ca="1" si="88"/>
        <v>363.18187908284119</v>
      </c>
      <c r="AB542" s="6">
        <f t="shared" ca="1" si="89"/>
        <v>1905.882297875838</v>
      </c>
    </row>
    <row r="543" spans="1:28" x14ac:dyDescent="0.3">
      <c r="A543" s="53"/>
      <c r="B543" s="54"/>
      <c r="C543" s="65" t="s">
        <v>242</v>
      </c>
      <c r="D543" s="65">
        <f t="shared" ca="1" si="82"/>
        <v>4</v>
      </c>
      <c r="E543" s="3">
        <f t="shared" ca="1" si="83"/>
        <v>0.96798331242097302</v>
      </c>
      <c r="F543" s="6">
        <f t="shared" ca="1" si="84"/>
        <v>166205.16401869128</v>
      </c>
      <c r="G543" s="6">
        <f t="shared" ca="1" si="85"/>
        <v>988.56429127036961</v>
      </c>
      <c r="V543" s="53"/>
      <c r="W543" s="54"/>
      <c r="X543" s="65" t="s">
        <v>242</v>
      </c>
      <c r="Y543" s="65">
        <f t="shared" ca="1" si="86"/>
        <v>1</v>
      </c>
      <c r="Z543" s="3">
        <f t="shared" ca="1" si="87"/>
        <v>0.52809216623655231</v>
      </c>
      <c r="AA543" s="6">
        <f t="shared" ca="1" si="88"/>
        <v>129920.40098135786</v>
      </c>
      <c r="AB543" s="6">
        <f t="shared" ca="1" si="89"/>
        <v>776.42557186770398</v>
      </c>
    </row>
    <row r="544" spans="1:28" x14ac:dyDescent="0.3">
      <c r="A544" s="53"/>
      <c r="B544" s="54"/>
      <c r="C544" s="65" t="s">
        <v>242</v>
      </c>
      <c r="D544" s="65">
        <f t="shared" ca="1" si="82"/>
        <v>3</v>
      </c>
      <c r="E544" s="3">
        <f t="shared" ca="1" si="83"/>
        <v>8.0095802680881012E-2</v>
      </c>
      <c r="F544" s="6">
        <f t="shared" ca="1" si="84"/>
        <v>71948.775149229987</v>
      </c>
      <c r="G544" s="6">
        <f t="shared" ca="1" si="85"/>
        <v>123.51289330449356</v>
      </c>
      <c r="V544" s="53"/>
      <c r="W544" s="54"/>
      <c r="X544" s="65" t="s">
        <v>242</v>
      </c>
      <c r="Y544" s="65">
        <f t="shared" ca="1" si="86"/>
        <v>3</v>
      </c>
      <c r="Z544" s="3">
        <f t="shared" ca="1" si="87"/>
        <v>0.88234002464075556</v>
      </c>
      <c r="AA544" s="6">
        <f t="shared" ca="1" si="88"/>
        <v>58915.708774085695</v>
      </c>
      <c r="AB544" s="6">
        <f t="shared" ca="1" si="89"/>
        <v>847.03771836776889</v>
      </c>
    </row>
    <row r="545" spans="1:28" x14ac:dyDescent="0.3">
      <c r="A545" s="53"/>
      <c r="B545" s="54"/>
      <c r="C545" s="65" t="s">
        <v>242</v>
      </c>
      <c r="D545" s="65">
        <f t="shared" ca="1" si="82"/>
        <v>3</v>
      </c>
      <c r="E545" s="3">
        <f t="shared" ca="1" si="83"/>
        <v>0.26786811877050465</v>
      </c>
      <c r="F545" s="6">
        <f t="shared" ca="1" si="84"/>
        <v>184334.88337808172</v>
      </c>
      <c r="G545" s="6">
        <f t="shared" ca="1" si="85"/>
        <v>818.58276206708183</v>
      </c>
      <c r="V545" s="53"/>
      <c r="W545" s="54"/>
      <c r="X545" s="65" t="s">
        <v>242</v>
      </c>
      <c r="Y545" s="65">
        <f t="shared" ca="1" si="86"/>
        <v>4</v>
      </c>
      <c r="Z545" s="3">
        <f t="shared" ca="1" si="87"/>
        <v>0.27508950646066666</v>
      </c>
      <c r="AA545" s="6">
        <f t="shared" ca="1" si="88"/>
        <v>41302.389489954308</v>
      </c>
      <c r="AB545" s="6">
        <f t="shared" ca="1" si="89"/>
        <v>573.72518853562133</v>
      </c>
    </row>
    <row r="546" spans="1:28" x14ac:dyDescent="0.3">
      <c r="A546" s="53"/>
      <c r="B546" s="54"/>
      <c r="C546" s="65" t="s">
        <v>242</v>
      </c>
      <c r="D546" s="65">
        <f t="shared" ca="1" si="82"/>
        <v>4</v>
      </c>
      <c r="E546" s="3">
        <f t="shared" ca="1" si="83"/>
        <v>0.88179130963575392</v>
      </c>
      <c r="F546" s="6">
        <f t="shared" ca="1" si="84"/>
        <v>1681.3832670253382</v>
      </c>
      <c r="G546" s="6">
        <f t="shared" ca="1" si="85"/>
        <v>185.99990605826221</v>
      </c>
      <c r="V546" s="53"/>
      <c r="W546" s="54"/>
      <c r="X546" s="65" t="s">
        <v>242</v>
      </c>
      <c r="Y546" s="65">
        <f t="shared" ca="1" si="86"/>
        <v>1</v>
      </c>
      <c r="Z546" s="3">
        <f t="shared" ca="1" si="87"/>
        <v>0.90421180977227145</v>
      </c>
      <c r="AA546" s="6">
        <f t="shared" ca="1" si="88"/>
        <v>123989.04543730573</v>
      </c>
      <c r="AB546" s="6">
        <f t="shared" ca="1" si="89"/>
        <v>1693.9839928316771</v>
      </c>
    </row>
    <row r="547" spans="1:28" x14ac:dyDescent="0.3">
      <c r="A547" s="53"/>
      <c r="B547" s="54"/>
      <c r="C547" s="65" t="s">
        <v>242</v>
      </c>
      <c r="D547" s="65">
        <f t="shared" ca="1" si="82"/>
        <v>1</v>
      </c>
      <c r="E547" s="3">
        <f t="shared" ca="1" si="83"/>
        <v>0.37964496426496575</v>
      </c>
      <c r="F547" s="6">
        <f t="shared" ca="1" si="84"/>
        <v>182653.93049534291</v>
      </c>
      <c r="G547" s="6">
        <f t="shared" ca="1" si="85"/>
        <v>1013.7039430180512</v>
      </c>
      <c r="V547" s="53"/>
      <c r="W547" s="54"/>
      <c r="X547" s="65" t="s">
        <v>242</v>
      </c>
      <c r="Y547" s="65">
        <f t="shared" ca="1" si="86"/>
        <v>2</v>
      </c>
      <c r="Z547" s="3">
        <f t="shared" ca="1" si="87"/>
        <v>0.55715651833230939</v>
      </c>
      <c r="AA547" s="6">
        <f t="shared" ca="1" si="88"/>
        <v>1788.9681466098484</v>
      </c>
      <c r="AB547" s="6">
        <f t="shared" ca="1" si="89"/>
        <v>584.86828411182603</v>
      </c>
    </row>
    <row r="548" spans="1:28" x14ac:dyDescent="0.3">
      <c r="A548" s="53"/>
      <c r="B548" s="54"/>
      <c r="C548" s="65" t="s">
        <v>242</v>
      </c>
      <c r="D548" s="65">
        <f t="shared" ca="1" si="82"/>
        <v>2</v>
      </c>
      <c r="E548" s="3">
        <f t="shared" ca="1" si="83"/>
        <v>0.44702902579317161</v>
      </c>
      <c r="F548" s="6">
        <f t="shared" ca="1" si="84"/>
        <v>55478.925110997036</v>
      </c>
      <c r="G548" s="6">
        <f t="shared" ca="1" si="85"/>
        <v>1710.8793401536957</v>
      </c>
      <c r="V548" s="53"/>
      <c r="W548" s="54"/>
      <c r="X548" s="65" t="s">
        <v>242</v>
      </c>
      <c r="Y548" s="65">
        <f t="shared" ca="1" si="86"/>
        <v>3</v>
      </c>
      <c r="Z548" s="3">
        <f t="shared" ca="1" si="87"/>
        <v>0.46082224343387601</v>
      </c>
      <c r="AA548" s="6">
        <f t="shared" ca="1" si="88"/>
        <v>174948.21788680047</v>
      </c>
      <c r="AB548" s="6">
        <f t="shared" ca="1" si="89"/>
        <v>1497.5376138514557</v>
      </c>
    </row>
    <row r="549" spans="1:28" x14ac:dyDescent="0.3">
      <c r="A549" s="53"/>
      <c r="B549" s="54"/>
      <c r="C549" s="65" t="s">
        <v>242</v>
      </c>
      <c r="D549" s="65">
        <f t="shared" ca="1" si="82"/>
        <v>1</v>
      </c>
      <c r="E549" s="3">
        <f t="shared" ca="1" si="83"/>
        <v>0.79028574313399247</v>
      </c>
      <c r="F549" s="6">
        <f t="shared" ca="1" si="84"/>
        <v>116922.07162814014</v>
      </c>
      <c r="G549" s="6">
        <f t="shared" ca="1" si="85"/>
        <v>1322.1582725860153</v>
      </c>
      <c r="V549" s="53"/>
      <c r="W549" s="54"/>
      <c r="X549" s="65" t="s">
        <v>242</v>
      </c>
      <c r="Y549" s="65">
        <f t="shared" ca="1" si="86"/>
        <v>1</v>
      </c>
      <c r="Z549" s="3">
        <f t="shared" ca="1" si="87"/>
        <v>0.29119255247790166</v>
      </c>
      <c r="AA549" s="6">
        <f t="shared" ca="1" si="88"/>
        <v>91308.25065917398</v>
      </c>
      <c r="AB549" s="6">
        <f t="shared" ca="1" si="89"/>
        <v>164.69776983911589</v>
      </c>
    </row>
    <row r="550" spans="1:28" x14ac:dyDescent="0.3">
      <c r="A550" s="53"/>
      <c r="B550" s="54"/>
      <c r="C550" s="65" t="s">
        <v>242</v>
      </c>
      <c r="D550" s="65">
        <f t="shared" ca="1" si="82"/>
        <v>4</v>
      </c>
      <c r="E550" s="3">
        <f t="shared" ca="1" si="83"/>
        <v>0.17217604598936931</v>
      </c>
      <c r="F550" s="6">
        <f t="shared" ca="1" si="84"/>
        <v>49121.618125822897</v>
      </c>
      <c r="G550" s="6">
        <f t="shared" ca="1" si="85"/>
        <v>1518.9226474036434</v>
      </c>
      <c r="V550" s="53"/>
      <c r="W550" s="54"/>
      <c r="X550" s="65" t="s">
        <v>242</v>
      </c>
      <c r="Y550" s="65">
        <f t="shared" ca="1" si="86"/>
        <v>2</v>
      </c>
      <c r="Z550" s="3">
        <f t="shared" ca="1" si="87"/>
        <v>0.32689219506108302</v>
      </c>
      <c r="AA550" s="6">
        <f t="shared" ca="1" si="88"/>
        <v>113265.19235139474</v>
      </c>
      <c r="AB550" s="6">
        <f t="shared" ca="1" si="89"/>
        <v>962.361362533126</v>
      </c>
    </row>
    <row r="551" spans="1:28" x14ac:dyDescent="0.3">
      <c r="A551" s="53"/>
      <c r="B551" s="54"/>
      <c r="C551" s="65" t="s">
        <v>242</v>
      </c>
      <c r="D551" s="65">
        <f t="shared" ca="1" si="82"/>
        <v>1</v>
      </c>
      <c r="E551" s="3">
        <f t="shared" ca="1" si="83"/>
        <v>0.28819360705145713</v>
      </c>
      <c r="F551" s="6">
        <f t="shared" ca="1" si="84"/>
        <v>156307.90803669355</v>
      </c>
      <c r="G551" s="6">
        <f t="shared" ca="1" si="85"/>
        <v>1539.543959203218</v>
      </c>
      <c r="V551" s="53"/>
      <c r="W551" s="54"/>
      <c r="X551" s="65" t="s">
        <v>242</v>
      </c>
      <c r="Y551" s="65">
        <f t="shared" ca="1" si="86"/>
        <v>1</v>
      </c>
      <c r="Z551" s="3">
        <f t="shared" ca="1" si="87"/>
        <v>0.45196937425689254</v>
      </c>
      <c r="AA551" s="6">
        <f t="shared" ca="1" si="88"/>
        <v>136028.34329030308</v>
      </c>
      <c r="AB551" s="6">
        <f t="shared" ca="1" si="89"/>
        <v>682.13184940012047</v>
      </c>
    </row>
    <row r="552" spans="1:28" x14ac:dyDescent="0.3">
      <c r="A552" s="53"/>
      <c r="B552" s="54"/>
      <c r="C552" s="65" t="s">
        <v>242</v>
      </c>
      <c r="D552" s="65">
        <f t="shared" ca="1" si="82"/>
        <v>3</v>
      </c>
      <c r="E552" s="3">
        <f t="shared" ca="1" si="83"/>
        <v>0.72534231051254017</v>
      </c>
      <c r="F552" s="6">
        <f t="shared" ca="1" si="84"/>
        <v>68469.091775364286</v>
      </c>
      <c r="G552" s="6">
        <f t="shared" ca="1" si="85"/>
        <v>1289.0957820286653</v>
      </c>
      <c r="V552" s="53"/>
      <c r="W552" s="54"/>
      <c r="X552" s="65" t="s">
        <v>242</v>
      </c>
      <c r="Y552" s="65">
        <f t="shared" ca="1" si="86"/>
        <v>2</v>
      </c>
      <c r="Z552" s="3">
        <f t="shared" ca="1" si="87"/>
        <v>0.12117750747695588</v>
      </c>
      <c r="AA552" s="6">
        <f t="shared" ca="1" si="88"/>
        <v>94420.80787451916</v>
      </c>
      <c r="AB552" s="6">
        <f t="shared" ca="1" si="89"/>
        <v>842.95532254238287</v>
      </c>
    </row>
    <row r="553" spans="1:28" x14ac:dyDescent="0.3">
      <c r="A553" s="53"/>
      <c r="B553" s="54"/>
      <c r="C553" s="65" t="s">
        <v>242</v>
      </c>
      <c r="D553" s="65">
        <f t="shared" ca="1" si="82"/>
        <v>4</v>
      </c>
      <c r="E553" s="3">
        <f t="shared" ca="1" si="83"/>
        <v>7.9190835543562543E-2</v>
      </c>
      <c r="F553" s="6">
        <f t="shared" ca="1" si="84"/>
        <v>97509.251522679755</v>
      </c>
      <c r="G553" s="6">
        <f t="shared" ca="1" si="85"/>
        <v>312.26247065159617</v>
      </c>
      <c r="V553" s="53"/>
      <c r="W553" s="54"/>
      <c r="X553" s="65" t="s">
        <v>242</v>
      </c>
      <c r="Y553" s="65">
        <f t="shared" ca="1" si="86"/>
        <v>1</v>
      </c>
      <c r="Z553" s="3">
        <f t="shared" ca="1" si="87"/>
        <v>0.66898086515171395</v>
      </c>
      <c r="AA553" s="6">
        <f t="shared" ca="1" si="88"/>
        <v>151117.18614695818</v>
      </c>
      <c r="AB553" s="6">
        <f t="shared" ca="1" si="89"/>
        <v>1724.1206030737674</v>
      </c>
    </row>
    <row r="554" spans="1:28" x14ac:dyDescent="0.3">
      <c r="A554" s="53"/>
      <c r="B554" s="54"/>
      <c r="C554" s="65" t="s">
        <v>242</v>
      </c>
      <c r="D554" s="65">
        <f t="shared" ca="1" si="82"/>
        <v>1</v>
      </c>
      <c r="E554" s="3">
        <f t="shared" ca="1" si="83"/>
        <v>0.3660904237688406</v>
      </c>
      <c r="F554" s="6">
        <f t="shared" ca="1" si="84"/>
        <v>30753.803513350398</v>
      </c>
      <c r="G554" s="6">
        <f t="shared" ca="1" si="85"/>
        <v>10.035506214932433</v>
      </c>
      <c r="V554" s="53"/>
      <c r="W554" s="54"/>
      <c r="X554" s="65" t="s">
        <v>242</v>
      </c>
      <c r="Y554" s="65">
        <f t="shared" ca="1" si="86"/>
        <v>4</v>
      </c>
      <c r="Z554" s="3">
        <f t="shared" ca="1" si="87"/>
        <v>0.19687271689402652</v>
      </c>
      <c r="AA554" s="6">
        <f t="shared" ca="1" si="88"/>
        <v>105067.7209446444</v>
      </c>
      <c r="AB554" s="6">
        <f t="shared" ca="1" si="89"/>
        <v>151.7357775840089</v>
      </c>
    </row>
    <row r="555" spans="1:28" x14ac:dyDescent="0.3">
      <c r="A555" s="53"/>
      <c r="B555" s="54"/>
      <c r="C555" s="65" t="s">
        <v>242</v>
      </c>
      <c r="D555" s="65">
        <f t="shared" ca="1" si="82"/>
        <v>2</v>
      </c>
      <c r="E555" s="3">
        <f t="shared" ca="1" si="83"/>
        <v>0.85564938575400495</v>
      </c>
      <c r="F555" s="6">
        <f t="shared" ca="1" si="84"/>
        <v>22627.848459544421</v>
      </c>
      <c r="G555" s="6">
        <f t="shared" ca="1" si="85"/>
        <v>620.42055076843644</v>
      </c>
      <c r="V555" s="53"/>
      <c r="W555" s="54"/>
      <c r="X555" s="65" t="s">
        <v>242</v>
      </c>
      <c r="Y555" s="65">
        <f t="shared" ca="1" si="86"/>
        <v>4</v>
      </c>
      <c r="Z555" s="3">
        <f t="shared" ca="1" si="87"/>
        <v>0.32352116679326604</v>
      </c>
      <c r="AA555" s="6">
        <f t="shared" ca="1" si="88"/>
        <v>30365.195159099545</v>
      </c>
      <c r="AB555" s="6">
        <f t="shared" ca="1" si="89"/>
        <v>1874.8541691485427</v>
      </c>
    </row>
    <row r="556" spans="1:28" x14ac:dyDescent="0.3">
      <c r="A556" s="53"/>
      <c r="B556" s="54"/>
      <c r="C556" s="65" t="s">
        <v>242</v>
      </c>
      <c r="D556" s="65">
        <f t="shared" ca="1" si="82"/>
        <v>4</v>
      </c>
      <c r="E556" s="3">
        <f t="shared" ca="1" si="83"/>
        <v>0.38359086389616259</v>
      </c>
      <c r="F556" s="6">
        <f t="shared" ca="1" si="84"/>
        <v>60388.973243882283</v>
      </c>
      <c r="G556" s="6">
        <f t="shared" ca="1" si="85"/>
        <v>1957.2560975263982</v>
      </c>
      <c r="V556" s="53"/>
      <c r="W556" s="54"/>
      <c r="X556" s="65" t="s">
        <v>242</v>
      </c>
      <c r="Y556" s="65">
        <f t="shared" ca="1" si="86"/>
        <v>3</v>
      </c>
      <c r="Z556" s="3">
        <f t="shared" ca="1" si="87"/>
        <v>0.72337221502392191</v>
      </c>
      <c r="AA556" s="6">
        <f t="shared" ca="1" si="88"/>
        <v>81061.831775102532</v>
      </c>
      <c r="AB556" s="6">
        <f t="shared" ca="1" si="89"/>
        <v>1195.8161392011129</v>
      </c>
    </row>
    <row r="557" spans="1:28" x14ac:dyDescent="0.3">
      <c r="A557" s="53"/>
      <c r="B557" s="54"/>
      <c r="C557" s="65" t="s">
        <v>242</v>
      </c>
      <c r="D557" s="65">
        <f t="shared" ca="1" si="82"/>
        <v>3</v>
      </c>
      <c r="E557" s="3">
        <f t="shared" ca="1" si="83"/>
        <v>9.3979592262983469E-2</v>
      </c>
      <c r="F557" s="6">
        <f t="shared" ca="1" si="84"/>
        <v>7253.4488036984039</v>
      </c>
      <c r="G557" s="6">
        <f t="shared" ca="1" si="85"/>
        <v>440.094548262008</v>
      </c>
      <c r="V557" s="53"/>
      <c r="W557" s="54"/>
      <c r="X557" s="65" t="s">
        <v>242</v>
      </c>
      <c r="Y557" s="65">
        <f t="shared" ca="1" si="86"/>
        <v>1</v>
      </c>
      <c r="Z557" s="3">
        <f t="shared" ca="1" si="87"/>
        <v>5.2541281810233653E-2</v>
      </c>
      <c r="AA557" s="6">
        <f t="shared" ca="1" si="88"/>
        <v>72340.820535248611</v>
      </c>
      <c r="AB557" s="6">
        <f t="shared" ca="1" si="89"/>
        <v>1003.5517155413653</v>
      </c>
    </row>
    <row r="558" spans="1:28" x14ac:dyDescent="0.3">
      <c r="A558" s="53"/>
      <c r="B558" s="54"/>
      <c r="C558" s="65" t="s">
        <v>242</v>
      </c>
      <c r="D558" s="65">
        <f t="shared" ca="1" si="82"/>
        <v>4</v>
      </c>
      <c r="E558" s="3">
        <f t="shared" ca="1" si="83"/>
        <v>0.1629996857160948</v>
      </c>
      <c r="F558" s="6">
        <f t="shared" ca="1" si="84"/>
        <v>18457.027410173298</v>
      </c>
      <c r="G558" s="6">
        <f t="shared" ca="1" si="85"/>
        <v>1251.7588307388364</v>
      </c>
      <c r="V558" s="53"/>
      <c r="W558" s="54"/>
      <c r="X558" s="65" t="s">
        <v>242</v>
      </c>
      <c r="Y558" s="65">
        <f t="shared" ca="1" si="86"/>
        <v>3</v>
      </c>
      <c r="Z558" s="3">
        <f t="shared" ca="1" si="87"/>
        <v>0.21405101211797983</v>
      </c>
      <c r="AA558" s="6">
        <f t="shared" ca="1" si="88"/>
        <v>188066.85013227089</v>
      </c>
      <c r="AB558" s="6">
        <f t="shared" ca="1" si="89"/>
        <v>421.22208092959789</v>
      </c>
    </row>
    <row r="559" spans="1:28" x14ac:dyDescent="0.3">
      <c r="A559" s="53"/>
      <c r="B559" s="54"/>
      <c r="C559" s="65" t="s">
        <v>242</v>
      </c>
      <c r="D559" s="65">
        <f t="shared" ca="1" si="82"/>
        <v>1</v>
      </c>
      <c r="E559" s="3">
        <f t="shared" ca="1" si="83"/>
        <v>0.44719332677171975</v>
      </c>
      <c r="F559" s="6">
        <f t="shared" ca="1" si="84"/>
        <v>151395.48058260427</v>
      </c>
      <c r="G559" s="6">
        <f t="shared" ca="1" si="85"/>
        <v>1074.9441560032449</v>
      </c>
      <c r="V559" s="53"/>
      <c r="W559" s="54"/>
      <c r="X559" s="65" t="s">
        <v>242</v>
      </c>
      <c r="Y559" s="65">
        <f t="shared" ca="1" si="86"/>
        <v>1</v>
      </c>
      <c r="Z559" s="3">
        <f t="shared" ca="1" si="87"/>
        <v>0.41517570668329651</v>
      </c>
      <c r="AA559" s="6">
        <f t="shared" ca="1" si="88"/>
        <v>82801.958721820993</v>
      </c>
      <c r="AB559" s="6">
        <f t="shared" ca="1" si="89"/>
        <v>1454.3107122679885</v>
      </c>
    </row>
    <row r="560" spans="1:28" x14ac:dyDescent="0.3">
      <c r="A560" s="53"/>
      <c r="B560" s="54"/>
      <c r="C560" s="65" t="s">
        <v>219</v>
      </c>
      <c r="D560" s="65">
        <f t="shared" ca="1" si="82"/>
        <v>1</v>
      </c>
      <c r="E560" s="3">
        <f t="shared" ca="1" si="83"/>
        <v>0.49885117643594457</v>
      </c>
      <c r="F560" s="6">
        <f t="shared" ca="1" si="84"/>
        <v>59234.430437131661</v>
      </c>
      <c r="G560" s="6">
        <f t="shared" ca="1" si="85"/>
        <v>1056.4808909397645</v>
      </c>
      <c r="V560" s="53"/>
      <c r="W560" s="54"/>
      <c r="X560" s="65" t="s">
        <v>219</v>
      </c>
      <c r="Y560" s="65">
        <f t="shared" ca="1" si="86"/>
        <v>4</v>
      </c>
      <c r="Z560" s="3">
        <f t="shared" ca="1" si="87"/>
        <v>0.62459340063248381</v>
      </c>
      <c r="AA560" s="6">
        <f t="shared" ca="1" si="88"/>
        <v>67877.75587554017</v>
      </c>
      <c r="AB560" s="6">
        <f t="shared" ca="1" si="89"/>
        <v>1548.0811522232248</v>
      </c>
    </row>
    <row r="561" spans="1:28" x14ac:dyDescent="0.3">
      <c r="A561" s="53"/>
      <c r="B561" s="54"/>
      <c r="C561" s="65" t="s">
        <v>242</v>
      </c>
      <c r="D561" s="65">
        <f t="shared" ca="1" si="82"/>
        <v>4</v>
      </c>
      <c r="E561" s="3">
        <f t="shared" ca="1" si="83"/>
        <v>0.32608672992069543</v>
      </c>
      <c r="F561" s="6">
        <f t="shared" ca="1" si="84"/>
        <v>8110.3075968261383</v>
      </c>
      <c r="G561" s="6">
        <f t="shared" ca="1" si="85"/>
        <v>1583.9579486056075</v>
      </c>
      <c r="V561" s="53"/>
      <c r="W561" s="54"/>
      <c r="X561" s="65" t="s">
        <v>242</v>
      </c>
      <c r="Y561" s="65">
        <f t="shared" ca="1" si="86"/>
        <v>1</v>
      </c>
      <c r="Z561" s="3">
        <f t="shared" ca="1" si="87"/>
        <v>0.80110802711032303</v>
      </c>
      <c r="AA561" s="6">
        <f t="shared" ca="1" si="88"/>
        <v>166531.69807217023</v>
      </c>
      <c r="AB561" s="6">
        <f t="shared" ca="1" si="89"/>
        <v>1486.1628170757785</v>
      </c>
    </row>
    <row r="562" spans="1:28" x14ac:dyDescent="0.3">
      <c r="A562" s="53"/>
      <c r="B562" s="54"/>
      <c r="C562" s="65" t="s">
        <v>242</v>
      </c>
      <c r="D562" s="65">
        <f t="shared" ca="1" si="82"/>
        <v>2</v>
      </c>
      <c r="E562" s="3">
        <f t="shared" ca="1" si="83"/>
        <v>0.28704613193692252</v>
      </c>
      <c r="F562" s="6">
        <f t="shared" ca="1" si="84"/>
        <v>175928.44805439096</v>
      </c>
      <c r="G562" s="6">
        <f t="shared" ca="1" si="85"/>
        <v>354.2407232977165</v>
      </c>
      <c r="V562" s="53"/>
      <c r="W562" s="54"/>
      <c r="X562" s="65" t="s">
        <v>242</v>
      </c>
      <c r="Y562" s="65">
        <f t="shared" ca="1" si="86"/>
        <v>1</v>
      </c>
      <c r="Z562" s="3">
        <f t="shared" ca="1" si="87"/>
        <v>0.29500137125762294</v>
      </c>
      <c r="AA562" s="6">
        <f t="shared" ca="1" si="88"/>
        <v>162534.31596205759</v>
      </c>
      <c r="AB562" s="6">
        <f t="shared" ca="1" si="89"/>
        <v>1851.6194311036011</v>
      </c>
    </row>
    <row r="563" spans="1:28" x14ac:dyDescent="0.3">
      <c r="A563" s="53"/>
      <c r="B563" s="54"/>
      <c r="C563" s="65" t="s">
        <v>242</v>
      </c>
      <c r="D563" s="65">
        <f t="shared" ca="1" si="82"/>
        <v>4</v>
      </c>
      <c r="E563" s="3">
        <f t="shared" ca="1" si="83"/>
        <v>0.6818315231628761</v>
      </c>
      <c r="F563" s="6">
        <f t="shared" ca="1" si="84"/>
        <v>169267.43267658711</v>
      </c>
      <c r="G563" s="6">
        <f t="shared" ca="1" si="85"/>
        <v>364.49701199522286</v>
      </c>
      <c r="V563" s="53"/>
      <c r="W563" s="54"/>
      <c r="X563" s="65" t="s">
        <v>242</v>
      </c>
      <c r="Y563" s="65">
        <f t="shared" ca="1" si="86"/>
        <v>2</v>
      </c>
      <c r="Z563" s="3">
        <f t="shared" ca="1" si="87"/>
        <v>0.45667379475376524</v>
      </c>
      <c r="AA563" s="6">
        <f t="shared" ca="1" si="88"/>
        <v>132476.57821109056</v>
      </c>
      <c r="AB563" s="6">
        <f t="shared" ca="1" si="89"/>
        <v>67.494820214672785</v>
      </c>
    </row>
    <row r="564" spans="1:28" x14ac:dyDescent="0.3">
      <c r="A564" s="53"/>
      <c r="B564" s="54"/>
      <c r="C564" s="65" t="s">
        <v>242</v>
      </c>
      <c r="D564" s="65">
        <f t="shared" ca="1" si="82"/>
        <v>2</v>
      </c>
      <c r="E564" s="3">
        <f t="shared" ca="1" si="83"/>
        <v>0.90138262989654927</v>
      </c>
      <c r="F564" s="6">
        <f t="shared" ca="1" si="84"/>
        <v>192631.26515413733</v>
      </c>
      <c r="G564" s="6">
        <f t="shared" ca="1" si="85"/>
        <v>1415.6236310743345</v>
      </c>
      <c r="V564" s="53"/>
      <c r="W564" s="54"/>
      <c r="X564" s="65" t="s">
        <v>242</v>
      </c>
      <c r="Y564" s="65">
        <f t="shared" ca="1" si="86"/>
        <v>1</v>
      </c>
      <c r="Z564" s="3">
        <f t="shared" ca="1" si="87"/>
        <v>0.75322803361519441</v>
      </c>
      <c r="AA564" s="6">
        <f t="shared" ca="1" si="88"/>
        <v>101272.77558188683</v>
      </c>
      <c r="AB564" s="6">
        <f t="shared" ca="1" si="89"/>
        <v>664.28702777790579</v>
      </c>
    </row>
    <row r="565" spans="1:28" x14ac:dyDescent="0.3">
      <c r="A565" s="53"/>
      <c r="B565" s="54"/>
      <c r="C565" s="65" t="s">
        <v>242</v>
      </c>
      <c r="D565" s="65">
        <f t="shared" ca="1" si="82"/>
        <v>2</v>
      </c>
      <c r="E565" s="3">
        <f t="shared" ca="1" si="83"/>
        <v>0.67049569575799839</v>
      </c>
      <c r="F565" s="6">
        <f t="shared" ca="1" si="84"/>
        <v>70014.440708062641</v>
      </c>
      <c r="G565" s="6">
        <f t="shared" ca="1" si="85"/>
        <v>1122.6178128203721</v>
      </c>
      <c r="V565" s="53"/>
      <c r="W565" s="54"/>
      <c r="X565" s="65" t="s">
        <v>242</v>
      </c>
      <c r="Y565" s="65">
        <f t="shared" ca="1" si="86"/>
        <v>4</v>
      </c>
      <c r="Z565" s="3">
        <f t="shared" ca="1" si="87"/>
        <v>0.11178231583283338</v>
      </c>
      <c r="AA565" s="6">
        <f t="shared" ca="1" si="88"/>
        <v>64499.585131306201</v>
      </c>
      <c r="AB565" s="6">
        <f t="shared" ca="1" si="89"/>
        <v>256.48480699152708</v>
      </c>
    </row>
    <row r="566" spans="1:28" x14ac:dyDescent="0.3">
      <c r="A566" s="53"/>
      <c r="B566" s="54"/>
      <c r="C566" s="65" t="s">
        <v>242</v>
      </c>
      <c r="D566" s="65">
        <f t="shared" ca="1" si="82"/>
        <v>3</v>
      </c>
      <c r="E566" s="3">
        <f t="shared" ca="1" si="83"/>
        <v>0.53946076744760962</v>
      </c>
      <c r="F566" s="6">
        <f t="shared" ca="1" si="84"/>
        <v>69204.663027690636</v>
      </c>
      <c r="G566" s="6">
        <f t="shared" ca="1" si="85"/>
        <v>1871.0803824216969</v>
      </c>
      <c r="V566" s="53"/>
      <c r="W566" s="54"/>
      <c r="X566" s="65" t="s">
        <v>242</v>
      </c>
      <c r="Y566" s="65">
        <f t="shared" ca="1" si="86"/>
        <v>2</v>
      </c>
      <c r="Z566" s="3">
        <f t="shared" ca="1" si="87"/>
        <v>0.1311910387831926</v>
      </c>
      <c r="AA566" s="6">
        <f t="shared" ca="1" si="88"/>
        <v>56013.497124512622</v>
      </c>
      <c r="AB566" s="6">
        <f t="shared" ca="1" si="89"/>
        <v>1676.4663019584311</v>
      </c>
    </row>
    <row r="567" spans="1:28" x14ac:dyDescent="0.3">
      <c r="A567" s="53"/>
      <c r="B567" s="54"/>
      <c r="C567" s="65" t="s">
        <v>242</v>
      </c>
      <c r="D567" s="65">
        <f t="shared" ca="1" si="82"/>
        <v>4</v>
      </c>
      <c r="E567" s="3">
        <f t="shared" ca="1" si="83"/>
        <v>0.41824951873033045</v>
      </c>
      <c r="F567" s="6">
        <f t="shared" ca="1" si="84"/>
        <v>69862.24970671293</v>
      </c>
      <c r="G567" s="6">
        <f t="shared" ca="1" si="85"/>
        <v>32.734330374465827</v>
      </c>
      <c r="V567" s="53"/>
      <c r="W567" s="54"/>
      <c r="X567" s="65" t="s">
        <v>242</v>
      </c>
      <c r="Y567" s="65">
        <f t="shared" ca="1" si="86"/>
        <v>4</v>
      </c>
      <c r="Z567" s="3">
        <f t="shared" ca="1" si="87"/>
        <v>0.53792540628420515</v>
      </c>
      <c r="AA567" s="6">
        <f t="shared" ca="1" si="88"/>
        <v>39998.874250988003</v>
      </c>
      <c r="AB567" s="6">
        <f t="shared" ca="1" si="89"/>
        <v>1686.3561809632629</v>
      </c>
    </row>
    <row r="568" spans="1:28" x14ac:dyDescent="0.3">
      <c r="A568" s="53"/>
      <c r="B568" s="54"/>
      <c r="C568" s="65" t="s">
        <v>242</v>
      </c>
      <c r="D568" s="65">
        <f t="shared" ca="1" si="82"/>
        <v>3</v>
      </c>
      <c r="E568" s="3">
        <f t="shared" ca="1" si="83"/>
        <v>0.83999260963080158</v>
      </c>
      <c r="F568" s="6">
        <f t="shared" ca="1" si="84"/>
        <v>180956.65557089489</v>
      </c>
      <c r="G568" s="6">
        <f t="shared" ca="1" si="85"/>
        <v>1543.3345192412553</v>
      </c>
      <c r="V568" s="53"/>
      <c r="W568" s="54"/>
      <c r="X568" s="65" t="s">
        <v>242</v>
      </c>
      <c r="Y568" s="65">
        <f t="shared" ca="1" si="86"/>
        <v>3</v>
      </c>
      <c r="Z568" s="3">
        <f t="shared" ca="1" si="87"/>
        <v>0.83526658310671842</v>
      </c>
      <c r="AA568" s="6">
        <f t="shared" ca="1" si="88"/>
        <v>183640.00548168769</v>
      </c>
      <c r="AB568" s="6">
        <f t="shared" ca="1" si="89"/>
        <v>323.62292746670084</v>
      </c>
    </row>
    <row r="569" spans="1:28" x14ac:dyDescent="0.3">
      <c r="A569" s="53"/>
      <c r="B569" s="54"/>
      <c r="C569" s="65" t="s">
        <v>242</v>
      </c>
      <c r="D569" s="65">
        <f t="shared" ca="1" si="82"/>
        <v>4</v>
      </c>
      <c r="E569" s="3">
        <f t="shared" ca="1" si="83"/>
        <v>0.1276864981353838</v>
      </c>
      <c r="F569" s="6">
        <f t="shared" ca="1" si="84"/>
        <v>132956.80745137288</v>
      </c>
      <c r="G569" s="6">
        <f t="shared" ca="1" si="85"/>
        <v>94.03943623131461</v>
      </c>
      <c r="V569" s="53"/>
      <c r="W569" s="54"/>
      <c r="X569" s="65" t="s">
        <v>242</v>
      </c>
      <c r="Y569" s="65">
        <f t="shared" ca="1" si="86"/>
        <v>4</v>
      </c>
      <c r="Z569" s="3">
        <f t="shared" ca="1" si="87"/>
        <v>0.7641362235230541</v>
      </c>
      <c r="AA569" s="6">
        <f t="shared" ca="1" si="88"/>
        <v>184876.32890385267</v>
      </c>
      <c r="AB569" s="6">
        <f t="shared" ca="1" si="89"/>
        <v>618.05342481063531</v>
      </c>
    </row>
    <row r="570" spans="1:28" x14ac:dyDescent="0.3">
      <c r="A570" s="53"/>
      <c r="B570" s="54"/>
      <c r="C570" s="65" t="s">
        <v>242</v>
      </c>
      <c r="D570" s="65">
        <f t="shared" ca="1" si="82"/>
        <v>1</v>
      </c>
      <c r="E570" s="3">
        <f t="shared" ca="1" si="83"/>
        <v>0.30616908124157705</v>
      </c>
      <c r="F570" s="6">
        <f t="shared" ca="1" si="84"/>
        <v>139723.47519427529</v>
      </c>
      <c r="G570" s="6">
        <f t="shared" ca="1" si="85"/>
        <v>278.54961596332072</v>
      </c>
      <c r="V570" s="53"/>
      <c r="W570" s="54"/>
      <c r="X570" s="65" t="s">
        <v>242</v>
      </c>
      <c r="Y570" s="65">
        <f t="shared" ca="1" si="86"/>
        <v>2</v>
      </c>
      <c r="Z570" s="3">
        <f t="shared" ca="1" si="87"/>
        <v>1.0978633306147012E-2</v>
      </c>
      <c r="AA570" s="6">
        <f t="shared" ca="1" si="88"/>
        <v>154382.141996766</v>
      </c>
      <c r="AB570" s="6">
        <f t="shared" ca="1" si="89"/>
        <v>1555.0574291033829</v>
      </c>
    </row>
    <row r="571" spans="1:28" x14ac:dyDescent="0.3">
      <c r="A571" s="53"/>
      <c r="B571" s="54"/>
      <c r="C571" s="65" t="s">
        <v>242</v>
      </c>
      <c r="D571" s="65">
        <f t="shared" ca="1" si="82"/>
        <v>1</v>
      </c>
      <c r="E571" s="3">
        <f t="shared" ca="1" si="83"/>
        <v>0.44035562142433715</v>
      </c>
      <c r="F571" s="6">
        <f t="shared" ca="1" si="84"/>
        <v>84105.988996938773</v>
      </c>
      <c r="G571" s="6">
        <f t="shared" ca="1" si="85"/>
        <v>638.70424760207368</v>
      </c>
      <c r="V571" s="53"/>
      <c r="W571" s="54"/>
      <c r="X571" s="65" t="s">
        <v>242</v>
      </c>
      <c r="Y571" s="65">
        <f t="shared" ca="1" si="86"/>
        <v>1</v>
      </c>
      <c r="Z571" s="3">
        <f t="shared" ca="1" si="87"/>
        <v>0.71220960940964073</v>
      </c>
      <c r="AA571" s="6">
        <f t="shared" ca="1" si="88"/>
        <v>98750.034317184793</v>
      </c>
      <c r="AB571" s="6">
        <f t="shared" ca="1" si="89"/>
        <v>871.61547417883355</v>
      </c>
    </row>
    <row r="572" spans="1:28" x14ac:dyDescent="0.3">
      <c r="A572" s="53"/>
      <c r="B572" s="54"/>
      <c r="C572" s="65" t="s">
        <v>242</v>
      </c>
      <c r="D572" s="65">
        <f t="shared" ca="1" si="82"/>
        <v>3</v>
      </c>
      <c r="E572" s="3">
        <f t="shared" ca="1" si="83"/>
        <v>6.6260347409481279E-2</v>
      </c>
      <c r="F572" s="6">
        <f t="shared" ca="1" si="84"/>
        <v>38259.820599859704</v>
      </c>
      <c r="G572" s="6">
        <f t="shared" ca="1" si="85"/>
        <v>964.1450656538708</v>
      </c>
      <c r="V572" s="53"/>
      <c r="W572" s="54"/>
      <c r="X572" s="65" t="s">
        <v>242</v>
      </c>
      <c r="Y572" s="65">
        <f t="shared" ca="1" si="86"/>
        <v>1</v>
      </c>
      <c r="Z572" s="3">
        <f t="shared" ca="1" si="87"/>
        <v>0.70381788763671338</v>
      </c>
      <c r="AA572" s="6">
        <f t="shared" ca="1" si="88"/>
        <v>50621.201038967236</v>
      </c>
      <c r="AB572" s="6">
        <f t="shared" ca="1" si="89"/>
        <v>1942.780025031645</v>
      </c>
    </row>
    <row r="573" spans="1:28" x14ac:dyDescent="0.3">
      <c r="A573" s="53"/>
      <c r="B573" s="54"/>
      <c r="C573" s="65" t="s">
        <v>242</v>
      </c>
      <c r="D573" s="65">
        <f t="shared" ca="1" si="82"/>
        <v>1</v>
      </c>
      <c r="E573" s="3">
        <f t="shared" ca="1" si="83"/>
        <v>0.86753271659937714</v>
      </c>
      <c r="F573" s="6">
        <f t="shared" ca="1" si="84"/>
        <v>97348.491401365827</v>
      </c>
      <c r="G573" s="6">
        <f t="shared" ca="1" si="85"/>
        <v>385.6489276622155</v>
      </c>
      <c r="V573" s="53"/>
      <c r="W573" s="54"/>
      <c r="X573" s="65" t="s">
        <v>242</v>
      </c>
      <c r="Y573" s="65">
        <f t="shared" ca="1" si="86"/>
        <v>4</v>
      </c>
      <c r="Z573" s="3">
        <f t="shared" ca="1" si="87"/>
        <v>0.82842936732068051</v>
      </c>
      <c r="AA573" s="6">
        <f t="shared" ca="1" si="88"/>
        <v>101966.08909590823</v>
      </c>
      <c r="AB573" s="6">
        <f t="shared" ca="1" si="89"/>
        <v>859.1825597925091</v>
      </c>
    </row>
    <row r="574" spans="1:28" x14ac:dyDescent="0.3">
      <c r="A574" s="53"/>
      <c r="B574" s="54"/>
      <c r="C574" s="65" t="s">
        <v>242</v>
      </c>
      <c r="D574" s="65">
        <f t="shared" ca="1" si="82"/>
        <v>1</v>
      </c>
      <c r="E574" s="3">
        <f t="shared" ca="1" si="83"/>
        <v>0.7933902114775041</v>
      </c>
      <c r="F574" s="6">
        <f t="shared" ca="1" si="84"/>
        <v>191067.63930059664</v>
      </c>
      <c r="G574" s="6">
        <f t="shared" ca="1" si="85"/>
        <v>1429.8021177447449</v>
      </c>
      <c r="V574" s="53"/>
      <c r="W574" s="54"/>
      <c r="X574" s="65" t="s">
        <v>242</v>
      </c>
      <c r="Y574" s="65">
        <f t="shared" ca="1" si="86"/>
        <v>4</v>
      </c>
      <c r="Z574" s="3">
        <f t="shared" ca="1" si="87"/>
        <v>0.30666686268953569</v>
      </c>
      <c r="AA574" s="6">
        <f t="shared" ca="1" si="88"/>
        <v>67233.122932010607</v>
      </c>
      <c r="AB574" s="6">
        <f t="shared" ca="1" si="89"/>
        <v>1438.8048127245368</v>
      </c>
    </row>
    <row r="575" spans="1:28" x14ac:dyDescent="0.3">
      <c r="A575" s="53"/>
      <c r="B575" s="54"/>
      <c r="C575" s="65" t="s">
        <v>242</v>
      </c>
      <c r="D575" s="65">
        <f t="shared" ca="1" si="82"/>
        <v>3</v>
      </c>
      <c r="E575" s="3">
        <f t="shared" ca="1" si="83"/>
        <v>0.67588981624529632</v>
      </c>
      <c r="F575" s="6">
        <f t="shared" ca="1" si="84"/>
        <v>30618.923552594257</v>
      </c>
      <c r="G575" s="6">
        <f t="shared" ca="1" si="85"/>
        <v>705.74975037922138</v>
      </c>
      <c r="V575" s="53"/>
      <c r="W575" s="54"/>
      <c r="X575" s="65" t="s">
        <v>242</v>
      </c>
      <c r="Y575" s="65">
        <f t="shared" ca="1" si="86"/>
        <v>2</v>
      </c>
      <c r="Z575" s="3">
        <f t="shared" ca="1" si="87"/>
        <v>5.1285490273549228E-2</v>
      </c>
      <c r="AA575" s="6">
        <f t="shared" ca="1" si="88"/>
        <v>126162.64908041299</v>
      </c>
      <c r="AB575" s="6">
        <f t="shared" ca="1" si="89"/>
        <v>1327.1596388081794</v>
      </c>
    </row>
    <row r="576" spans="1:28" x14ac:dyDescent="0.3">
      <c r="A576" s="53"/>
      <c r="B576" s="54"/>
      <c r="C576" s="65" t="s">
        <v>242</v>
      </c>
      <c r="D576" s="65">
        <f t="shared" ca="1" si="82"/>
        <v>2</v>
      </c>
      <c r="E576" s="3">
        <f t="shared" ca="1" si="83"/>
        <v>7.9880087745916262E-2</v>
      </c>
      <c r="F576" s="6">
        <f t="shared" ca="1" si="84"/>
        <v>56233.560178937456</v>
      </c>
      <c r="G576" s="6">
        <f t="shared" ca="1" si="85"/>
        <v>1833.7389192501187</v>
      </c>
      <c r="V576" s="53"/>
      <c r="W576" s="54"/>
      <c r="X576" s="65" t="s">
        <v>242</v>
      </c>
      <c r="Y576" s="65">
        <f t="shared" ca="1" si="86"/>
        <v>4</v>
      </c>
      <c r="Z576" s="3">
        <f t="shared" ca="1" si="87"/>
        <v>0.52045782215234071</v>
      </c>
      <c r="AA576" s="6">
        <f t="shared" ca="1" si="88"/>
        <v>86772.200646044555</v>
      </c>
      <c r="AB576" s="6">
        <f t="shared" ca="1" si="89"/>
        <v>1503.4480000489991</v>
      </c>
    </row>
    <row r="577" spans="1:28" x14ac:dyDescent="0.3">
      <c r="A577" s="53"/>
      <c r="B577" s="54"/>
      <c r="C577" s="65" t="s">
        <v>242</v>
      </c>
      <c r="D577" s="65">
        <f t="shared" ca="1" si="82"/>
        <v>2</v>
      </c>
      <c r="E577" s="3">
        <f t="shared" ca="1" si="83"/>
        <v>0.35174725585769628</v>
      </c>
      <c r="F577" s="6">
        <f t="shared" ca="1" si="84"/>
        <v>141158.52388582958</v>
      </c>
      <c r="G577" s="6">
        <f t="shared" ca="1" si="85"/>
        <v>409.4765456503535</v>
      </c>
      <c r="V577" s="53"/>
      <c r="W577" s="54"/>
      <c r="X577" s="65" t="s">
        <v>242</v>
      </c>
      <c r="Y577" s="65">
        <f t="shared" ca="1" si="86"/>
        <v>3</v>
      </c>
      <c r="Z577" s="3">
        <f t="shared" ca="1" si="87"/>
        <v>9.3711878062815224E-2</v>
      </c>
      <c r="AA577" s="6">
        <f t="shared" ca="1" si="88"/>
        <v>77537.996602077605</v>
      </c>
      <c r="AB577" s="6">
        <f t="shared" ca="1" si="89"/>
        <v>156.88040936531067</v>
      </c>
    </row>
    <row r="578" spans="1:28" x14ac:dyDescent="0.3">
      <c r="A578" s="53"/>
      <c r="B578" s="54"/>
      <c r="C578" s="65" t="s">
        <v>242</v>
      </c>
      <c r="D578" s="65">
        <f t="shared" ca="1" si="82"/>
        <v>4</v>
      </c>
      <c r="E578" s="3">
        <f t="shared" ca="1" si="83"/>
        <v>0.57580897324075531</v>
      </c>
      <c r="F578" s="6">
        <f t="shared" ca="1" si="84"/>
        <v>98287.062148906305</v>
      </c>
      <c r="G578" s="6">
        <f t="shared" ca="1" si="85"/>
        <v>274.67910887138112</v>
      </c>
      <c r="V578" s="53"/>
      <c r="W578" s="54"/>
      <c r="X578" s="65" t="s">
        <v>242</v>
      </c>
      <c r="Y578" s="65">
        <f t="shared" ca="1" si="86"/>
        <v>4</v>
      </c>
      <c r="Z578" s="3">
        <f t="shared" ca="1" si="87"/>
        <v>0.3002569325881006</v>
      </c>
      <c r="AA578" s="6">
        <f t="shared" ca="1" si="88"/>
        <v>164426.53376010977</v>
      </c>
      <c r="AB578" s="6">
        <f t="shared" ca="1" si="89"/>
        <v>58.087999163462634</v>
      </c>
    </row>
    <row r="579" spans="1:28" x14ac:dyDescent="0.3">
      <c r="A579" s="53"/>
      <c r="B579" s="54"/>
      <c r="C579" s="65" t="s">
        <v>242</v>
      </c>
      <c r="D579" s="65">
        <f t="shared" ca="1" si="82"/>
        <v>4</v>
      </c>
      <c r="E579" s="3">
        <f t="shared" ca="1" si="83"/>
        <v>0.37491591646206346</v>
      </c>
      <c r="F579" s="6">
        <f t="shared" ca="1" si="84"/>
        <v>190335.57761116166</v>
      </c>
      <c r="G579" s="6">
        <f t="shared" ca="1" si="85"/>
        <v>381.58904569273955</v>
      </c>
      <c r="V579" s="53"/>
      <c r="W579" s="54"/>
      <c r="X579" s="65" t="s">
        <v>242</v>
      </c>
      <c r="Y579" s="65">
        <f t="shared" ca="1" si="86"/>
        <v>1</v>
      </c>
      <c r="Z579" s="3">
        <f t="shared" ca="1" si="87"/>
        <v>0.21733689993295768</v>
      </c>
      <c r="AA579" s="6">
        <f t="shared" ca="1" si="88"/>
        <v>131445.32123021499</v>
      </c>
      <c r="AB579" s="6">
        <f t="shared" ca="1" si="89"/>
        <v>683.01393378921068</v>
      </c>
    </row>
    <row r="580" spans="1:28" x14ac:dyDescent="0.3">
      <c r="A580" s="53"/>
      <c r="B580" s="54"/>
      <c r="C580" s="65" t="s">
        <v>242</v>
      </c>
      <c r="D580" s="65">
        <f t="shared" ca="1" si="82"/>
        <v>4</v>
      </c>
      <c r="E580" s="3">
        <f t="shared" ca="1" si="83"/>
        <v>0.3149375723016703</v>
      </c>
      <c r="F580" s="6">
        <f t="shared" ca="1" si="84"/>
        <v>119699.65609352209</v>
      </c>
      <c r="G580" s="6">
        <f t="shared" ca="1" si="85"/>
        <v>1814.3622361711139</v>
      </c>
      <c r="V580" s="53"/>
      <c r="W580" s="54"/>
      <c r="X580" s="65" t="s">
        <v>242</v>
      </c>
      <c r="Y580" s="65">
        <f t="shared" ca="1" si="86"/>
        <v>3</v>
      </c>
      <c r="Z580" s="3">
        <f t="shared" ca="1" si="87"/>
        <v>0.26247347304138413</v>
      </c>
      <c r="AA580" s="6">
        <f t="shared" ca="1" si="88"/>
        <v>173696.80134533113</v>
      </c>
      <c r="AB580" s="6">
        <f t="shared" ca="1" si="89"/>
        <v>1413.636199473201</v>
      </c>
    </row>
    <row r="581" spans="1:28" x14ac:dyDescent="0.3">
      <c r="A581" s="53"/>
      <c r="B581" s="54"/>
      <c r="C581" s="65" t="s">
        <v>242</v>
      </c>
      <c r="D581" s="65">
        <f t="shared" ca="1" si="82"/>
        <v>3</v>
      </c>
      <c r="E581" s="3">
        <f t="shared" ca="1" si="83"/>
        <v>4.4698763843870948E-2</v>
      </c>
      <c r="F581" s="6">
        <f t="shared" ca="1" si="84"/>
        <v>130426.88480945605</v>
      </c>
      <c r="G581" s="6">
        <f t="shared" ca="1" si="85"/>
        <v>1831.233412553825</v>
      </c>
      <c r="V581" s="53"/>
      <c r="W581" s="54"/>
      <c r="X581" s="65" t="s">
        <v>242</v>
      </c>
      <c r="Y581" s="65">
        <f t="shared" ca="1" si="86"/>
        <v>2</v>
      </c>
      <c r="Z581" s="3">
        <f t="shared" ca="1" si="87"/>
        <v>0.74402297293341724</v>
      </c>
      <c r="AA581" s="6">
        <f t="shared" ca="1" si="88"/>
        <v>183434.39847352865</v>
      </c>
      <c r="AB581" s="6">
        <f t="shared" ca="1" si="89"/>
        <v>490.93621578775259</v>
      </c>
    </row>
    <row r="582" spans="1:28" x14ac:dyDescent="0.3">
      <c r="A582" s="53"/>
      <c r="B582" s="54"/>
      <c r="C582" s="65" t="s">
        <v>242</v>
      </c>
      <c r="D582" s="65">
        <f t="shared" ca="1" si="82"/>
        <v>3</v>
      </c>
      <c r="E582" s="3">
        <f t="shared" ca="1" si="83"/>
        <v>0.45072379396710427</v>
      </c>
      <c r="F582" s="6">
        <f t="shared" ca="1" si="84"/>
        <v>20951.925512046786</v>
      </c>
      <c r="G582" s="6">
        <f t="shared" ca="1" si="85"/>
        <v>24.950902552046017</v>
      </c>
      <c r="V582" s="53"/>
      <c r="W582" s="54"/>
      <c r="X582" s="65" t="s">
        <v>242</v>
      </c>
      <c r="Y582" s="65">
        <f t="shared" ca="1" si="86"/>
        <v>2</v>
      </c>
      <c r="Z582" s="3">
        <f t="shared" ca="1" si="87"/>
        <v>0.36977953902858396</v>
      </c>
      <c r="AA582" s="6">
        <f t="shared" ca="1" si="88"/>
        <v>186412.14972295309</v>
      </c>
      <c r="AB582" s="6">
        <f t="shared" ca="1" si="89"/>
        <v>1858.9522829724435</v>
      </c>
    </row>
    <row r="583" spans="1:28" x14ac:dyDescent="0.3">
      <c r="A583" s="53"/>
      <c r="B583" s="54"/>
      <c r="C583" s="65" t="s">
        <v>242</v>
      </c>
      <c r="D583" s="65">
        <f t="shared" ca="1" si="82"/>
        <v>2</v>
      </c>
      <c r="E583" s="3">
        <f t="shared" ca="1" si="83"/>
        <v>0.58860513204545295</v>
      </c>
      <c r="F583" s="6">
        <f t="shared" ca="1" si="84"/>
        <v>62338.553974944924</v>
      </c>
      <c r="G583" s="6">
        <f t="shared" ca="1" si="85"/>
        <v>1593.3991873754555</v>
      </c>
      <c r="V583" s="53"/>
      <c r="W583" s="54"/>
      <c r="X583" s="65" t="s">
        <v>242</v>
      </c>
      <c r="Y583" s="65">
        <f t="shared" ca="1" si="86"/>
        <v>4</v>
      </c>
      <c r="Z583" s="3">
        <f t="shared" ca="1" si="87"/>
        <v>7.5495795908739449E-2</v>
      </c>
      <c r="AA583" s="6">
        <f t="shared" ca="1" si="88"/>
        <v>31682.188130303479</v>
      </c>
      <c r="AB583" s="6">
        <f t="shared" ca="1" si="89"/>
        <v>329.65399684714794</v>
      </c>
    </row>
    <row r="584" spans="1:28" x14ac:dyDescent="0.3">
      <c r="A584" s="53"/>
      <c r="B584" s="54"/>
      <c r="C584" s="65" t="s">
        <v>242</v>
      </c>
      <c r="D584" s="65">
        <f t="shared" ca="1" si="82"/>
        <v>2</v>
      </c>
      <c r="E584" s="3">
        <f t="shared" ca="1" si="83"/>
        <v>0.98070212128291567</v>
      </c>
      <c r="F584" s="6">
        <f t="shared" ca="1" si="84"/>
        <v>63366.088678842767</v>
      </c>
      <c r="G584" s="6">
        <f t="shared" ca="1" si="85"/>
        <v>477.41418439673055</v>
      </c>
      <c r="V584" s="53"/>
      <c r="W584" s="54"/>
      <c r="X584" s="65" t="s">
        <v>242</v>
      </c>
      <c r="Y584" s="65">
        <f t="shared" ca="1" si="86"/>
        <v>2</v>
      </c>
      <c r="Z584" s="3">
        <f t="shared" ca="1" si="87"/>
        <v>0.27592503865396545</v>
      </c>
      <c r="AA584" s="6">
        <f t="shared" ca="1" si="88"/>
        <v>161423.73357098814</v>
      </c>
      <c r="AB584" s="6">
        <f t="shared" ca="1" si="89"/>
        <v>628.23683770623279</v>
      </c>
    </row>
    <row r="585" spans="1:28" x14ac:dyDescent="0.3">
      <c r="A585" s="53"/>
      <c r="B585" s="54"/>
      <c r="C585" s="65" t="s">
        <v>242</v>
      </c>
      <c r="D585" s="65">
        <f t="shared" ca="1" si="82"/>
        <v>3</v>
      </c>
      <c r="E585" s="3">
        <f t="shared" ca="1" si="83"/>
        <v>0.79974349645069265</v>
      </c>
      <c r="F585" s="6">
        <f t="shared" ca="1" si="84"/>
        <v>61794.532848941875</v>
      </c>
      <c r="G585" s="6">
        <f t="shared" ca="1" si="85"/>
        <v>262.43333367478863</v>
      </c>
      <c r="V585" s="53"/>
      <c r="W585" s="54"/>
      <c r="X585" s="65" t="s">
        <v>242</v>
      </c>
      <c r="Y585" s="65">
        <f t="shared" ca="1" si="86"/>
        <v>2</v>
      </c>
      <c r="Z585" s="3">
        <f t="shared" ca="1" si="87"/>
        <v>0.97065152574197733</v>
      </c>
      <c r="AA585" s="6">
        <f t="shared" ca="1" si="88"/>
        <v>56391.0289313744</v>
      </c>
      <c r="AB585" s="6">
        <f t="shared" ca="1" si="89"/>
        <v>1016.7699928249867</v>
      </c>
    </row>
    <row r="586" spans="1:28" x14ac:dyDescent="0.3">
      <c r="A586" s="53"/>
      <c r="B586" s="54"/>
      <c r="C586" s="65" t="s">
        <v>242</v>
      </c>
      <c r="D586" s="65">
        <f t="shared" ca="1" si="82"/>
        <v>1</v>
      </c>
      <c r="E586" s="3">
        <f t="shared" ca="1" si="83"/>
        <v>1.599735014141046E-2</v>
      </c>
      <c r="F586" s="6">
        <f t="shared" ca="1" si="84"/>
        <v>62157.401580401885</v>
      </c>
      <c r="G586" s="6">
        <f t="shared" ca="1" si="85"/>
        <v>178.17740286307782</v>
      </c>
      <c r="V586" s="53"/>
      <c r="W586" s="54"/>
      <c r="X586" s="65" t="s">
        <v>242</v>
      </c>
      <c r="Y586" s="65">
        <f t="shared" ca="1" si="86"/>
        <v>4</v>
      </c>
      <c r="Z586" s="3">
        <f t="shared" ca="1" si="87"/>
        <v>0.73419896190463607</v>
      </c>
      <c r="AA586" s="6">
        <f t="shared" ca="1" si="88"/>
        <v>126830.923787445</v>
      </c>
      <c r="AB586" s="6">
        <f t="shared" ca="1" si="89"/>
        <v>953.85072015305263</v>
      </c>
    </row>
    <row r="587" spans="1:28" x14ac:dyDescent="0.3">
      <c r="A587" s="53"/>
      <c r="B587" s="54"/>
      <c r="C587" s="65" t="s">
        <v>242</v>
      </c>
      <c r="D587" s="65">
        <f t="shared" ca="1" si="82"/>
        <v>2</v>
      </c>
      <c r="E587" s="3">
        <f t="shared" ca="1" si="83"/>
        <v>0.49441856311925181</v>
      </c>
      <c r="F587" s="6">
        <f t="shared" ca="1" si="84"/>
        <v>30854.234355336364</v>
      </c>
      <c r="G587" s="6">
        <f t="shared" ca="1" si="85"/>
        <v>1251.9468908621411</v>
      </c>
      <c r="V587" s="53"/>
      <c r="W587" s="54"/>
      <c r="X587" s="65" t="s">
        <v>242</v>
      </c>
      <c r="Y587" s="65">
        <f t="shared" ca="1" si="86"/>
        <v>1</v>
      </c>
      <c r="Z587" s="3">
        <f t="shared" ca="1" si="87"/>
        <v>0.84392219334521901</v>
      </c>
      <c r="AA587" s="6">
        <f t="shared" ca="1" si="88"/>
        <v>40129.767756860456</v>
      </c>
      <c r="AB587" s="6">
        <f t="shared" ca="1" si="89"/>
        <v>1665.3188412410784</v>
      </c>
    </row>
    <row r="588" spans="1:28" x14ac:dyDescent="0.3">
      <c r="A588" s="53"/>
      <c r="B588" s="54"/>
      <c r="C588" s="65" t="s">
        <v>242</v>
      </c>
      <c r="D588" s="65">
        <f t="shared" ca="1" si="82"/>
        <v>2</v>
      </c>
      <c r="E588" s="3">
        <f t="shared" ca="1" si="83"/>
        <v>5.0462912146376437E-2</v>
      </c>
      <c r="F588" s="6">
        <f t="shared" ca="1" si="84"/>
        <v>134612.20378699855</v>
      </c>
      <c r="G588" s="6">
        <f t="shared" ca="1" si="85"/>
        <v>1216.739063790048</v>
      </c>
      <c r="V588" s="53"/>
      <c r="W588" s="54"/>
      <c r="X588" s="65" t="s">
        <v>242</v>
      </c>
      <c r="Y588" s="65">
        <f t="shared" ca="1" si="86"/>
        <v>2</v>
      </c>
      <c r="Z588" s="3">
        <f t="shared" ca="1" si="87"/>
        <v>0.1667957466159582</v>
      </c>
      <c r="AA588" s="6">
        <f t="shared" ca="1" si="88"/>
        <v>3934.6167486124182</v>
      </c>
      <c r="AB588" s="6">
        <f t="shared" ca="1" si="89"/>
        <v>736.9000206514196</v>
      </c>
    </row>
    <row r="589" spans="1:28" x14ac:dyDescent="0.3">
      <c r="A589" s="53"/>
      <c r="B589" s="54"/>
      <c r="C589" s="65" t="s">
        <v>242</v>
      </c>
      <c r="D589" s="65">
        <f t="shared" ref="D589:D652" ca="1" si="90">INT(RAND()*4)+1</f>
        <v>1</v>
      </c>
      <c r="E589" s="3">
        <f t="shared" ref="E589:E652" ca="1" si="91">RAND()</f>
        <v>0.55005348858901726</v>
      </c>
      <c r="F589" s="6">
        <f t="shared" ref="F589:F652" ca="1" si="92">RAND()*200000</f>
        <v>66080.145792341093</v>
      </c>
      <c r="G589" s="6">
        <f t="shared" ref="G589:G652" ca="1" si="93">RAND()*2000</f>
        <v>1972.7092275918687</v>
      </c>
      <c r="V589" s="53"/>
      <c r="W589" s="54"/>
      <c r="X589" s="65" t="s">
        <v>242</v>
      </c>
      <c r="Y589" s="65">
        <f t="shared" ref="Y589:Y652" ca="1" si="94">INT(RAND()*4)+1</f>
        <v>2</v>
      </c>
      <c r="Z589" s="3">
        <f t="shared" ref="Z589:Z652" ca="1" si="95">RAND()</f>
        <v>0.48829560497702673</v>
      </c>
      <c r="AA589" s="6">
        <f t="shared" ref="AA589:AA652" ca="1" si="96">RAND()*200000</f>
        <v>61187.445200487375</v>
      </c>
      <c r="AB589" s="6">
        <f t="shared" ref="AB589:AB652" ca="1" si="97">RAND()*2000</f>
        <v>1376.0720710772662</v>
      </c>
    </row>
    <row r="590" spans="1:28" x14ac:dyDescent="0.3">
      <c r="A590" s="53"/>
      <c r="B590" s="54"/>
      <c r="C590" s="65" t="s">
        <v>242</v>
      </c>
      <c r="D590" s="65">
        <f t="shared" ca="1" si="90"/>
        <v>3</v>
      </c>
      <c r="E590" s="3">
        <f t="shared" ca="1" si="91"/>
        <v>0.73688650042862724</v>
      </c>
      <c r="F590" s="6">
        <f t="shared" ca="1" si="92"/>
        <v>15227.944607504251</v>
      </c>
      <c r="G590" s="6">
        <f t="shared" ca="1" si="93"/>
        <v>1196.830746412011</v>
      </c>
      <c r="V590" s="53"/>
      <c r="W590" s="54"/>
      <c r="X590" s="65" t="s">
        <v>242</v>
      </c>
      <c r="Y590" s="65">
        <f t="shared" ca="1" si="94"/>
        <v>3</v>
      </c>
      <c r="Z590" s="3">
        <f t="shared" ca="1" si="95"/>
        <v>0.68488449311145094</v>
      </c>
      <c r="AA590" s="6">
        <f t="shared" ca="1" si="96"/>
        <v>156714.56612537161</v>
      </c>
      <c r="AB590" s="6">
        <f t="shared" ca="1" si="97"/>
        <v>401.92084624185509</v>
      </c>
    </row>
    <row r="591" spans="1:28" x14ac:dyDescent="0.3">
      <c r="A591" s="53"/>
      <c r="B591" s="54"/>
      <c r="C591" s="65" t="s">
        <v>242</v>
      </c>
      <c r="D591" s="65">
        <f t="shared" ca="1" si="90"/>
        <v>3</v>
      </c>
      <c r="E591" s="3">
        <f t="shared" ca="1" si="91"/>
        <v>0.19207899222956581</v>
      </c>
      <c r="F591" s="6">
        <f t="shared" ca="1" si="92"/>
        <v>15249.68604293735</v>
      </c>
      <c r="G591" s="6">
        <f t="shared" ca="1" si="93"/>
        <v>1886.8291436488371</v>
      </c>
      <c r="V591" s="53"/>
      <c r="W591" s="54"/>
      <c r="X591" s="65" t="s">
        <v>242</v>
      </c>
      <c r="Y591" s="65">
        <f t="shared" ca="1" si="94"/>
        <v>3</v>
      </c>
      <c r="Z591" s="3">
        <f t="shared" ca="1" si="95"/>
        <v>0.82938670741619969</v>
      </c>
      <c r="AA591" s="6">
        <f t="shared" ca="1" si="96"/>
        <v>124642.92010331522</v>
      </c>
      <c r="AB591" s="6">
        <f t="shared" ca="1" si="97"/>
        <v>1540.6421102681859</v>
      </c>
    </row>
    <row r="592" spans="1:28" x14ac:dyDescent="0.3">
      <c r="A592" s="53"/>
      <c r="B592" s="54"/>
      <c r="C592" s="65" t="s">
        <v>242</v>
      </c>
      <c r="D592" s="65">
        <f t="shared" ca="1" si="90"/>
        <v>2</v>
      </c>
      <c r="E592" s="3">
        <f t="shared" ca="1" si="91"/>
        <v>0.51224515632051115</v>
      </c>
      <c r="F592" s="6">
        <f t="shared" ca="1" si="92"/>
        <v>42766.019206528625</v>
      </c>
      <c r="G592" s="6">
        <f t="shared" ca="1" si="93"/>
        <v>1110.7488924133283</v>
      </c>
      <c r="V592" s="53"/>
      <c r="W592" s="54"/>
      <c r="X592" s="65" t="s">
        <v>242</v>
      </c>
      <c r="Y592" s="65">
        <f t="shared" ca="1" si="94"/>
        <v>3</v>
      </c>
      <c r="Z592" s="3">
        <f t="shared" ca="1" si="95"/>
        <v>0.991588398781035</v>
      </c>
      <c r="AA592" s="6">
        <f t="shared" ca="1" si="96"/>
        <v>47775.280334778581</v>
      </c>
      <c r="AB592" s="6">
        <f t="shared" ca="1" si="97"/>
        <v>809.33477080281807</v>
      </c>
    </row>
    <row r="593" spans="1:28" x14ac:dyDescent="0.3">
      <c r="A593" s="53"/>
      <c r="B593" s="54"/>
      <c r="C593" s="65" t="s">
        <v>242</v>
      </c>
      <c r="D593" s="65">
        <f t="shared" ca="1" si="90"/>
        <v>2</v>
      </c>
      <c r="E593" s="3">
        <f t="shared" ca="1" si="91"/>
        <v>0.17473906710964682</v>
      </c>
      <c r="F593" s="6">
        <f t="shared" ca="1" si="92"/>
        <v>69828.029276721354</v>
      </c>
      <c r="G593" s="6">
        <f t="shared" ca="1" si="93"/>
        <v>796.85022442185516</v>
      </c>
      <c r="V593" s="53"/>
      <c r="W593" s="54"/>
      <c r="X593" s="65" t="s">
        <v>242</v>
      </c>
      <c r="Y593" s="65">
        <f t="shared" ca="1" si="94"/>
        <v>4</v>
      </c>
      <c r="Z593" s="3">
        <f t="shared" ca="1" si="95"/>
        <v>0.71433681061599119</v>
      </c>
      <c r="AA593" s="6">
        <f t="shared" ca="1" si="96"/>
        <v>152399.41669294029</v>
      </c>
      <c r="AB593" s="6">
        <f t="shared" ca="1" si="97"/>
        <v>1761.838341587179</v>
      </c>
    </row>
    <row r="594" spans="1:28" x14ac:dyDescent="0.3">
      <c r="A594" s="53"/>
      <c r="B594" s="54"/>
      <c r="C594" s="65" t="s">
        <v>219</v>
      </c>
      <c r="D594" s="65">
        <f t="shared" ca="1" si="90"/>
        <v>1</v>
      </c>
      <c r="E594" s="3">
        <f t="shared" ca="1" si="91"/>
        <v>0.52528933080254636</v>
      </c>
      <c r="F594" s="6">
        <f t="shared" ca="1" si="92"/>
        <v>55092.226846646256</v>
      </c>
      <c r="G594" s="6">
        <f t="shared" ca="1" si="93"/>
        <v>1783.4815462417705</v>
      </c>
      <c r="V594" s="53"/>
      <c r="W594" s="54"/>
      <c r="X594" s="65" t="s">
        <v>219</v>
      </c>
      <c r="Y594" s="65">
        <f t="shared" ca="1" si="94"/>
        <v>4</v>
      </c>
      <c r="Z594" s="3">
        <f t="shared" ca="1" si="95"/>
        <v>0.86502082303632344</v>
      </c>
      <c r="AA594" s="6">
        <f t="shared" ca="1" si="96"/>
        <v>104996.24538915613</v>
      </c>
      <c r="AB594" s="6">
        <f t="shared" ca="1" si="97"/>
        <v>1014.5061463896044</v>
      </c>
    </row>
    <row r="595" spans="1:28" x14ac:dyDescent="0.3">
      <c r="A595" s="53"/>
      <c r="B595" s="54"/>
      <c r="C595" s="65" t="s">
        <v>219</v>
      </c>
      <c r="D595" s="65">
        <f t="shared" ca="1" si="90"/>
        <v>3</v>
      </c>
      <c r="E595" s="3">
        <f t="shared" ca="1" si="91"/>
        <v>7.0316344416993193E-2</v>
      </c>
      <c r="F595" s="6">
        <f t="shared" ca="1" si="92"/>
        <v>175712.22922071622</v>
      </c>
      <c r="G595" s="6">
        <f t="shared" ca="1" si="93"/>
        <v>911.3847895964775</v>
      </c>
      <c r="V595" s="53"/>
      <c r="W595" s="54"/>
      <c r="X595" s="65" t="s">
        <v>219</v>
      </c>
      <c r="Y595" s="65">
        <f t="shared" ca="1" si="94"/>
        <v>4</v>
      </c>
      <c r="Z595" s="3">
        <f t="shared" ca="1" si="95"/>
        <v>0.28163542912663975</v>
      </c>
      <c r="AA595" s="6">
        <f t="shared" ca="1" si="96"/>
        <v>162916.39469624904</v>
      </c>
      <c r="AB595" s="6">
        <f t="shared" ca="1" si="97"/>
        <v>1935.5443976394542</v>
      </c>
    </row>
    <row r="596" spans="1:28" x14ac:dyDescent="0.3">
      <c r="A596" s="53"/>
      <c r="B596" s="54"/>
      <c r="C596" s="65" t="s">
        <v>219</v>
      </c>
      <c r="D596" s="65">
        <f t="shared" ca="1" si="90"/>
        <v>2</v>
      </c>
      <c r="E596" s="3">
        <f t="shared" ca="1" si="91"/>
        <v>0.31078584355028105</v>
      </c>
      <c r="F596" s="6">
        <f t="shared" ca="1" si="92"/>
        <v>149159.82589717273</v>
      </c>
      <c r="G596" s="6">
        <f t="shared" ca="1" si="93"/>
        <v>917.04597473729723</v>
      </c>
      <c r="V596" s="53"/>
      <c r="W596" s="54"/>
      <c r="X596" s="65" t="s">
        <v>219</v>
      </c>
      <c r="Y596" s="65">
        <f t="shared" ca="1" si="94"/>
        <v>1</v>
      </c>
      <c r="Z596" s="3">
        <f t="shared" ca="1" si="95"/>
        <v>0.11086625354213142</v>
      </c>
      <c r="AA596" s="6">
        <f t="shared" ca="1" si="96"/>
        <v>178327.1823394628</v>
      </c>
      <c r="AB596" s="6">
        <f t="shared" ca="1" si="97"/>
        <v>462.32078916176312</v>
      </c>
    </row>
    <row r="597" spans="1:28" x14ac:dyDescent="0.3">
      <c r="A597" s="53"/>
      <c r="B597" s="54"/>
      <c r="C597" s="65" t="s">
        <v>219</v>
      </c>
      <c r="D597" s="65">
        <f t="shared" ca="1" si="90"/>
        <v>1</v>
      </c>
      <c r="E597" s="3">
        <f t="shared" ca="1" si="91"/>
        <v>0.82392448990645462</v>
      </c>
      <c r="F597" s="6">
        <f t="shared" ca="1" si="92"/>
        <v>22102.448313361743</v>
      </c>
      <c r="G597" s="6">
        <f t="shared" ca="1" si="93"/>
        <v>1866.1619889140936</v>
      </c>
      <c r="V597" s="53"/>
      <c r="W597" s="54"/>
      <c r="X597" s="65" t="s">
        <v>219</v>
      </c>
      <c r="Y597" s="65">
        <f t="shared" ca="1" si="94"/>
        <v>3</v>
      </c>
      <c r="Z597" s="3">
        <f t="shared" ca="1" si="95"/>
        <v>0.19482071270732726</v>
      </c>
      <c r="AA597" s="6">
        <f t="shared" ca="1" si="96"/>
        <v>177503.09680041656</v>
      </c>
      <c r="AB597" s="6">
        <f t="shared" ca="1" si="97"/>
        <v>760.65060816115704</v>
      </c>
    </row>
    <row r="598" spans="1:28" x14ac:dyDescent="0.3">
      <c r="A598" s="53"/>
      <c r="B598" s="54"/>
      <c r="C598" s="65" t="s">
        <v>219</v>
      </c>
      <c r="D598" s="65">
        <f t="shared" ca="1" si="90"/>
        <v>2</v>
      </c>
      <c r="E598" s="3">
        <f t="shared" ca="1" si="91"/>
        <v>0.34688821231798472</v>
      </c>
      <c r="F598" s="6">
        <f t="shared" ca="1" si="92"/>
        <v>118110.96184556824</v>
      </c>
      <c r="G598" s="6">
        <f t="shared" ca="1" si="93"/>
        <v>729.88553855501584</v>
      </c>
      <c r="V598" s="53"/>
      <c r="W598" s="54"/>
      <c r="X598" s="65" t="s">
        <v>219</v>
      </c>
      <c r="Y598" s="65">
        <f t="shared" ca="1" si="94"/>
        <v>1</v>
      </c>
      <c r="Z598" s="3">
        <f t="shared" ca="1" si="95"/>
        <v>0.29472952910505934</v>
      </c>
      <c r="AA598" s="6">
        <f t="shared" ca="1" si="96"/>
        <v>170034.02414775139</v>
      </c>
      <c r="AB598" s="6">
        <f t="shared" ca="1" si="97"/>
        <v>711.1894792188258</v>
      </c>
    </row>
    <row r="599" spans="1:28" x14ac:dyDescent="0.3">
      <c r="A599" s="53"/>
      <c r="B599" s="54"/>
      <c r="C599" s="65" t="s">
        <v>219</v>
      </c>
      <c r="D599" s="65">
        <f t="shared" ca="1" si="90"/>
        <v>1</v>
      </c>
      <c r="E599" s="3">
        <f t="shared" ca="1" si="91"/>
        <v>0.26480017249666832</v>
      </c>
      <c r="F599" s="6">
        <f t="shared" ca="1" si="92"/>
        <v>182702.2291131457</v>
      </c>
      <c r="G599" s="6">
        <f t="shared" ca="1" si="93"/>
        <v>1449.5239061355649</v>
      </c>
      <c r="V599" s="53"/>
      <c r="W599" s="54"/>
      <c r="X599" s="65" t="s">
        <v>219</v>
      </c>
      <c r="Y599" s="65">
        <f t="shared" ca="1" si="94"/>
        <v>1</v>
      </c>
      <c r="Z599" s="3">
        <f t="shared" ca="1" si="95"/>
        <v>0.38576897025424806</v>
      </c>
      <c r="AA599" s="6">
        <f t="shared" ca="1" si="96"/>
        <v>63533.114346467533</v>
      </c>
      <c r="AB599" s="6">
        <f t="shared" ca="1" si="97"/>
        <v>1924.1956717894693</v>
      </c>
    </row>
    <row r="600" spans="1:28" x14ac:dyDescent="0.3">
      <c r="A600" s="53"/>
      <c r="B600" s="54"/>
      <c r="C600" s="65" t="s">
        <v>219</v>
      </c>
      <c r="D600" s="65">
        <f t="shared" ca="1" si="90"/>
        <v>3</v>
      </c>
      <c r="E600" s="3">
        <f t="shared" ca="1" si="91"/>
        <v>0.5824106445421785</v>
      </c>
      <c r="F600" s="6">
        <f t="shared" ca="1" si="92"/>
        <v>134547.18333487125</v>
      </c>
      <c r="G600" s="6">
        <f t="shared" ca="1" si="93"/>
        <v>1762.7633800811348</v>
      </c>
      <c r="V600" s="53"/>
      <c r="W600" s="54"/>
      <c r="X600" s="65" t="s">
        <v>219</v>
      </c>
      <c r="Y600" s="65">
        <f t="shared" ca="1" si="94"/>
        <v>2</v>
      </c>
      <c r="Z600" s="3">
        <f t="shared" ca="1" si="95"/>
        <v>0.72152841997279327</v>
      </c>
      <c r="AA600" s="6">
        <f t="shared" ca="1" si="96"/>
        <v>105024.61600191378</v>
      </c>
      <c r="AB600" s="6">
        <f t="shared" ca="1" si="97"/>
        <v>741.09842996091641</v>
      </c>
    </row>
    <row r="601" spans="1:28" x14ac:dyDescent="0.3">
      <c r="A601" s="53"/>
      <c r="B601" s="54"/>
      <c r="C601" s="65" t="s">
        <v>219</v>
      </c>
      <c r="D601" s="65">
        <f t="shared" ca="1" si="90"/>
        <v>2</v>
      </c>
      <c r="E601" s="3">
        <f t="shared" ca="1" si="91"/>
        <v>0.98295284831953389</v>
      </c>
      <c r="F601" s="6">
        <f t="shared" ca="1" si="92"/>
        <v>184855.18923920198</v>
      </c>
      <c r="G601" s="6">
        <f t="shared" ca="1" si="93"/>
        <v>268.21298125361761</v>
      </c>
      <c r="V601" s="53"/>
      <c r="W601" s="54"/>
      <c r="X601" s="65" t="s">
        <v>219</v>
      </c>
      <c r="Y601" s="65">
        <f t="shared" ca="1" si="94"/>
        <v>4</v>
      </c>
      <c r="Z601" s="3">
        <f t="shared" ca="1" si="95"/>
        <v>0.77334582102214877</v>
      </c>
      <c r="AA601" s="6">
        <f t="shared" ca="1" si="96"/>
        <v>193888.73256590805</v>
      </c>
      <c r="AB601" s="6">
        <f t="shared" ca="1" si="97"/>
        <v>1149.2718908416018</v>
      </c>
    </row>
    <row r="602" spans="1:28" x14ac:dyDescent="0.3">
      <c r="A602" s="53"/>
      <c r="B602" s="54"/>
      <c r="C602" s="65" t="s">
        <v>219</v>
      </c>
      <c r="D602" s="65">
        <f t="shared" ca="1" si="90"/>
        <v>2</v>
      </c>
      <c r="E602" s="3">
        <f t="shared" ca="1" si="91"/>
        <v>0.53680717947912737</v>
      </c>
      <c r="F602" s="6">
        <f t="shared" ca="1" si="92"/>
        <v>44365.532003101674</v>
      </c>
      <c r="G602" s="6">
        <f t="shared" ca="1" si="93"/>
        <v>1222.3011465450279</v>
      </c>
      <c r="V602" s="53"/>
      <c r="W602" s="54"/>
      <c r="X602" s="65" t="s">
        <v>219</v>
      </c>
      <c r="Y602" s="65">
        <f t="shared" ca="1" si="94"/>
        <v>2</v>
      </c>
      <c r="Z602" s="3">
        <f t="shared" ca="1" si="95"/>
        <v>0.32723669105706132</v>
      </c>
      <c r="AA602" s="6">
        <f t="shared" ca="1" si="96"/>
        <v>70081.683794798068</v>
      </c>
      <c r="AB602" s="6">
        <f t="shared" ca="1" si="97"/>
        <v>1310.0864073978405</v>
      </c>
    </row>
    <row r="603" spans="1:28" x14ac:dyDescent="0.3">
      <c r="A603" s="53"/>
      <c r="B603" s="54"/>
      <c r="C603" s="65" t="s">
        <v>219</v>
      </c>
      <c r="D603" s="65">
        <f t="shared" ca="1" si="90"/>
        <v>1</v>
      </c>
      <c r="E603" s="3">
        <f t="shared" ca="1" si="91"/>
        <v>0.75094251808010459</v>
      </c>
      <c r="F603" s="6">
        <f t="shared" ca="1" si="92"/>
        <v>141698.45942886826</v>
      </c>
      <c r="G603" s="6">
        <f t="shared" ca="1" si="93"/>
        <v>790.72730592976325</v>
      </c>
      <c r="V603" s="53"/>
      <c r="W603" s="54"/>
      <c r="X603" s="65" t="s">
        <v>219</v>
      </c>
      <c r="Y603" s="65">
        <f t="shared" ca="1" si="94"/>
        <v>2</v>
      </c>
      <c r="Z603" s="3">
        <f t="shared" ca="1" si="95"/>
        <v>0.33322030877996323</v>
      </c>
      <c r="AA603" s="6">
        <f t="shared" ca="1" si="96"/>
        <v>17832.160517031582</v>
      </c>
      <c r="AB603" s="6">
        <f t="shared" ca="1" si="97"/>
        <v>646.99245987128131</v>
      </c>
    </row>
    <row r="604" spans="1:28" x14ac:dyDescent="0.3">
      <c r="A604" s="53"/>
      <c r="B604" s="54"/>
      <c r="C604" s="65" t="s">
        <v>219</v>
      </c>
      <c r="D604" s="65">
        <f t="shared" ca="1" si="90"/>
        <v>3</v>
      </c>
      <c r="E604" s="3">
        <f t="shared" ca="1" si="91"/>
        <v>0.66922067054069301</v>
      </c>
      <c r="F604" s="6">
        <f t="shared" ca="1" si="92"/>
        <v>5925.2904445194599</v>
      </c>
      <c r="G604" s="6">
        <f t="shared" ca="1" si="93"/>
        <v>195.94693850257826</v>
      </c>
      <c r="V604" s="53"/>
      <c r="W604" s="54"/>
      <c r="X604" s="65" t="s">
        <v>219</v>
      </c>
      <c r="Y604" s="65">
        <f t="shared" ca="1" si="94"/>
        <v>2</v>
      </c>
      <c r="Z604" s="3">
        <f t="shared" ca="1" si="95"/>
        <v>0.72562869768812077</v>
      </c>
      <c r="AA604" s="6">
        <f t="shared" ca="1" si="96"/>
        <v>68441.733849039927</v>
      </c>
      <c r="AB604" s="6">
        <f t="shared" ca="1" si="97"/>
        <v>909.92947234281246</v>
      </c>
    </row>
    <row r="605" spans="1:28" x14ac:dyDescent="0.3">
      <c r="A605" s="53"/>
      <c r="B605" s="54"/>
      <c r="C605" s="65" t="s">
        <v>219</v>
      </c>
      <c r="D605" s="65">
        <f t="shared" ca="1" si="90"/>
        <v>4</v>
      </c>
      <c r="E605" s="3">
        <f t="shared" ca="1" si="91"/>
        <v>0.72183533842698178</v>
      </c>
      <c r="F605" s="6">
        <f t="shared" ca="1" si="92"/>
        <v>31480.354966477429</v>
      </c>
      <c r="G605" s="6">
        <f t="shared" ca="1" si="93"/>
        <v>1759.0186027310208</v>
      </c>
      <c r="V605" s="53"/>
      <c r="W605" s="54"/>
      <c r="X605" s="65" t="s">
        <v>219</v>
      </c>
      <c r="Y605" s="65">
        <f t="shared" ca="1" si="94"/>
        <v>1</v>
      </c>
      <c r="Z605" s="3">
        <f t="shared" ca="1" si="95"/>
        <v>0.28429647584531714</v>
      </c>
      <c r="AA605" s="6">
        <f t="shared" ca="1" si="96"/>
        <v>171165.24064158759</v>
      </c>
      <c r="AB605" s="6">
        <f t="shared" ca="1" si="97"/>
        <v>920.72331378782076</v>
      </c>
    </row>
    <row r="606" spans="1:28" x14ac:dyDescent="0.3">
      <c r="A606" s="53"/>
      <c r="B606" s="54"/>
      <c r="C606" s="65" t="s">
        <v>219</v>
      </c>
      <c r="D606" s="65">
        <f t="shared" ca="1" si="90"/>
        <v>2</v>
      </c>
      <c r="E606" s="3">
        <f t="shared" ca="1" si="91"/>
        <v>0.461816721970152</v>
      </c>
      <c r="F606" s="6">
        <f t="shared" ca="1" si="92"/>
        <v>131510.50017885285</v>
      </c>
      <c r="G606" s="6">
        <f t="shared" ca="1" si="93"/>
        <v>828.84610441996551</v>
      </c>
      <c r="V606" s="53"/>
      <c r="W606" s="54"/>
      <c r="X606" s="65" t="s">
        <v>219</v>
      </c>
      <c r="Y606" s="65">
        <f t="shared" ca="1" si="94"/>
        <v>2</v>
      </c>
      <c r="Z606" s="3">
        <f t="shared" ca="1" si="95"/>
        <v>0.59940887743099347</v>
      </c>
      <c r="AA606" s="6">
        <f t="shared" ca="1" si="96"/>
        <v>159545.90426412958</v>
      </c>
      <c r="AB606" s="6">
        <f t="shared" ca="1" si="97"/>
        <v>182.11576141927256</v>
      </c>
    </row>
    <row r="607" spans="1:28" x14ac:dyDescent="0.3">
      <c r="A607" s="53"/>
      <c r="B607" s="54"/>
      <c r="C607" s="65" t="s">
        <v>219</v>
      </c>
      <c r="D607" s="65">
        <f t="shared" ca="1" si="90"/>
        <v>2</v>
      </c>
      <c r="E607" s="3">
        <f t="shared" ca="1" si="91"/>
        <v>0.7291045267952313</v>
      </c>
      <c r="F607" s="6">
        <f t="shared" ca="1" si="92"/>
        <v>79712.332203938786</v>
      </c>
      <c r="G607" s="6">
        <f t="shared" ca="1" si="93"/>
        <v>1784.5307979315185</v>
      </c>
      <c r="V607" s="53"/>
      <c r="W607" s="54"/>
      <c r="X607" s="65" t="s">
        <v>219</v>
      </c>
      <c r="Y607" s="65">
        <f t="shared" ca="1" si="94"/>
        <v>3</v>
      </c>
      <c r="Z607" s="3">
        <f t="shared" ca="1" si="95"/>
        <v>0.35039620584556908</v>
      </c>
      <c r="AA607" s="6">
        <f t="shared" ca="1" si="96"/>
        <v>76716.849918942782</v>
      </c>
      <c r="AB607" s="6">
        <f t="shared" ca="1" si="97"/>
        <v>350.72378315971275</v>
      </c>
    </row>
    <row r="608" spans="1:28" x14ac:dyDescent="0.3">
      <c r="A608" s="53"/>
      <c r="B608" s="54"/>
      <c r="C608" s="65" t="s">
        <v>219</v>
      </c>
      <c r="D608" s="65">
        <f t="shared" ca="1" si="90"/>
        <v>2</v>
      </c>
      <c r="E608" s="3">
        <f t="shared" ca="1" si="91"/>
        <v>7.2281542473021543E-2</v>
      </c>
      <c r="F608" s="6">
        <f t="shared" ca="1" si="92"/>
        <v>82010.431366693927</v>
      </c>
      <c r="G608" s="6">
        <f t="shared" ca="1" si="93"/>
        <v>341.55550765268327</v>
      </c>
      <c r="V608" s="53"/>
      <c r="W608" s="54"/>
      <c r="X608" s="65" t="s">
        <v>219</v>
      </c>
      <c r="Y608" s="65">
        <f t="shared" ca="1" si="94"/>
        <v>4</v>
      </c>
      <c r="Z608" s="3">
        <f t="shared" ca="1" si="95"/>
        <v>0.89830201219721661</v>
      </c>
      <c r="AA608" s="6">
        <f t="shared" ca="1" si="96"/>
        <v>198753.15820751668</v>
      </c>
      <c r="AB608" s="6">
        <f t="shared" ca="1" si="97"/>
        <v>1030.264171925292</v>
      </c>
    </row>
    <row r="609" spans="1:28" x14ac:dyDescent="0.3">
      <c r="A609" s="53"/>
      <c r="B609" s="54"/>
      <c r="C609" s="65" t="s">
        <v>219</v>
      </c>
      <c r="D609" s="65">
        <f t="shared" ca="1" si="90"/>
        <v>3</v>
      </c>
      <c r="E609" s="3">
        <f t="shared" ca="1" si="91"/>
        <v>0.24955995880277926</v>
      </c>
      <c r="F609" s="6">
        <f t="shared" ca="1" si="92"/>
        <v>35851.473270193048</v>
      </c>
      <c r="G609" s="6">
        <f t="shared" ca="1" si="93"/>
        <v>1253.5872063031316</v>
      </c>
      <c r="V609" s="53"/>
      <c r="W609" s="54"/>
      <c r="X609" s="65" t="s">
        <v>219</v>
      </c>
      <c r="Y609" s="65">
        <f t="shared" ca="1" si="94"/>
        <v>4</v>
      </c>
      <c r="Z609" s="3">
        <f t="shared" ca="1" si="95"/>
        <v>0.10025791695983299</v>
      </c>
      <c r="AA609" s="6">
        <f t="shared" ca="1" si="96"/>
        <v>47287.005654384353</v>
      </c>
      <c r="AB609" s="6">
        <f t="shared" ca="1" si="97"/>
        <v>316.2410863797154</v>
      </c>
    </row>
    <row r="610" spans="1:28" x14ac:dyDescent="0.3">
      <c r="A610" s="53"/>
      <c r="B610" s="54"/>
      <c r="C610" s="65" t="s">
        <v>219</v>
      </c>
      <c r="D610" s="65">
        <f t="shared" ca="1" si="90"/>
        <v>4</v>
      </c>
      <c r="E610" s="3">
        <f t="shared" ca="1" si="91"/>
        <v>0.99146039600857239</v>
      </c>
      <c r="F610" s="6">
        <f t="shared" ca="1" si="92"/>
        <v>89305.732671285499</v>
      </c>
      <c r="G610" s="6">
        <f t="shared" ca="1" si="93"/>
        <v>1316.9832023003055</v>
      </c>
      <c r="V610" s="53"/>
      <c r="W610" s="54"/>
      <c r="X610" s="65" t="s">
        <v>219</v>
      </c>
      <c r="Y610" s="65">
        <f t="shared" ca="1" si="94"/>
        <v>1</v>
      </c>
      <c r="Z610" s="3">
        <f t="shared" ca="1" si="95"/>
        <v>0.78012366521900245</v>
      </c>
      <c r="AA610" s="6">
        <f t="shared" ca="1" si="96"/>
        <v>61736.498370320805</v>
      </c>
      <c r="AB610" s="6">
        <f t="shared" ca="1" si="97"/>
        <v>344.17539984326481</v>
      </c>
    </row>
    <row r="611" spans="1:28" x14ac:dyDescent="0.3">
      <c r="A611" s="53"/>
      <c r="B611" s="54"/>
      <c r="C611" s="65" t="s">
        <v>219</v>
      </c>
      <c r="D611" s="65">
        <f t="shared" ca="1" si="90"/>
        <v>4</v>
      </c>
      <c r="E611" s="3">
        <f t="shared" ca="1" si="91"/>
        <v>0.16269264410802409</v>
      </c>
      <c r="F611" s="6">
        <f t="shared" ca="1" si="92"/>
        <v>8388.3400895828236</v>
      </c>
      <c r="G611" s="6">
        <f t="shared" ca="1" si="93"/>
        <v>823.23870856463463</v>
      </c>
      <c r="V611" s="53"/>
      <c r="W611" s="54"/>
      <c r="X611" s="65" t="s">
        <v>219</v>
      </c>
      <c r="Y611" s="65">
        <f t="shared" ca="1" si="94"/>
        <v>1</v>
      </c>
      <c r="Z611" s="3">
        <f t="shared" ca="1" si="95"/>
        <v>0.38644181410070377</v>
      </c>
      <c r="AA611" s="6">
        <f t="shared" ca="1" si="96"/>
        <v>133414.13325090779</v>
      </c>
      <c r="AB611" s="6">
        <f t="shared" ca="1" si="97"/>
        <v>303.67432357779057</v>
      </c>
    </row>
    <row r="612" spans="1:28" x14ac:dyDescent="0.3">
      <c r="A612" s="53"/>
      <c r="B612" s="54"/>
      <c r="C612" s="65" t="s">
        <v>219</v>
      </c>
      <c r="D612" s="65">
        <f t="shared" ca="1" si="90"/>
        <v>3</v>
      </c>
      <c r="E612" s="3">
        <f t="shared" ca="1" si="91"/>
        <v>0.5360847993431731</v>
      </c>
      <c r="F612" s="6">
        <f t="shared" ca="1" si="92"/>
        <v>176492.89492709324</v>
      </c>
      <c r="G612" s="6">
        <f t="shared" ca="1" si="93"/>
        <v>558.75380306124134</v>
      </c>
      <c r="V612" s="53"/>
      <c r="W612" s="54"/>
      <c r="X612" s="65" t="s">
        <v>219</v>
      </c>
      <c r="Y612" s="65">
        <f t="shared" ca="1" si="94"/>
        <v>2</v>
      </c>
      <c r="Z612" s="3">
        <f t="shared" ca="1" si="95"/>
        <v>4.8672697220763839E-2</v>
      </c>
      <c r="AA612" s="6">
        <f t="shared" ca="1" si="96"/>
        <v>23956.672597965055</v>
      </c>
      <c r="AB612" s="6">
        <f t="shared" ca="1" si="97"/>
        <v>595.71302276672293</v>
      </c>
    </row>
    <row r="613" spans="1:28" x14ac:dyDescent="0.3">
      <c r="A613" s="53"/>
      <c r="B613" s="54"/>
      <c r="C613" s="65" t="s">
        <v>219</v>
      </c>
      <c r="D613" s="65">
        <f t="shared" ca="1" si="90"/>
        <v>1</v>
      </c>
      <c r="E613" s="3">
        <f t="shared" ca="1" si="91"/>
        <v>0.84071722844155927</v>
      </c>
      <c r="F613" s="6">
        <f t="shared" ca="1" si="92"/>
        <v>176893.54620177261</v>
      </c>
      <c r="G613" s="6">
        <f t="shared" ca="1" si="93"/>
        <v>235.07551610556044</v>
      </c>
      <c r="V613" s="53"/>
      <c r="W613" s="54"/>
      <c r="X613" s="65" t="s">
        <v>219</v>
      </c>
      <c r="Y613" s="65">
        <f t="shared" ca="1" si="94"/>
        <v>3</v>
      </c>
      <c r="Z613" s="3">
        <f t="shared" ca="1" si="95"/>
        <v>0.6094554734817057</v>
      </c>
      <c r="AA613" s="6">
        <f t="shared" ca="1" si="96"/>
        <v>2541.149446475943</v>
      </c>
      <c r="AB613" s="6">
        <f t="shared" ca="1" si="97"/>
        <v>692.97137772997507</v>
      </c>
    </row>
    <row r="614" spans="1:28" x14ac:dyDescent="0.3">
      <c r="A614" s="53"/>
      <c r="B614" s="54"/>
      <c r="C614" s="65" t="s">
        <v>219</v>
      </c>
      <c r="D614" s="65">
        <f t="shared" ca="1" si="90"/>
        <v>1</v>
      </c>
      <c r="E614" s="3">
        <f t="shared" ca="1" si="91"/>
        <v>0.4842575581468469</v>
      </c>
      <c r="F614" s="6">
        <f t="shared" ca="1" si="92"/>
        <v>53728.125850137643</v>
      </c>
      <c r="G614" s="6">
        <f t="shared" ca="1" si="93"/>
        <v>214.82524283049665</v>
      </c>
      <c r="V614" s="53"/>
      <c r="W614" s="54"/>
      <c r="X614" s="65" t="s">
        <v>219</v>
      </c>
      <c r="Y614" s="65">
        <f t="shared" ca="1" si="94"/>
        <v>3</v>
      </c>
      <c r="Z614" s="3">
        <f t="shared" ca="1" si="95"/>
        <v>7.6097974541214808E-2</v>
      </c>
      <c r="AA614" s="6">
        <f t="shared" ca="1" si="96"/>
        <v>190000.30959913504</v>
      </c>
      <c r="AB614" s="6">
        <f t="shared" ca="1" si="97"/>
        <v>1243.8953954135129</v>
      </c>
    </row>
    <row r="615" spans="1:28" x14ac:dyDescent="0.3">
      <c r="A615" s="53"/>
      <c r="B615" s="54"/>
      <c r="C615" s="65" t="s">
        <v>219</v>
      </c>
      <c r="D615" s="65">
        <f t="shared" ca="1" si="90"/>
        <v>3</v>
      </c>
      <c r="E615" s="3">
        <f t="shared" ca="1" si="91"/>
        <v>1.4485838829640607E-2</v>
      </c>
      <c r="F615" s="6">
        <f t="shared" ca="1" si="92"/>
        <v>14128.951201593676</v>
      </c>
      <c r="G615" s="6">
        <f t="shared" ca="1" si="93"/>
        <v>1458.3438756806609</v>
      </c>
      <c r="V615" s="53"/>
      <c r="W615" s="54"/>
      <c r="X615" s="65" t="s">
        <v>219</v>
      </c>
      <c r="Y615" s="65">
        <f t="shared" ca="1" si="94"/>
        <v>2</v>
      </c>
      <c r="Z615" s="3">
        <f t="shared" ca="1" si="95"/>
        <v>0.93005447235476668</v>
      </c>
      <c r="AA615" s="6">
        <f t="shared" ca="1" si="96"/>
        <v>12708.548170201238</v>
      </c>
      <c r="AB615" s="6">
        <f t="shared" ca="1" si="97"/>
        <v>1516.1442746623288</v>
      </c>
    </row>
    <row r="616" spans="1:28" x14ac:dyDescent="0.3">
      <c r="A616" s="53"/>
      <c r="B616" s="54"/>
      <c r="C616" s="65" t="s">
        <v>219</v>
      </c>
      <c r="D616" s="65">
        <f t="shared" ca="1" si="90"/>
        <v>4</v>
      </c>
      <c r="E616" s="3">
        <f t="shared" ca="1" si="91"/>
        <v>0.53481428164521716</v>
      </c>
      <c r="F616" s="6">
        <f t="shared" ca="1" si="92"/>
        <v>190813.55325073563</v>
      </c>
      <c r="G616" s="6">
        <f t="shared" ca="1" si="93"/>
        <v>1437.3471631555542</v>
      </c>
      <c r="V616" s="53"/>
      <c r="W616" s="54"/>
      <c r="X616" s="65" t="s">
        <v>219</v>
      </c>
      <c r="Y616" s="65">
        <f t="shared" ca="1" si="94"/>
        <v>1</v>
      </c>
      <c r="Z616" s="3">
        <f t="shared" ca="1" si="95"/>
        <v>0.25808658406230212</v>
      </c>
      <c r="AA616" s="6">
        <f t="shared" ca="1" si="96"/>
        <v>139805.96851369523</v>
      </c>
      <c r="AB616" s="6">
        <f t="shared" ca="1" si="97"/>
        <v>921.25222403893997</v>
      </c>
    </row>
    <row r="617" spans="1:28" x14ac:dyDescent="0.3">
      <c r="A617" s="53"/>
      <c r="B617" s="54"/>
      <c r="C617" s="65" t="s">
        <v>219</v>
      </c>
      <c r="D617" s="65">
        <f t="shared" ca="1" si="90"/>
        <v>2</v>
      </c>
      <c r="E617" s="3">
        <f t="shared" ca="1" si="91"/>
        <v>0.93664412259246133</v>
      </c>
      <c r="F617" s="6">
        <f t="shared" ca="1" si="92"/>
        <v>4322.0282709571566</v>
      </c>
      <c r="G617" s="6">
        <f t="shared" ca="1" si="93"/>
        <v>30.855497216418559</v>
      </c>
      <c r="V617" s="53"/>
      <c r="W617" s="54"/>
      <c r="X617" s="65" t="s">
        <v>219</v>
      </c>
      <c r="Y617" s="65">
        <f t="shared" ca="1" si="94"/>
        <v>4</v>
      </c>
      <c r="Z617" s="3">
        <f t="shared" ca="1" si="95"/>
        <v>0.80057949182832833</v>
      </c>
      <c r="AA617" s="6">
        <f t="shared" ca="1" si="96"/>
        <v>139511.07854877252</v>
      </c>
      <c r="AB617" s="6">
        <f t="shared" ca="1" si="97"/>
        <v>821.02062443005707</v>
      </c>
    </row>
    <row r="618" spans="1:28" x14ac:dyDescent="0.3">
      <c r="A618" s="53"/>
      <c r="B618" s="54"/>
      <c r="C618" s="65" t="s">
        <v>219</v>
      </c>
      <c r="D618" s="65">
        <f t="shared" ca="1" si="90"/>
        <v>3</v>
      </c>
      <c r="E618" s="3">
        <f t="shared" ca="1" si="91"/>
        <v>0.41384112201470247</v>
      </c>
      <c r="F618" s="6">
        <f t="shared" ca="1" si="92"/>
        <v>135022.4826694456</v>
      </c>
      <c r="G618" s="6">
        <f t="shared" ca="1" si="93"/>
        <v>1049.5074467958966</v>
      </c>
      <c r="V618" s="53"/>
      <c r="W618" s="54"/>
      <c r="X618" s="65" t="s">
        <v>219</v>
      </c>
      <c r="Y618" s="65">
        <f t="shared" ca="1" si="94"/>
        <v>1</v>
      </c>
      <c r="Z618" s="3">
        <f t="shared" ca="1" si="95"/>
        <v>0.88853875069897281</v>
      </c>
      <c r="AA618" s="6">
        <f t="shared" ca="1" si="96"/>
        <v>100146.28781476966</v>
      </c>
      <c r="AB618" s="6">
        <f t="shared" ca="1" si="97"/>
        <v>1301.1026194407684</v>
      </c>
    </row>
    <row r="619" spans="1:28" x14ac:dyDescent="0.3">
      <c r="A619" s="53"/>
      <c r="B619" s="54"/>
      <c r="C619" s="65" t="s">
        <v>219</v>
      </c>
      <c r="D619" s="65">
        <f t="shared" ca="1" si="90"/>
        <v>4</v>
      </c>
      <c r="E619" s="3">
        <f t="shared" ca="1" si="91"/>
        <v>0.93807048338420185</v>
      </c>
      <c r="F619" s="6">
        <f t="shared" ca="1" si="92"/>
        <v>105817.09967821522</v>
      </c>
      <c r="G619" s="6">
        <f t="shared" ca="1" si="93"/>
        <v>1543.9538484262366</v>
      </c>
      <c r="V619" s="53"/>
      <c r="W619" s="54"/>
      <c r="X619" s="65" t="s">
        <v>219</v>
      </c>
      <c r="Y619" s="65">
        <f t="shared" ca="1" si="94"/>
        <v>3</v>
      </c>
      <c r="Z619" s="3">
        <f t="shared" ca="1" si="95"/>
        <v>0.24149750740046905</v>
      </c>
      <c r="AA619" s="6">
        <f t="shared" ca="1" si="96"/>
        <v>113871.17275818421</v>
      </c>
      <c r="AB619" s="6">
        <f t="shared" ca="1" si="97"/>
        <v>487.44479728654699</v>
      </c>
    </row>
    <row r="620" spans="1:28" x14ac:dyDescent="0.3">
      <c r="A620" s="53"/>
      <c r="B620" s="54"/>
      <c r="C620" s="65" t="s">
        <v>219</v>
      </c>
      <c r="D620" s="65">
        <f t="shared" ca="1" si="90"/>
        <v>2</v>
      </c>
      <c r="E620" s="3">
        <f t="shared" ca="1" si="91"/>
        <v>0.76918908820544185</v>
      </c>
      <c r="F620" s="6">
        <f t="shared" ca="1" si="92"/>
        <v>69902.423535495021</v>
      </c>
      <c r="G620" s="6">
        <f t="shared" ca="1" si="93"/>
        <v>1008.171295989176</v>
      </c>
      <c r="V620" s="53"/>
      <c r="W620" s="54"/>
      <c r="X620" s="65" t="s">
        <v>219</v>
      </c>
      <c r="Y620" s="65">
        <f t="shared" ca="1" si="94"/>
        <v>2</v>
      </c>
      <c r="Z620" s="3">
        <f t="shared" ca="1" si="95"/>
        <v>0.56744527093081354</v>
      </c>
      <c r="AA620" s="6">
        <f t="shared" ca="1" si="96"/>
        <v>58026.043858757163</v>
      </c>
      <c r="AB620" s="6">
        <f t="shared" ca="1" si="97"/>
        <v>143.11982677073942</v>
      </c>
    </row>
    <row r="621" spans="1:28" x14ac:dyDescent="0.3">
      <c r="A621" s="53"/>
      <c r="B621" s="54"/>
      <c r="C621" s="65" t="s">
        <v>219</v>
      </c>
      <c r="D621" s="65">
        <f t="shared" ca="1" si="90"/>
        <v>1</v>
      </c>
      <c r="E621" s="3">
        <f t="shared" ca="1" si="91"/>
        <v>0.21948789549201853</v>
      </c>
      <c r="F621" s="6">
        <f t="shared" ca="1" si="92"/>
        <v>95622.831680341929</v>
      </c>
      <c r="G621" s="6">
        <f t="shared" ca="1" si="93"/>
        <v>394.59822696668965</v>
      </c>
      <c r="V621" s="53"/>
      <c r="W621" s="54"/>
      <c r="X621" s="65" t="s">
        <v>219</v>
      </c>
      <c r="Y621" s="65">
        <f t="shared" ca="1" si="94"/>
        <v>1</v>
      </c>
      <c r="Z621" s="3">
        <f t="shared" ca="1" si="95"/>
        <v>0.9031028679438855</v>
      </c>
      <c r="AA621" s="6">
        <f t="shared" ca="1" si="96"/>
        <v>56424.21272142604</v>
      </c>
      <c r="AB621" s="6">
        <f t="shared" ca="1" si="97"/>
        <v>1506.2163129963185</v>
      </c>
    </row>
    <row r="622" spans="1:28" x14ac:dyDescent="0.3">
      <c r="A622" s="53"/>
      <c r="B622" s="54"/>
      <c r="C622" s="65" t="s">
        <v>219</v>
      </c>
      <c r="D622" s="65">
        <f t="shared" ca="1" si="90"/>
        <v>3</v>
      </c>
      <c r="E622" s="3">
        <f t="shared" ca="1" si="91"/>
        <v>0.28037029962050986</v>
      </c>
      <c r="F622" s="6">
        <f t="shared" ca="1" si="92"/>
        <v>131165.95108234219</v>
      </c>
      <c r="G622" s="6">
        <f t="shared" ca="1" si="93"/>
        <v>503.87600855326633</v>
      </c>
      <c r="V622" s="53"/>
      <c r="W622" s="54"/>
      <c r="X622" s="65" t="s">
        <v>219</v>
      </c>
      <c r="Y622" s="65">
        <f t="shared" ca="1" si="94"/>
        <v>4</v>
      </c>
      <c r="Z622" s="3">
        <f t="shared" ca="1" si="95"/>
        <v>0.94654063696242041</v>
      </c>
      <c r="AA622" s="6">
        <f t="shared" ca="1" si="96"/>
        <v>63561.79610303705</v>
      </c>
      <c r="AB622" s="6">
        <f t="shared" ca="1" si="97"/>
        <v>1884.4868482332006</v>
      </c>
    </row>
    <row r="623" spans="1:28" x14ac:dyDescent="0.3">
      <c r="A623" s="53"/>
      <c r="B623" s="54"/>
      <c r="C623" s="65" t="s">
        <v>219</v>
      </c>
      <c r="D623" s="65">
        <f t="shared" ca="1" si="90"/>
        <v>2</v>
      </c>
      <c r="E623" s="3">
        <f t="shared" ca="1" si="91"/>
        <v>0.5165455108802901</v>
      </c>
      <c r="F623" s="6">
        <f t="shared" ca="1" si="92"/>
        <v>142182.02079967171</v>
      </c>
      <c r="G623" s="6">
        <f t="shared" ca="1" si="93"/>
        <v>171.42293501001848</v>
      </c>
      <c r="V623" s="53"/>
      <c r="W623" s="54"/>
      <c r="X623" s="65" t="s">
        <v>219</v>
      </c>
      <c r="Y623" s="65">
        <f t="shared" ca="1" si="94"/>
        <v>3</v>
      </c>
      <c r="Z623" s="3">
        <f t="shared" ca="1" si="95"/>
        <v>0.78480828978800787</v>
      </c>
      <c r="AA623" s="6">
        <f t="shared" ca="1" si="96"/>
        <v>28258.32082648918</v>
      </c>
      <c r="AB623" s="6">
        <f t="shared" ca="1" si="97"/>
        <v>705.05092565969414</v>
      </c>
    </row>
    <row r="624" spans="1:28" x14ac:dyDescent="0.3">
      <c r="A624" s="53"/>
      <c r="B624" s="54"/>
      <c r="C624" s="65" t="s">
        <v>219</v>
      </c>
      <c r="D624" s="65">
        <f t="shared" ca="1" si="90"/>
        <v>3</v>
      </c>
      <c r="E624" s="3">
        <f t="shared" ca="1" si="91"/>
        <v>0.88751541016261426</v>
      </c>
      <c r="F624" s="6">
        <f t="shared" ca="1" si="92"/>
        <v>132236.06447070825</v>
      </c>
      <c r="G624" s="6">
        <f t="shared" ca="1" si="93"/>
        <v>707.05857331222808</v>
      </c>
      <c r="V624" s="53"/>
      <c r="W624" s="54"/>
      <c r="X624" s="65" t="s">
        <v>219</v>
      </c>
      <c r="Y624" s="65">
        <f t="shared" ca="1" si="94"/>
        <v>4</v>
      </c>
      <c r="Z624" s="3">
        <f t="shared" ca="1" si="95"/>
        <v>0.49498081578682285</v>
      </c>
      <c r="AA624" s="6">
        <f t="shared" ca="1" si="96"/>
        <v>82074.01801679554</v>
      </c>
      <c r="AB624" s="6">
        <f t="shared" ca="1" si="97"/>
        <v>115.15174306795983</v>
      </c>
    </row>
    <row r="625" spans="1:28" x14ac:dyDescent="0.3">
      <c r="A625" s="53"/>
      <c r="B625" s="54"/>
      <c r="C625" s="65" t="s">
        <v>219</v>
      </c>
      <c r="D625" s="65">
        <f t="shared" ca="1" si="90"/>
        <v>1</v>
      </c>
      <c r="E625" s="3">
        <f t="shared" ca="1" si="91"/>
        <v>0.42693216572804382</v>
      </c>
      <c r="F625" s="6">
        <f t="shared" ca="1" si="92"/>
        <v>91866.208787716969</v>
      </c>
      <c r="G625" s="6">
        <f t="shared" ca="1" si="93"/>
        <v>198.64999467496446</v>
      </c>
      <c r="V625" s="53"/>
      <c r="W625" s="54"/>
      <c r="X625" s="65" t="s">
        <v>219</v>
      </c>
      <c r="Y625" s="65">
        <f t="shared" ca="1" si="94"/>
        <v>2</v>
      </c>
      <c r="Z625" s="3">
        <f t="shared" ca="1" si="95"/>
        <v>0.58084377039287383</v>
      </c>
      <c r="AA625" s="6">
        <f t="shared" ca="1" si="96"/>
        <v>172274.17044119816</v>
      </c>
      <c r="AB625" s="6">
        <f t="shared" ca="1" si="97"/>
        <v>1933.8269760685894</v>
      </c>
    </row>
    <row r="626" spans="1:28" x14ac:dyDescent="0.3">
      <c r="A626" s="53"/>
      <c r="B626" s="54"/>
      <c r="C626" s="65" t="s">
        <v>219</v>
      </c>
      <c r="D626" s="65">
        <f t="shared" ca="1" si="90"/>
        <v>2</v>
      </c>
      <c r="E626" s="3">
        <f t="shared" ca="1" si="91"/>
        <v>0.32826253751965295</v>
      </c>
      <c r="F626" s="6">
        <f t="shared" ca="1" si="92"/>
        <v>94216.802215785588</v>
      </c>
      <c r="G626" s="6">
        <f t="shared" ca="1" si="93"/>
        <v>1180.3807130284697</v>
      </c>
      <c r="V626" s="53"/>
      <c r="W626" s="54"/>
      <c r="X626" s="65" t="s">
        <v>219</v>
      </c>
      <c r="Y626" s="65">
        <f t="shared" ca="1" si="94"/>
        <v>3</v>
      </c>
      <c r="Z626" s="3">
        <f t="shared" ca="1" si="95"/>
        <v>0.96357845311910895</v>
      </c>
      <c r="AA626" s="6">
        <f t="shared" ca="1" si="96"/>
        <v>137454.32264077145</v>
      </c>
      <c r="AB626" s="6">
        <f t="shared" ca="1" si="97"/>
        <v>1116.1947485625408</v>
      </c>
    </row>
    <row r="627" spans="1:28" x14ac:dyDescent="0.3">
      <c r="A627" s="53"/>
      <c r="B627" s="54"/>
      <c r="C627" s="65" t="s">
        <v>219</v>
      </c>
      <c r="D627" s="65">
        <f t="shared" ca="1" si="90"/>
        <v>2</v>
      </c>
      <c r="E627" s="3">
        <f t="shared" ca="1" si="91"/>
        <v>0.63445943877281064</v>
      </c>
      <c r="F627" s="6">
        <f t="shared" ca="1" si="92"/>
        <v>47558.258460494108</v>
      </c>
      <c r="G627" s="6">
        <f t="shared" ca="1" si="93"/>
        <v>1407.1708587401279</v>
      </c>
      <c r="V627" s="53"/>
      <c r="W627" s="54"/>
      <c r="X627" s="65" t="s">
        <v>219</v>
      </c>
      <c r="Y627" s="65">
        <f t="shared" ca="1" si="94"/>
        <v>1</v>
      </c>
      <c r="Z627" s="3">
        <f t="shared" ca="1" si="95"/>
        <v>0.73871301417976343</v>
      </c>
      <c r="AA627" s="6">
        <f t="shared" ca="1" si="96"/>
        <v>188031.36437008929</v>
      </c>
      <c r="AB627" s="6">
        <f t="shared" ca="1" si="97"/>
        <v>1363.7291608118494</v>
      </c>
    </row>
    <row r="628" spans="1:28" x14ac:dyDescent="0.3">
      <c r="A628" s="53"/>
      <c r="B628" s="54"/>
      <c r="C628" s="65" t="s">
        <v>219</v>
      </c>
      <c r="D628" s="65">
        <f t="shared" ca="1" si="90"/>
        <v>4</v>
      </c>
      <c r="E628" s="3">
        <f t="shared" ca="1" si="91"/>
        <v>0.34998121864677567</v>
      </c>
      <c r="F628" s="6">
        <f t="shared" ca="1" si="92"/>
        <v>68853.600057989912</v>
      </c>
      <c r="G628" s="6">
        <f t="shared" ca="1" si="93"/>
        <v>1556.0246435238412</v>
      </c>
      <c r="V628" s="53"/>
      <c r="W628" s="54"/>
      <c r="X628" s="65" t="s">
        <v>219</v>
      </c>
      <c r="Y628" s="65">
        <f t="shared" ca="1" si="94"/>
        <v>4</v>
      </c>
      <c r="Z628" s="3">
        <f t="shared" ca="1" si="95"/>
        <v>3.7438960448198721E-2</v>
      </c>
      <c r="AA628" s="6">
        <f t="shared" ca="1" si="96"/>
        <v>185166.86656043108</v>
      </c>
      <c r="AB628" s="6">
        <f t="shared" ca="1" si="97"/>
        <v>538.02310104513151</v>
      </c>
    </row>
    <row r="629" spans="1:28" x14ac:dyDescent="0.3">
      <c r="A629" s="53"/>
      <c r="B629" s="54"/>
      <c r="C629" s="65" t="s">
        <v>219</v>
      </c>
      <c r="D629" s="65">
        <f t="shared" ca="1" si="90"/>
        <v>2</v>
      </c>
      <c r="E629" s="3">
        <f t="shared" ca="1" si="91"/>
        <v>4.9560002066677766E-2</v>
      </c>
      <c r="F629" s="6">
        <f t="shared" ca="1" si="92"/>
        <v>50371.159753366344</v>
      </c>
      <c r="G629" s="6">
        <f t="shared" ca="1" si="93"/>
        <v>1201.5879549119848</v>
      </c>
      <c r="V629" s="53"/>
      <c r="W629" s="54"/>
      <c r="X629" s="65" t="s">
        <v>219</v>
      </c>
      <c r="Y629" s="65">
        <f t="shared" ca="1" si="94"/>
        <v>4</v>
      </c>
      <c r="Z629" s="3">
        <f t="shared" ca="1" si="95"/>
        <v>0.26738347241777138</v>
      </c>
      <c r="AA629" s="6">
        <f t="shared" ca="1" si="96"/>
        <v>23735.677845150403</v>
      </c>
      <c r="AB629" s="6">
        <f t="shared" ca="1" si="97"/>
        <v>1258.8311820544541</v>
      </c>
    </row>
    <row r="630" spans="1:28" x14ac:dyDescent="0.3">
      <c r="A630" s="53"/>
      <c r="B630" s="54"/>
      <c r="C630" s="65" t="s">
        <v>219</v>
      </c>
      <c r="D630" s="65">
        <f t="shared" ca="1" si="90"/>
        <v>1</v>
      </c>
      <c r="E630" s="3">
        <f t="shared" ca="1" si="91"/>
        <v>3.1661974265197013E-2</v>
      </c>
      <c r="F630" s="6">
        <f t="shared" ca="1" si="92"/>
        <v>55919.969551770584</v>
      </c>
      <c r="G630" s="6">
        <f t="shared" ca="1" si="93"/>
        <v>1007.5226202149144</v>
      </c>
      <c r="V630" s="53"/>
      <c r="W630" s="54"/>
      <c r="X630" s="65" t="s">
        <v>219</v>
      </c>
      <c r="Y630" s="65">
        <f t="shared" ca="1" si="94"/>
        <v>1</v>
      </c>
      <c r="Z630" s="3">
        <f t="shared" ca="1" si="95"/>
        <v>0.99434923726352364</v>
      </c>
      <c r="AA630" s="6">
        <f t="shared" ca="1" si="96"/>
        <v>37581.084159035716</v>
      </c>
      <c r="AB630" s="6">
        <f t="shared" ca="1" si="97"/>
        <v>1004.6856363399999</v>
      </c>
    </row>
    <row r="631" spans="1:28" x14ac:dyDescent="0.3">
      <c r="A631" s="53"/>
      <c r="B631" s="54"/>
      <c r="C631" s="65" t="s">
        <v>219</v>
      </c>
      <c r="D631" s="65">
        <f t="shared" ca="1" si="90"/>
        <v>1</v>
      </c>
      <c r="E631" s="3">
        <f t="shared" ca="1" si="91"/>
        <v>0.10769002752103274</v>
      </c>
      <c r="F631" s="6">
        <f t="shared" ca="1" si="92"/>
        <v>179896.19582223485</v>
      </c>
      <c r="G631" s="6">
        <f t="shared" ca="1" si="93"/>
        <v>1442.9082832818808</v>
      </c>
      <c r="V631" s="53"/>
      <c r="W631" s="54"/>
      <c r="X631" s="65" t="s">
        <v>219</v>
      </c>
      <c r="Y631" s="65">
        <f t="shared" ca="1" si="94"/>
        <v>2</v>
      </c>
      <c r="Z631" s="3">
        <f t="shared" ca="1" si="95"/>
        <v>0.5028388520637459</v>
      </c>
      <c r="AA631" s="6">
        <f t="shared" ca="1" si="96"/>
        <v>164777.99994856337</v>
      </c>
      <c r="AB631" s="6">
        <f t="shared" ca="1" si="97"/>
        <v>1975.7967122210616</v>
      </c>
    </row>
    <row r="632" spans="1:28" x14ac:dyDescent="0.3">
      <c r="A632" s="53"/>
      <c r="B632" s="54"/>
      <c r="C632" s="65" t="s">
        <v>219</v>
      </c>
      <c r="D632" s="65">
        <f t="shared" ca="1" si="90"/>
        <v>2</v>
      </c>
      <c r="E632" s="3">
        <f t="shared" ca="1" si="91"/>
        <v>0.39460954485139621</v>
      </c>
      <c r="F632" s="6">
        <f t="shared" ca="1" si="92"/>
        <v>36036.965599253759</v>
      </c>
      <c r="G632" s="6">
        <f t="shared" ca="1" si="93"/>
        <v>1110.3399993829871</v>
      </c>
      <c r="V632" s="53"/>
      <c r="W632" s="54"/>
      <c r="X632" s="65" t="s">
        <v>219</v>
      </c>
      <c r="Y632" s="65">
        <f t="shared" ca="1" si="94"/>
        <v>3</v>
      </c>
      <c r="Z632" s="3">
        <f t="shared" ca="1" si="95"/>
        <v>0.79290825181297819</v>
      </c>
      <c r="AA632" s="6">
        <f t="shared" ca="1" si="96"/>
        <v>171278.5080204847</v>
      </c>
      <c r="AB632" s="6">
        <f t="shared" ca="1" si="97"/>
        <v>1812.5511509250211</v>
      </c>
    </row>
    <row r="633" spans="1:28" x14ac:dyDescent="0.3">
      <c r="A633" s="53"/>
      <c r="B633" s="54"/>
      <c r="C633" s="65" t="s">
        <v>219</v>
      </c>
      <c r="D633" s="65">
        <f t="shared" ca="1" si="90"/>
        <v>2</v>
      </c>
      <c r="E633" s="3">
        <f t="shared" ca="1" si="91"/>
        <v>0.76227977388303791</v>
      </c>
      <c r="F633" s="6">
        <f t="shared" ca="1" si="92"/>
        <v>84631.574130963651</v>
      </c>
      <c r="G633" s="6">
        <f t="shared" ca="1" si="93"/>
        <v>1832.9763597005158</v>
      </c>
      <c r="V633" s="53"/>
      <c r="W633" s="54"/>
      <c r="X633" s="65" t="s">
        <v>219</v>
      </c>
      <c r="Y633" s="65">
        <f t="shared" ca="1" si="94"/>
        <v>3</v>
      </c>
      <c r="Z633" s="3">
        <f t="shared" ca="1" si="95"/>
        <v>1.3388969609973045E-2</v>
      </c>
      <c r="AA633" s="6">
        <f t="shared" ca="1" si="96"/>
        <v>136804.78552310081</v>
      </c>
      <c r="AB633" s="6">
        <f t="shared" ca="1" si="97"/>
        <v>1008.0782566321744</v>
      </c>
    </row>
    <row r="634" spans="1:28" x14ac:dyDescent="0.3">
      <c r="A634" s="53"/>
      <c r="B634" s="54"/>
      <c r="C634" s="65" t="s">
        <v>219</v>
      </c>
      <c r="D634" s="65">
        <f t="shared" ca="1" si="90"/>
        <v>3</v>
      </c>
      <c r="E634" s="3">
        <f t="shared" ca="1" si="91"/>
        <v>0.43968151035486802</v>
      </c>
      <c r="F634" s="6">
        <f t="shared" ca="1" si="92"/>
        <v>25222.817117879014</v>
      </c>
      <c r="G634" s="6">
        <f t="shared" ca="1" si="93"/>
        <v>238.14159082749887</v>
      </c>
      <c r="V634" s="53"/>
      <c r="W634" s="54"/>
      <c r="X634" s="65" t="s">
        <v>219</v>
      </c>
      <c r="Y634" s="65">
        <f t="shared" ca="1" si="94"/>
        <v>4</v>
      </c>
      <c r="Z634" s="3">
        <f t="shared" ca="1" si="95"/>
        <v>0.83495261886850047</v>
      </c>
      <c r="AA634" s="6">
        <f t="shared" ca="1" si="96"/>
        <v>176860.05195809141</v>
      </c>
      <c r="AB634" s="6">
        <f t="shared" ca="1" si="97"/>
        <v>13.368605256920851</v>
      </c>
    </row>
    <row r="635" spans="1:28" x14ac:dyDescent="0.3">
      <c r="A635" s="53"/>
      <c r="B635" s="54"/>
      <c r="C635" s="65" t="s">
        <v>219</v>
      </c>
      <c r="D635" s="65">
        <f t="shared" ca="1" si="90"/>
        <v>1</v>
      </c>
      <c r="E635" s="3">
        <f t="shared" ca="1" si="91"/>
        <v>0.60318610996174871</v>
      </c>
      <c r="F635" s="6">
        <f t="shared" ca="1" si="92"/>
        <v>127614.99221800677</v>
      </c>
      <c r="G635" s="6">
        <f t="shared" ca="1" si="93"/>
        <v>1257.2969891050782</v>
      </c>
      <c r="V635" s="53"/>
      <c r="W635" s="54"/>
      <c r="X635" s="65" t="s">
        <v>219</v>
      </c>
      <c r="Y635" s="65">
        <f t="shared" ca="1" si="94"/>
        <v>3</v>
      </c>
      <c r="Z635" s="3">
        <f t="shared" ca="1" si="95"/>
        <v>0.69089238608396708</v>
      </c>
      <c r="AA635" s="6">
        <f t="shared" ca="1" si="96"/>
        <v>126645.79504681601</v>
      </c>
      <c r="AB635" s="6">
        <f t="shared" ca="1" si="97"/>
        <v>54.507848680372504</v>
      </c>
    </row>
    <row r="636" spans="1:28" x14ac:dyDescent="0.3">
      <c r="A636" s="53"/>
      <c r="B636" s="54"/>
      <c r="C636" s="65" t="s">
        <v>219</v>
      </c>
      <c r="D636" s="65">
        <f t="shared" ca="1" si="90"/>
        <v>2</v>
      </c>
      <c r="E636" s="3">
        <f t="shared" ca="1" si="91"/>
        <v>0.46583063580473472</v>
      </c>
      <c r="F636" s="6">
        <f t="shared" ca="1" si="92"/>
        <v>197896.89880792765</v>
      </c>
      <c r="G636" s="6">
        <f t="shared" ca="1" si="93"/>
        <v>1762.0865354235646</v>
      </c>
      <c r="V636" s="53"/>
      <c r="W636" s="54"/>
      <c r="X636" s="65" t="s">
        <v>219</v>
      </c>
      <c r="Y636" s="65">
        <f t="shared" ca="1" si="94"/>
        <v>2</v>
      </c>
      <c r="Z636" s="3">
        <f t="shared" ca="1" si="95"/>
        <v>0.79307923421956961</v>
      </c>
      <c r="AA636" s="6">
        <f t="shared" ca="1" si="96"/>
        <v>185568.65839901468</v>
      </c>
      <c r="AB636" s="6">
        <f t="shared" ca="1" si="97"/>
        <v>1753.915088900281</v>
      </c>
    </row>
    <row r="637" spans="1:28" x14ac:dyDescent="0.3">
      <c r="A637" s="53"/>
      <c r="B637" s="54"/>
      <c r="C637" s="65" t="s">
        <v>219</v>
      </c>
      <c r="D637" s="65">
        <f t="shared" ca="1" si="90"/>
        <v>2</v>
      </c>
      <c r="E637" s="3">
        <f t="shared" ca="1" si="91"/>
        <v>0.24359281856016946</v>
      </c>
      <c r="F637" s="6">
        <f t="shared" ca="1" si="92"/>
        <v>120367.29305046947</v>
      </c>
      <c r="G637" s="6">
        <f t="shared" ca="1" si="93"/>
        <v>309.58926980459188</v>
      </c>
      <c r="V637" s="53"/>
      <c r="W637" s="54"/>
      <c r="X637" s="65" t="s">
        <v>219</v>
      </c>
      <c r="Y637" s="65">
        <f t="shared" ca="1" si="94"/>
        <v>3</v>
      </c>
      <c r="Z637" s="3">
        <f t="shared" ca="1" si="95"/>
        <v>0.86602788516310247</v>
      </c>
      <c r="AA637" s="6">
        <f t="shared" ca="1" si="96"/>
        <v>171991.37516734144</v>
      </c>
      <c r="AB637" s="6">
        <f t="shared" ca="1" si="97"/>
        <v>940.3708366365986</v>
      </c>
    </row>
    <row r="638" spans="1:28" x14ac:dyDescent="0.3">
      <c r="A638" s="53"/>
      <c r="B638" s="54"/>
      <c r="C638" s="65" t="s">
        <v>219</v>
      </c>
      <c r="D638" s="65">
        <f t="shared" ca="1" si="90"/>
        <v>4</v>
      </c>
      <c r="E638" s="3">
        <f t="shared" ca="1" si="91"/>
        <v>0.63686645800813724</v>
      </c>
      <c r="F638" s="6">
        <f t="shared" ca="1" si="92"/>
        <v>150544.92618871114</v>
      </c>
      <c r="G638" s="6">
        <f t="shared" ca="1" si="93"/>
        <v>1371.5196249557828</v>
      </c>
      <c r="V638" s="53"/>
      <c r="W638" s="54"/>
      <c r="X638" s="65" t="s">
        <v>219</v>
      </c>
      <c r="Y638" s="65">
        <f t="shared" ca="1" si="94"/>
        <v>4</v>
      </c>
      <c r="Z638" s="3">
        <f t="shared" ca="1" si="95"/>
        <v>0.87703886293868194</v>
      </c>
      <c r="AA638" s="6">
        <f t="shared" ca="1" si="96"/>
        <v>195308.25936982391</v>
      </c>
      <c r="AB638" s="6">
        <f t="shared" ca="1" si="97"/>
        <v>167.03401914718307</v>
      </c>
    </row>
    <row r="639" spans="1:28" x14ac:dyDescent="0.3">
      <c r="A639" s="53"/>
      <c r="B639" s="54"/>
      <c r="C639" s="65" t="s">
        <v>219</v>
      </c>
      <c r="D639" s="65">
        <f t="shared" ca="1" si="90"/>
        <v>1</v>
      </c>
      <c r="E639" s="3">
        <f t="shared" ca="1" si="91"/>
        <v>0.91243524409787802</v>
      </c>
      <c r="F639" s="6">
        <f t="shared" ca="1" si="92"/>
        <v>44280.894711843423</v>
      </c>
      <c r="G639" s="6">
        <f t="shared" ca="1" si="93"/>
        <v>936.01381387209597</v>
      </c>
      <c r="V639" s="53"/>
      <c r="W639" s="54"/>
      <c r="X639" s="65" t="s">
        <v>219</v>
      </c>
      <c r="Y639" s="65">
        <f t="shared" ca="1" si="94"/>
        <v>1</v>
      </c>
      <c r="Z639" s="3">
        <f t="shared" ca="1" si="95"/>
        <v>0.33885073177570557</v>
      </c>
      <c r="AA639" s="6">
        <f t="shared" ca="1" si="96"/>
        <v>144865.13586002224</v>
      </c>
      <c r="AB639" s="6">
        <f t="shared" ca="1" si="97"/>
        <v>161.34015201274909</v>
      </c>
    </row>
    <row r="640" spans="1:28" x14ac:dyDescent="0.3">
      <c r="A640" s="53"/>
      <c r="B640" s="54"/>
      <c r="C640" s="65" t="s">
        <v>231</v>
      </c>
      <c r="D640" s="65">
        <f t="shared" ca="1" si="90"/>
        <v>4</v>
      </c>
      <c r="E640" s="3">
        <f t="shared" ca="1" si="91"/>
        <v>0.761872421691003</v>
      </c>
      <c r="F640" s="6">
        <f t="shared" ca="1" si="92"/>
        <v>76269.433647051323</v>
      </c>
      <c r="G640" s="6">
        <f t="shared" ca="1" si="93"/>
        <v>1743.4800434095043</v>
      </c>
      <c r="V640" s="53"/>
      <c r="W640" s="54"/>
      <c r="X640" s="65" t="s">
        <v>231</v>
      </c>
      <c r="Y640" s="65">
        <f t="shared" ca="1" si="94"/>
        <v>2</v>
      </c>
      <c r="Z640" s="3">
        <f t="shared" ca="1" si="95"/>
        <v>0.93301050540599384</v>
      </c>
      <c r="AA640" s="6">
        <f t="shared" ca="1" si="96"/>
        <v>185197.20786230094</v>
      </c>
      <c r="AB640" s="6">
        <f t="shared" ca="1" si="97"/>
        <v>1458.6667023101529</v>
      </c>
    </row>
    <row r="641" spans="1:28" x14ac:dyDescent="0.3">
      <c r="A641" s="53"/>
      <c r="B641" s="54"/>
      <c r="C641" s="65" t="s">
        <v>231</v>
      </c>
      <c r="D641" s="65">
        <f t="shared" ca="1" si="90"/>
        <v>1</v>
      </c>
      <c r="E641" s="3">
        <f t="shared" ca="1" si="91"/>
        <v>0.1379310303564365</v>
      </c>
      <c r="F641" s="6">
        <f t="shared" ca="1" si="92"/>
        <v>147769.58956472564</v>
      </c>
      <c r="G641" s="6">
        <f t="shared" ca="1" si="93"/>
        <v>882.68378220367833</v>
      </c>
      <c r="V641" s="53"/>
      <c r="W641" s="54"/>
      <c r="X641" s="65" t="s">
        <v>231</v>
      </c>
      <c r="Y641" s="65">
        <f t="shared" ca="1" si="94"/>
        <v>2</v>
      </c>
      <c r="Z641" s="3">
        <f t="shared" ca="1" si="95"/>
        <v>0.27922388724558922</v>
      </c>
      <c r="AA641" s="6">
        <f t="shared" ca="1" si="96"/>
        <v>19891.625927624547</v>
      </c>
      <c r="AB641" s="6">
        <f t="shared" ca="1" si="97"/>
        <v>972.99242620979885</v>
      </c>
    </row>
    <row r="642" spans="1:28" x14ac:dyDescent="0.3">
      <c r="A642" s="53"/>
      <c r="B642" s="54"/>
      <c r="C642" s="65" t="s">
        <v>231</v>
      </c>
      <c r="D642" s="65">
        <f t="shared" ca="1" si="90"/>
        <v>2</v>
      </c>
      <c r="E642" s="3">
        <f t="shared" ca="1" si="91"/>
        <v>0.64024195638561243</v>
      </c>
      <c r="F642" s="6">
        <f t="shared" ca="1" si="92"/>
        <v>64347.329732685444</v>
      </c>
      <c r="G642" s="6">
        <f t="shared" ca="1" si="93"/>
        <v>957.57526464088858</v>
      </c>
      <c r="V642" s="53"/>
      <c r="W642" s="54"/>
      <c r="X642" s="65" t="s">
        <v>231</v>
      </c>
      <c r="Y642" s="65">
        <f t="shared" ca="1" si="94"/>
        <v>4</v>
      </c>
      <c r="Z642" s="3">
        <f t="shared" ca="1" si="95"/>
        <v>0.13822241209534492</v>
      </c>
      <c r="AA642" s="6">
        <f t="shared" ca="1" si="96"/>
        <v>90356.318664538077</v>
      </c>
      <c r="AB642" s="6">
        <f t="shared" ca="1" si="97"/>
        <v>1889.4750361907777</v>
      </c>
    </row>
    <row r="643" spans="1:28" x14ac:dyDescent="0.3">
      <c r="A643" s="53"/>
      <c r="B643" s="54"/>
      <c r="C643" s="65" t="s">
        <v>231</v>
      </c>
      <c r="D643" s="65">
        <f t="shared" ca="1" si="90"/>
        <v>1</v>
      </c>
      <c r="E643" s="3">
        <f t="shared" ca="1" si="91"/>
        <v>0.93724121434059338</v>
      </c>
      <c r="F643" s="6">
        <f t="shared" ca="1" si="92"/>
        <v>116089.44199528948</v>
      </c>
      <c r="G643" s="6">
        <f t="shared" ca="1" si="93"/>
        <v>1368.0678040897758</v>
      </c>
      <c r="V643" s="53"/>
      <c r="W643" s="54"/>
      <c r="X643" s="65" t="s">
        <v>231</v>
      </c>
      <c r="Y643" s="65">
        <f t="shared" ca="1" si="94"/>
        <v>3</v>
      </c>
      <c r="Z643" s="3">
        <f t="shared" ca="1" si="95"/>
        <v>0.30991357165732158</v>
      </c>
      <c r="AA643" s="6">
        <f t="shared" ca="1" si="96"/>
        <v>184461.34150642846</v>
      </c>
      <c r="AB643" s="6">
        <f t="shared" ca="1" si="97"/>
        <v>1124.022127446568</v>
      </c>
    </row>
    <row r="644" spans="1:28" x14ac:dyDescent="0.3">
      <c r="A644" s="53"/>
      <c r="B644" s="54"/>
      <c r="C644" s="65" t="s">
        <v>231</v>
      </c>
      <c r="D644" s="65">
        <f t="shared" ca="1" si="90"/>
        <v>2</v>
      </c>
      <c r="E644" s="3">
        <f t="shared" ca="1" si="91"/>
        <v>0.80155876223466138</v>
      </c>
      <c r="F644" s="6">
        <f t="shared" ca="1" si="92"/>
        <v>74766.077793022996</v>
      </c>
      <c r="G644" s="6">
        <f t="shared" ca="1" si="93"/>
        <v>352.34333150355337</v>
      </c>
      <c r="V644" s="53"/>
      <c r="W644" s="54"/>
      <c r="X644" s="65" t="s">
        <v>231</v>
      </c>
      <c r="Y644" s="65">
        <f t="shared" ca="1" si="94"/>
        <v>1</v>
      </c>
      <c r="Z644" s="3">
        <f t="shared" ca="1" si="95"/>
        <v>0.77946653016553991</v>
      </c>
      <c r="AA644" s="6">
        <f t="shared" ca="1" si="96"/>
        <v>96041.020701961592</v>
      </c>
      <c r="AB644" s="6">
        <f t="shared" ca="1" si="97"/>
        <v>248.13756960672916</v>
      </c>
    </row>
    <row r="645" spans="1:28" x14ac:dyDescent="0.3">
      <c r="A645" s="53"/>
      <c r="B645" s="54"/>
      <c r="C645" s="65" t="s">
        <v>231</v>
      </c>
      <c r="D645" s="65">
        <f t="shared" ca="1" si="90"/>
        <v>3</v>
      </c>
      <c r="E645" s="3">
        <f t="shared" ca="1" si="91"/>
        <v>0.58398592610586719</v>
      </c>
      <c r="F645" s="6">
        <f t="shared" ca="1" si="92"/>
        <v>113734.49182892052</v>
      </c>
      <c r="G645" s="6">
        <f t="shared" ca="1" si="93"/>
        <v>652.77238068445081</v>
      </c>
      <c r="V645" s="53"/>
      <c r="W645" s="54"/>
      <c r="X645" s="65" t="s">
        <v>231</v>
      </c>
      <c r="Y645" s="65">
        <f t="shared" ca="1" si="94"/>
        <v>3</v>
      </c>
      <c r="Z645" s="3">
        <f t="shared" ca="1" si="95"/>
        <v>0.50157662037011097</v>
      </c>
      <c r="AA645" s="6">
        <f t="shared" ca="1" si="96"/>
        <v>114807.10515591415</v>
      </c>
      <c r="AB645" s="6">
        <f t="shared" ca="1" si="97"/>
        <v>254.58743406280337</v>
      </c>
    </row>
    <row r="646" spans="1:28" x14ac:dyDescent="0.3">
      <c r="A646" s="53"/>
      <c r="B646" s="54"/>
      <c r="C646" s="65" t="s">
        <v>231</v>
      </c>
      <c r="D646" s="65">
        <f t="shared" ca="1" si="90"/>
        <v>2</v>
      </c>
      <c r="E646" s="3">
        <f t="shared" ca="1" si="91"/>
        <v>0.66808706472125856</v>
      </c>
      <c r="F646" s="6">
        <f t="shared" ca="1" si="92"/>
        <v>44055.734227549561</v>
      </c>
      <c r="G646" s="6">
        <f t="shared" ca="1" si="93"/>
        <v>157.94814093587317</v>
      </c>
      <c r="V646" s="53"/>
      <c r="W646" s="54"/>
      <c r="X646" s="65" t="s">
        <v>231</v>
      </c>
      <c r="Y646" s="65">
        <f t="shared" ca="1" si="94"/>
        <v>2</v>
      </c>
      <c r="Z646" s="3">
        <f t="shared" ca="1" si="95"/>
        <v>0.48671644028792449</v>
      </c>
      <c r="AA646" s="6">
        <f t="shared" ca="1" si="96"/>
        <v>72022.791456339735</v>
      </c>
      <c r="AB646" s="6">
        <f t="shared" ca="1" si="97"/>
        <v>794.32706537208571</v>
      </c>
    </row>
    <row r="647" spans="1:28" x14ac:dyDescent="0.3">
      <c r="A647" s="53"/>
      <c r="B647" s="54"/>
      <c r="C647" s="65" t="s">
        <v>231</v>
      </c>
      <c r="D647" s="65">
        <f t="shared" ca="1" si="90"/>
        <v>4</v>
      </c>
      <c r="E647" s="3">
        <f t="shared" ca="1" si="91"/>
        <v>0.69486292734403299</v>
      </c>
      <c r="F647" s="6">
        <f t="shared" ca="1" si="92"/>
        <v>178807.72232698614</v>
      </c>
      <c r="G647" s="6">
        <f t="shared" ca="1" si="93"/>
        <v>1725.6089947356159</v>
      </c>
      <c r="V647" s="53"/>
      <c r="W647" s="54"/>
      <c r="X647" s="65" t="s">
        <v>231</v>
      </c>
      <c r="Y647" s="65">
        <f t="shared" ca="1" si="94"/>
        <v>4</v>
      </c>
      <c r="Z647" s="3">
        <f t="shared" ca="1" si="95"/>
        <v>9.9187798715317688E-2</v>
      </c>
      <c r="AA647" s="6">
        <f t="shared" ca="1" si="96"/>
        <v>33331.168290636226</v>
      </c>
      <c r="AB647" s="6">
        <f t="shared" ca="1" si="97"/>
        <v>1416.8348283332177</v>
      </c>
    </row>
    <row r="648" spans="1:28" x14ac:dyDescent="0.3">
      <c r="A648" s="53"/>
      <c r="B648" s="54"/>
      <c r="C648" s="65" t="s">
        <v>231</v>
      </c>
      <c r="D648" s="65">
        <f t="shared" ca="1" si="90"/>
        <v>1</v>
      </c>
      <c r="E648" s="3">
        <f t="shared" ca="1" si="91"/>
        <v>0.18088859854830774</v>
      </c>
      <c r="F648" s="6">
        <f t="shared" ca="1" si="92"/>
        <v>2187.7382232240452</v>
      </c>
      <c r="G648" s="6">
        <f t="shared" ca="1" si="93"/>
        <v>1777.4694101663392</v>
      </c>
      <c r="V648" s="53"/>
      <c r="W648" s="54"/>
      <c r="X648" s="65" t="s">
        <v>231</v>
      </c>
      <c r="Y648" s="65">
        <f t="shared" ca="1" si="94"/>
        <v>4</v>
      </c>
      <c r="Z648" s="3">
        <f t="shared" ca="1" si="95"/>
        <v>0.87468474571615973</v>
      </c>
      <c r="AA648" s="6">
        <f t="shared" ca="1" si="96"/>
        <v>101032.44523321938</v>
      </c>
      <c r="AB648" s="6">
        <f t="shared" ca="1" si="97"/>
        <v>1139.8768027642566</v>
      </c>
    </row>
    <row r="649" spans="1:28" x14ac:dyDescent="0.3">
      <c r="A649" s="53"/>
      <c r="B649" s="54"/>
      <c r="C649" s="65" t="s">
        <v>231</v>
      </c>
      <c r="D649" s="65">
        <f t="shared" ca="1" si="90"/>
        <v>3</v>
      </c>
      <c r="E649" s="3">
        <f t="shared" ca="1" si="91"/>
        <v>0.6739926633660589</v>
      </c>
      <c r="F649" s="6">
        <f t="shared" ca="1" si="92"/>
        <v>76875.919844246891</v>
      </c>
      <c r="G649" s="6">
        <f t="shared" ca="1" si="93"/>
        <v>617.87867648286237</v>
      </c>
      <c r="V649" s="53"/>
      <c r="W649" s="54"/>
      <c r="X649" s="65" t="s">
        <v>231</v>
      </c>
      <c r="Y649" s="65">
        <f t="shared" ca="1" si="94"/>
        <v>2</v>
      </c>
      <c r="Z649" s="3">
        <f t="shared" ca="1" si="95"/>
        <v>0.20417661006743526</v>
      </c>
      <c r="AA649" s="6">
        <f t="shared" ca="1" si="96"/>
        <v>184371.50651322067</v>
      </c>
      <c r="AB649" s="6">
        <f t="shared" ca="1" si="97"/>
        <v>1994.0688727774611</v>
      </c>
    </row>
    <row r="650" spans="1:28" x14ac:dyDescent="0.3">
      <c r="A650" s="53"/>
      <c r="B650" s="54"/>
      <c r="C650" s="65" t="s">
        <v>231</v>
      </c>
      <c r="D650" s="65">
        <f t="shared" ca="1" si="90"/>
        <v>4</v>
      </c>
      <c r="E650" s="3">
        <f t="shared" ca="1" si="91"/>
        <v>0.56103645241711442</v>
      </c>
      <c r="F650" s="6">
        <f t="shared" ca="1" si="92"/>
        <v>152338.65049054977</v>
      </c>
      <c r="G650" s="6">
        <f t="shared" ca="1" si="93"/>
        <v>1853.3853980429328</v>
      </c>
      <c r="V650" s="53"/>
      <c r="W650" s="54"/>
      <c r="X650" s="65" t="s">
        <v>231</v>
      </c>
      <c r="Y650" s="65">
        <f t="shared" ca="1" si="94"/>
        <v>2</v>
      </c>
      <c r="Z650" s="3">
        <f t="shared" ca="1" si="95"/>
        <v>0.776286110157274</v>
      </c>
      <c r="AA650" s="6">
        <f t="shared" ca="1" si="96"/>
        <v>63715.93099598516</v>
      </c>
      <c r="AB650" s="6">
        <f t="shared" ca="1" si="97"/>
        <v>1872.3579377851099</v>
      </c>
    </row>
    <row r="651" spans="1:28" x14ac:dyDescent="0.3">
      <c r="A651" s="53"/>
      <c r="B651" s="54"/>
      <c r="C651" s="65" t="s">
        <v>231</v>
      </c>
      <c r="D651" s="65">
        <f t="shared" ca="1" si="90"/>
        <v>3</v>
      </c>
      <c r="E651" s="3">
        <f t="shared" ca="1" si="91"/>
        <v>0.7442667412443682</v>
      </c>
      <c r="F651" s="6">
        <f t="shared" ca="1" si="92"/>
        <v>62798.249019421746</v>
      </c>
      <c r="G651" s="6">
        <f t="shared" ca="1" si="93"/>
        <v>1552.1888613402389</v>
      </c>
      <c r="V651" s="53"/>
      <c r="W651" s="54"/>
      <c r="X651" s="65" t="s">
        <v>231</v>
      </c>
      <c r="Y651" s="65">
        <f t="shared" ca="1" si="94"/>
        <v>3</v>
      </c>
      <c r="Z651" s="3">
        <f t="shared" ca="1" si="95"/>
        <v>0.96014120582668383</v>
      </c>
      <c r="AA651" s="6">
        <f t="shared" ca="1" si="96"/>
        <v>21967.73380668664</v>
      </c>
      <c r="AB651" s="6">
        <f t="shared" ca="1" si="97"/>
        <v>810.9531089547188</v>
      </c>
    </row>
    <row r="652" spans="1:28" x14ac:dyDescent="0.3">
      <c r="A652" s="53"/>
      <c r="B652" s="54"/>
      <c r="C652" s="65" t="s">
        <v>231</v>
      </c>
      <c r="D652" s="65">
        <f t="shared" ca="1" si="90"/>
        <v>4</v>
      </c>
      <c r="E652" s="3">
        <f t="shared" ca="1" si="91"/>
        <v>1.0407169493501622E-2</v>
      </c>
      <c r="F652" s="6">
        <f t="shared" ca="1" si="92"/>
        <v>79904.953746977015</v>
      </c>
      <c r="G652" s="6">
        <f t="shared" ca="1" si="93"/>
        <v>282.92756227313998</v>
      </c>
      <c r="V652" s="53"/>
      <c r="W652" s="54"/>
      <c r="X652" s="65" t="s">
        <v>231</v>
      </c>
      <c r="Y652" s="65">
        <f t="shared" ca="1" si="94"/>
        <v>2</v>
      </c>
      <c r="Z652" s="3">
        <f t="shared" ca="1" si="95"/>
        <v>0.48963261722750862</v>
      </c>
      <c r="AA652" s="6">
        <f t="shared" ca="1" si="96"/>
        <v>196712.20204858037</v>
      </c>
      <c r="AB652" s="6">
        <f t="shared" ca="1" si="97"/>
        <v>916.68713007679207</v>
      </c>
    </row>
    <row r="653" spans="1:28" x14ac:dyDescent="0.3">
      <c r="A653" s="53"/>
      <c r="B653" s="54"/>
      <c r="C653" s="65" t="s">
        <v>231</v>
      </c>
      <c r="D653" s="65">
        <f t="shared" ref="D653:D716" ca="1" si="98">INT(RAND()*4)+1</f>
        <v>1</v>
      </c>
      <c r="E653" s="3">
        <f t="shared" ref="E653:E716" ca="1" si="99">RAND()</f>
        <v>0.71727950965427523</v>
      </c>
      <c r="F653" s="6">
        <f t="shared" ref="F653:F716" ca="1" si="100">RAND()*200000</f>
        <v>131060.81983833695</v>
      </c>
      <c r="G653" s="6">
        <f t="shared" ref="G653:G716" ca="1" si="101">RAND()*2000</f>
        <v>1995.5606680262774</v>
      </c>
      <c r="V653" s="53"/>
      <c r="W653" s="54"/>
      <c r="X653" s="65" t="s">
        <v>231</v>
      </c>
      <c r="Y653" s="65">
        <f t="shared" ref="Y653:Y716" ca="1" si="102">INT(RAND()*4)+1</f>
        <v>1</v>
      </c>
      <c r="Z653" s="3">
        <f t="shared" ref="Z653:Z716" ca="1" si="103">RAND()</f>
        <v>0.39177940100456343</v>
      </c>
      <c r="AA653" s="6">
        <f t="shared" ref="AA653:AA716" ca="1" si="104">RAND()*200000</f>
        <v>65846.199224436816</v>
      </c>
      <c r="AB653" s="6">
        <f t="shared" ref="AB653:AB716" ca="1" si="105">RAND()*2000</f>
        <v>890.2214494559106</v>
      </c>
    </row>
    <row r="654" spans="1:28" x14ac:dyDescent="0.3">
      <c r="A654" s="53"/>
      <c r="B654" s="54"/>
      <c r="C654" s="65" t="s">
        <v>219</v>
      </c>
      <c r="D654" s="65">
        <f t="shared" ca="1" si="98"/>
        <v>3</v>
      </c>
      <c r="E654" s="3">
        <f t="shared" ca="1" si="99"/>
        <v>0.1865654443583008</v>
      </c>
      <c r="F654" s="6">
        <f t="shared" ca="1" si="100"/>
        <v>97596.750497754227</v>
      </c>
      <c r="G654" s="6">
        <f t="shared" ca="1" si="101"/>
        <v>466.16628287426255</v>
      </c>
      <c r="V654" s="53"/>
      <c r="W654" s="54"/>
      <c r="X654" s="65" t="s">
        <v>219</v>
      </c>
      <c r="Y654" s="65">
        <f t="shared" ca="1" si="102"/>
        <v>3</v>
      </c>
      <c r="Z654" s="3">
        <f t="shared" ca="1" si="103"/>
        <v>6.2682117464425979E-2</v>
      </c>
      <c r="AA654" s="6">
        <f t="shared" ca="1" si="104"/>
        <v>100670.09775998782</v>
      </c>
      <c r="AB654" s="6">
        <f t="shared" ca="1" si="105"/>
        <v>358.09436772558746</v>
      </c>
    </row>
    <row r="655" spans="1:28" x14ac:dyDescent="0.3">
      <c r="A655" s="53"/>
      <c r="B655" s="54"/>
      <c r="C655" s="65" t="s">
        <v>219</v>
      </c>
      <c r="D655" s="65">
        <f t="shared" ca="1" si="98"/>
        <v>2</v>
      </c>
      <c r="E655" s="3">
        <f t="shared" ca="1" si="99"/>
        <v>0.99106973551211319</v>
      </c>
      <c r="F655" s="6">
        <f t="shared" ca="1" si="100"/>
        <v>172086.04371635875</v>
      </c>
      <c r="G655" s="6">
        <f t="shared" ca="1" si="101"/>
        <v>1257.8606262695462</v>
      </c>
      <c r="V655" s="53"/>
      <c r="W655" s="54"/>
      <c r="X655" s="65" t="s">
        <v>219</v>
      </c>
      <c r="Y655" s="65">
        <f t="shared" ca="1" si="102"/>
        <v>4</v>
      </c>
      <c r="Z655" s="3">
        <f t="shared" ca="1" si="103"/>
        <v>0.22062456892842475</v>
      </c>
      <c r="AA655" s="6">
        <f t="shared" ca="1" si="104"/>
        <v>48411.962079081939</v>
      </c>
      <c r="AB655" s="6">
        <f t="shared" ca="1" si="105"/>
        <v>1490.5828568433903</v>
      </c>
    </row>
    <row r="656" spans="1:28" x14ac:dyDescent="0.3">
      <c r="A656" s="53"/>
      <c r="B656" s="54"/>
      <c r="C656" s="65" t="s">
        <v>219</v>
      </c>
      <c r="D656" s="65">
        <f t="shared" ca="1" si="98"/>
        <v>3</v>
      </c>
      <c r="E656" s="3">
        <f t="shared" ca="1" si="99"/>
        <v>0.80383288417634591</v>
      </c>
      <c r="F656" s="6">
        <f t="shared" ca="1" si="100"/>
        <v>57245.431076263783</v>
      </c>
      <c r="G656" s="6">
        <f t="shared" ca="1" si="101"/>
        <v>1185.8996770985384</v>
      </c>
      <c r="V656" s="53"/>
      <c r="W656" s="54"/>
      <c r="X656" s="65" t="s">
        <v>219</v>
      </c>
      <c r="Y656" s="65">
        <f t="shared" ca="1" si="102"/>
        <v>3</v>
      </c>
      <c r="Z656" s="3">
        <f t="shared" ca="1" si="103"/>
        <v>0.41381420296101623</v>
      </c>
      <c r="AA656" s="6">
        <f t="shared" ca="1" si="104"/>
        <v>19701.306802411513</v>
      </c>
      <c r="AB656" s="6">
        <f t="shared" ca="1" si="105"/>
        <v>905.28746249610674</v>
      </c>
    </row>
    <row r="657" spans="1:28" x14ac:dyDescent="0.3">
      <c r="A657" s="53"/>
      <c r="B657" s="54"/>
      <c r="C657" s="65" t="s">
        <v>219</v>
      </c>
      <c r="D657" s="65">
        <f t="shared" ca="1" si="98"/>
        <v>3</v>
      </c>
      <c r="E657" s="3">
        <f t="shared" ca="1" si="99"/>
        <v>0.61529254346590923</v>
      </c>
      <c r="F657" s="6">
        <f t="shared" ca="1" si="100"/>
        <v>34002.570046152527</v>
      </c>
      <c r="G657" s="6">
        <f t="shared" ca="1" si="101"/>
        <v>1125.0168462830445</v>
      </c>
      <c r="V657" s="53"/>
      <c r="W657" s="54"/>
      <c r="X657" s="65" t="s">
        <v>219</v>
      </c>
      <c r="Y657" s="65">
        <f t="shared" ca="1" si="102"/>
        <v>1</v>
      </c>
      <c r="Z657" s="3">
        <f t="shared" ca="1" si="103"/>
        <v>0.20080310457868367</v>
      </c>
      <c r="AA657" s="6">
        <f t="shared" ca="1" si="104"/>
        <v>132837.89461735226</v>
      </c>
      <c r="AB657" s="6">
        <f t="shared" ca="1" si="105"/>
        <v>852.18880080368467</v>
      </c>
    </row>
    <row r="658" spans="1:28" x14ac:dyDescent="0.3">
      <c r="A658" s="53"/>
      <c r="B658" s="54"/>
      <c r="C658" s="65" t="s">
        <v>219</v>
      </c>
      <c r="D658" s="65">
        <f t="shared" ca="1" si="98"/>
        <v>3</v>
      </c>
      <c r="E658" s="3">
        <f t="shared" ca="1" si="99"/>
        <v>0.64905468471104533</v>
      </c>
      <c r="F658" s="6">
        <f t="shared" ca="1" si="100"/>
        <v>57306.670009374749</v>
      </c>
      <c r="G658" s="6">
        <f t="shared" ca="1" si="101"/>
        <v>1271.0481705980492</v>
      </c>
      <c r="V658" s="53"/>
      <c r="W658" s="54"/>
      <c r="X658" s="65" t="s">
        <v>219</v>
      </c>
      <c r="Y658" s="65">
        <f t="shared" ca="1" si="102"/>
        <v>2</v>
      </c>
      <c r="Z658" s="3">
        <f t="shared" ca="1" si="103"/>
        <v>0.97708542538014842</v>
      </c>
      <c r="AA658" s="6">
        <f t="shared" ca="1" si="104"/>
        <v>53768.509040732672</v>
      </c>
      <c r="AB658" s="6">
        <f t="shared" ca="1" si="105"/>
        <v>4.0252419462483147</v>
      </c>
    </row>
    <row r="659" spans="1:28" x14ac:dyDescent="0.3">
      <c r="A659" s="53"/>
      <c r="B659" s="54"/>
      <c r="C659" s="65" t="s">
        <v>219</v>
      </c>
      <c r="D659" s="65">
        <f t="shared" ca="1" si="98"/>
        <v>2</v>
      </c>
      <c r="E659" s="3">
        <f t="shared" ca="1" si="99"/>
        <v>0.35994077238144695</v>
      </c>
      <c r="F659" s="6">
        <f t="shared" ca="1" si="100"/>
        <v>11082.833025919037</v>
      </c>
      <c r="G659" s="6">
        <f t="shared" ca="1" si="101"/>
        <v>1172.2400312273035</v>
      </c>
      <c r="V659" s="53"/>
      <c r="W659" s="54"/>
      <c r="X659" s="65" t="s">
        <v>219</v>
      </c>
      <c r="Y659" s="65">
        <f t="shared" ca="1" si="102"/>
        <v>3</v>
      </c>
      <c r="Z659" s="3">
        <f t="shared" ca="1" si="103"/>
        <v>0.35602057599840431</v>
      </c>
      <c r="AA659" s="6">
        <f t="shared" ca="1" si="104"/>
        <v>120677.29584684163</v>
      </c>
      <c r="AB659" s="6">
        <f t="shared" ca="1" si="105"/>
        <v>1804.2816826899675</v>
      </c>
    </row>
    <row r="660" spans="1:28" x14ac:dyDescent="0.3">
      <c r="A660" s="53"/>
      <c r="B660" s="54"/>
      <c r="C660" s="65" t="s">
        <v>219</v>
      </c>
      <c r="D660" s="65">
        <f t="shared" ca="1" si="98"/>
        <v>2</v>
      </c>
      <c r="E660" s="3">
        <f t="shared" ca="1" si="99"/>
        <v>0.61498443501055344</v>
      </c>
      <c r="F660" s="6">
        <f t="shared" ca="1" si="100"/>
        <v>122196.94646738219</v>
      </c>
      <c r="G660" s="6">
        <f t="shared" ca="1" si="101"/>
        <v>16.182155310476176</v>
      </c>
      <c r="V660" s="53"/>
      <c r="W660" s="54"/>
      <c r="X660" s="65" t="s">
        <v>219</v>
      </c>
      <c r="Y660" s="65">
        <f t="shared" ca="1" si="102"/>
        <v>1</v>
      </c>
      <c r="Z660" s="3">
        <f t="shared" ca="1" si="103"/>
        <v>3.3130181998403452E-2</v>
      </c>
      <c r="AA660" s="6">
        <f t="shared" ca="1" si="104"/>
        <v>69661.302932499151</v>
      </c>
      <c r="AB660" s="6">
        <f t="shared" ca="1" si="105"/>
        <v>1110.1136478844624</v>
      </c>
    </row>
    <row r="661" spans="1:28" x14ac:dyDescent="0.3">
      <c r="A661" s="53"/>
      <c r="B661" s="54"/>
      <c r="C661" s="65" t="s">
        <v>219</v>
      </c>
      <c r="D661" s="65">
        <f t="shared" ca="1" si="98"/>
        <v>4</v>
      </c>
      <c r="E661" s="3">
        <f t="shared" ca="1" si="99"/>
        <v>0.95319197731438576</v>
      </c>
      <c r="F661" s="6">
        <f t="shared" ca="1" si="100"/>
        <v>179208.5713205373</v>
      </c>
      <c r="G661" s="6">
        <f t="shared" ca="1" si="101"/>
        <v>662.70340789203328</v>
      </c>
      <c r="V661" s="53"/>
      <c r="W661" s="54"/>
      <c r="X661" s="65" t="s">
        <v>219</v>
      </c>
      <c r="Y661" s="65">
        <f t="shared" ca="1" si="102"/>
        <v>2</v>
      </c>
      <c r="Z661" s="3">
        <f t="shared" ca="1" si="103"/>
        <v>0.37508529270696245</v>
      </c>
      <c r="AA661" s="6">
        <f t="shared" ca="1" si="104"/>
        <v>56465.704861662467</v>
      </c>
      <c r="AB661" s="6">
        <f t="shared" ca="1" si="105"/>
        <v>755.47010251987138</v>
      </c>
    </row>
    <row r="662" spans="1:28" x14ac:dyDescent="0.3">
      <c r="A662" s="53"/>
      <c r="B662" s="54"/>
      <c r="C662" s="65" t="s">
        <v>219</v>
      </c>
      <c r="D662" s="65">
        <f t="shared" ca="1" si="98"/>
        <v>4</v>
      </c>
      <c r="E662" s="3">
        <f t="shared" ca="1" si="99"/>
        <v>0.68271986624169434</v>
      </c>
      <c r="F662" s="6">
        <f t="shared" ca="1" si="100"/>
        <v>186664.60270143469</v>
      </c>
      <c r="G662" s="6">
        <f t="shared" ca="1" si="101"/>
        <v>1835.433936007699</v>
      </c>
      <c r="V662" s="53"/>
      <c r="W662" s="54"/>
      <c r="X662" s="65" t="s">
        <v>219</v>
      </c>
      <c r="Y662" s="65">
        <f t="shared" ca="1" si="102"/>
        <v>3</v>
      </c>
      <c r="Z662" s="3">
        <f t="shared" ca="1" si="103"/>
        <v>0.23713124278321496</v>
      </c>
      <c r="AA662" s="6">
        <f t="shared" ca="1" si="104"/>
        <v>190746.8275455579</v>
      </c>
      <c r="AB662" s="6">
        <f t="shared" ca="1" si="105"/>
        <v>611.19918948934742</v>
      </c>
    </row>
    <row r="663" spans="1:28" x14ac:dyDescent="0.3">
      <c r="A663" s="53"/>
      <c r="B663" s="54"/>
      <c r="C663" s="65" t="s">
        <v>219</v>
      </c>
      <c r="D663" s="65">
        <f t="shared" ca="1" si="98"/>
        <v>1</v>
      </c>
      <c r="E663" s="3">
        <f t="shared" ca="1" si="99"/>
        <v>0.94866436773309715</v>
      </c>
      <c r="F663" s="6">
        <f t="shared" ca="1" si="100"/>
        <v>173417.35798289781</v>
      </c>
      <c r="G663" s="6">
        <f t="shared" ca="1" si="101"/>
        <v>529.9166733054501</v>
      </c>
      <c r="V663" s="53"/>
      <c r="W663" s="54"/>
      <c r="X663" s="65" t="s">
        <v>219</v>
      </c>
      <c r="Y663" s="65">
        <f t="shared" ca="1" si="102"/>
        <v>4</v>
      </c>
      <c r="Z663" s="3">
        <f t="shared" ca="1" si="103"/>
        <v>0.4801303015185856</v>
      </c>
      <c r="AA663" s="6">
        <f t="shared" ca="1" si="104"/>
        <v>71389.866802394521</v>
      </c>
      <c r="AB663" s="6">
        <f t="shared" ca="1" si="105"/>
        <v>1920.8468747964002</v>
      </c>
    </row>
    <row r="664" spans="1:28" x14ac:dyDescent="0.3">
      <c r="A664" s="53"/>
      <c r="B664" s="54"/>
      <c r="C664" s="65" t="s">
        <v>219</v>
      </c>
      <c r="D664" s="65">
        <f t="shared" ca="1" si="98"/>
        <v>3</v>
      </c>
      <c r="E664" s="3">
        <f t="shared" ca="1" si="99"/>
        <v>0.44854708863276738</v>
      </c>
      <c r="F664" s="6">
        <f t="shared" ca="1" si="100"/>
        <v>94439.769499760208</v>
      </c>
      <c r="G664" s="6">
        <f t="shared" ca="1" si="101"/>
        <v>1492.6201117539965</v>
      </c>
      <c r="V664" s="53"/>
      <c r="W664" s="54"/>
      <c r="X664" s="65" t="s">
        <v>219</v>
      </c>
      <c r="Y664" s="65">
        <f t="shared" ca="1" si="102"/>
        <v>1</v>
      </c>
      <c r="Z664" s="3">
        <f t="shared" ca="1" si="103"/>
        <v>0.70179869103615333</v>
      </c>
      <c r="AA664" s="6">
        <f t="shared" ca="1" si="104"/>
        <v>173036.93214529206</v>
      </c>
      <c r="AB664" s="6">
        <f t="shared" ca="1" si="105"/>
        <v>40.911120462400639</v>
      </c>
    </row>
    <row r="665" spans="1:28" x14ac:dyDescent="0.3">
      <c r="A665" s="53"/>
      <c r="B665" s="54"/>
      <c r="C665" s="65" t="s">
        <v>219</v>
      </c>
      <c r="D665" s="65">
        <f t="shared" ca="1" si="98"/>
        <v>3</v>
      </c>
      <c r="E665" s="3">
        <f t="shared" ca="1" si="99"/>
        <v>0.7287092205023179</v>
      </c>
      <c r="F665" s="6">
        <f t="shared" ca="1" si="100"/>
        <v>60868.819057956338</v>
      </c>
      <c r="G665" s="6">
        <f t="shared" ca="1" si="101"/>
        <v>445.51010638338664</v>
      </c>
      <c r="V665" s="53"/>
      <c r="W665" s="54"/>
      <c r="X665" s="65" t="s">
        <v>219</v>
      </c>
      <c r="Y665" s="65">
        <f t="shared" ca="1" si="102"/>
        <v>1</v>
      </c>
      <c r="Z665" s="3">
        <f t="shared" ca="1" si="103"/>
        <v>4.4556954870897059E-2</v>
      </c>
      <c r="AA665" s="6">
        <f t="shared" ca="1" si="104"/>
        <v>97678.466097328928</v>
      </c>
      <c r="AB665" s="6">
        <f t="shared" ca="1" si="105"/>
        <v>1642.0178158370497</v>
      </c>
    </row>
    <row r="666" spans="1:28" x14ac:dyDescent="0.3">
      <c r="A666" s="53"/>
      <c r="B666" s="54"/>
      <c r="C666" s="65" t="s">
        <v>219</v>
      </c>
      <c r="D666" s="65">
        <f t="shared" ca="1" si="98"/>
        <v>4</v>
      </c>
      <c r="E666" s="3">
        <f t="shared" ca="1" si="99"/>
        <v>1.7608998099804096E-2</v>
      </c>
      <c r="F666" s="6">
        <f t="shared" ca="1" si="100"/>
        <v>136908.1127084906</v>
      </c>
      <c r="G666" s="6">
        <f t="shared" ca="1" si="101"/>
        <v>1550.0558836527191</v>
      </c>
      <c r="V666" s="53"/>
      <c r="W666" s="54"/>
      <c r="X666" s="65" t="s">
        <v>219</v>
      </c>
      <c r="Y666" s="65">
        <f t="shared" ca="1" si="102"/>
        <v>1</v>
      </c>
      <c r="Z666" s="3">
        <f t="shared" ca="1" si="103"/>
        <v>0.11896167187649054</v>
      </c>
      <c r="AA666" s="6">
        <f t="shared" ca="1" si="104"/>
        <v>29233.572905792447</v>
      </c>
      <c r="AB666" s="6">
        <f t="shared" ca="1" si="105"/>
        <v>111.78824502203977</v>
      </c>
    </row>
    <row r="667" spans="1:28" x14ac:dyDescent="0.3">
      <c r="A667" s="53"/>
      <c r="B667" s="54"/>
      <c r="C667" s="65" t="s">
        <v>219</v>
      </c>
      <c r="D667" s="65">
        <f t="shared" ca="1" si="98"/>
        <v>3</v>
      </c>
      <c r="E667" s="3">
        <f t="shared" ca="1" si="99"/>
        <v>0.13271067320651442</v>
      </c>
      <c r="F667" s="6">
        <f t="shared" ca="1" si="100"/>
        <v>196638.49996404542</v>
      </c>
      <c r="G667" s="6">
        <f t="shared" ca="1" si="101"/>
        <v>945.37771921834951</v>
      </c>
      <c r="V667" s="53"/>
      <c r="W667" s="54"/>
      <c r="X667" s="65" t="s">
        <v>219</v>
      </c>
      <c r="Y667" s="65">
        <f t="shared" ca="1" si="102"/>
        <v>4</v>
      </c>
      <c r="Z667" s="3">
        <f t="shared" ca="1" si="103"/>
        <v>0.75072626219472482</v>
      </c>
      <c r="AA667" s="6">
        <f t="shared" ca="1" si="104"/>
        <v>96123.458411921252</v>
      </c>
      <c r="AB667" s="6">
        <f t="shared" ca="1" si="105"/>
        <v>77.685653231318369</v>
      </c>
    </row>
    <row r="668" spans="1:28" x14ac:dyDescent="0.3">
      <c r="A668" s="53"/>
      <c r="B668" s="54"/>
      <c r="C668" s="65" t="s">
        <v>242</v>
      </c>
      <c r="D668" s="65">
        <f t="shared" ca="1" si="98"/>
        <v>2</v>
      </c>
      <c r="E668" s="3">
        <f t="shared" ca="1" si="99"/>
        <v>0.79663509739793381</v>
      </c>
      <c r="F668" s="6">
        <f t="shared" ca="1" si="100"/>
        <v>100699.78648325408</v>
      </c>
      <c r="G668" s="6">
        <f t="shared" ca="1" si="101"/>
        <v>758.40413386174885</v>
      </c>
      <c r="V668" s="53"/>
      <c r="W668" s="54"/>
      <c r="X668" s="65" t="s">
        <v>242</v>
      </c>
      <c r="Y668" s="65">
        <f t="shared" ca="1" si="102"/>
        <v>2</v>
      </c>
      <c r="Z668" s="3">
        <f t="shared" ca="1" si="103"/>
        <v>0.5718712917943426</v>
      </c>
      <c r="AA668" s="6">
        <f t="shared" ca="1" si="104"/>
        <v>96271.393804666426</v>
      </c>
      <c r="AB668" s="6">
        <f t="shared" ca="1" si="105"/>
        <v>1661.1799634215081</v>
      </c>
    </row>
    <row r="669" spans="1:28" x14ac:dyDescent="0.3">
      <c r="A669" s="53"/>
      <c r="B669" s="54"/>
      <c r="C669" s="65" t="s">
        <v>242</v>
      </c>
      <c r="D669" s="65">
        <f t="shared" ca="1" si="98"/>
        <v>3</v>
      </c>
      <c r="E669" s="3">
        <f t="shared" ca="1" si="99"/>
        <v>8.1680267481624713E-2</v>
      </c>
      <c r="F669" s="6">
        <f t="shared" ca="1" si="100"/>
        <v>51282.780352568967</v>
      </c>
      <c r="G669" s="6">
        <f t="shared" ca="1" si="101"/>
        <v>1591.4879459993558</v>
      </c>
      <c r="V669" s="53"/>
      <c r="W669" s="54"/>
      <c r="X669" s="65" t="s">
        <v>242</v>
      </c>
      <c r="Y669" s="65">
        <f t="shared" ca="1" si="102"/>
        <v>3</v>
      </c>
      <c r="Z669" s="3">
        <f t="shared" ca="1" si="103"/>
        <v>0.2447901292655833</v>
      </c>
      <c r="AA669" s="6">
        <f t="shared" ca="1" si="104"/>
        <v>151156.8458569943</v>
      </c>
      <c r="AB669" s="6">
        <f t="shared" ca="1" si="105"/>
        <v>210.51610982732427</v>
      </c>
    </row>
    <row r="670" spans="1:28" x14ac:dyDescent="0.3">
      <c r="A670" s="53"/>
      <c r="B670" s="54"/>
      <c r="C670" s="65" t="s">
        <v>242</v>
      </c>
      <c r="D670" s="65">
        <f t="shared" ca="1" si="98"/>
        <v>3</v>
      </c>
      <c r="E670" s="3">
        <f t="shared" ca="1" si="99"/>
        <v>0.53473066448815876</v>
      </c>
      <c r="F670" s="6">
        <f t="shared" ca="1" si="100"/>
        <v>154754.85255984924</v>
      </c>
      <c r="G670" s="6">
        <f t="shared" ca="1" si="101"/>
        <v>1110.4463424991538</v>
      </c>
      <c r="V670" s="53"/>
      <c r="W670" s="54"/>
      <c r="X670" s="65" t="s">
        <v>242</v>
      </c>
      <c r="Y670" s="65">
        <f t="shared" ca="1" si="102"/>
        <v>4</v>
      </c>
      <c r="Z670" s="3">
        <f t="shared" ca="1" si="103"/>
        <v>0.19572755123833019</v>
      </c>
      <c r="AA670" s="6">
        <f t="shared" ca="1" si="104"/>
        <v>140370.29274171192</v>
      </c>
      <c r="AB670" s="6">
        <f t="shared" ca="1" si="105"/>
        <v>1158.7112898920773</v>
      </c>
    </row>
    <row r="671" spans="1:28" x14ac:dyDescent="0.3">
      <c r="A671" s="53"/>
      <c r="B671" s="54"/>
      <c r="C671" s="65" t="s">
        <v>242</v>
      </c>
      <c r="D671" s="65">
        <f t="shared" ca="1" si="98"/>
        <v>1</v>
      </c>
      <c r="E671" s="3">
        <f t="shared" ca="1" si="99"/>
        <v>0.61544474001739691</v>
      </c>
      <c r="F671" s="6">
        <f t="shared" ca="1" si="100"/>
        <v>150758.47586633093</v>
      </c>
      <c r="G671" s="6">
        <f t="shared" ca="1" si="101"/>
        <v>1659.4571920540109</v>
      </c>
      <c r="V671" s="53"/>
      <c r="W671" s="54"/>
      <c r="X671" s="65" t="s">
        <v>242</v>
      </c>
      <c r="Y671" s="65">
        <f t="shared" ca="1" si="102"/>
        <v>3</v>
      </c>
      <c r="Z671" s="3">
        <f t="shared" ca="1" si="103"/>
        <v>0.52653907124199284</v>
      </c>
      <c r="AA671" s="6">
        <f t="shared" ca="1" si="104"/>
        <v>17286.020123809263</v>
      </c>
      <c r="AB671" s="6">
        <f t="shared" ca="1" si="105"/>
        <v>340.30634135944558</v>
      </c>
    </row>
    <row r="672" spans="1:28" x14ac:dyDescent="0.3">
      <c r="A672" s="53"/>
      <c r="B672" s="54"/>
      <c r="C672" s="65" t="s">
        <v>242</v>
      </c>
      <c r="D672" s="65">
        <f t="shared" ca="1" si="98"/>
        <v>2</v>
      </c>
      <c r="E672" s="3">
        <f t="shared" ca="1" si="99"/>
        <v>0.42587998744952082</v>
      </c>
      <c r="F672" s="6">
        <f t="shared" ca="1" si="100"/>
        <v>58699.220283545459</v>
      </c>
      <c r="G672" s="6">
        <f t="shared" ca="1" si="101"/>
        <v>51.79932351590444</v>
      </c>
      <c r="V672" s="53"/>
      <c r="W672" s="54"/>
      <c r="X672" s="65" t="s">
        <v>242</v>
      </c>
      <c r="Y672" s="65">
        <f t="shared" ca="1" si="102"/>
        <v>3</v>
      </c>
      <c r="Z672" s="3">
        <f t="shared" ca="1" si="103"/>
        <v>0.52149442103630139</v>
      </c>
      <c r="AA672" s="6">
        <f t="shared" ca="1" si="104"/>
        <v>156410.74839194212</v>
      </c>
      <c r="AB672" s="6">
        <f t="shared" ca="1" si="105"/>
        <v>1796.9042498741603</v>
      </c>
    </row>
    <row r="673" spans="1:28" x14ac:dyDescent="0.3">
      <c r="A673" s="53"/>
      <c r="B673" s="54"/>
      <c r="C673" s="65" t="s">
        <v>242</v>
      </c>
      <c r="D673" s="65">
        <f t="shared" ca="1" si="98"/>
        <v>1</v>
      </c>
      <c r="E673" s="3">
        <f t="shared" ca="1" si="99"/>
        <v>0.59758947566693876</v>
      </c>
      <c r="F673" s="6">
        <f t="shared" ca="1" si="100"/>
        <v>184445.65887165815</v>
      </c>
      <c r="G673" s="6">
        <f t="shared" ca="1" si="101"/>
        <v>747.48649002833622</v>
      </c>
      <c r="V673" s="53"/>
      <c r="W673" s="54"/>
      <c r="X673" s="65" t="s">
        <v>242</v>
      </c>
      <c r="Y673" s="65">
        <f t="shared" ca="1" si="102"/>
        <v>2</v>
      </c>
      <c r="Z673" s="3">
        <f t="shared" ca="1" si="103"/>
        <v>0.30653485155818549</v>
      </c>
      <c r="AA673" s="6">
        <f t="shared" ca="1" si="104"/>
        <v>134983.55380568819</v>
      </c>
      <c r="AB673" s="6">
        <f t="shared" ca="1" si="105"/>
        <v>1265.644949255259</v>
      </c>
    </row>
    <row r="674" spans="1:28" x14ac:dyDescent="0.3">
      <c r="A674" s="53"/>
      <c r="B674" s="54"/>
      <c r="C674" s="65" t="s">
        <v>242</v>
      </c>
      <c r="D674" s="65">
        <f t="shared" ca="1" si="98"/>
        <v>3</v>
      </c>
      <c r="E674" s="3">
        <f t="shared" ca="1" si="99"/>
        <v>0.92260756547263079</v>
      </c>
      <c r="F674" s="6">
        <f t="shared" ca="1" si="100"/>
        <v>132306.75600231855</v>
      </c>
      <c r="G674" s="6">
        <f t="shared" ca="1" si="101"/>
        <v>1783.6126055036475</v>
      </c>
      <c r="V674" s="53"/>
      <c r="W674" s="54"/>
      <c r="X674" s="65" t="s">
        <v>242</v>
      </c>
      <c r="Y674" s="65">
        <f t="shared" ca="1" si="102"/>
        <v>2</v>
      </c>
      <c r="Z674" s="3">
        <f t="shared" ca="1" si="103"/>
        <v>9.1292098678058653E-2</v>
      </c>
      <c r="AA674" s="6">
        <f t="shared" ca="1" si="104"/>
        <v>101200.66921414075</v>
      </c>
      <c r="AB674" s="6">
        <f t="shared" ca="1" si="105"/>
        <v>1910.4087982716262</v>
      </c>
    </row>
    <row r="675" spans="1:28" x14ac:dyDescent="0.3">
      <c r="A675" s="53"/>
      <c r="B675" s="54"/>
      <c r="C675" s="65" t="s">
        <v>242</v>
      </c>
      <c r="D675" s="65">
        <f t="shared" ca="1" si="98"/>
        <v>1</v>
      </c>
      <c r="E675" s="3">
        <f t="shared" ca="1" si="99"/>
        <v>0.87028317254659149</v>
      </c>
      <c r="F675" s="6">
        <f t="shared" ca="1" si="100"/>
        <v>83778.486339953219</v>
      </c>
      <c r="G675" s="6">
        <f t="shared" ca="1" si="101"/>
        <v>1093.838932867048</v>
      </c>
      <c r="V675" s="53"/>
      <c r="W675" s="54"/>
      <c r="X675" s="65" t="s">
        <v>242</v>
      </c>
      <c r="Y675" s="65">
        <f t="shared" ca="1" si="102"/>
        <v>2</v>
      </c>
      <c r="Z675" s="3">
        <f t="shared" ca="1" si="103"/>
        <v>0.42256218456400141</v>
      </c>
      <c r="AA675" s="6">
        <f t="shared" ca="1" si="104"/>
        <v>64497.937758181353</v>
      </c>
      <c r="AB675" s="6">
        <f t="shared" ca="1" si="105"/>
        <v>1175.3034026924265</v>
      </c>
    </row>
    <row r="676" spans="1:28" x14ac:dyDescent="0.3">
      <c r="A676" s="53"/>
      <c r="B676" s="54"/>
      <c r="C676" s="65" t="s">
        <v>242</v>
      </c>
      <c r="D676" s="65">
        <f t="shared" ca="1" si="98"/>
        <v>2</v>
      </c>
      <c r="E676" s="3">
        <f t="shared" ca="1" si="99"/>
        <v>0.33812697439775885</v>
      </c>
      <c r="F676" s="6">
        <f t="shared" ca="1" si="100"/>
        <v>11173.146815625112</v>
      </c>
      <c r="G676" s="6">
        <f t="shared" ca="1" si="101"/>
        <v>1231.6006163954544</v>
      </c>
      <c r="V676" s="53"/>
      <c r="W676" s="54"/>
      <c r="X676" s="65" t="s">
        <v>242</v>
      </c>
      <c r="Y676" s="65">
        <f t="shared" ca="1" si="102"/>
        <v>4</v>
      </c>
      <c r="Z676" s="3">
        <f t="shared" ca="1" si="103"/>
        <v>0.40910113186896035</v>
      </c>
      <c r="AA676" s="6">
        <f t="shared" ca="1" si="104"/>
        <v>65628.676586490255</v>
      </c>
      <c r="AB676" s="6">
        <f t="shared" ca="1" si="105"/>
        <v>846.47617679202722</v>
      </c>
    </row>
    <row r="677" spans="1:28" x14ac:dyDescent="0.3">
      <c r="A677" s="53"/>
      <c r="B677" s="54"/>
      <c r="C677" s="65" t="s">
        <v>242</v>
      </c>
      <c r="D677" s="65">
        <f t="shared" ca="1" si="98"/>
        <v>1</v>
      </c>
      <c r="E677" s="3">
        <f t="shared" ca="1" si="99"/>
        <v>0.89533362373757019</v>
      </c>
      <c r="F677" s="6">
        <f t="shared" ca="1" si="100"/>
        <v>155915.63657782713</v>
      </c>
      <c r="G677" s="6">
        <f t="shared" ca="1" si="101"/>
        <v>303.34873683174158</v>
      </c>
      <c r="V677" s="53"/>
      <c r="W677" s="54"/>
      <c r="X677" s="65" t="s">
        <v>242</v>
      </c>
      <c r="Y677" s="65">
        <f t="shared" ca="1" si="102"/>
        <v>1</v>
      </c>
      <c r="Z677" s="3">
        <f t="shared" ca="1" si="103"/>
        <v>0.67933682264689998</v>
      </c>
      <c r="AA677" s="6">
        <f t="shared" ca="1" si="104"/>
        <v>172573.25860601611</v>
      </c>
      <c r="AB677" s="6">
        <f t="shared" ca="1" si="105"/>
        <v>1989.2390606960926</v>
      </c>
    </row>
    <row r="678" spans="1:28" x14ac:dyDescent="0.3">
      <c r="A678" s="53"/>
      <c r="B678" s="54"/>
      <c r="C678" s="65" t="s">
        <v>242</v>
      </c>
      <c r="D678" s="65">
        <f t="shared" ca="1" si="98"/>
        <v>4</v>
      </c>
      <c r="E678" s="3">
        <f t="shared" ca="1" si="99"/>
        <v>0.1461231702637974</v>
      </c>
      <c r="F678" s="6">
        <f t="shared" ca="1" si="100"/>
        <v>28716.243429550304</v>
      </c>
      <c r="G678" s="6">
        <f t="shared" ca="1" si="101"/>
        <v>306.50424872681771</v>
      </c>
      <c r="V678" s="53"/>
      <c r="W678" s="54"/>
      <c r="X678" s="65" t="s">
        <v>242</v>
      </c>
      <c r="Y678" s="65">
        <f t="shared" ca="1" si="102"/>
        <v>1</v>
      </c>
      <c r="Z678" s="3">
        <f t="shared" ca="1" si="103"/>
        <v>0.64654080538356562</v>
      </c>
      <c r="AA678" s="6">
        <f t="shared" ca="1" si="104"/>
        <v>43835.585734162953</v>
      </c>
      <c r="AB678" s="6">
        <f t="shared" ca="1" si="105"/>
        <v>10.145324527347732</v>
      </c>
    </row>
    <row r="679" spans="1:28" x14ac:dyDescent="0.3">
      <c r="A679" s="53"/>
      <c r="B679" s="54"/>
      <c r="C679" s="65" t="s">
        <v>242</v>
      </c>
      <c r="D679" s="65">
        <f t="shared" ca="1" si="98"/>
        <v>1</v>
      </c>
      <c r="E679" s="3">
        <f t="shared" ca="1" si="99"/>
        <v>0.61495017058361767</v>
      </c>
      <c r="F679" s="6">
        <f t="shared" ca="1" si="100"/>
        <v>84761.57978253685</v>
      </c>
      <c r="G679" s="6">
        <f t="shared" ca="1" si="101"/>
        <v>646.99576594864095</v>
      </c>
      <c r="V679" s="53"/>
      <c r="W679" s="54"/>
      <c r="X679" s="65" t="s">
        <v>242</v>
      </c>
      <c r="Y679" s="65">
        <f t="shared" ca="1" si="102"/>
        <v>4</v>
      </c>
      <c r="Z679" s="3">
        <f t="shared" ca="1" si="103"/>
        <v>0.38129439117264463</v>
      </c>
      <c r="AA679" s="6">
        <f t="shared" ca="1" si="104"/>
        <v>114389.28361690848</v>
      </c>
      <c r="AB679" s="6">
        <f t="shared" ca="1" si="105"/>
        <v>1195.6526513813644</v>
      </c>
    </row>
    <row r="680" spans="1:28" x14ac:dyDescent="0.3">
      <c r="A680" s="53"/>
      <c r="B680" s="54"/>
      <c r="C680" s="65" t="s">
        <v>242</v>
      </c>
      <c r="D680" s="65">
        <f t="shared" ca="1" si="98"/>
        <v>2</v>
      </c>
      <c r="E680" s="3">
        <f t="shared" ca="1" si="99"/>
        <v>0.73230578418575099</v>
      </c>
      <c r="F680" s="6">
        <f t="shared" ca="1" si="100"/>
        <v>112265.37710976985</v>
      </c>
      <c r="G680" s="6">
        <f t="shared" ca="1" si="101"/>
        <v>1373.5301052556274</v>
      </c>
      <c r="V680" s="53"/>
      <c r="W680" s="54"/>
      <c r="X680" s="65" t="s">
        <v>242</v>
      </c>
      <c r="Y680" s="65">
        <f t="shared" ca="1" si="102"/>
        <v>1</v>
      </c>
      <c r="Z680" s="3">
        <f t="shared" ca="1" si="103"/>
        <v>0.76537253588871268</v>
      </c>
      <c r="AA680" s="6">
        <f t="shared" ca="1" si="104"/>
        <v>131176.3385397105</v>
      </c>
      <c r="AB680" s="6">
        <f t="shared" ca="1" si="105"/>
        <v>571.65776773042114</v>
      </c>
    </row>
    <row r="681" spans="1:28" x14ac:dyDescent="0.3">
      <c r="A681" s="53"/>
      <c r="B681" s="54"/>
      <c r="C681" s="65" t="s">
        <v>219</v>
      </c>
      <c r="D681" s="65">
        <f t="shared" ca="1" si="98"/>
        <v>2</v>
      </c>
      <c r="E681" s="3">
        <f t="shared" ca="1" si="99"/>
        <v>0.69640312970442098</v>
      </c>
      <c r="F681" s="6">
        <f t="shared" ca="1" si="100"/>
        <v>199973.36665690632</v>
      </c>
      <c r="G681" s="6">
        <f t="shared" ca="1" si="101"/>
        <v>669.45566149642127</v>
      </c>
      <c r="V681" s="53"/>
      <c r="W681" s="54"/>
      <c r="X681" s="65" t="s">
        <v>219</v>
      </c>
      <c r="Y681" s="65">
        <f t="shared" ca="1" si="102"/>
        <v>4</v>
      </c>
      <c r="Z681" s="3">
        <f t="shared" ca="1" si="103"/>
        <v>3.481339075660983E-2</v>
      </c>
      <c r="AA681" s="6">
        <f t="shared" ca="1" si="104"/>
        <v>82956.019098150151</v>
      </c>
      <c r="AB681" s="6">
        <f t="shared" ca="1" si="105"/>
        <v>262.94907293192392</v>
      </c>
    </row>
    <row r="682" spans="1:28" x14ac:dyDescent="0.3">
      <c r="A682" s="53"/>
      <c r="B682" s="54"/>
      <c r="C682" s="65" t="s">
        <v>242</v>
      </c>
      <c r="D682" s="65">
        <f t="shared" ca="1" si="98"/>
        <v>3</v>
      </c>
      <c r="E682" s="3">
        <f t="shared" ca="1" si="99"/>
        <v>0.47737131730199067</v>
      </c>
      <c r="F682" s="6">
        <f t="shared" ca="1" si="100"/>
        <v>22406.312290615228</v>
      </c>
      <c r="G682" s="6">
        <f t="shared" ca="1" si="101"/>
        <v>405.67162562613368</v>
      </c>
      <c r="V682" s="53"/>
      <c r="W682" s="54"/>
      <c r="X682" s="65" t="s">
        <v>242</v>
      </c>
      <c r="Y682" s="65">
        <f t="shared" ca="1" si="102"/>
        <v>1</v>
      </c>
      <c r="Z682" s="3">
        <f t="shared" ca="1" si="103"/>
        <v>0.95486645667195158</v>
      </c>
      <c r="AA682" s="6">
        <f t="shared" ca="1" si="104"/>
        <v>60500.437882286453</v>
      </c>
      <c r="AB682" s="6">
        <f t="shared" ca="1" si="105"/>
        <v>1824.9349688646478</v>
      </c>
    </row>
    <row r="683" spans="1:28" x14ac:dyDescent="0.3">
      <c r="A683" s="53"/>
      <c r="B683" s="54"/>
      <c r="C683" s="65" t="s">
        <v>242</v>
      </c>
      <c r="D683" s="65">
        <f t="shared" ca="1" si="98"/>
        <v>2</v>
      </c>
      <c r="E683" s="3">
        <f t="shared" ca="1" si="99"/>
        <v>0.98240953767941297</v>
      </c>
      <c r="F683" s="6">
        <f t="shared" ca="1" si="100"/>
        <v>106791.61141694033</v>
      </c>
      <c r="G683" s="6">
        <f t="shared" ca="1" si="101"/>
        <v>512.53087934678604</v>
      </c>
      <c r="V683" s="53"/>
      <c r="W683" s="54"/>
      <c r="X683" s="65" t="s">
        <v>242</v>
      </c>
      <c r="Y683" s="65">
        <f t="shared" ca="1" si="102"/>
        <v>3</v>
      </c>
      <c r="Z683" s="3">
        <f t="shared" ca="1" si="103"/>
        <v>0.39379523845435638</v>
      </c>
      <c r="AA683" s="6">
        <f t="shared" ca="1" si="104"/>
        <v>53076.558709715282</v>
      </c>
      <c r="AB683" s="6">
        <f t="shared" ca="1" si="105"/>
        <v>721.62895185951936</v>
      </c>
    </row>
    <row r="684" spans="1:28" x14ac:dyDescent="0.3">
      <c r="A684" s="53"/>
      <c r="B684" s="54"/>
      <c r="C684" s="65" t="s">
        <v>242</v>
      </c>
      <c r="D684" s="65">
        <f t="shared" ca="1" si="98"/>
        <v>3</v>
      </c>
      <c r="E684" s="3">
        <f t="shared" ca="1" si="99"/>
        <v>0.53826025002394351</v>
      </c>
      <c r="F684" s="6">
        <f t="shared" ca="1" si="100"/>
        <v>193250.03988927105</v>
      </c>
      <c r="G684" s="6">
        <f t="shared" ca="1" si="101"/>
        <v>1112.4730861884973</v>
      </c>
      <c r="V684" s="53"/>
      <c r="W684" s="54"/>
      <c r="X684" s="65" t="s">
        <v>242</v>
      </c>
      <c r="Y684" s="65">
        <f t="shared" ca="1" si="102"/>
        <v>3</v>
      </c>
      <c r="Z684" s="3">
        <f t="shared" ca="1" si="103"/>
        <v>0.73595987267961605</v>
      </c>
      <c r="AA684" s="6">
        <f t="shared" ca="1" si="104"/>
        <v>113632.2050546706</v>
      </c>
      <c r="AB684" s="6">
        <f t="shared" ca="1" si="105"/>
        <v>180.32471269151108</v>
      </c>
    </row>
    <row r="685" spans="1:28" x14ac:dyDescent="0.3">
      <c r="A685" s="53"/>
      <c r="B685" s="54"/>
      <c r="C685" s="65" t="s">
        <v>242</v>
      </c>
      <c r="D685" s="65">
        <f t="shared" ca="1" si="98"/>
        <v>2</v>
      </c>
      <c r="E685" s="3">
        <f t="shared" ca="1" si="99"/>
        <v>9.455039735433135E-2</v>
      </c>
      <c r="F685" s="6">
        <f t="shared" ca="1" si="100"/>
        <v>183496.94911511644</v>
      </c>
      <c r="G685" s="6">
        <f t="shared" ca="1" si="101"/>
        <v>108.47864327381073</v>
      </c>
      <c r="V685" s="53"/>
      <c r="W685" s="54"/>
      <c r="X685" s="65" t="s">
        <v>242</v>
      </c>
      <c r="Y685" s="65">
        <f t="shared" ca="1" si="102"/>
        <v>3</v>
      </c>
      <c r="Z685" s="3">
        <f t="shared" ca="1" si="103"/>
        <v>0.26384750752822461</v>
      </c>
      <c r="AA685" s="6">
        <f t="shared" ca="1" si="104"/>
        <v>129422.72052894783</v>
      </c>
      <c r="AB685" s="6">
        <f t="shared" ca="1" si="105"/>
        <v>1797.36736621464</v>
      </c>
    </row>
    <row r="686" spans="1:28" x14ac:dyDescent="0.3">
      <c r="A686" s="53"/>
      <c r="B686" s="54"/>
      <c r="C686" s="65" t="s">
        <v>242</v>
      </c>
      <c r="D686" s="65">
        <f t="shared" ca="1" si="98"/>
        <v>3</v>
      </c>
      <c r="E686" s="3">
        <f t="shared" ca="1" si="99"/>
        <v>0.45640955837117481</v>
      </c>
      <c r="F686" s="6">
        <f t="shared" ca="1" si="100"/>
        <v>118126.57179194115</v>
      </c>
      <c r="G686" s="6">
        <f t="shared" ca="1" si="101"/>
        <v>315.1358705830267</v>
      </c>
      <c r="V686" s="53"/>
      <c r="W686" s="54"/>
      <c r="X686" s="65" t="s">
        <v>242</v>
      </c>
      <c r="Y686" s="65">
        <f t="shared" ca="1" si="102"/>
        <v>1</v>
      </c>
      <c r="Z686" s="3">
        <f t="shared" ca="1" si="103"/>
        <v>0.47205331670812167</v>
      </c>
      <c r="AA686" s="6">
        <f t="shared" ca="1" si="104"/>
        <v>168330.59819096985</v>
      </c>
      <c r="AB686" s="6">
        <f t="shared" ca="1" si="105"/>
        <v>1605.5707449516469</v>
      </c>
    </row>
    <row r="687" spans="1:28" x14ac:dyDescent="0.3">
      <c r="A687" s="53"/>
      <c r="B687" s="54"/>
      <c r="C687" s="65" t="s">
        <v>242</v>
      </c>
      <c r="D687" s="65">
        <f t="shared" ca="1" si="98"/>
        <v>3</v>
      </c>
      <c r="E687" s="3">
        <f t="shared" ca="1" si="99"/>
        <v>0.93915743996340051</v>
      </c>
      <c r="F687" s="6">
        <f t="shared" ca="1" si="100"/>
        <v>83598.545553755728</v>
      </c>
      <c r="G687" s="6">
        <f t="shared" ca="1" si="101"/>
        <v>540.5660771275202</v>
      </c>
      <c r="V687" s="53"/>
      <c r="W687" s="54"/>
      <c r="X687" s="65" t="s">
        <v>242</v>
      </c>
      <c r="Y687" s="65">
        <f t="shared" ca="1" si="102"/>
        <v>4</v>
      </c>
      <c r="Z687" s="3">
        <f t="shared" ca="1" si="103"/>
        <v>0.90967117908033135</v>
      </c>
      <c r="AA687" s="6">
        <f t="shared" ca="1" si="104"/>
        <v>75215.323639272989</v>
      </c>
      <c r="AB687" s="6">
        <f t="shared" ca="1" si="105"/>
        <v>226.5130461931968</v>
      </c>
    </row>
    <row r="688" spans="1:28" x14ac:dyDescent="0.3">
      <c r="A688" s="53"/>
      <c r="B688" s="54"/>
      <c r="C688" s="65" t="s">
        <v>242</v>
      </c>
      <c r="D688" s="65">
        <f t="shared" ca="1" si="98"/>
        <v>2</v>
      </c>
      <c r="E688" s="3">
        <f t="shared" ca="1" si="99"/>
        <v>0.40200058235354619</v>
      </c>
      <c r="F688" s="6">
        <f t="shared" ca="1" si="100"/>
        <v>63928.725248786497</v>
      </c>
      <c r="G688" s="6">
        <f t="shared" ca="1" si="101"/>
        <v>1551.0158937142778</v>
      </c>
      <c r="V688" s="53"/>
      <c r="W688" s="54"/>
      <c r="X688" s="65" t="s">
        <v>242</v>
      </c>
      <c r="Y688" s="65">
        <f t="shared" ca="1" si="102"/>
        <v>2</v>
      </c>
      <c r="Z688" s="3">
        <f t="shared" ca="1" si="103"/>
        <v>0.31355026020603172</v>
      </c>
      <c r="AA688" s="6">
        <f t="shared" ca="1" si="104"/>
        <v>133930.1133999968</v>
      </c>
      <c r="AB688" s="6">
        <f t="shared" ca="1" si="105"/>
        <v>29.695504447878385</v>
      </c>
    </row>
    <row r="689" spans="1:28" x14ac:dyDescent="0.3">
      <c r="A689" s="53"/>
      <c r="B689" s="54"/>
      <c r="C689" s="65" t="s">
        <v>219</v>
      </c>
      <c r="D689" s="65">
        <f t="shared" ca="1" si="98"/>
        <v>2</v>
      </c>
      <c r="E689" s="3">
        <f t="shared" ca="1" si="99"/>
        <v>0.78521624412017976</v>
      </c>
      <c r="F689" s="6">
        <f t="shared" ca="1" si="100"/>
        <v>170193.64942726961</v>
      </c>
      <c r="G689" s="6">
        <f t="shared" ca="1" si="101"/>
        <v>642.68584850663797</v>
      </c>
      <c r="V689" s="53"/>
      <c r="W689" s="54"/>
      <c r="X689" s="65" t="s">
        <v>219</v>
      </c>
      <c r="Y689" s="65">
        <f t="shared" ca="1" si="102"/>
        <v>1</v>
      </c>
      <c r="Z689" s="3">
        <f t="shared" ca="1" si="103"/>
        <v>0.49066042525978748</v>
      </c>
      <c r="AA689" s="6">
        <f t="shared" ca="1" si="104"/>
        <v>133369.39902851972</v>
      </c>
      <c r="AB689" s="6">
        <f t="shared" ca="1" si="105"/>
        <v>729.71201533158944</v>
      </c>
    </row>
    <row r="690" spans="1:28" x14ac:dyDescent="0.3">
      <c r="A690" s="53"/>
      <c r="B690" s="54"/>
      <c r="C690" s="65" t="s">
        <v>242</v>
      </c>
      <c r="D690" s="65">
        <f t="shared" ca="1" si="98"/>
        <v>4</v>
      </c>
      <c r="E690" s="3">
        <f t="shared" ca="1" si="99"/>
        <v>0.25580603629936627</v>
      </c>
      <c r="F690" s="6">
        <f t="shared" ca="1" si="100"/>
        <v>125593.59373083683</v>
      </c>
      <c r="G690" s="6">
        <f t="shared" ca="1" si="101"/>
        <v>15.528319027474646</v>
      </c>
      <c r="V690" s="53"/>
      <c r="W690" s="54"/>
      <c r="X690" s="65" t="s">
        <v>242</v>
      </c>
      <c r="Y690" s="65">
        <f t="shared" ca="1" si="102"/>
        <v>3</v>
      </c>
      <c r="Z690" s="3">
        <f t="shared" ca="1" si="103"/>
        <v>0.26357079082301016</v>
      </c>
      <c r="AA690" s="6">
        <f t="shared" ca="1" si="104"/>
        <v>63843.796738084005</v>
      </c>
      <c r="AB690" s="6">
        <f t="shared" ca="1" si="105"/>
        <v>283.82872514401879</v>
      </c>
    </row>
    <row r="691" spans="1:28" x14ac:dyDescent="0.3">
      <c r="A691" s="53"/>
      <c r="B691" s="54"/>
      <c r="C691" s="65" t="s">
        <v>242</v>
      </c>
      <c r="D691" s="65">
        <f t="shared" ca="1" si="98"/>
        <v>1</v>
      </c>
      <c r="E691" s="3">
        <f t="shared" ca="1" si="99"/>
        <v>0.94382684688820595</v>
      </c>
      <c r="F691" s="6">
        <f t="shared" ca="1" si="100"/>
        <v>3806.3784155709659</v>
      </c>
      <c r="G691" s="6">
        <f t="shared" ca="1" si="101"/>
        <v>530.1133979004187</v>
      </c>
      <c r="V691" s="53"/>
      <c r="W691" s="54"/>
      <c r="X691" s="65" t="s">
        <v>242</v>
      </c>
      <c r="Y691" s="65">
        <f t="shared" ca="1" si="102"/>
        <v>3</v>
      </c>
      <c r="Z691" s="3">
        <f t="shared" ca="1" si="103"/>
        <v>0.58064224104027706</v>
      </c>
      <c r="AA691" s="6">
        <f t="shared" ca="1" si="104"/>
        <v>14239.520304835796</v>
      </c>
      <c r="AB691" s="6">
        <f t="shared" ca="1" si="105"/>
        <v>1657.0294003626418</v>
      </c>
    </row>
    <row r="692" spans="1:28" x14ac:dyDescent="0.3">
      <c r="A692" s="53"/>
      <c r="B692" s="54"/>
      <c r="C692" s="65" t="s">
        <v>242</v>
      </c>
      <c r="D692" s="65">
        <f t="shared" ca="1" si="98"/>
        <v>1</v>
      </c>
      <c r="E692" s="3">
        <f t="shared" ca="1" si="99"/>
        <v>0.99017148399823929</v>
      </c>
      <c r="F692" s="6">
        <f t="shared" ca="1" si="100"/>
        <v>117161.34131199343</v>
      </c>
      <c r="G692" s="6">
        <f t="shared" ca="1" si="101"/>
        <v>539.78934924189366</v>
      </c>
      <c r="V692" s="53"/>
      <c r="W692" s="54"/>
      <c r="X692" s="65" t="s">
        <v>242</v>
      </c>
      <c r="Y692" s="65">
        <f t="shared" ca="1" si="102"/>
        <v>1</v>
      </c>
      <c r="Z692" s="3">
        <f t="shared" ca="1" si="103"/>
        <v>0.5126050069704402</v>
      </c>
      <c r="AA692" s="6">
        <f t="shared" ca="1" si="104"/>
        <v>28961.486618675368</v>
      </c>
      <c r="AB692" s="6">
        <f t="shared" ca="1" si="105"/>
        <v>208.56755632342282</v>
      </c>
    </row>
    <row r="693" spans="1:28" x14ac:dyDescent="0.3">
      <c r="A693" s="53"/>
      <c r="B693" s="54"/>
      <c r="C693" s="65" t="s">
        <v>242</v>
      </c>
      <c r="D693" s="65">
        <f t="shared" ca="1" si="98"/>
        <v>3</v>
      </c>
      <c r="E693" s="3">
        <f t="shared" ca="1" si="99"/>
        <v>0.57557949474182302</v>
      </c>
      <c r="F693" s="6">
        <f t="shared" ca="1" si="100"/>
        <v>180782.79547908492</v>
      </c>
      <c r="G693" s="6">
        <f t="shared" ca="1" si="101"/>
        <v>339.37276086303279</v>
      </c>
      <c r="V693" s="53"/>
      <c r="W693" s="54"/>
      <c r="X693" s="65" t="s">
        <v>242</v>
      </c>
      <c r="Y693" s="65">
        <f t="shared" ca="1" si="102"/>
        <v>1</v>
      </c>
      <c r="Z693" s="3">
        <f t="shared" ca="1" si="103"/>
        <v>0.43079875680316482</v>
      </c>
      <c r="AA693" s="6">
        <f t="shared" ca="1" si="104"/>
        <v>178345.36070347007</v>
      </c>
      <c r="AB693" s="6">
        <f t="shared" ca="1" si="105"/>
        <v>1976.6564845571534</v>
      </c>
    </row>
    <row r="694" spans="1:28" x14ac:dyDescent="0.3">
      <c r="A694" s="53"/>
      <c r="B694" s="54"/>
      <c r="C694" s="65" t="s">
        <v>242</v>
      </c>
      <c r="D694" s="65">
        <f t="shared" ca="1" si="98"/>
        <v>1</v>
      </c>
      <c r="E694" s="3">
        <f t="shared" ca="1" si="99"/>
        <v>0.1030372038593238</v>
      </c>
      <c r="F694" s="6">
        <f t="shared" ca="1" si="100"/>
        <v>188017.75827760453</v>
      </c>
      <c r="G694" s="6">
        <f t="shared" ca="1" si="101"/>
        <v>119.36420064411735</v>
      </c>
      <c r="V694" s="53"/>
      <c r="W694" s="54"/>
      <c r="X694" s="65" t="s">
        <v>242</v>
      </c>
      <c r="Y694" s="65">
        <f t="shared" ca="1" si="102"/>
        <v>1</v>
      </c>
      <c r="Z694" s="3">
        <f t="shared" ca="1" si="103"/>
        <v>0.79068892918106382</v>
      </c>
      <c r="AA694" s="6">
        <f t="shared" ca="1" si="104"/>
        <v>112901.60152686175</v>
      </c>
      <c r="AB694" s="6">
        <f t="shared" ca="1" si="105"/>
        <v>479.78871328616157</v>
      </c>
    </row>
    <row r="695" spans="1:28" x14ac:dyDescent="0.3">
      <c r="A695" s="53"/>
      <c r="B695" s="54"/>
      <c r="C695" s="65" t="s">
        <v>242</v>
      </c>
      <c r="D695" s="65">
        <f t="shared" ca="1" si="98"/>
        <v>1</v>
      </c>
      <c r="E695" s="3">
        <f t="shared" ca="1" si="99"/>
        <v>0.2132306750209767</v>
      </c>
      <c r="F695" s="6">
        <f t="shared" ca="1" si="100"/>
        <v>167731.44845297188</v>
      </c>
      <c r="G695" s="6">
        <f t="shared" ca="1" si="101"/>
        <v>623.1218462797101</v>
      </c>
      <c r="V695" s="53"/>
      <c r="W695" s="54"/>
      <c r="X695" s="65" t="s">
        <v>242</v>
      </c>
      <c r="Y695" s="65">
        <f t="shared" ca="1" si="102"/>
        <v>1</v>
      </c>
      <c r="Z695" s="3">
        <f t="shared" ca="1" si="103"/>
        <v>0.41486890308707969</v>
      </c>
      <c r="AA695" s="6">
        <f t="shared" ca="1" si="104"/>
        <v>96630.444421437074</v>
      </c>
      <c r="AB695" s="6">
        <f t="shared" ca="1" si="105"/>
        <v>763.71493058367741</v>
      </c>
    </row>
    <row r="696" spans="1:28" x14ac:dyDescent="0.3">
      <c r="A696" s="53"/>
      <c r="B696" s="54"/>
      <c r="C696" s="65" t="s">
        <v>242</v>
      </c>
      <c r="D696" s="65">
        <f t="shared" ca="1" si="98"/>
        <v>3</v>
      </c>
      <c r="E696" s="3">
        <f t="shared" ca="1" si="99"/>
        <v>7.6171277899651502E-2</v>
      </c>
      <c r="F696" s="6">
        <f t="shared" ca="1" si="100"/>
        <v>156975.54272144745</v>
      </c>
      <c r="G696" s="6">
        <f t="shared" ca="1" si="101"/>
        <v>735.40899438720646</v>
      </c>
      <c r="V696" s="53"/>
      <c r="W696" s="54"/>
      <c r="X696" s="65" t="s">
        <v>242</v>
      </c>
      <c r="Y696" s="65">
        <f t="shared" ca="1" si="102"/>
        <v>3</v>
      </c>
      <c r="Z696" s="3">
        <f t="shared" ca="1" si="103"/>
        <v>0.55579066787113995</v>
      </c>
      <c r="AA696" s="6">
        <f t="shared" ca="1" si="104"/>
        <v>61343.112385970126</v>
      </c>
      <c r="AB696" s="6">
        <f t="shared" ca="1" si="105"/>
        <v>547.49084956435308</v>
      </c>
    </row>
    <row r="697" spans="1:28" x14ac:dyDescent="0.3">
      <c r="A697" s="53"/>
      <c r="B697" s="54"/>
      <c r="C697" s="65" t="s">
        <v>242</v>
      </c>
      <c r="D697" s="65">
        <f t="shared" ca="1" si="98"/>
        <v>2</v>
      </c>
      <c r="E697" s="3">
        <f t="shared" ca="1" si="99"/>
        <v>0.88101764475877431</v>
      </c>
      <c r="F697" s="6">
        <f t="shared" ca="1" si="100"/>
        <v>197314.34039059913</v>
      </c>
      <c r="G697" s="6">
        <f t="shared" ca="1" si="101"/>
        <v>1627.2546935488092</v>
      </c>
      <c r="V697" s="53"/>
      <c r="W697" s="54"/>
      <c r="X697" s="65" t="s">
        <v>242</v>
      </c>
      <c r="Y697" s="65">
        <f t="shared" ca="1" si="102"/>
        <v>3</v>
      </c>
      <c r="Z697" s="3">
        <f t="shared" ca="1" si="103"/>
        <v>0.19707208686118438</v>
      </c>
      <c r="AA697" s="6">
        <f t="shared" ca="1" si="104"/>
        <v>124958.67002530357</v>
      </c>
      <c r="AB697" s="6">
        <f t="shared" ca="1" si="105"/>
        <v>422.58325843462364</v>
      </c>
    </row>
    <row r="698" spans="1:28" x14ac:dyDescent="0.3">
      <c r="A698" s="53"/>
      <c r="B698" s="54"/>
      <c r="C698" s="65" t="s">
        <v>242</v>
      </c>
      <c r="D698" s="65">
        <f t="shared" ca="1" si="98"/>
        <v>4</v>
      </c>
      <c r="E698" s="3">
        <f t="shared" ca="1" si="99"/>
        <v>0.98656229344733282</v>
      </c>
      <c r="F698" s="6">
        <f t="shared" ca="1" si="100"/>
        <v>93799.627215613655</v>
      </c>
      <c r="G698" s="6">
        <f t="shared" ca="1" si="101"/>
        <v>1063.425369251989</v>
      </c>
      <c r="V698" s="53"/>
      <c r="W698" s="54"/>
      <c r="X698" s="65" t="s">
        <v>242</v>
      </c>
      <c r="Y698" s="65">
        <f t="shared" ca="1" si="102"/>
        <v>4</v>
      </c>
      <c r="Z698" s="3">
        <f t="shared" ca="1" si="103"/>
        <v>0.5736445021158777</v>
      </c>
      <c r="AA698" s="6">
        <f t="shared" ca="1" si="104"/>
        <v>30661.39814378761</v>
      </c>
      <c r="AB698" s="6">
        <f t="shared" ca="1" si="105"/>
        <v>1940.7166485196672</v>
      </c>
    </row>
    <row r="699" spans="1:28" x14ac:dyDescent="0.3">
      <c r="A699" s="53"/>
      <c r="B699" s="54"/>
      <c r="C699" s="65" t="s">
        <v>242</v>
      </c>
      <c r="D699" s="65">
        <f t="shared" ca="1" si="98"/>
        <v>4</v>
      </c>
      <c r="E699" s="3">
        <f t="shared" ca="1" si="99"/>
        <v>0.13908823666606973</v>
      </c>
      <c r="F699" s="6">
        <f t="shared" ca="1" si="100"/>
        <v>16648.752933265419</v>
      </c>
      <c r="G699" s="6">
        <f t="shared" ca="1" si="101"/>
        <v>1848.6989645071797</v>
      </c>
      <c r="V699" s="53"/>
      <c r="W699" s="54"/>
      <c r="X699" s="65" t="s">
        <v>242</v>
      </c>
      <c r="Y699" s="65">
        <f t="shared" ca="1" si="102"/>
        <v>4</v>
      </c>
      <c r="Z699" s="3">
        <f t="shared" ca="1" si="103"/>
        <v>0.40594936642731216</v>
      </c>
      <c r="AA699" s="6">
        <f t="shared" ca="1" si="104"/>
        <v>54635.681862933059</v>
      </c>
      <c r="AB699" s="6">
        <f t="shared" ca="1" si="105"/>
        <v>563.52890946492607</v>
      </c>
    </row>
    <row r="700" spans="1:28" x14ac:dyDescent="0.3">
      <c r="A700" s="53"/>
      <c r="B700" s="54"/>
      <c r="C700" s="65" t="s">
        <v>242</v>
      </c>
      <c r="D700" s="65">
        <f t="shared" ca="1" si="98"/>
        <v>2</v>
      </c>
      <c r="E700" s="3">
        <f t="shared" ca="1" si="99"/>
        <v>0.9207210211318112</v>
      </c>
      <c r="F700" s="6">
        <f t="shared" ca="1" si="100"/>
        <v>96098.918635769602</v>
      </c>
      <c r="G700" s="6">
        <f t="shared" ca="1" si="101"/>
        <v>1933.6532748450727</v>
      </c>
      <c r="V700" s="53"/>
      <c r="W700" s="54"/>
      <c r="X700" s="65" t="s">
        <v>242</v>
      </c>
      <c r="Y700" s="65">
        <f t="shared" ca="1" si="102"/>
        <v>2</v>
      </c>
      <c r="Z700" s="3">
        <f t="shared" ca="1" si="103"/>
        <v>0.55119078494667773</v>
      </c>
      <c r="AA700" s="6">
        <f t="shared" ca="1" si="104"/>
        <v>99129.437834250275</v>
      </c>
      <c r="AB700" s="6">
        <f t="shared" ca="1" si="105"/>
        <v>1500.0144082024681</v>
      </c>
    </row>
    <row r="701" spans="1:28" x14ac:dyDescent="0.3">
      <c r="A701" s="53"/>
      <c r="B701" s="54"/>
      <c r="C701" s="65" t="s">
        <v>242</v>
      </c>
      <c r="D701" s="65">
        <f t="shared" ca="1" si="98"/>
        <v>2</v>
      </c>
      <c r="E701" s="3">
        <f t="shared" ca="1" si="99"/>
        <v>0.45354434943973698</v>
      </c>
      <c r="F701" s="6">
        <f t="shared" ca="1" si="100"/>
        <v>82109.381876903644</v>
      </c>
      <c r="G701" s="6">
        <f t="shared" ca="1" si="101"/>
        <v>1159.9362225045866</v>
      </c>
      <c r="V701" s="53"/>
      <c r="W701" s="54"/>
      <c r="X701" s="65" t="s">
        <v>242</v>
      </c>
      <c r="Y701" s="65">
        <f t="shared" ca="1" si="102"/>
        <v>1</v>
      </c>
      <c r="Z701" s="3">
        <f t="shared" ca="1" si="103"/>
        <v>0.83489949198279423</v>
      </c>
      <c r="AA701" s="6">
        <f t="shared" ca="1" si="104"/>
        <v>80738.359703496724</v>
      </c>
      <c r="AB701" s="6">
        <f t="shared" ca="1" si="105"/>
        <v>81.280128970917303</v>
      </c>
    </row>
    <row r="702" spans="1:28" x14ac:dyDescent="0.3">
      <c r="A702" s="53"/>
      <c r="B702" s="54"/>
      <c r="C702" s="65" t="s">
        <v>242</v>
      </c>
      <c r="D702" s="65">
        <f t="shared" ca="1" si="98"/>
        <v>3</v>
      </c>
      <c r="E702" s="3">
        <f t="shared" ca="1" si="99"/>
        <v>0.94276228549462304</v>
      </c>
      <c r="F702" s="6">
        <f t="shared" ca="1" si="100"/>
        <v>141060.53957459822</v>
      </c>
      <c r="G702" s="6">
        <f t="shared" ca="1" si="101"/>
        <v>1241.3822059020356</v>
      </c>
      <c r="V702" s="53"/>
      <c r="W702" s="54"/>
      <c r="X702" s="65" t="s">
        <v>242</v>
      </c>
      <c r="Y702" s="65">
        <f t="shared" ca="1" si="102"/>
        <v>1</v>
      </c>
      <c r="Z702" s="3">
        <f t="shared" ca="1" si="103"/>
        <v>0.64728214538449758</v>
      </c>
      <c r="AA702" s="6">
        <f t="shared" ca="1" si="104"/>
        <v>130819.69127548247</v>
      </c>
      <c r="AB702" s="6">
        <f t="shared" ca="1" si="105"/>
        <v>313.87880018205982</v>
      </c>
    </row>
    <row r="703" spans="1:28" x14ac:dyDescent="0.3">
      <c r="A703" s="53"/>
      <c r="B703" s="54"/>
      <c r="C703" s="65" t="s">
        <v>219</v>
      </c>
      <c r="D703" s="65">
        <f t="shared" ca="1" si="98"/>
        <v>2</v>
      </c>
      <c r="E703" s="3">
        <f t="shared" ca="1" si="99"/>
        <v>0.50103619720773496</v>
      </c>
      <c r="F703" s="6">
        <f t="shared" ca="1" si="100"/>
        <v>2856.0550993174561</v>
      </c>
      <c r="G703" s="6">
        <f t="shared" ca="1" si="101"/>
        <v>1163.0951291404645</v>
      </c>
      <c r="V703" s="53"/>
      <c r="W703" s="54"/>
      <c r="X703" s="65" t="s">
        <v>219</v>
      </c>
      <c r="Y703" s="65">
        <f t="shared" ca="1" si="102"/>
        <v>2</v>
      </c>
      <c r="Z703" s="3">
        <f t="shared" ca="1" si="103"/>
        <v>0.63312722625511586</v>
      </c>
      <c r="AA703" s="6">
        <f t="shared" ca="1" si="104"/>
        <v>149165.21187295232</v>
      </c>
      <c r="AB703" s="6">
        <f t="shared" ca="1" si="105"/>
        <v>1004.8737481487719</v>
      </c>
    </row>
    <row r="704" spans="1:28" x14ac:dyDescent="0.3">
      <c r="A704" s="53"/>
      <c r="B704" s="54"/>
      <c r="C704" s="65" t="s">
        <v>242</v>
      </c>
      <c r="D704" s="65">
        <f t="shared" ca="1" si="98"/>
        <v>3</v>
      </c>
      <c r="E704" s="3">
        <f t="shared" ca="1" si="99"/>
        <v>0.75676999781995313</v>
      </c>
      <c r="F704" s="6">
        <f t="shared" ca="1" si="100"/>
        <v>82504.769872289922</v>
      </c>
      <c r="G704" s="6">
        <f t="shared" ca="1" si="101"/>
        <v>1627.721472588498</v>
      </c>
      <c r="V704" s="53"/>
      <c r="W704" s="54"/>
      <c r="X704" s="65" t="s">
        <v>242</v>
      </c>
      <c r="Y704" s="65">
        <f t="shared" ca="1" si="102"/>
        <v>1</v>
      </c>
      <c r="Z704" s="3">
        <f t="shared" ca="1" si="103"/>
        <v>0.93353235588605987</v>
      </c>
      <c r="AA704" s="6">
        <f t="shared" ca="1" si="104"/>
        <v>145471.9109073758</v>
      </c>
      <c r="AB704" s="6">
        <f t="shared" ca="1" si="105"/>
        <v>64.031410688098362</v>
      </c>
    </row>
    <row r="705" spans="1:28" x14ac:dyDescent="0.3">
      <c r="A705" s="53"/>
      <c r="B705" s="54"/>
      <c r="C705" s="65" t="s">
        <v>242</v>
      </c>
      <c r="D705" s="65">
        <f t="shared" ca="1" si="98"/>
        <v>3</v>
      </c>
      <c r="E705" s="3">
        <f t="shared" ca="1" si="99"/>
        <v>0.28614451994751289</v>
      </c>
      <c r="F705" s="6">
        <f t="shared" ca="1" si="100"/>
        <v>116065.69811057896</v>
      </c>
      <c r="G705" s="6">
        <f t="shared" ca="1" si="101"/>
        <v>1401.6329894163921</v>
      </c>
      <c r="V705" s="53"/>
      <c r="W705" s="54"/>
      <c r="X705" s="65" t="s">
        <v>242</v>
      </c>
      <c r="Y705" s="65">
        <f t="shared" ca="1" si="102"/>
        <v>1</v>
      </c>
      <c r="Z705" s="3">
        <f t="shared" ca="1" si="103"/>
        <v>0.40424224366322847</v>
      </c>
      <c r="AA705" s="6">
        <f t="shared" ca="1" si="104"/>
        <v>69379.347253049302</v>
      </c>
      <c r="AB705" s="6">
        <f t="shared" ca="1" si="105"/>
        <v>1293.7029657533885</v>
      </c>
    </row>
    <row r="706" spans="1:28" x14ac:dyDescent="0.3">
      <c r="A706" s="53"/>
      <c r="B706" s="54"/>
      <c r="C706" s="65" t="s">
        <v>242</v>
      </c>
      <c r="D706" s="65">
        <f t="shared" ca="1" si="98"/>
        <v>1</v>
      </c>
      <c r="E706" s="3">
        <f t="shared" ca="1" si="99"/>
        <v>0.82985214468189439</v>
      </c>
      <c r="F706" s="6">
        <f t="shared" ca="1" si="100"/>
        <v>76287.665007653763</v>
      </c>
      <c r="G706" s="6">
        <f t="shared" ca="1" si="101"/>
        <v>211.07409394287947</v>
      </c>
      <c r="V706" s="53"/>
      <c r="W706" s="54"/>
      <c r="X706" s="65" t="s">
        <v>242</v>
      </c>
      <c r="Y706" s="65">
        <f t="shared" ca="1" si="102"/>
        <v>1</v>
      </c>
      <c r="Z706" s="3">
        <f t="shared" ca="1" si="103"/>
        <v>0.9150444040731176</v>
      </c>
      <c r="AA706" s="6">
        <f t="shared" ca="1" si="104"/>
        <v>158500.8956889633</v>
      </c>
      <c r="AB706" s="6">
        <f t="shared" ca="1" si="105"/>
        <v>1241.2159952386069</v>
      </c>
    </row>
    <row r="707" spans="1:28" x14ac:dyDescent="0.3">
      <c r="A707" s="53"/>
      <c r="B707" s="54"/>
      <c r="C707" s="65" t="s">
        <v>242</v>
      </c>
      <c r="D707" s="65">
        <f t="shared" ca="1" si="98"/>
        <v>3</v>
      </c>
      <c r="E707" s="3">
        <f t="shared" ca="1" si="99"/>
        <v>0.34226885405682628</v>
      </c>
      <c r="F707" s="6">
        <f t="shared" ca="1" si="100"/>
        <v>119830.25723500445</v>
      </c>
      <c r="G707" s="6">
        <f t="shared" ca="1" si="101"/>
        <v>1566.7778732250999</v>
      </c>
      <c r="V707" s="53"/>
      <c r="W707" s="54"/>
      <c r="X707" s="65" t="s">
        <v>242</v>
      </c>
      <c r="Y707" s="65">
        <f t="shared" ca="1" si="102"/>
        <v>3</v>
      </c>
      <c r="Z707" s="3">
        <f t="shared" ca="1" si="103"/>
        <v>0.15349095899425136</v>
      </c>
      <c r="AA707" s="6">
        <f t="shared" ca="1" si="104"/>
        <v>44567.299465871365</v>
      </c>
      <c r="AB707" s="6">
        <f t="shared" ca="1" si="105"/>
        <v>559.40922927223721</v>
      </c>
    </row>
    <row r="708" spans="1:28" x14ac:dyDescent="0.3">
      <c r="A708" s="53"/>
      <c r="B708" s="54"/>
      <c r="C708" s="65" t="s">
        <v>242</v>
      </c>
      <c r="D708" s="65">
        <f t="shared" ca="1" si="98"/>
        <v>1</v>
      </c>
      <c r="E708" s="3">
        <f t="shared" ca="1" si="99"/>
        <v>0.65426458352509664</v>
      </c>
      <c r="F708" s="6">
        <f t="shared" ca="1" si="100"/>
        <v>14088.347303049286</v>
      </c>
      <c r="G708" s="6">
        <f t="shared" ca="1" si="101"/>
        <v>573.85770192534346</v>
      </c>
      <c r="V708" s="53"/>
      <c r="W708" s="54"/>
      <c r="X708" s="65" t="s">
        <v>242</v>
      </c>
      <c r="Y708" s="65">
        <f t="shared" ca="1" si="102"/>
        <v>3</v>
      </c>
      <c r="Z708" s="3">
        <f t="shared" ca="1" si="103"/>
        <v>0.53764941354350049</v>
      </c>
      <c r="AA708" s="6">
        <f t="shared" ca="1" si="104"/>
        <v>148153.56205327902</v>
      </c>
      <c r="AB708" s="6">
        <f t="shared" ca="1" si="105"/>
        <v>754.21075647766406</v>
      </c>
    </row>
    <row r="709" spans="1:28" x14ac:dyDescent="0.3">
      <c r="A709" s="53"/>
      <c r="B709" s="54"/>
      <c r="C709" s="65" t="s">
        <v>242</v>
      </c>
      <c r="D709" s="65">
        <f t="shared" ca="1" si="98"/>
        <v>1</v>
      </c>
      <c r="E709" s="3">
        <f t="shared" ca="1" si="99"/>
        <v>0.43920248015550611</v>
      </c>
      <c r="F709" s="6">
        <f t="shared" ca="1" si="100"/>
        <v>64912.562456136147</v>
      </c>
      <c r="G709" s="6">
        <f t="shared" ca="1" si="101"/>
        <v>1536.1667679859661</v>
      </c>
      <c r="V709" s="53"/>
      <c r="W709" s="54"/>
      <c r="X709" s="65" t="s">
        <v>242</v>
      </c>
      <c r="Y709" s="65">
        <f t="shared" ca="1" si="102"/>
        <v>2</v>
      </c>
      <c r="Z709" s="3">
        <f t="shared" ca="1" si="103"/>
        <v>0.79185195826288002</v>
      </c>
      <c r="AA709" s="6">
        <f t="shared" ca="1" si="104"/>
        <v>122596.2747929773</v>
      </c>
      <c r="AB709" s="6">
        <f t="shared" ca="1" si="105"/>
        <v>1340.9489537757852</v>
      </c>
    </row>
    <row r="710" spans="1:28" x14ac:dyDescent="0.3">
      <c r="A710" s="53"/>
      <c r="B710" s="54"/>
      <c r="C710" s="65" t="s">
        <v>242</v>
      </c>
      <c r="D710" s="65">
        <f t="shared" ca="1" si="98"/>
        <v>4</v>
      </c>
      <c r="E710" s="3">
        <f t="shared" ca="1" si="99"/>
        <v>0.98768242377545856</v>
      </c>
      <c r="F710" s="6">
        <f t="shared" ca="1" si="100"/>
        <v>165923.18936021219</v>
      </c>
      <c r="G710" s="6">
        <f t="shared" ca="1" si="101"/>
        <v>536.5980154952224</v>
      </c>
      <c r="V710" s="53"/>
      <c r="W710" s="54"/>
      <c r="X710" s="65" t="s">
        <v>242</v>
      </c>
      <c r="Y710" s="65">
        <f t="shared" ca="1" si="102"/>
        <v>3</v>
      </c>
      <c r="Z710" s="3">
        <f t="shared" ca="1" si="103"/>
        <v>0.35084373914583167</v>
      </c>
      <c r="AA710" s="6">
        <f t="shared" ca="1" si="104"/>
        <v>16496.807359779385</v>
      </c>
      <c r="AB710" s="6">
        <f t="shared" ca="1" si="105"/>
        <v>1545.021930865888</v>
      </c>
    </row>
    <row r="711" spans="1:28" x14ac:dyDescent="0.3">
      <c r="A711" s="53"/>
      <c r="B711" s="54"/>
      <c r="C711" s="65" t="s">
        <v>242</v>
      </c>
      <c r="D711" s="65">
        <f t="shared" ca="1" si="98"/>
        <v>2</v>
      </c>
      <c r="E711" s="3">
        <f t="shared" ca="1" si="99"/>
        <v>0.43252345637338796</v>
      </c>
      <c r="F711" s="6">
        <f t="shared" ca="1" si="100"/>
        <v>75531.846147891963</v>
      </c>
      <c r="G711" s="6">
        <f t="shared" ca="1" si="101"/>
        <v>1275.9838580205981</v>
      </c>
      <c r="V711" s="53"/>
      <c r="W711" s="54"/>
      <c r="X711" s="65" t="s">
        <v>242</v>
      </c>
      <c r="Y711" s="65">
        <f t="shared" ca="1" si="102"/>
        <v>3</v>
      </c>
      <c r="Z711" s="3">
        <f t="shared" ca="1" si="103"/>
        <v>0.69470863814518702</v>
      </c>
      <c r="AA711" s="6">
        <f t="shared" ca="1" si="104"/>
        <v>177346.11723424809</v>
      </c>
      <c r="AB711" s="6">
        <f t="shared" ca="1" si="105"/>
        <v>1532.2976209343778</v>
      </c>
    </row>
    <row r="712" spans="1:28" x14ac:dyDescent="0.3">
      <c r="A712" s="53"/>
      <c r="B712" s="54"/>
      <c r="C712" s="65" t="s">
        <v>242</v>
      </c>
      <c r="D712" s="65">
        <f t="shared" ca="1" si="98"/>
        <v>4</v>
      </c>
      <c r="E712" s="3">
        <f t="shared" ca="1" si="99"/>
        <v>0.62614094288452171</v>
      </c>
      <c r="F712" s="6">
        <f t="shared" ca="1" si="100"/>
        <v>168663.95934940799</v>
      </c>
      <c r="G712" s="6">
        <f t="shared" ca="1" si="101"/>
        <v>146.4306226540395</v>
      </c>
      <c r="V712" s="53"/>
      <c r="W712" s="54"/>
      <c r="X712" s="65" t="s">
        <v>242</v>
      </c>
      <c r="Y712" s="65">
        <f t="shared" ca="1" si="102"/>
        <v>4</v>
      </c>
      <c r="Z712" s="3">
        <f t="shared" ca="1" si="103"/>
        <v>0.95534032020460879</v>
      </c>
      <c r="AA712" s="6">
        <f t="shared" ca="1" si="104"/>
        <v>153895.96957140329</v>
      </c>
      <c r="AB712" s="6">
        <f t="shared" ca="1" si="105"/>
        <v>1760.9008781204643</v>
      </c>
    </row>
    <row r="713" spans="1:28" x14ac:dyDescent="0.3">
      <c r="A713" s="53"/>
      <c r="B713" s="54"/>
      <c r="C713" s="65" t="s">
        <v>242</v>
      </c>
      <c r="D713" s="65">
        <f t="shared" ca="1" si="98"/>
        <v>4</v>
      </c>
      <c r="E713" s="3">
        <f t="shared" ca="1" si="99"/>
        <v>8.1423626648868264E-2</v>
      </c>
      <c r="F713" s="6">
        <f t="shared" ca="1" si="100"/>
        <v>178530.95476388317</v>
      </c>
      <c r="G713" s="6">
        <f t="shared" ca="1" si="101"/>
        <v>1756.2779255982116</v>
      </c>
      <c r="V713" s="53"/>
      <c r="W713" s="54"/>
      <c r="X713" s="65" t="s">
        <v>242</v>
      </c>
      <c r="Y713" s="65">
        <f t="shared" ca="1" si="102"/>
        <v>3</v>
      </c>
      <c r="Z713" s="3">
        <f t="shared" ca="1" si="103"/>
        <v>0.56931495412071897</v>
      </c>
      <c r="AA713" s="6">
        <f t="shared" ca="1" si="104"/>
        <v>102888.81317091407</v>
      </c>
      <c r="AB713" s="6">
        <f t="shared" ca="1" si="105"/>
        <v>105.28397488478869</v>
      </c>
    </row>
    <row r="714" spans="1:28" x14ac:dyDescent="0.3">
      <c r="A714" s="53"/>
      <c r="B714" s="54"/>
      <c r="C714" s="65" t="s">
        <v>242</v>
      </c>
      <c r="D714" s="65">
        <f t="shared" ca="1" si="98"/>
        <v>2</v>
      </c>
      <c r="E714" s="3">
        <f t="shared" ca="1" si="99"/>
        <v>0.33664453660868809</v>
      </c>
      <c r="F714" s="6">
        <f t="shared" ca="1" si="100"/>
        <v>149197.86601305936</v>
      </c>
      <c r="G714" s="6">
        <f t="shared" ca="1" si="101"/>
        <v>672.63219192779047</v>
      </c>
      <c r="V714" s="53"/>
      <c r="W714" s="54"/>
      <c r="X714" s="65" t="s">
        <v>242</v>
      </c>
      <c r="Y714" s="65">
        <f t="shared" ca="1" si="102"/>
        <v>3</v>
      </c>
      <c r="Z714" s="3">
        <f t="shared" ca="1" si="103"/>
        <v>0.83896171442895062</v>
      </c>
      <c r="AA714" s="6">
        <f t="shared" ca="1" si="104"/>
        <v>152267.41312271557</v>
      </c>
      <c r="AB714" s="6">
        <f t="shared" ca="1" si="105"/>
        <v>621.77251732119237</v>
      </c>
    </row>
    <row r="715" spans="1:28" x14ac:dyDescent="0.3">
      <c r="A715" s="53"/>
      <c r="B715" s="54"/>
      <c r="C715" s="65" t="s">
        <v>242</v>
      </c>
      <c r="D715" s="65">
        <f t="shared" ca="1" si="98"/>
        <v>4</v>
      </c>
      <c r="E715" s="3">
        <f t="shared" ca="1" si="99"/>
        <v>0.64943864494354198</v>
      </c>
      <c r="F715" s="6">
        <f t="shared" ca="1" si="100"/>
        <v>163102.98213778794</v>
      </c>
      <c r="G715" s="6">
        <f t="shared" ca="1" si="101"/>
        <v>1958.3378174748598</v>
      </c>
      <c r="V715" s="53"/>
      <c r="W715" s="54"/>
      <c r="X715" s="65" t="s">
        <v>242</v>
      </c>
      <c r="Y715" s="65">
        <f t="shared" ca="1" si="102"/>
        <v>4</v>
      </c>
      <c r="Z715" s="3">
        <f t="shared" ca="1" si="103"/>
        <v>0.35035888812464855</v>
      </c>
      <c r="AA715" s="6">
        <f t="shared" ca="1" si="104"/>
        <v>26111.612900721437</v>
      </c>
      <c r="AB715" s="6">
        <f t="shared" ca="1" si="105"/>
        <v>1259.858931874769</v>
      </c>
    </row>
    <row r="716" spans="1:28" x14ac:dyDescent="0.3">
      <c r="A716" s="53"/>
      <c r="B716" s="54"/>
      <c r="C716" s="65" t="s">
        <v>242</v>
      </c>
      <c r="D716" s="65">
        <f t="shared" ca="1" si="98"/>
        <v>2</v>
      </c>
      <c r="E716" s="3">
        <f t="shared" ca="1" si="99"/>
        <v>0.41684384209163827</v>
      </c>
      <c r="F716" s="6">
        <f t="shared" ca="1" si="100"/>
        <v>145936.86142496232</v>
      </c>
      <c r="G716" s="6">
        <f t="shared" ca="1" si="101"/>
        <v>273.83439456372673</v>
      </c>
      <c r="V716" s="53"/>
      <c r="W716" s="54"/>
      <c r="X716" s="65" t="s">
        <v>242</v>
      </c>
      <c r="Y716" s="65">
        <f t="shared" ca="1" si="102"/>
        <v>3</v>
      </c>
      <c r="Z716" s="3">
        <f t="shared" ca="1" si="103"/>
        <v>0.51340026575608977</v>
      </c>
      <c r="AA716" s="6">
        <f t="shared" ca="1" si="104"/>
        <v>126406.17028628089</v>
      </c>
      <c r="AB716" s="6">
        <f t="shared" ca="1" si="105"/>
        <v>718.38843755319192</v>
      </c>
    </row>
    <row r="717" spans="1:28" x14ac:dyDescent="0.3">
      <c r="A717" s="53"/>
      <c r="B717" s="54"/>
      <c r="C717" s="65" t="s">
        <v>242</v>
      </c>
      <c r="D717" s="65">
        <f t="shared" ref="D717:D780" ca="1" si="106">INT(RAND()*4)+1</f>
        <v>4</v>
      </c>
      <c r="E717" s="3">
        <f t="shared" ref="E717:E780" ca="1" si="107">RAND()</f>
        <v>0.15599067255384103</v>
      </c>
      <c r="F717" s="6">
        <f t="shared" ref="F717:F780" ca="1" si="108">RAND()*200000</f>
        <v>110240.02805133733</v>
      </c>
      <c r="G717" s="6">
        <f t="shared" ref="G717:G780" ca="1" si="109">RAND()*2000</f>
        <v>437.7074276378541</v>
      </c>
      <c r="V717" s="53"/>
      <c r="W717" s="54"/>
      <c r="X717" s="65" t="s">
        <v>242</v>
      </c>
      <c r="Y717" s="65">
        <f t="shared" ref="Y717:Y780" ca="1" si="110">INT(RAND()*4)+1</f>
        <v>3</v>
      </c>
      <c r="Z717" s="3">
        <f t="shared" ref="Z717:Z780" ca="1" si="111">RAND()</f>
        <v>7.4984601821324048E-3</v>
      </c>
      <c r="AA717" s="6">
        <f t="shared" ref="AA717:AA780" ca="1" si="112">RAND()*200000</f>
        <v>6897.7150865200174</v>
      </c>
      <c r="AB717" s="6">
        <f t="shared" ref="AB717:AB780" ca="1" si="113">RAND()*2000</f>
        <v>634.65999113246039</v>
      </c>
    </row>
    <row r="718" spans="1:28" x14ac:dyDescent="0.3">
      <c r="A718" s="53"/>
      <c r="B718" s="54"/>
      <c r="C718" s="65" t="s">
        <v>242</v>
      </c>
      <c r="D718" s="65">
        <f t="shared" ca="1" si="106"/>
        <v>4</v>
      </c>
      <c r="E718" s="3">
        <f t="shared" ca="1" si="107"/>
        <v>0.93631680648196713</v>
      </c>
      <c r="F718" s="6">
        <f t="shared" ca="1" si="108"/>
        <v>25395.341409140794</v>
      </c>
      <c r="G718" s="6">
        <f t="shared" ca="1" si="109"/>
        <v>468.00130711639463</v>
      </c>
      <c r="V718" s="53"/>
      <c r="W718" s="54"/>
      <c r="X718" s="65" t="s">
        <v>242</v>
      </c>
      <c r="Y718" s="65">
        <f t="shared" ca="1" si="110"/>
        <v>3</v>
      </c>
      <c r="Z718" s="3">
        <f t="shared" ca="1" si="111"/>
        <v>0.88333238616554532</v>
      </c>
      <c r="AA718" s="6">
        <f t="shared" ca="1" si="112"/>
        <v>160605.31177184437</v>
      </c>
      <c r="AB718" s="6">
        <f t="shared" ca="1" si="113"/>
        <v>597.64497527088145</v>
      </c>
    </row>
    <row r="719" spans="1:28" x14ac:dyDescent="0.3">
      <c r="A719" s="53"/>
      <c r="B719" s="54"/>
      <c r="C719" s="65" t="s">
        <v>242</v>
      </c>
      <c r="D719" s="65">
        <f t="shared" ca="1" si="106"/>
        <v>3</v>
      </c>
      <c r="E719" s="3">
        <f t="shared" ca="1" si="107"/>
        <v>0.16969640839041278</v>
      </c>
      <c r="F719" s="6">
        <f t="shared" ca="1" si="108"/>
        <v>150207.86787874234</v>
      </c>
      <c r="G719" s="6">
        <f t="shared" ca="1" si="109"/>
        <v>1739.8757042398352</v>
      </c>
      <c r="V719" s="53"/>
      <c r="W719" s="54"/>
      <c r="X719" s="65" t="s">
        <v>242</v>
      </c>
      <c r="Y719" s="65">
        <f t="shared" ca="1" si="110"/>
        <v>1</v>
      </c>
      <c r="Z719" s="3">
        <f t="shared" ca="1" si="111"/>
        <v>0.57869635506907524</v>
      </c>
      <c r="AA719" s="6">
        <f t="shared" ca="1" si="112"/>
        <v>61816.223270960836</v>
      </c>
      <c r="AB719" s="6">
        <f t="shared" ca="1" si="113"/>
        <v>456.58437953035434</v>
      </c>
    </row>
    <row r="720" spans="1:28" x14ac:dyDescent="0.3">
      <c r="A720" s="53"/>
      <c r="B720" s="54"/>
      <c r="C720" s="65" t="s">
        <v>242</v>
      </c>
      <c r="D720" s="65">
        <f t="shared" ca="1" si="106"/>
        <v>2</v>
      </c>
      <c r="E720" s="3">
        <f t="shared" ca="1" si="107"/>
        <v>0.18527889074241644</v>
      </c>
      <c r="F720" s="6">
        <f t="shared" ca="1" si="108"/>
        <v>118811.09591670881</v>
      </c>
      <c r="G720" s="6">
        <f t="shared" ca="1" si="109"/>
        <v>940.18819710587547</v>
      </c>
      <c r="V720" s="53"/>
      <c r="W720" s="54"/>
      <c r="X720" s="65" t="s">
        <v>242</v>
      </c>
      <c r="Y720" s="65">
        <f t="shared" ca="1" si="110"/>
        <v>1</v>
      </c>
      <c r="Z720" s="3">
        <f t="shared" ca="1" si="111"/>
        <v>0.26667740558006947</v>
      </c>
      <c r="AA720" s="6">
        <f t="shared" ca="1" si="112"/>
        <v>110571.83113389046</v>
      </c>
      <c r="AB720" s="6">
        <f t="shared" ca="1" si="113"/>
        <v>1148.7100710988661</v>
      </c>
    </row>
    <row r="721" spans="1:28" x14ac:dyDescent="0.3">
      <c r="A721" s="53"/>
      <c r="B721" s="54"/>
      <c r="C721" s="65" t="s">
        <v>242</v>
      </c>
      <c r="D721" s="65">
        <f t="shared" ca="1" si="106"/>
        <v>1</v>
      </c>
      <c r="E721" s="3">
        <f t="shared" ca="1" si="107"/>
        <v>0.31874492982553293</v>
      </c>
      <c r="F721" s="6">
        <f t="shared" ca="1" si="108"/>
        <v>75573.6850491121</v>
      </c>
      <c r="G721" s="6">
        <f t="shared" ca="1" si="109"/>
        <v>1340.2143029692975</v>
      </c>
      <c r="V721" s="53"/>
      <c r="W721" s="54"/>
      <c r="X721" s="65" t="s">
        <v>242</v>
      </c>
      <c r="Y721" s="65">
        <f t="shared" ca="1" si="110"/>
        <v>3</v>
      </c>
      <c r="Z721" s="3">
        <f t="shared" ca="1" si="111"/>
        <v>0.90169909356629585</v>
      </c>
      <c r="AA721" s="6">
        <f t="shared" ca="1" si="112"/>
        <v>148286.6038701169</v>
      </c>
      <c r="AB721" s="6">
        <f t="shared" ca="1" si="113"/>
        <v>1354.5545188153721</v>
      </c>
    </row>
    <row r="722" spans="1:28" x14ac:dyDescent="0.3">
      <c r="A722" s="53"/>
      <c r="B722" s="54"/>
      <c r="C722" s="65" t="s">
        <v>242</v>
      </c>
      <c r="D722" s="65">
        <f t="shared" ca="1" si="106"/>
        <v>2</v>
      </c>
      <c r="E722" s="3">
        <f t="shared" ca="1" si="107"/>
        <v>0.39927237102840818</v>
      </c>
      <c r="F722" s="6">
        <f t="shared" ca="1" si="108"/>
        <v>170551.55573076478</v>
      </c>
      <c r="G722" s="6">
        <f t="shared" ca="1" si="109"/>
        <v>1701.6145594940651</v>
      </c>
      <c r="V722" s="53"/>
      <c r="W722" s="54"/>
      <c r="X722" s="65" t="s">
        <v>242</v>
      </c>
      <c r="Y722" s="65">
        <f t="shared" ca="1" si="110"/>
        <v>4</v>
      </c>
      <c r="Z722" s="3">
        <f t="shared" ca="1" si="111"/>
        <v>9.8368274214115536E-2</v>
      </c>
      <c r="AA722" s="6">
        <f t="shared" ca="1" si="112"/>
        <v>26456.20497097525</v>
      </c>
      <c r="AB722" s="6">
        <f t="shared" ca="1" si="113"/>
        <v>481.50756561755026</v>
      </c>
    </row>
    <row r="723" spans="1:28" x14ac:dyDescent="0.3">
      <c r="A723" s="53"/>
      <c r="B723" s="54"/>
      <c r="C723" s="65" t="s">
        <v>242</v>
      </c>
      <c r="D723" s="65">
        <f t="shared" ca="1" si="106"/>
        <v>3</v>
      </c>
      <c r="E723" s="3">
        <f t="shared" ca="1" si="107"/>
        <v>7.4086808542460081E-2</v>
      </c>
      <c r="F723" s="6">
        <f t="shared" ca="1" si="108"/>
        <v>166495.75548192099</v>
      </c>
      <c r="G723" s="6">
        <f t="shared" ca="1" si="109"/>
        <v>1668.4450352116271</v>
      </c>
      <c r="V723" s="53"/>
      <c r="W723" s="54"/>
      <c r="X723" s="65" t="s">
        <v>242</v>
      </c>
      <c r="Y723" s="65">
        <f t="shared" ca="1" si="110"/>
        <v>3</v>
      </c>
      <c r="Z723" s="3">
        <f t="shared" ca="1" si="111"/>
        <v>0.15936344603274211</v>
      </c>
      <c r="AA723" s="6">
        <f t="shared" ca="1" si="112"/>
        <v>113222.36004817602</v>
      </c>
      <c r="AB723" s="6">
        <f t="shared" ca="1" si="113"/>
        <v>1418.4333298192428</v>
      </c>
    </row>
    <row r="724" spans="1:28" x14ac:dyDescent="0.3">
      <c r="A724" s="53"/>
      <c r="B724" s="54"/>
      <c r="C724" s="65" t="s">
        <v>242</v>
      </c>
      <c r="D724" s="65">
        <f t="shared" ca="1" si="106"/>
        <v>4</v>
      </c>
      <c r="E724" s="3">
        <f t="shared" ca="1" si="107"/>
        <v>0.82696438009041229</v>
      </c>
      <c r="F724" s="6">
        <f t="shared" ca="1" si="108"/>
        <v>66367.79947167309</v>
      </c>
      <c r="G724" s="6">
        <f t="shared" ca="1" si="109"/>
        <v>1083.6337052515894</v>
      </c>
      <c r="V724" s="53"/>
      <c r="W724" s="54"/>
      <c r="X724" s="65" t="s">
        <v>242</v>
      </c>
      <c r="Y724" s="65">
        <f t="shared" ca="1" si="110"/>
        <v>1</v>
      </c>
      <c r="Z724" s="3">
        <f t="shared" ca="1" si="111"/>
        <v>0.84123361333014124</v>
      </c>
      <c r="AA724" s="6">
        <f t="shared" ca="1" si="112"/>
        <v>48885.389594475506</v>
      </c>
      <c r="AB724" s="6">
        <f t="shared" ca="1" si="113"/>
        <v>507.66933561439151</v>
      </c>
    </row>
    <row r="725" spans="1:28" x14ac:dyDescent="0.3">
      <c r="A725" s="53"/>
      <c r="B725" s="54"/>
      <c r="C725" s="65" t="s">
        <v>242</v>
      </c>
      <c r="D725" s="65">
        <f t="shared" ca="1" si="106"/>
        <v>3</v>
      </c>
      <c r="E725" s="3">
        <f t="shared" ca="1" si="107"/>
        <v>0.60326982441255472</v>
      </c>
      <c r="F725" s="6">
        <f t="shared" ca="1" si="108"/>
        <v>105146.19100459166</v>
      </c>
      <c r="G725" s="6">
        <f t="shared" ca="1" si="109"/>
        <v>742.77181877554256</v>
      </c>
      <c r="V725" s="53"/>
      <c r="W725" s="54"/>
      <c r="X725" s="65" t="s">
        <v>242</v>
      </c>
      <c r="Y725" s="65">
        <f t="shared" ca="1" si="110"/>
        <v>3</v>
      </c>
      <c r="Z725" s="3">
        <f t="shared" ca="1" si="111"/>
        <v>0.22180348218054224</v>
      </c>
      <c r="AA725" s="6">
        <f t="shared" ca="1" si="112"/>
        <v>198707.40757782137</v>
      </c>
      <c r="AB725" s="6">
        <f t="shared" ca="1" si="113"/>
        <v>1003.5782054391922</v>
      </c>
    </row>
    <row r="726" spans="1:28" x14ac:dyDescent="0.3">
      <c r="A726" s="53"/>
      <c r="B726" s="54"/>
      <c r="C726" s="65" t="s">
        <v>242</v>
      </c>
      <c r="D726" s="65">
        <f t="shared" ca="1" si="106"/>
        <v>4</v>
      </c>
      <c r="E726" s="3">
        <f t="shared" ca="1" si="107"/>
        <v>7.0896237014793861E-2</v>
      </c>
      <c r="F726" s="6">
        <f t="shared" ca="1" si="108"/>
        <v>18592.741584092542</v>
      </c>
      <c r="G726" s="6">
        <f t="shared" ca="1" si="109"/>
        <v>937.07374902560673</v>
      </c>
      <c r="V726" s="53"/>
      <c r="W726" s="54"/>
      <c r="X726" s="65" t="s">
        <v>242</v>
      </c>
      <c r="Y726" s="65">
        <f t="shared" ca="1" si="110"/>
        <v>4</v>
      </c>
      <c r="Z726" s="3">
        <f t="shared" ca="1" si="111"/>
        <v>0.25231764011775681</v>
      </c>
      <c r="AA726" s="6">
        <f t="shared" ca="1" si="112"/>
        <v>120909.66267365322</v>
      </c>
      <c r="AB726" s="6">
        <f t="shared" ca="1" si="113"/>
        <v>1037.4308509616208</v>
      </c>
    </row>
    <row r="727" spans="1:28" x14ac:dyDescent="0.3">
      <c r="A727" s="53"/>
      <c r="B727" s="54"/>
      <c r="C727" s="65" t="s">
        <v>242</v>
      </c>
      <c r="D727" s="65">
        <f t="shared" ca="1" si="106"/>
        <v>2</v>
      </c>
      <c r="E727" s="3">
        <f t="shared" ca="1" si="107"/>
        <v>0.44978414263889022</v>
      </c>
      <c r="F727" s="6">
        <f t="shared" ca="1" si="108"/>
        <v>54126.818295660996</v>
      </c>
      <c r="G727" s="6">
        <f t="shared" ca="1" si="109"/>
        <v>548.89389376225563</v>
      </c>
      <c r="V727" s="53"/>
      <c r="W727" s="54"/>
      <c r="X727" s="65" t="s">
        <v>242</v>
      </c>
      <c r="Y727" s="65">
        <f t="shared" ca="1" si="110"/>
        <v>3</v>
      </c>
      <c r="Z727" s="3">
        <f t="shared" ca="1" si="111"/>
        <v>4.4988404527691817E-2</v>
      </c>
      <c r="AA727" s="6">
        <f t="shared" ca="1" si="112"/>
        <v>89458.366913885664</v>
      </c>
      <c r="AB727" s="6">
        <f t="shared" ca="1" si="113"/>
        <v>707.4452832159028</v>
      </c>
    </row>
    <row r="728" spans="1:28" x14ac:dyDescent="0.3">
      <c r="A728" s="53"/>
      <c r="B728" s="54"/>
      <c r="C728" s="65" t="s">
        <v>242</v>
      </c>
      <c r="D728" s="65">
        <f t="shared" ca="1" si="106"/>
        <v>2</v>
      </c>
      <c r="E728" s="3">
        <f t="shared" ca="1" si="107"/>
        <v>0.68470802421490273</v>
      </c>
      <c r="F728" s="6">
        <f t="shared" ca="1" si="108"/>
        <v>127629.02220959816</v>
      </c>
      <c r="G728" s="6">
        <f t="shared" ca="1" si="109"/>
        <v>1128.7746563744079</v>
      </c>
      <c r="V728" s="53"/>
      <c r="W728" s="54"/>
      <c r="X728" s="65" t="s">
        <v>242</v>
      </c>
      <c r="Y728" s="65">
        <f t="shared" ca="1" si="110"/>
        <v>2</v>
      </c>
      <c r="Z728" s="3">
        <f t="shared" ca="1" si="111"/>
        <v>0.43884018170984729</v>
      </c>
      <c r="AA728" s="6">
        <f t="shared" ca="1" si="112"/>
        <v>40044.605025280398</v>
      </c>
      <c r="AB728" s="6">
        <f t="shared" ca="1" si="113"/>
        <v>226.26075216859064</v>
      </c>
    </row>
    <row r="729" spans="1:28" x14ac:dyDescent="0.3">
      <c r="A729" s="53"/>
      <c r="B729" s="54"/>
      <c r="C729" s="65" t="s">
        <v>242</v>
      </c>
      <c r="D729" s="65">
        <f t="shared" ca="1" si="106"/>
        <v>2</v>
      </c>
      <c r="E729" s="3">
        <f t="shared" ca="1" si="107"/>
        <v>0.15806688459480955</v>
      </c>
      <c r="F729" s="6">
        <f t="shared" ca="1" si="108"/>
        <v>11888.393469734205</v>
      </c>
      <c r="G729" s="6">
        <f t="shared" ca="1" si="109"/>
        <v>960.03576138185599</v>
      </c>
      <c r="V729" s="53"/>
      <c r="W729" s="54"/>
      <c r="X729" s="65" t="s">
        <v>242</v>
      </c>
      <c r="Y729" s="65">
        <f t="shared" ca="1" si="110"/>
        <v>3</v>
      </c>
      <c r="Z729" s="3">
        <f t="shared" ca="1" si="111"/>
        <v>0.60048174701549062</v>
      </c>
      <c r="AA729" s="6">
        <f t="shared" ca="1" si="112"/>
        <v>161858.54769075473</v>
      </c>
      <c r="AB729" s="6">
        <f t="shared" ca="1" si="113"/>
        <v>619.38217542673817</v>
      </c>
    </row>
    <row r="730" spans="1:28" x14ac:dyDescent="0.3">
      <c r="A730" s="53"/>
      <c r="B730" s="54"/>
      <c r="C730" s="65" t="s">
        <v>242</v>
      </c>
      <c r="D730" s="65">
        <f t="shared" ca="1" si="106"/>
        <v>2</v>
      </c>
      <c r="E730" s="3">
        <f t="shared" ca="1" si="107"/>
        <v>0.42969739004280783</v>
      </c>
      <c r="F730" s="6">
        <f t="shared" ca="1" si="108"/>
        <v>129064.37287031376</v>
      </c>
      <c r="G730" s="6">
        <f t="shared" ca="1" si="109"/>
        <v>885.70529769141433</v>
      </c>
      <c r="V730" s="53"/>
      <c r="W730" s="54"/>
      <c r="X730" s="65" t="s">
        <v>242</v>
      </c>
      <c r="Y730" s="65">
        <f t="shared" ca="1" si="110"/>
        <v>3</v>
      </c>
      <c r="Z730" s="3">
        <f t="shared" ca="1" si="111"/>
        <v>0.75021506476414501</v>
      </c>
      <c r="AA730" s="6">
        <f t="shared" ca="1" si="112"/>
        <v>194367.02360361087</v>
      </c>
      <c r="AB730" s="6">
        <f t="shared" ca="1" si="113"/>
        <v>624.74084860632684</v>
      </c>
    </row>
    <row r="731" spans="1:28" x14ac:dyDescent="0.3">
      <c r="A731" s="53"/>
      <c r="B731" s="54"/>
      <c r="C731" s="65" t="s">
        <v>242</v>
      </c>
      <c r="D731" s="65">
        <f t="shared" ca="1" si="106"/>
        <v>4</v>
      </c>
      <c r="E731" s="3">
        <f t="shared" ca="1" si="107"/>
        <v>0.94398883994467142</v>
      </c>
      <c r="F731" s="6">
        <f t="shared" ca="1" si="108"/>
        <v>105120.46778021264</v>
      </c>
      <c r="G731" s="6">
        <f t="shared" ca="1" si="109"/>
        <v>1668.1074789842171</v>
      </c>
      <c r="V731" s="53"/>
      <c r="W731" s="54"/>
      <c r="X731" s="65" t="s">
        <v>242</v>
      </c>
      <c r="Y731" s="65">
        <f t="shared" ca="1" si="110"/>
        <v>1</v>
      </c>
      <c r="Z731" s="3">
        <f t="shared" ca="1" si="111"/>
        <v>0.79184643111258601</v>
      </c>
      <c r="AA731" s="6">
        <f t="shared" ca="1" si="112"/>
        <v>166369.91683435402</v>
      </c>
      <c r="AB731" s="6">
        <f t="shared" ca="1" si="113"/>
        <v>304.95668775608806</v>
      </c>
    </row>
    <row r="732" spans="1:28" x14ac:dyDescent="0.3">
      <c r="A732" s="53"/>
      <c r="B732" s="54"/>
      <c r="C732" s="65" t="s">
        <v>242</v>
      </c>
      <c r="D732" s="65">
        <f t="shared" ca="1" si="106"/>
        <v>3</v>
      </c>
      <c r="E732" s="3">
        <f t="shared" ca="1" si="107"/>
        <v>0.56583099548042659</v>
      </c>
      <c r="F732" s="6">
        <f t="shared" ca="1" si="108"/>
        <v>28472.073471984837</v>
      </c>
      <c r="G732" s="6">
        <f t="shared" ca="1" si="109"/>
        <v>955.89631054419579</v>
      </c>
      <c r="V732" s="53"/>
      <c r="W732" s="54"/>
      <c r="X732" s="65" t="s">
        <v>242</v>
      </c>
      <c r="Y732" s="65">
        <f t="shared" ca="1" si="110"/>
        <v>1</v>
      </c>
      <c r="Z732" s="3">
        <f t="shared" ca="1" si="111"/>
        <v>0.63002397957983236</v>
      </c>
      <c r="AA732" s="6">
        <f t="shared" ca="1" si="112"/>
        <v>183444.49693501976</v>
      </c>
      <c r="AB732" s="6">
        <f t="shared" ca="1" si="113"/>
        <v>956.11386565860414</v>
      </c>
    </row>
    <row r="733" spans="1:28" x14ac:dyDescent="0.3">
      <c r="A733" s="53"/>
      <c r="B733" s="54"/>
      <c r="C733" s="65" t="s">
        <v>219</v>
      </c>
      <c r="D733" s="65">
        <f t="shared" ca="1" si="106"/>
        <v>1</v>
      </c>
      <c r="E733" s="3">
        <f t="shared" ca="1" si="107"/>
        <v>0.72598579013043452</v>
      </c>
      <c r="F733" s="6">
        <f t="shared" ca="1" si="108"/>
        <v>97858.156979334206</v>
      </c>
      <c r="G733" s="6">
        <f t="shared" ca="1" si="109"/>
        <v>1244.2157198072448</v>
      </c>
      <c r="V733" s="53"/>
      <c r="W733" s="54"/>
      <c r="X733" s="65" t="s">
        <v>219</v>
      </c>
      <c r="Y733" s="65">
        <f t="shared" ca="1" si="110"/>
        <v>1</v>
      </c>
      <c r="Z733" s="3">
        <f t="shared" ca="1" si="111"/>
        <v>0.99928103104474086</v>
      </c>
      <c r="AA733" s="6">
        <f t="shared" ca="1" si="112"/>
        <v>81005.311080646017</v>
      </c>
      <c r="AB733" s="6">
        <f t="shared" ca="1" si="113"/>
        <v>701.20950892310827</v>
      </c>
    </row>
    <row r="734" spans="1:28" x14ac:dyDescent="0.3">
      <c r="A734" s="53"/>
      <c r="B734" s="54"/>
      <c r="C734" s="65" t="s">
        <v>219</v>
      </c>
      <c r="D734" s="65">
        <f t="shared" ca="1" si="106"/>
        <v>3</v>
      </c>
      <c r="E734" s="3">
        <f t="shared" ca="1" si="107"/>
        <v>0.87534485518586747</v>
      </c>
      <c r="F734" s="6">
        <f t="shared" ca="1" si="108"/>
        <v>160572.23937876176</v>
      </c>
      <c r="G734" s="6">
        <f t="shared" ca="1" si="109"/>
        <v>1245.1291271764007</v>
      </c>
      <c r="V734" s="53"/>
      <c r="W734" s="54"/>
      <c r="X734" s="65" t="s">
        <v>219</v>
      </c>
      <c r="Y734" s="65">
        <f t="shared" ca="1" si="110"/>
        <v>4</v>
      </c>
      <c r="Z734" s="3">
        <f t="shared" ca="1" si="111"/>
        <v>0.82508948167867413</v>
      </c>
      <c r="AA734" s="6">
        <f t="shared" ca="1" si="112"/>
        <v>8804.8410563334783</v>
      </c>
      <c r="AB734" s="6">
        <f t="shared" ca="1" si="113"/>
        <v>795.34037984233794</v>
      </c>
    </row>
    <row r="735" spans="1:28" x14ac:dyDescent="0.3">
      <c r="A735" s="53"/>
      <c r="B735" s="54"/>
      <c r="C735" s="65" t="s">
        <v>219</v>
      </c>
      <c r="D735" s="65">
        <f t="shared" ca="1" si="106"/>
        <v>1</v>
      </c>
      <c r="E735" s="3">
        <f t="shared" ca="1" si="107"/>
        <v>0.90028565457154441</v>
      </c>
      <c r="F735" s="6">
        <f t="shared" ca="1" si="108"/>
        <v>143719.06325314406</v>
      </c>
      <c r="G735" s="6">
        <f t="shared" ca="1" si="109"/>
        <v>1082.3314822178988</v>
      </c>
      <c r="V735" s="53"/>
      <c r="W735" s="54"/>
      <c r="X735" s="65" t="s">
        <v>219</v>
      </c>
      <c r="Y735" s="65">
        <f t="shared" ca="1" si="110"/>
        <v>1</v>
      </c>
      <c r="Z735" s="3">
        <f t="shared" ca="1" si="111"/>
        <v>0.61298209666025949</v>
      </c>
      <c r="AA735" s="6">
        <f t="shared" ca="1" si="112"/>
        <v>21805.775142857885</v>
      </c>
      <c r="AB735" s="6">
        <f t="shared" ca="1" si="113"/>
        <v>630.31313355662542</v>
      </c>
    </row>
    <row r="736" spans="1:28" x14ac:dyDescent="0.3">
      <c r="A736" s="53"/>
      <c r="B736" s="54"/>
      <c r="C736" s="65" t="s">
        <v>219</v>
      </c>
      <c r="D736" s="65">
        <f t="shared" ca="1" si="106"/>
        <v>2</v>
      </c>
      <c r="E736" s="3">
        <f t="shared" ca="1" si="107"/>
        <v>0.94652302209707051</v>
      </c>
      <c r="F736" s="6">
        <f t="shared" ca="1" si="108"/>
        <v>73874.263718080925</v>
      </c>
      <c r="G736" s="6">
        <f t="shared" ca="1" si="109"/>
        <v>1864.5484690029052</v>
      </c>
      <c r="V736" s="53"/>
      <c r="W736" s="54"/>
      <c r="X736" s="65" t="s">
        <v>219</v>
      </c>
      <c r="Y736" s="65">
        <f t="shared" ca="1" si="110"/>
        <v>4</v>
      </c>
      <c r="Z736" s="3">
        <f t="shared" ca="1" si="111"/>
        <v>0.52042004816541665</v>
      </c>
      <c r="AA736" s="6">
        <f t="shared" ca="1" si="112"/>
        <v>103537.01219311143</v>
      </c>
      <c r="AB736" s="6">
        <f t="shared" ca="1" si="113"/>
        <v>87.661755578479102</v>
      </c>
    </row>
    <row r="737" spans="1:28" x14ac:dyDescent="0.3">
      <c r="A737" s="53"/>
      <c r="B737" s="54"/>
      <c r="C737" s="65" t="s">
        <v>219</v>
      </c>
      <c r="D737" s="65">
        <f t="shared" ca="1" si="106"/>
        <v>2</v>
      </c>
      <c r="E737" s="3">
        <f t="shared" ca="1" si="107"/>
        <v>0.81080503608481702</v>
      </c>
      <c r="F737" s="6">
        <f t="shared" ca="1" si="108"/>
        <v>133449.6443324094</v>
      </c>
      <c r="G737" s="6">
        <f t="shared" ca="1" si="109"/>
        <v>1924.7151322753857</v>
      </c>
      <c r="V737" s="53"/>
      <c r="W737" s="54"/>
      <c r="X737" s="65" t="s">
        <v>219</v>
      </c>
      <c r="Y737" s="65">
        <f t="shared" ca="1" si="110"/>
        <v>3</v>
      </c>
      <c r="Z737" s="3">
        <f t="shared" ca="1" si="111"/>
        <v>0.51690280858686388</v>
      </c>
      <c r="AA737" s="6">
        <f t="shared" ca="1" si="112"/>
        <v>114392.71805579378</v>
      </c>
      <c r="AB737" s="6">
        <f t="shared" ca="1" si="113"/>
        <v>1032.7283740152382</v>
      </c>
    </row>
    <row r="738" spans="1:28" x14ac:dyDescent="0.3">
      <c r="A738" s="53"/>
      <c r="B738" s="54"/>
      <c r="C738" s="65" t="s">
        <v>219</v>
      </c>
      <c r="D738" s="65">
        <f t="shared" ca="1" si="106"/>
        <v>3</v>
      </c>
      <c r="E738" s="3">
        <f t="shared" ca="1" si="107"/>
        <v>0.23836773080086138</v>
      </c>
      <c r="F738" s="6">
        <f t="shared" ca="1" si="108"/>
        <v>14889.810092718924</v>
      </c>
      <c r="G738" s="6">
        <f t="shared" ca="1" si="109"/>
        <v>227.83900131990964</v>
      </c>
      <c r="V738" s="53"/>
      <c r="W738" s="54"/>
      <c r="X738" s="65" t="s">
        <v>219</v>
      </c>
      <c r="Y738" s="65">
        <f t="shared" ca="1" si="110"/>
        <v>3</v>
      </c>
      <c r="Z738" s="3">
        <f t="shared" ca="1" si="111"/>
        <v>0.5978640768810175</v>
      </c>
      <c r="AA738" s="6">
        <f t="shared" ca="1" si="112"/>
        <v>186730.79627395931</v>
      </c>
      <c r="AB738" s="6">
        <f t="shared" ca="1" si="113"/>
        <v>844.93327344189152</v>
      </c>
    </row>
    <row r="739" spans="1:28" x14ac:dyDescent="0.3">
      <c r="A739" s="53"/>
      <c r="B739" s="54"/>
      <c r="C739" s="65" t="s">
        <v>219</v>
      </c>
      <c r="D739" s="65">
        <f t="shared" ca="1" si="106"/>
        <v>2</v>
      </c>
      <c r="E739" s="3">
        <f t="shared" ca="1" si="107"/>
        <v>0.26672557986101209</v>
      </c>
      <c r="F739" s="6">
        <f t="shared" ca="1" si="108"/>
        <v>34062.253731957637</v>
      </c>
      <c r="G739" s="6">
        <f t="shared" ca="1" si="109"/>
        <v>1899.848263549587</v>
      </c>
      <c r="V739" s="53"/>
      <c r="W739" s="54"/>
      <c r="X739" s="65" t="s">
        <v>219</v>
      </c>
      <c r="Y739" s="65">
        <f t="shared" ca="1" si="110"/>
        <v>1</v>
      </c>
      <c r="Z739" s="3">
        <f t="shared" ca="1" si="111"/>
        <v>0.77524032644207519</v>
      </c>
      <c r="AA739" s="6">
        <f t="shared" ca="1" si="112"/>
        <v>69355.929401377871</v>
      </c>
      <c r="AB739" s="6">
        <f t="shared" ca="1" si="113"/>
        <v>47.879913090420615</v>
      </c>
    </row>
    <row r="740" spans="1:28" x14ac:dyDescent="0.3">
      <c r="A740" s="53"/>
      <c r="B740" s="54"/>
      <c r="C740" s="65" t="s">
        <v>219</v>
      </c>
      <c r="D740" s="65">
        <f t="shared" ca="1" si="106"/>
        <v>3</v>
      </c>
      <c r="E740" s="3">
        <f t="shared" ca="1" si="107"/>
        <v>0.61045795611759501</v>
      </c>
      <c r="F740" s="6">
        <f t="shared" ca="1" si="108"/>
        <v>28473.315693705459</v>
      </c>
      <c r="G740" s="6">
        <f t="shared" ca="1" si="109"/>
        <v>656.68378046040425</v>
      </c>
      <c r="V740" s="53"/>
      <c r="W740" s="54"/>
      <c r="X740" s="65" t="s">
        <v>219</v>
      </c>
      <c r="Y740" s="65">
        <f t="shared" ca="1" si="110"/>
        <v>3</v>
      </c>
      <c r="Z740" s="3">
        <f t="shared" ca="1" si="111"/>
        <v>0.27185796423080466</v>
      </c>
      <c r="AA740" s="6">
        <f t="shared" ca="1" si="112"/>
        <v>64289.851199574332</v>
      </c>
      <c r="AB740" s="6">
        <f t="shared" ca="1" si="113"/>
        <v>815.93568284308856</v>
      </c>
    </row>
    <row r="741" spans="1:28" x14ac:dyDescent="0.3">
      <c r="A741" s="53"/>
      <c r="B741" s="54"/>
      <c r="C741" s="65" t="s">
        <v>219</v>
      </c>
      <c r="D741" s="65">
        <f t="shared" ca="1" si="106"/>
        <v>2</v>
      </c>
      <c r="E741" s="3">
        <f t="shared" ca="1" si="107"/>
        <v>0.23236663060613694</v>
      </c>
      <c r="F741" s="6">
        <f t="shared" ca="1" si="108"/>
        <v>41135.494830280513</v>
      </c>
      <c r="G741" s="6">
        <f t="shared" ca="1" si="109"/>
        <v>758.65241463840528</v>
      </c>
      <c r="V741" s="53"/>
      <c r="W741" s="54"/>
      <c r="X741" s="65" t="s">
        <v>219</v>
      </c>
      <c r="Y741" s="65">
        <f t="shared" ca="1" si="110"/>
        <v>1</v>
      </c>
      <c r="Z741" s="3">
        <f t="shared" ca="1" si="111"/>
        <v>0.45799959408409385</v>
      </c>
      <c r="AA741" s="6">
        <f t="shared" ca="1" si="112"/>
        <v>35215.45219512099</v>
      </c>
      <c r="AB741" s="6">
        <f t="shared" ca="1" si="113"/>
        <v>886.98687153487742</v>
      </c>
    </row>
    <row r="742" spans="1:28" x14ac:dyDescent="0.3">
      <c r="A742" s="53"/>
      <c r="B742" s="54"/>
      <c r="C742" s="65" t="s">
        <v>219</v>
      </c>
      <c r="D742" s="65">
        <f t="shared" ca="1" si="106"/>
        <v>1</v>
      </c>
      <c r="E742" s="3">
        <f t="shared" ca="1" si="107"/>
        <v>0.81048626328237561</v>
      </c>
      <c r="F742" s="6">
        <f t="shared" ca="1" si="108"/>
        <v>96743.648020209468</v>
      </c>
      <c r="G742" s="6">
        <f t="shared" ca="1" si="109"/>
        <v>1397.3526219846653</v>
      </c>
      <c r="V742" s="53"/>
      <c r="W742" s="54"/>
      <c r="X742" s="65" t="s">
        <v>219</v>
      </c>
      <c r="Y742" s="65">
        <f t="shared" ca="1" si="110"/>
        <v>3</v>
      </c>
      <c r="Z742" s="3">
        <f t="shared" ca="1" si="111"/>
        <v>0.64003622726170784</v>
      </c>
      <c r="AA742" s="6">
        <f t="shared" ca="1" si="112"/>
        <v>148152.7517737876</v>
      </c>
      <c r="AB742" s="6">
        <f t="shared" ca="1" si="113"/>
        <v>1701.8643122007406</v>
      </c>
    </row>
    <row r="743" spans="1:28" x14ac:dyDescent="0.3">
      <c r="A743" s="53"/>
      <c r="B743" s="54"/>
      <c r="C743" s="65" t="s">
        <v>219</v>
      </c>
      <c r="D743" s="65">
        <f t="shared" ca="1" si="106"/>
        <v>4</v>
      </c>
      <c r="E743" s="3">
        <f t="shared" ca="1" si="107"/>
        <v>0.29938244696632599</v>
      </c>
      <c r="F743" s="6">
        <f t="shared" ca="1" si="108"/>
        <v>159224.61680361294</v>
      </c>
      <c r="G743" s="6">
        <f t="shared" ca="1" si="109"/>
        <v>80.597162436460096</v>
      </c>
      <c r="V743" s="53"/>
      <c r="W743" s="54"/>
      <c r="X743" s="65" t="s">
        <v>219</v>
      </c>
      <c r="Y743" s="65">
        <f t="shared" ca="1" si="110"/>
        <v>1</v>
      </c>
      <c r="Z743" s="3">
        <f t="shared" ca="1" si="111"/>
        <v>0.1725863669683757</v>
      </c>
      <c r="AA743" s="6">
        <f t="shared" ca="1" si="112"/>
        <v>181930.31182779066</v>
      </c>
      <c r="AB743" s="6">
        <f t="shared" ca="1" si="113"/>
        <v>1967.3522365816464</v>
      </c>
    </row>
    <row r="744" spans="1:28" x14ac:dyDescent="0.3">
      <c r="A744" s="53"/>
      <c r="B744" s="54"/>
      <c r="C744" s="65" t="s">
        <v>219</v>
      </c>
      <c r="D744" s="65">
        <f t="shared" ca="1" si="106"/>
        <v>1</v>
      </c>
      <c r="E744" s="3">
        <f t="shared" ca="1" si="107"/>
        <v>0.63802152103946563</v>
      </c>
      <c r="F744" s="6">
        <f t="shared" ca="1" si="108"/>
        <v>187103.87697353473</v>
      </c>
      <c r="G744" s="6">
        <f t="shared" ca="1" si="109"/>
        <v>1493.1775152745004</v>
      </c>
      <c r="V744" s="53"/>
      <c r="W744" s="54"/>
      <c r="X744" s="65" t="s">
        <v>219</v>
      </c>
      <c r="Y744" s="65">
        <f t="shared" ca="1" si="110"/>
        <v>4</v>
      </c>
      <c r="Z744" s="3">
        <f t="shared" ca="1" si="111"/>
        <v>0.19977966298866623</v>
      </c>
      <c r="AA744" s="6">
        <f t="shared" ca="1" si="112"/>
        <v>28794.786098221171</v>
      </c>
      <c r="AB744" s="6">
        <f t="shared" ca="1" si="113"/>
        <v>25.698837022056111</v>
      </c>
    </row>
    <row r="745" spans="1:28" x14ac:dyDescent="0.3">
      <c r="A745" s="53"/>
      <c r="B745" s="54"/>
      <c r="C745" s="65" t="s">
        <v>231</v>
      </c>
      <c r="D745" s="65">
        <f t="shared" ca="1" si="106"/>
        <v>2</v>
      </c>
      <c r="E745" s="3">
        <f t="shared" ca="1" si="107"/>
        <v>0.29550760771093032</v>
      </c>
      <c r="F745" s="6">
        <f t="shared" ca="1" si="108"/>
        <v>193012.00981577838</v>
      </c>
      <c r="G745" s="6">
        <f t="shared" ca="1" si="109"/>
        <v>351.15051694172348</v>
      </c>
      <c r="V745" s="53"/>
      <c r="W745" s="54"/>
      <c r="X745" s="65" t="s">
        <v>231</v>
      </c>
      <c r="Y745" s="65">
        <f t="shared" ca="1" si="110"/>
        <v>4</v>
      </c>
      <c r="Z745" s="3">
        <f t="shared" ca="1" si="111"/>
        <v>0.65117221516776524</v>
      </c>
      <c r="AA745" s="6">
        <f t="shared" ca="1" si="112"/>
        <v>143286.57527294033</v>
      </c>
      <c r="AB745" s="6">
        <f t="shared" ca="1" si="113"/>
        <v>750.28625866513528</v>
      </c>
    </row>
    <row r="746" spans="1:28" x14ac:dyDescent="0.3">
      <c r="A746" s="53"/>
      <c r="B746" s="54"/>
      <c r="C746" s="65" t="s">
        <v>231</v>
      </c>
      <c r="D746" s="65">
        <f t="shared" ca="1" si="106"/>
        <v>3</v>
      </c>
      <c r="E746" s="3">
        <f t="shared" ca="1" si="107"/>
        <v>0.52503305098817532</v>
      </c>
      <c r="F746" s="6">
        <f t="shared" ca="1" si="108"/>
        <v>144080.994208319</v>
      </c>
      <c r="G746" s="6">
        <f t="shared" ca="1" si="109"/>
        <v>1898.5079720471581</v>
      </c>
      <c r="V746" s="53"/>
      <c r="W746" s="54"/>
      <c r="X746" s="65" t="s">
        <v>231</v>
      </c>
      <c r="Y746" s="65">
        <f t="shared" ca="1" si="110"/>
        <v>2</v>
      </c>
      <c r="Z746" s="3">
        <f t="shared" ca="1" si="111"/>
        <v>0.24011548584451869</v>
      </c>
      <c r="AA746" s="6">
        <f t="shared" ca="1" si="112"/>
        <v>13402.642359683248</v>
      </c>
      <c r="AB746" s="6">
        <f t="shared" ca="1" si="113"/>
        <v>1676.612986362315</v>
      </c>
    </row>
    <row r="747" spans="1:28" x14ac:dyDescent="0.3">
      <c r="A747" s="53"/>
      <c r="B747" s="54"/>
      <c r="C747" s="65" t="s">
        <v>231</v>
      </c>
      <c r="D747" s="65">
        <f t="shared" ca="1" si="106"/>
        <v>4</v>
      </c>
      <c r="E747" s="3">
        <f t="shared" ca="1" si="107"/>
        <v>0.29302269214277754</v>
      </c>
      <c r="F747" s="6">
        <f t="shared" ca="1" si="108"/>
        <v>94351.005734218081</v>
      </c>
      <c r="G747" s="6">
        <f t="shared" ca="1" si="109"/>
        <v>613.74936047725146</v>
      </c>
      <c r="V747" s="53"/>
      <c r="W747" s="54"/>
      <c r="X747" s="65" t="s">
        <v>231</v>
      </c>
      <c r="Y747" s="65">
        <f t="shared" ca="1" si="110"/>
        <v>3</v>
      </c>
      <c r="Z747" s="3">
        <f t="shared" ca="1" si="111"/>
        <v>0.99561326162384234</v>
      </c>
      <c r="AA747" s="6">
        <f t="shared" ca="1" si="112"/>
        <v>62769.463815606177</v>
      </c>
      <c r="AB747" s="6">
        <f t="shared" ca="1" si="113"/>
        <v>1261.5022597865807</v>
      </c>
    </row>
    <row r="748" spans="1:28" x14ac:dyDescent="0.3">
      <c r="A748" s="53"/>
      <c r="B748" s="54"/>
      <c r="C748" s="65" t="s">
        <v>231</v>
      </c>
      <c r="D748" s="65">
        <f t="shared" ca="1" si="106"/>
        <v>3</v>
      </c>
      <c r="E748" s="3">
        <f t="shared" ca="1" si="107"/>
        <v>0.69837790087594831</v>
      </c>
      <c r="F748" s="6">
        <f t="shared" ca="1" si="108"/>
        <v>84034.040262813476</v>
      </c>
      <c r="G748" s="6">
        <f t="shared" ca="1" si="109"/>
        <v>756.51014730972463</v>
      </c>
      <c r="V748" s="53"/>
      <c r="W748" s="54"/>
      <c r="X748" s="65" t="s">
        <v>231</v>
      </c>
      <c r="Y748" s="65">
        <f t="shared" ca="1" si="110"/>
        <v>2</v>
      </c>
      <c r="Z748" s="3">
        <f t="shared" ca="1" si="111"/>
        <v>0.80086471527540171</v>
      </c>
      <c r="AA748" s="6">
        <f t="shared" ca="1" si="112"/>
        <v>194675.38434535431</v>
      </c>
      <c r="AB748" s="6">
        <f t="shared" ca="1" si="113"/>
        <v>1143.5474293355892</v>
      </c>
    </row>
    <row r="749" spans="1:28" x14ac:dyDescent="0.3">
      <c r="A749" s="53"/>
      <c r="B749" s="54"/>
      <c r="C749" s="65" t="s">
        <v>231</v>
      </c>
      <c r="D749" s="65">
        <f t="shared" ca="1" si="106"/>
        <v>1</v>
      </c>
      <c r="E749" s="3">
        <f t="shared" ca="1" si="107"/>
        <v>0.11034841202184287</v>
      </c>
      <c r="F749" s="6">
        <f t="shared" ca="1" si="108"/>
        <v>46700.053929811023</v>
      </c>
      <c r="G749" s="6">
        <f t="shared" ca="1" si="109"/>
        <v>931.37902125560038</v>
      </c>
      <c r="V749" s="53"/>
      <c r="W749" s="54"/>
      <c r="X749" s="65" t="s">
        <v>231</v>
      </c>
      <c r="Y749" s="65">
        <f t="shared" ca="1" si="110"/>
        <v>3</v>
      </c>
      <c r="Z749" s="3">
        <f t="shared" ca="1" si="111"/>
        <v>0.87862435437859654</v>
      </c>
      <c r="AA749" s="6">
        <f t="shared" ca="1" si="112"/>
        <v>189648.6672488584</v>
      </c>
      <c r="AB749" s="6">
        <f t="shared" ca="1" si="113"/>
        <v>634.71189896309841</v>
      </c>
    </row>
    <row r="750" spans="1:28" x14ac:dyDescent="0.3">
      <c r="A750" s="53"/>
      <c r="B750" s="54"/>
      <c r="C750" s="65" t="s">
        <v>231</v>
      </c>
      <c r="D750" s="65">
        <f t="shared" ca="1" si="106"/>
        <v>4</v>
      </c>
      <c r="E750" s="3">
        <f t="shared" ca="1" si="107"/>
        <v>0.11934324747337555</v>
      </c>
      <c r="F750" s="6">
        <f t="shared" ca="1" si="108"/>
        <v>59421.210789984099</v>
      </c>
      <c r="G750" s="6">
        <f t="shared" ca="1" si="109"/>
        <v>1890.5160052755837</v>
      </c>
      <c r="V750" s="53"/>
      <c r="W750" s="54"/>
      <c r="X750" s="65" t="s">
        <v>231</v>
      </c>
      <c r="Y750" s="65">
        <f t="shared" ca="1" si="110"/>
        <v>4</v>
      </c>
      <c r="Z750" s="3">
        <f t="shared" ca="1" si="111"/>
        <v>0.28045406468877454</v>
      </c>
      <c r="AA750" s="6">
        <f t="shared" ca="1" si="112"/>
        <v>75553.957643983362</v>
      </c>
      <c r="AB750" s="6">
        <f t="shared" ca="1" si="113"/>
        <v>401.56180578791265</v>
      </c>
    </row>
    <row r="751" spans="1:28" x14ac:dyDescent="0.3">
      <c r="A751" s="53"/>
      <c r="B751" s="54"/>
      <c r="C751" s="65" t="s">
        <v>231</v>
      </c>
      <c r="D751" s="65">
        <f t="shared" ca="1" si="106"/>
        <v>4</v>
      </c>
      <c r="E751" s="3">
        <f t="shared" ca="1" si="107"/>
        <v>0.50252322583726483</v>
      </c>
      <c r="F751" s="6">
        <f t="shared" ca="1" si="108"/>
        <v>199976.402218237</v>
      </c>
      <c r="G751" s="6">
        <f t="shared" ca="1" si="109"/>
        <v>563.05388842563684</v>
      </c>
      <c r="V751" s="53"/>
      <c r="W751" s="54"/>
      <c r="X751" s="65" t="s">
        <v>231</v>
      </c>
      <c r="Y751" s="65">
        <f t="shared" ca="1" si="110"/>
        <v>4</v>
      </c>
      <c r="Z751" s="3">
        <f t="shared" ca="1" si="111"/>
        <v>0.7641085615651485</v>
      </c>
      <c r="AA751" s="6">
        <f t="shared" ca="1" si="112"/>
        <v>151653.70517856759</v>
      </c>
      <c r="AB751" s="6">
        <f t="shared" ca="1" si="113"/>
        <v>19.698531939682962</v>
      </c>
    </row>
    <row r="752" spans="1:28" x14ac:dyDescent="0.3">
      <c r="A752" s="53"/>
      <c r="B752" s="54"/>
      <c r="C752" s="65" t="s">
        <v>231</v>
      </c>
      <c r="D752" s="65">
        <f t="shared" ca="1" si="106"/>
        <v>2</v>
      </c>
      <c r="E752" s="3">
        <f t="shared" ca="1" si="107"/>
        <v>0.55314828271388039</v>
      </c>
      <c r="F752" s="6">
        <f t="shared" ca="1" si="108"/>
        <v>58837.186472744164</v>
      </c>
      <c r="G752" s="6">
        <f t="shared" ca="1" si="109"/>
        <v>1550.3735407554573</v>
      </c>
      <c r="V752" s="53"/>
      <c r="W752" s="54"/>
      <c r="X752" s="65" t="s">
        <v>231</v>
      </c>
      <c r="Y752" s="65">
        <f t="shared" ca="1" si="110"/>
        <v>3</v>
      </c>
      <c r="Z752" s="3">
        <f t="shared" ca="1" si="111"/>
        <v>0.70478040049077573</v>
      </c>
      <c r="AA752" s="6">
        <f t="shared" ca="1" si="112"/>
        <v>173219.97589842408</v>
      </c>
      <c r="AB752" s="6">
        <f t="shared" ca="1" si="113"/>
        <v>150.45781679680513</v>
      </c>
    </row>
    <row r="753" spans="1:28" x14ac:dyDescent="0.3">
      <c r="A753" s="53"/>
      <c r="B753" s="54"/>
      <c r="C753" s="65" t="s">
        <v>231</v>
      </c>
      <c r="D753" s="65">
        <f t="shared" ca="1" si="106"/>
        <v>2</v>
      </c>
      <c r="E753" s="3">
        <f t="shared" ca="1" si="107"/>
        <v>0.61211291491629771</v>
      </c>
      <c r="F753" s="6">
        <f t="shared" ca="1" si="108"/>
        <v>172648.38989069487</v>
      </c>
      <c r="G753" s="6">
        <f t="shared" ca="1" si="109"/>
        <v>1952.8077384631142</v>
      </c>
      <c r="V753" s="53"/>
      <c r="W753" s="54"/>
      <c r="X753" s="65" t="s">
        <v>231</v>
      </c>
      <c r="Y753" s="65">
        <f t="shared" ca="1" si="110"/>
        <v>1</v>
      </c>
      <c r="Z753" s="3">
        <f t="shared" ca="1" si="111"/>
        <v>0.4036479522012838</v>
      </c>
      <c r="AA753" s="6">
        <f t="shared" ca="1" si="112"/>
        <v>147274.89268095227</v>
      </c>
      <c r="AB753" s="6">
        <f t="shared" ca="1" si="113"/>
        <v>671.58310181279774</v>
      </c>
    </row>
    <row r="754" spans="1:28" x14ac:dyDescent="0.3">
      <c r="A754" s="53"/>
      <c r="B754" s="54"/>
      <c r="C754" s="65" t="s">
        <v>231</v>
      </c>
      <c r="D754" s="65">
        <f t="shared" ca="1" si="106"/>
        <v>2</v>
      </c>
      <c r="E754" s="3">
        <f t="shared" ca="1" si="107"/>
        <v>0.18645930189099524</v>
      </c>
      <c r="F754" s="6">
        <f t="shared" ca="1" si="108"/>
        <v>108948.71294099464</v>
      </c>
      <c r="G754" s="6">
        <f t="shared" ca="1" si="109"/>
        <v>420.90298636864179</v>
      </c>
      <c r="V754" s="53"/>
      <c r="W754" s="54"/>
      <c r="X754" s="65" t="s">
        <v>231</v>
      </c>
      <c r="Y754" s="65">
        <f t="shared" ca="1" si="110"/>
        <v>4</v>
      </c>
      <c r="Z754" s="3">
        <f t="shared" ca="1" si="111"/>
        <v>0.5145351336612678</v>
      </c>
      <c r="AA754" s="6">
        <f t="shared" ca="1" si="112"/>
        <v>102471.09472733131</v>
      </c>
      <c r="AB754" s="6">
        <f t="shared" ca="1" si="113"/>
        <v>1129.3658193503391</v>
      </c>
    </row>
    <row r="755" spans="1:28" x14ac:dyDescent="0.3">
      <c r="A755" s="53"/>
      <c r="B755" s="54"/>
      <c r="C755" s="65" t="s">
        <v>231</v>
      </c>
      <c r="D755" s="65">
        <f t="shared" ca="1" si="106"/>
        <v>1</v>
      </c>
      <c r="E755" s="3">
        <f t="shared" ca="1" si="107"/>
        <v>2.2620282892051424E-2</v>
      </c>
      <c r="F755" s="6">
        <f t="shared" ca="1" si="108"/>
        <v>189767.27716782989</v>
      </c>
      <c r="G755" s="6">
        <f t="shared" ca="1" si="109"/>
        <v>1537.6430340557713</v>
      </c>
      <c r="V755" s="53"/>
      <c r="W755" s="54"/>
      <c r="X755" s="65" t="s">
        <v>231</v>
      </c>
      <c r="Y755" s="65">
        <f t="shared" ca="1" si="110"/>
        <v>4</v>
      </c>
      <c r="Z755" s="3">
        <f t="shared" ca="1" si="111"/>
        <v>4.6907473755926188E-2</v>
      </c>
      <c r="AA755" s="6">
        <f t="shared" ca="1" si="112"/>
        <v>174241.42886040264</v>
      </c>
      <c r="AB755" s="6">
        <f t="shared" ca="1" si="113"/>
        <v>1323.0845562112588</v>
      </c>
    </row>
    <row r="756" spans="1:28" x14ac:dyDescent="0.3">
      <c r="A756" s="53"/>
      <c r="B756" s="54"/>
      <c r="C756" s="65" t="s">
        <v>231</v>
      </c>
      <c r="D756" s="65">
        <f t="shared" ca="1" si="106"/>
        <v>1</v>
      </c>
      <c r="E756" s="3">
        <f t="shared" ca="1" si="107"/>
        <v>0.99535715291718618</v>
      </c>
      <c r="F756" s="6">
        <f t="shared" ca="1" si="108"/>
        <v>53135.770551052832</v>
      </c>
      <c r="G756" s="6">
        <f t="shared" ca="1" si="109"/>
        <v>511.800146653002</v>
      </c>
      <c r="V756" s="53"/>
      <c r="W756" s="54"/>
      <c r="X756" s="65" t="s">
        <v>231</v>
      </c>
      <c r="Y756" s="65">
        <f t="shared" ca="1" si="110"/>
        <v>1</v>
      </c>
      <c r="Z756" s="3">
        <f t="shared" ca="1" si="111"/>
        <v>0.4550990283616565</v>
      </c>
      <c r="AA756" s="6">
        <f t="shared" ca="1" si="112"/>
        <v>161633.80300369437</v>
      </c>
      <c r="AB756" s="6">
        <f t="shared" ca="1" si="113"/>
        <v>1592.3986233692272</v>
      </c>
    </row>
    <row r="757" spans="1:28" x14ac:dyDescent="0.3">
      <c r="A757" s="53"/>
      <c r="B757" s="54"/>
      <c r="C757" s="65" t="s">
        <v>231</v>
      </c>
      <c r="D757" s="65">
        <f t="shared" ca="1" si="106"/>
        <v>2</v>
      </c>
      <c r="E757" s="3">
        <f t="shared" ca="1" si="107"/>
        <v>0.90564779513106131</v>
      </c>
      <c r="F757" s="6">
        <f t="shared" ca="1" si="108"/>
        <v>109664.71049287998</v>
      </c>
      <c r="G757" s="6">
        <f t="shared" ca="1" si="109"/>
        <v>1669.2464633039281</v>
      </c>
      <c r="V757" s="53"/>
      <c r="W757" s="54"/>
      <c r="X757" s="65" t="s">
        <v>231</v>
      </c>
      <c r="Y757" s="65">
        <f t="shared" ca="1" si="110"/>
        <v>4</v>
      </c>
      <c r="Z757" s="3">
        <f t="shared" ca="1" si="111"/>
        <v>0.91476350617664048</v>
      </c>
      <c r="AA757" s="6">
        <f t="shared" ca="1" si="112"/>
        <v>63495.214053250027</v>
      </c>
      <c r="AB757" s="6">
        <f t="shared" ca="1" si="113"/>
        <v>1706.6951882414699</v>
      </c>
    </row>
    <row r="758" spans="1:28" x14ac:dyDescent="0.3">
      <c r="A758" s="53"/>
      <c r="B758" s="54"/>
      <c r="C758" s="65" t="s">
        <v>231</v>
      </c>
      <c r="D758" s="65">
        <f t="shared" ca="1" si="106"/>
        <v>1</v>
      </c>
      <c r="E758" s="3">
        <f t="shared" ca="1" si="107"/>
        <v>0.53852738719945081</v>
      </c>
      <c r="F758" s="6">
        <f t="shared" ca="1" si="108"/>
        <v>41440.739376350422</v>
      </c>
      <c r="G758" s="6">
        <f t="shared" ca="1" si="109"/>
        <v>676.75721560873319</v>
      </c>
      <c r="V758" s="53"/>
      <c r="W758" s="54"/>
      <c r="X758" s="65" t="s">
        <v>231</v>
      </c>
      <c r="Y758" s="65">
        <f t="shared" ca="1" si="110"/>
        <v>4</v>
      </c>
      <c r="Z758" s="3">
        <f t="shared" ca="1" si="111"/>
        <v>1.4916516921263723E-2</v>
      </c>
      <c r="AA758" s="6">
        <f t="shared" ca="1" si="112"/>
        <v>130856.19565691236</v>
      </c>
      <c r="AB758" s="6">
        <f t="shared" ca="1" si="113"/>
        <v>1240.055040485021</v>
      </c>
    </row>
    <row r="759" spans="1:28" x14ac:dyDescent="0.3">
      <c r="A759" s="53"/>
      <c r="B759" s="54"/>
      <c r="C759" s="65" t="s">
        <v>231</v>
      </c>
      <c r="D759" s="65">
        <f t="shared" ca="1" si="106"/>
        <v>4</v>
      </c>
      <c r="E759" s="3">
        <f t="shared" ca="1" si="107"/>
        <v>1.1368385170216433E-2</v>
      </c>
      <c r="F759" s="6">
        <f t="shared" ca="1" si="108"/>
        <v>186835.54589464873</v>
      </c>
      <c r="G759" s="6">
        <f t="shared" ca="1" si="109"/>
        <v>1628.5742360666411</v>
      </c>
      <c r="V759" s="53"/>
      <c r="W759" s="54"/>
      <c r="X759" s="65" t="s">
        <v>231</v>
      </c>
      <c r="Y759" s="65">
        <f t="shared" ca="1" si="110"/>
        <v>1</v>
      </c>
      <c r="Z759" s="3">
        <f t="shared" ca="1" si="111"/>
        <v>0.4263261976510816</v>
      </c>
      <c r="AA759" s="6">
        <f t="shared" ca="1" si="112"/>
        <v>115068.71884579035</v>
      </c>
      <c r="AB759" s="6">
        <f t="shared" ca="1" si="113"/>
        <v>1784.9151381446025</v>
      </c>
    </row>
    <row r="760" spans="1:28" x14ac:dyDescent="0.3">
      <c r="A760" s="53"/>
      <c r="B760" s="54"/>
      <c r="C760" s="65" t="s">
        <v>231</v>
      </c>
      <c r="D760" s="65">
        <f t="shared" ca="1" si="106"/>
        <v>1</v>
      </c>
      <c r="E760" s="3">
        <f t="shared" ca="1" si="107"/>
        <v>0.24114377281337729</v>
      </c>
      <c r="F760" s="6">
        <f t="shared" ca="1" si="108"/>
        <v>162715.59477607557</v>
      </c>
      <c r="G760" s="6">
        <f t="shared" ca="1" si="109"/>
        <v>904.71712738346025</v>
      </c>
      <c r="V760" s="53"/>
      <c r="W760" s="54"/>
      <c r="X760" s="65" t="s">
        <v>231</v>
      </c>
      <c r="Y760" s="65">
        <f t="shared" ca="1" si="110"/>
        <v>4</v>
      </c>
      <c r="Z760" s="3">
        <f t="shared" ca="1" si="111"/>
        <v>0.33988211388004841</v>
      </c>
      <c r="AA760" s="6">
        <f t="shared" ca="1" si="112"/>
        <v>53420.761219517997</v>
      </c>
      <c r="AB760" s="6">
        <f t="shared" ca="1" si="113"/>
        <v>1277.2240075017205</v>
      </c>
    </row>
    <row r="761" spans="1:28" x14ac:dyDescent="0.3">
      <c r="A761" s="53"/>
      <c r="B761" s="54"/>
      <c r="C761" s="65" t="s">
        <v>231</v>
      </c>
      <c r="D761" s="65">
        <f t="shared" ca="1" si="106"/>
        <v>3</v>
      </c>
      <c r="E761" s="3">
        <f t="shared" ca="1" si="107"/>
        <v>0.97665240442190526</v>
      </c>
      <c r="F761" s="6">
        <f t="shared" ca="1" si="108"/>
        <v>62824.304091345693</v>
      </c>
      <c r="G761" s="6">
        <f t="shared" ca="1" si="109"/>
        <v>1421.6671789604325</v>
      </c>
      <c r="V761" s="53"/>
      <c r="W761" s="54"/>
      <c r="X761" s="65" t="s">
        <v>231</v>
      </c>
      <c r="Y761" s="65">
        <f t="shared" ca="1" si="110"/>
        <v>2</v>
      </c>
      <c r="Z761" s="3">
        <f t="shared" ca="1" si="111"/>
        <v>0.92061978795162214</v>
      </c>
      <c r="AA761" s="6">
        <f t="shared" ca="1" si="112"/>
        <v>194925.70370839839</v>
      </c>
      <c r="AB761" s="6">
        <f t="shared" ca="1" si="113"/>
        <v>1714.7893783906336</v>
      </c>
    </row>
    <row r="762" spans="1:28" x14ac:dyDescent="0.3">
      <c r="A762" s="53"/>
      <c r="B762" s="54"/>
      <c r="C762" s="65" t="s">
        <v>231</v>
      </c>
      <c r="D762" s="65">
        <f t="shared" ca="1" si="106"/>
        <v>1</v>
      </c>
      <c r="E762" s="3">
        <f t="shared" ca="1" si="107"/>
        <v>0.30048367669373266</v>
      </c>
      <c r="F762" s="6">
        <f t="shared" ca="1" si="108"/>
        <v>34387.590427996773</v>
      </c>
      <c r="G762" s="6">
        <f t="shared" ca="1" si="109"/>
        <v>24.385959104518349</v>
      </c>
      <c r="V762" s="53"/>
      <c r="W762" s="54"/>
      <c r="X762" s="65" t="s">
        <v>231</v>
      </c>
      <c r="Y762" s="65">
        <f t="shared" ca="1" si="110"/>
        <v>2</v>
      </c>
      <c r="Z762" s="3">
        <f t="shared" ca="1" si="111"/>
        <v>0.53417560787131269</v>
      </c>
      <c r="AA762" s="6">
        <f t="shared" ca="1" si="112"/>
        <v>53805.690346621079</v>
      </c>
      <c r="AB762" s="6">
        <f t="shared" ca="1" si="113"/>
        <v>622.58169015559804</v>
      </c>
    </row>
    <row r="763" spans="1:28" x14ac:dyDescent="0.3">
      <c r="A763" s="53"/>
      <c r="B763" s="54"/>
      <c r="C763" s="65" t="s">
        <v>231</v>
      </c>
      <c r="D763" s="65">
        <f t="shared" ca="1" si="106"/>
        <v>4</v>
      </c>
      <c r="E763" s="3">
        <f t="shared" ca="1" si="107"/>
        <v>0.51794150509384984</v>
      </c>
      <c r="F763" s="6">
        <f t="shared" ca="1" si="108"/>
        <v>111118.83822011959</v>
      </c>
      <c r="G763" s="6">
        <f t="shared" ca="1" si="109"/>
        <v>512.16643382496693</v>
      </c>
      <c r="V763" s="53"/>
      <c r="W763" s="54"/>
      <c r="X763" s="65" t="s">
        <v>231</v>
      </c>
      <c r="Y763" s="65">
        <f t="shared" ca="1" si="110"/>
        <v>4</v>
      </c>
      <c r="Z763" s="3">
        <f t="shared" ca="1" si="111"/>
        <v>0.87346788877685844</v>
      </c>
      <c r="AA763" s="6">
        <f t="shared" ca="1" si="112"/>
        <v>103255.3034846918</v>
      </c>
      <c r="AB763" s="6">
        <f t="shared" ca="1" si="113"/>
        <v>9.5218745514429326</v>
      </c>
    </row>
    <row r="764" spans="1:28" x14ac:dyDescent="0.3">
      <c r="A764" s="53"/>
      <c r="B764" s="54"/>
      <c r="C764" s="65" t="s">
        <v>231</v>
      </c>
      <c r="D764" s="65">
        <f t="shared" ca="1" si="106"/>
        <v>3</v>
      </c>
      <c r="E764" s="3">
        <f t="shared" ca="1" si="107"/>
        <v>0.74718797600529796</v>
      </c>
      <c r="F764" s="6">
        <f t="shared" ca="1" si="108"/>
        <v>152531.16417981448</v>
      </c>
      <c r="G764" s="6">
        <f t="shared" ca="1" si="109"/>
        <v>1732.0669695877832</v>
      </c>
      <c r="V764" s="53"/>
      <c r="W764" s="54"/>
      <c r="X764" s="65" t="s">
        <v>231</v>
      </c>
      <c r="Y764" s="65">
        <f t="shared" ca="1" si="110"/>
        <v>2</v>
      </c>
      <c r="Z764" s="3">
        <f t="shared" ca="1" si="111"/>
        <v>0.16941479059812192</v>
      </c>
      <c r="AA764" s="6">
        <f t="shared" ca="1" si="112"/>
        <v>76780.048545108002</v>
      </c>
      <c r="AB764" s="6">
        <f t="shared" ca="1" si="113"/>
        <v>679.17791642857787</v>
      </c>
    </row>
    <row r="765" spans="1:28" x14ac:dyDescent="0.3">
      <c r="A765" s="53"/>
      <c r="B765" s="54"/>
      <c r="C765" s="65" t="s">
        <v>231</v>
      </c>
      <c r="D765" s="65">
        <f t="shared" ca="1" si="106"/>
        <v>3</v>
      </c>
      <c r="E765" s="3">
        <f t="shared" ca="1" si="107"/>
        <v>0.18738383699197225</v>
      </c>
      <c r="F765" s="6">
        <f t="shared" ca="1" si="108"/>
        <v>181958.66295988078</v>
      </c>
      <c r="G765" s="6">
        <f t="shared" ca="1" si="109"/>
        <v>619.19460335123301</v>
      </c>
      <c r="V765" s="53"/>
      <c r="W765" s="54"/>
      <c r="X765" s="65" t="s">
        <v>231</v>
      </c>
      <c r="Y765" s="65">
        <f t="shared" ca="1" si="110"/>
        <v>1</v>
      </c>
      <c r="Z765" s="3">
        <f t="shared" ca="1" si="111"/>
        <v>0.74249542761298948</v>
      </c>
      <c r="AA765" s="6">
        <f t="shared" ca="1" si="112"/>
        <v>172030.13896920963</v>
      </c>
      <c r="AB765" s="6">
        <f t="shared" ca="1" si="113"/>
        <v>1968.1230168724844</v>
      </c>
    </row>
    <row r="766" spans="1:28" x14ac:dyDescent="0.3">
      <c r="A766" s="53"/>
      <c r="B766" s="54"/>
      <c r="C766" s="65" t="s">
        <v>231</v>
      </c>
      <c r="D766" s="65">
        <f t="shared" ca="1" si="106"/>
        <v>1</v>
      </c>
      <c r="E766" s="3">
        <f t="shared" ca="1" si="107"/>
        <v>0.80830552195751626</v>
      </c>
      <c r="F766" s="6">
        <f t="shared" ca="1" si="108"/>
        <v>197792.73188004628</v>
      </c>
      <c r="G766" s="6">
        <f t="shared" ca="1" si="109"/>
        <v>1171.5376732229913</v>
      </c>
      <c r="V766" s="53"/>
      <c r="W766" s="54"/>
      <c r="X766" s="65" t="s">
        <v>231</v>
      </c>
      <c r="Y766" s="65">
        <f t="shared" ca="1" si="110"/>
        <v>4</v>
      </c>
      <c r="Z766" s="3">
        <f t="shared" ca="1" si="111"/>
        <v>0.7980887039782012</v>
      </c>
      <c r="AA766" s="6">
        <f t="shared" ca="1" si="112"/>
        <v>32457.336352648847</v>
      </c>
      <c r="AB766" s="6">
        <f t="shared" ca="1" si="113"/>
        <v>1290.1883568150254</v>
      </c>
    </row>
    <row r="767" spans="1:28" x14ac:dyDescent="0.3">
      <c r="A767" s="53"/>
      <c r="B767" s="54"/>
      <c r="C767" s="65" t="s">
        <v>231</v>
      </c>
      <c r="D767" s="65">
        <f t="shared" ca="1" si="106"/>
        <v>3</v>
      </c>
      <c r="E767" s="3">
        <f t="shared" ca="1" si="107"/>
        <v>0.98963711861004688</v>
      </c>
      <c r="F767" s="6">
        <f t="shared" ca="1" si="108"/>
        <v>198539.51213854639</v>
      </c>
      <c r="G767" s="6">
        <f t="shared" ca="1" si="109"/>
        <v>1552.6977812460905</v>
      </c>
      <c r="V767" s="53"/>
      <c r="W767" s="54"/>
      <c r="X767" s="65" t="s">
        <v>231</v>
      </c>
      <c r="Y767" s="65">
        <f t="shared" ca="1" si="110"/>
        <v>1</v>
      </c>
      <c r="Z767" s="3">
        <f t="shared" ca="1" si="111"/>
        <v>0.99801700477420385</v>
      </c>
      <c r="AA767" s="6">
        <f t="shared" ca="1" si="112"/>
        <v>5652.7499269464433</v>
      </c>
      <c r="AB767" s="6">
        <f t="shared" ca="1" si="113"/>
        <v>1454.325601324487</v>
      </c>
    </row>
    <row r="768" spans="1:28" x14ac:dyDescent="0.3">
      <c r="A768" s="53"/>
      <c r="B768" s="54"/>
      <c r="C768" s="65" t="s">
        <v>231</v>
      </c>
      <c r="D768" s="65">
        <f t="shared" ca="1" si="106"/>
        <v>2</v>
      </c>
      <c r="E768" s="3">
        <f t="shared" ca="1" si="107"/>
        <v>0.46971673192150931</v>
      </c>
      <c r="F768" s="6">
        <f t="shared" ca="1" si="108"/>
        <v>65154.488935306799</v>
      </c>
      <c r="G768" s="6">
        <f t="shared" ca="1" si="109"/>
        <v>268.32414845814532</v>
      </c>
      <c r="V768" s="53"/>
      <c r="W768" s="54"/>
      <c r="X768" s="65" t="s">
        <v>231</v>
      </c>
      <c r="Y768" s="65">
        <f t="shared" ca="1" si="110"/>
        <v>1</v>
      </c>
      <c r="Z768" s="3">
        <f t="shared" ca="1" si="111"/>
        <v>0.92022318357824862</v>
      </c>
      <c r="AA768" s="6">
        <f t="shared" ca="1" si="112"/>
        <v>178924.83098490338</v>
      </c>
      <c r="AB768" s="6">
        <f t="shared" ca="1" si="113"/>
        <v>1504.7553245888118</v>
      </c>
    </row>
    <row r="769" spans="1:28" x14ac:dyDescent="0.3">
      <c r="A769" s="53"/>
      <c r="B769" s="54"/>
      <c r="C769" s="65" t="s">
        <v>231</v>
      </c>
      <c r="D769" s="65">
        <f t="shared" ca="1" si="106"/>
        <v>3</v>
      </c>
      <c r="E769" s="3">
        <f t="shared" ca="1" si="107"/>
        <v>0.6504970882441824</v>
      </c>
      <c r="F769" s="6">
        <f t="shared" ca="1" si="108"/>
        <v>53398.656923094</v>
      </c>
      <c r="G769" s="6">
        <f t="shared" ca="1" si="109"/>
        <v>1082.1914105311225</v>
      </c>
      <c r="V769" s="53"/>
      <c r="W769" s="54"/>
      <c r="X769" s="65" t="s">
        <v>231</v>
      </c>
      <c r="Y769" s="65">
        <f t="shared" ca="1" si="110"/>
        <v>2</v>
      </c>
      <c r="Z769" s="3">
        <f t="shared" ca="1" si="111"/>
        <v>0.25089458314570101</v>
      </c>
      <c r="AA769" s="6">
        <f t="shared" ca="1" si="112"/>
        <v>182899.92957766043</v>
      </c>
      <c r="AB769" s="6">
        <f t="shared" ca="1" si="113"/>
        <v>1677.1224448441803</v>
      </c>
    </row>
    <row r="770" spans="1:28" x14ac:dyDescent="0.3">
      <c r="A770" s="53"/>
      <c r="B770" s="54"/>
      <c r="C770" s="65" t="s">
        <v>231</v>
      </c>
      <c r="D770" s="65">
        <f t="shared" ca="1" si="106"/>
        <v>4</v>
      </c>
      <c r="E770" s="3">
        <f t="shared" ca="1" si="107"/>
        <v>0.87396049183818081</v>
      </c>
      <c r="F770" s="6">
        <f t="shared" ca="1" si="108"/>
        <v>80452.192813481233</v>
      </c>
      <c r="G770" s="6">
        <f t="shared" ca="1" si="109"/>
        <v>1567.9827578177108</v>
      </c>
      <c r="V770" s="53"/>
      <c r="W770" s="54"/>
      <c r="X770" s="65" t="s">
        <v>231</v>
      </c>
      <c r="Y770" s="65">
        <f t="shared" ca="1" si="110"/>
        <v>2</v>
      </c>
      <c r="Z770" s="3">
        <f t="shared" ca="1" si="111"/>
        <v>0.8393722365540156</v>
      </c>
      <c r="AA770" s="6">
        <f t="shared" ca="1" si="112"/>
        <v>194194.0621445555</v>
      </c>
      <c r="AB770" s="6">
        <f t="shared" ca="1" si="113"/>
        <v>1809.4616830546768</v>
      </c>
    </row>
    <row r="771" spans="1:28" x14ac:dyDescent="0.3">
      <c r="A771" s="53"/>
      <c r="B771" s="54"/>
      <c r="C771" s="65" t="s">
        <v>231</v>
      </c>
      <c r="D771" s="65">
        <f t="shared" ca="1" si="106"/>
        <v>3</v>
      </c>
      <c r="E771" s="3">
        <f t="shared" ca="1" si="107"/>
        <v>0.63695522009565519</v>
      </c>
      <c r="F771" s="6">
        <f t="shared" ca="1" si="108"/>
        <v>137218.28066168341</v>
      </c>
      <c r="G771" s="6">
        <f t="shared" ca="1" si="109"/>
        <v>1281.3131240258442</v>
      </c>
      <c r="V771" s="53"/>
      <c r="W771" s="54"/>
      <c r="X771" s="65" t="s">
        <v>231</v>
      </c>
      <c r="Y771" s="65">
        <f t="shared" ca="1" si="110"/>
        <v>4</v>
      </c>
      <c r="Z771" s="3">
        <f t="shared" ca="1" si="111"/>
        <v>0.4638041043180221</v>
      </c>
      <c r="AA771" s="6">
        <f t="shared" ca="1" si="112"/>
        <v>109370.1372220653</v>
      </c>
      <c r="AB771" s="6">
        <f t="shared" ca="1" si="113"/>
        <v>580.40789965255897</v>
      </c>
    </row>
    <row r="772" spans="1:28" x14ac:dyDescent="0.3">
      <c r="A772" s="53"/>
      <c r="B772" s="54"/>
      <c r="C772" s="65" t="s">
        <v>231</v>
      </c>
      <c r="D772" s="65">
        <f t="shared" ca="1" si="106"/>
        <v>4</v>
      </c>
      <c r="E772" s="3">
        <f t="shared" ca="1" si="107"/>
        <v>0.33755325046962747</v>
      </c>
      <c r="F772" s="6">
        <f t="shared" ca="1" si="108"/>
        <v>37129.795780891327</v>
      </c>
      <c r="G772" s="6">
        <f t="shared" ca="1" si="109"/>
        <v>1619.0301224037314</v>
      </c>
      <c r="V772" s="53"/>
      <c r="W772" s="54"/>
      <c r="X772" s="65" t="s">
        <v>231</v>
      </c>
      <c r="Y772" s="65">
        <f t="shared" ca="1" si="110"/>
        <v>1</v>
      </c>
      <c r="Z772" s="3">
        <f t="shared" ca="1" si="111"/>
        <v>0.84914429652006207</v>
      </c>
      <c r="AA772" s="6">
        <f t="shared" ca="1" si="112"/>
        <v>173693.76409962281</v>
      </c>
      <c r="AB772" s="6">
        <f t="shared" ca="1" si="113"/>
        <v>1980.918397796426</v>
      </c>
    </row>
    <row r="773" spans="1:28" x14ac:dyDescent="0.3">
      <c r="A773" s="53"/>
      <c r="B773" s="54"/>
      <c r="C773" s="65" t="s">
        <v>231</v>
      </c>
      <c r="D773" s="65">
        <f t="shared" ca="1" si="106"/>
        <v>1</v>
      </c>
      <c r="E773" s="3">
        <f t="shared" ca="1" si="107"/>
        <v>0.56926476792935699</v>
      </c>
      <c r="F773" s="6">
        <f t="shared" ca="1" si="108"/>
        <v>190370.96580805056</v>
      </c>
      <c r="G773" s="6">
        <f t="shared" ca="1" si="109"/>
        <v>1812.6699139429188</v>
      </c>
      <c r="V773" s="53"/>
      <c r="W773" s="54"/>
      <c r="X773" s="65" t="s">
        <v>231</v>
      </c>
      <c r="Y773" s="65">
        <f t="shared" ca="1" si="110"/>
        <v>2</v>
      </c>
      <c r="Z773" s="3">
        <f t="shared" ca="1" si="111"/>
        <v>5.6619605679023799E-2</v>
      </c>
      <c r="AA773" s="6">
        <f t="shared" ca="1" si="112"/>
        <v>23837.193746840767</v>
      </c>
      <c r="AB773" s="6">
        <f t="shared" ca="1" si="113"/>
        <v>68.478974580203911</v>
      </c>
    </row>
    <row r="774" spans="1:28" x14ac:dyDescent="0.3">
      <c r="A774" s="53"/>
      <c r="B774" s="54"/>
      <c r="C774" s="65" t="s">
        <v>231</v>
      </c>
      <c r="D774" s="65">
        <f t="shared" ca="1" si="106"/>
        <v>3</v>
      </c>
      <c r="E774" s="3">
        <f t="shared" ca="1" si="107"/>
        <v>0.83908198468574846</v>
      </c>
      <c r="F774" s="6">
        <f t="shared" ca="1" si="108"/>
        <v>151985.27455061712</v>
      </c>
      <c r="G774" s="6">
        <f t="shared" ca="1" si="109"/>
        <v>1121.0256922114327</v>
      </c>
      <c r="V774" s="53"/>
      <c r="W774" s="54"/>
      <c r="X774" s="65" t="s">
        <v>231</v>
      </c>
      <c r="Y774" s="65">
        <f t="shared" ca="1" si="110"/>
        <v>3</v>
      </c>
      <c r="Z774" s="3">
        <f t="shared" ca="1" si="111"/>
        <v>0.7492711154361591</v>
      </c>
      <c r="AA774" s="6">
        <f t="shared" ca="1" si="112"/>
        <v>145334.86836168935</v>
      </c>
      <c r="AB774" s="6">
        <f t="shared" ca="1" si="113"/>
        <v>1627.0654568717416</v>
      </c>
    </row>
    <row r="775" spans="1:28" x14ac:dyDescent="0.3">
      <c r="A775" s="53"/>
      <c r="B775" s="54"/>
      <c r="C775" s="65" t="s">
        <v>231</v>
      </c>
      <c r="D775" s="65">
        <f t="shared" ca="1" si="106"/>
        <v>3</v>
      </c>
      <c r="E775" s="3">
        <f t="shared" ca="1" si="107"/>
        <v>0.87173715295065479</v>
      </c>
      <c r="F775" s="6">
        <f t="shared" ca="1" si="108"/>
        <v>135224.3206490119</v>
      </c>
      <c r="G775" s="6">
        <f t="shared" ca="1" si="109"/>
        <v>803.53326743525201</v>
      </c>
      <c r="V775" s="53"/>
      <c r="W775" s="54"/>
      <c r="X775" s="65" t="s">
        <v>231</v>
      </c>
      <c r="Y775" s="65">
        <f t="shared" ca="1" si="110"/>
        <v>2</v>
      </c>
      <c r="Z775" s="3">
        <f t="shared" ca="1" si="111"/>
        <v>0.72305619099024176</v>
      </c>
      <c r="AA775" s="6">
        <f t="shared" ca="1" si="112"/>
        <v>179780.48445457054</v>
      </c>
      <c r="AB775" s="6">
        <f t="shared" ca="1" si="113"/>
        <v>827.67506339874819</v>
      </c>
    </row>
    <row r="776" spans="1:28" x14ac:dyDescent="0.3">
      <c r="A776" s="53"/>
      <c r="B776" s="54"/>
      <c r="C776" s="65" t="s">
        <v>231</v>
      </c>
      <c r="D776" s="65">
        <f t="shared" ca="1" si="106"/>
        <v>2</v>
      </c>
      <c r="E776" s="3">
        <f t="shared" ca="1" si="107"/>
        <v>0.39301523381355674</v>
      </c>
      <c r="F776" s="6">
        <f t="shared" ca="1" si="108"/>
        <v>196881.65343196492</v>
      </c>
      <c r="G776" s="6">
        <f t="shared" ca="1" si="109"/>
        <v>1605.7107140013588</v>
      </c>
      <c r="V776" s="53"/>
      <c r="W776" s="54"/>
      <c r="X776" s="65" t="s">
        <v>231</v>
      </c>
      <c r="Y776" s="65">
        <f t="shared" ca="1" si="110"/>
        <v>1</v>
      </c>
      <c r="Z776" s="3">
        <f t="shared" ca="1" si="111"/>
        <v>0.37191624104975152</v>
      </c>
      <c r="AA776" s="6">
        <f t="shared" ca="1" si="112"/>
        <v>155291.37037919319</v>
      </c>
      <c r="AB776" s="6">
        <f t="shared" ca="1" si="113"/>
        <v>1164.6610298695134</v>
      </c>
    </row>
    <row r="777" spans="1:28" x14ac:dyDescent="0.3">
      <c r="A777" s="53"/>
      <c r="B777" s="54"/>
      <c r="C777" s="65" t="s">
        <v>231</v>
      </c>
      <c r="D777" s="65">
        <f t="shared" ca="1" si="106"/>
        <v>1</v>
      </c>
      <c r="E777" s="3">
        <f t="shared" ca="1" si="107"/>
        <v>0.71006251243086604</v>
      </c>
      <c r="F777" s="6">
        <f t="shared" ca="1" si="108"/>
        <v>20604.145720180411</v>
      </c>
      <c r="G777" s="6">
        <f t="shared" ca="1" si="109"/>
        <v>1092.5221920826866</v>
      </c>
      <c r="V777" s="53"/>
      <c r="W777" s="54"/>
      <c r="X777" s="65" t="s">
        <v>231</v>
      </c>
      <c r="Y777" s="65">
        <f t="shared" ca="1" si="110"/>
        <v>2</v>
      </c>
      <c r="Z777" s="3">
        <f t="shared" ca="1" si="111"/>
        <v>0.2352397761702677</v>
      </c>
      <c r="AA777" s="6">
        <f t="shared" ca="1" si="112"/>
        <v>117540.45768933848</v>
      </c>
      <c r="AB777" s="6">
        <f t="shared" ca="1" si="113"/>
        <v>140.90158816943153</v>
      </c>
    </row>
    <row r="778" spans="1:28" x14ac:dyDescent="0.3">
      <c r="A778" s="53"/>
      <c r="B778" s="54"/>
      <c r="C778" s="65" t="s">
        <v>231</v>
      </c>
      <c r="D778" s="65">
        <f t="shared" ca="1" si="106"/>
        <v>2</v>
      </c>
      <c r="E778" s="3">
        <f t="shared" ca="1" si="107"/>
        <v>0.20248865533501748</v>
      </c>
      <c r="F778" s="6">
        <f t="shared" ca="1" si="108"/>
        <v>103883.61244694974</v>
      </c>
      <c r="G778" s="6">
        <f t="shared" ca="1" si="109"/>
        <v>1131.8095391289262</v>
      </c>
      <c r="V778" s="53"/>
      <c r="W778" s="54"/>
      <c r="X778" s="65" t="s">
        <v>231</v>
      </c>
      <c r="Y778" s="65">
        <f t="shared" ca="1" si="110"/>
        <v>2</v>
      </c>
      <c r="Z778" s="3">
        <f t="shared" ca="1" si="111"/>
        <v>9.2318274127501931E-2</v>
      </c>
      <c r="AA778" s="6">
        <f t="shared" ca="1" si="112"/>
        <v>164952.94869991232</v>
      </c>
      <c r="AB778" s="6">
        <f t="shared" ca="1" si="113"/>
        <v>1874.5857815577281</v>
      </c>
    </row>
    <row r="779" spans="1:28" x14ac:dyDescent="0.3">
      <c r="A779" s="53"/>
      <c r="B779" s="54"/>
      <c r="C779" s="65" t="s">
        <v>231</v>
      </c>
      <c r="D779" s="65">
        <f t="shared" ca="1" si="106"/>
        <v>2</v>
      </c>
      <c r="E779" s="3">
        <f t="shared" ca="1" si="107"/>
        <v>0.20212094873505815</v>
      </c>
      <c r="F779" s="6">
        <f t="shared" ca="1" si="108"/>
        <v>175186.36017499017</v>
      </c>
      <c r="G779" s="6">
        <f t="shared" ca="1" si="109"/>
        <v>803.17933691918995</v>
      </c>
      <c r="V779" s="53"/>
      <c r="W779" s="54"/>
      <c r="X779" s="65" t="s">
        <v>231</v>
      </c>
      <c r="Y779" s="65">
        <f t="shared" ca="1" si="110"/>
        <v>4</v>
      </c>
      <c r="Z779" s="3">
        <f t="shared" ca="1" si="111"/>
        <v>0.81393840531494444</v>
      </c>
      <c r="AA779" s="6">
        <f t="shared" ca="1" si="112"/>
        <v>160926.98665304258</v>
      </c>
      <c r="AB779" s="6">
        <f t="shared" ca="1" si="113"/>
        <v>980.55639118418969</v>
      </c>
    </row>
    <row r="780" spans="1:28" x14ac:dyDescent="0.3">
      <c r="A780" s="53"/>
      <c r="B780" s="54"/>
      <c r="C780" s="65" t="s">
        <v>231</v>
      </c>
      <c r="D780" s="65">
        <f t="shared" ca="1" si="106"/>
        <v>2</v>
      </c>
      <c r="E780" s="3">
        <f t="shared" ca="1" si="107"/>
        <v>0.65593660819539545</v>
      </c>
      <c r="F780" s="6">
        <f t="shared" ca="1" si="108"/>
        <v>99019.688118424136</v>
      </c>
      <c r="G780" s="6">
        <f t="shared" ca="1" si="109"/>
        <v>383.4577936790493</v>
      </c>
      <c r="V780" s="53"/>
      <c r="W780" s="54"/>
      <c r="X780" s="65" t="s">
        <v>231</v>
      </c>
      <c r="Y780" s="65">
        <f t="shared" ca="1" si="110"/>
        <v>3</v>
      </c>
      <c r="Z780" s="3">
        <f t="shared" ca="1" si="111"/>
        <v>0.13351027974407614</v>
      </c>
      <c r="AA780" s="6">
        <f t="shared" ca="1" si="112"/>
        <v>142288.57317540201</v>
      </c>
      <c r="AB780" s="6">
        <f t="shared" ca="1" si="113"/>
        <v>303.36038226710491</v>
      </c>
    </row>
    <row r="781" spans="1:28" x14ac:dyDescent="0.3">
      <c r="A781" s="53"/>
      <c r="B781" s="54"/>
      <c r="C781" s="65" t="s">
        <v>231</v>
      </c>
      <c r="D781" s="65">
        <f t="shared" ref="D781:D844" ca="1" si="114">INT(RAND()*4)+1</f>
        <v>4</v>
      </c>
      <c r="E781" s="3">
        <f t="shared" ref="E781:E844" ca="1" si="115">RAND()</f>
        <v>1.0463664445198306E-3</v>
      </c>
      <c r="F781" s="6">
        <f t="shared" ref="F781:F844" ca="1" si="116">RAND()*200000</f>
        <v>73353.745949953125</v>
      </c>
      <c r="G781" s="6">
        <f t="shared" ref="G781:G844" ca="1" si="117">RAND()*2000</f>
        <v>576.35135908920483</v>
      </c>
      <c r="V781" s="53"/>
      <c r="W781" s="54"/>
      <c r="X781" s="65" t="s">
        <v>231</v>
      </c>
      <c r="Y781" s="65">
        <f t="shared" ref="Y781:Y844" ca="1" si="118">INT(RAND()*4)+1</f>
        <v>2</v>
      </c>
      <c r="Z781" s="3">
        <f t="shared" ref="Z781:Z844" ca="1" si="119">RAND()</f>
        <v>0.271457729595871</v>
      </c>
      <c r="AA781" s="6">
        <f t="shared" ref="AA781:AA844" ca="1" si="120">RAND()*200000</f>
        <v>110699.48193915309</v>
      </c>
      <c r="AB781" s="6">
        <f t="shared" ref="AB781:AB844" ca="1" si="121">RAND()*2000</f>
        <v>347.64529541751955</v>
      </c>
    </row>
    <row r="782" spans="1:28" x14ac:dyDescent="0.3">
      <c r="A782" s="53"/>
      <c r="B782" s="54"/>
      <c r="C782" s="65" t="s">
        <v>231</v>
      </c>
      <c r="D782" s="65">
        <f t="shared" ca="1" si="114"/>
        <v>1</v>
      </c>
      <c r="E782" s="3">
        <f t="shared" ca="1" si="115"/>
        <v>0.22104152476960404</v>
      </c>
      <c r="F782" s="6">
        <f t="shared" ca="1" si="116"/>
        <v>6076.415414412395</v>
      </c>
      <c r="G782" s="6">
        <f t="shared" ca="1" si="117"/>
        <v>1128.451947577209</v>
      </c>
      <c r="V782" s="53"/>
      <c r="W782" s="54"/>
      <c r="X782" s="65" t="s">
        <v>231</v>
      </c>
      <c r="Y782" s="65">
        <f t="shared" ca="1" si="118"/>
        <v>2</v>
      </c>
      <c r="Z782" s="3">
        <f t="shared" ca="1" si="119"/>
        <v>0.35779908341402489</v>
      </c>
      <c r="AA782" s="6">
        <f t="shared" ca="1" si="120"/>
        <v>103834.13844800937</v>
      </c>
      <c r="AB782" s="6">
        <f t="shared" ca="1" si="121"/>
        <v>1393.8756591210565</v>
      </c>
    </row>
    <row r="783" spans="1:28" x14ac:dyDescent="0.3">
      <c r="A783" s="53"/>
      <c r="B783" s="54"/>
      <c r="C783" s="65" t="s">
        <v>231</v>
      </c>
      <c r="D783" s="65">
        <f t="shared" ca="1" si="114"/>
        <v>3</v>
      </c>
      <c r="E783" s="3">
        <f t="shared" ca="1" si="115"/>
        <v>0.69281597926426963</v>
      </c>
      <c r="F783" s="6">
        <f t="shared" ca="1" si="116"/>
        <v>111375.96591029721</v>
      </c>
      <c r="G783" s="6">
        <f t="shared" ca="1" si="117"/>
        <v>430.26049761420239</v>
      </c>
      <c r="V783" s="53"/>
      <c r="W783" s="54"/>
      <c r="X783" s="65" t="s">
        <v>231</v>
      </c>
      <c r="Y783" s="65">
        <f t="shared" ca="1" si="118"/>
        <v>3</v>
      </c>
      <c r="Z783" s="3">
        <f t="shared" ca="1" si="119"/>
        <v>0.30697353403761407</v>
      </c>
      <c r="AA783" s="6">
        <f t="shared" ca="1" si="120"/>
        <v>175903.40652846769</v>
      </c>
      <c r="AB783" s="6">
        <f t="shared" ca="1" si="121"/>
        <v>1236.3727452420635</v>
      </c>
    </row>
    <row r="784" spans="1:28" x14ac:dyDescent="0.3">
      <c r="A784" s="53"/>
      <c r="B784" s="54"/>
      <c r="C784" s="65" t="s">
        <v>231</v>
      </c>
      <c r="D784" s="65">
        <f t="shared" ca="1" si="114"/>
        <v>2</v>
      </c>
      <c r="E784" s="3">
        <f t="shared" ca="1" si="115"/>
        <v>9.3579642558201948E-2</v>
      </c>
      <c r="F784" s="6">
        <f t="shared" ca="1" si="116"/>
        <v>101627.72552604674</v>
      </c>
      <c r="G784" s="6">
        <f t="shared" ca="1" si="117"/>
        <v>16.502323064203406</v>
      </c>
      <c r="V784" s="53"/>
      <c r="W784" s="54"/>
      <c r="X784" s="65" t="s">
        <v>231</v>
      </c>
      <c r="Y784" s="65">
        <f t="shared" ca="1" si="118"/>
        <v>1</v>
      </c>
      <c r="Z784" s="3">
        <f t="shared" ca="1" si="119"/>
        <v>0.3334890708115491</v>
      </c>
      <c r="AA784" s="6">
        <f t="shared" ca="1" si="120"/>
        <v>61383.959577852474</v>
      </c>
      <c r="AB784" s="6">
        <f t="shared" ca="1" si="121"/>
        <v>1615.8623522755374</v>
      </c>
    </row>
    <row r="785" spans="1:28" x14ac:dyDescent="0.3">
      <c r="A785" s="53"/>
      <c r="B785" s="54"/>
      <c r="C785" s="65" t="s">
        <v>231</v>
      </c>
      <c r="D785" s="65">
        <f t="shared" ca="1" si="114"/>
        <v>4</v>
      </c>
      <c r="E785" s="3">
        <f t="shared" ca="1" si="115"/>
        <v>0.55622578158791336</v>
      </c>
      <c r="F785" s="6">
        <f t="shared" ca="1" si="116"/>
        <v>58753.925118677362</v>
      </c>
      <c r="G785" s="6">
        <f t="shared" ca="1" si="117"/>
        <v>1737.1658973692806</v>
      </c>
      <c r="V785" s="53"/>
      <c r="W785" s="54"/>
      <c r="X785" s="65" t="s">
        <v>231</v>
      </c>
      <c r="Y785" s="65">
        <f t="shared" ca="1" si="118"/>
        <v>4</v>
      </c>
      <c r="Z785" s="3">
        <f t="shared" ca="1" si="119"/>
        <v>0.9422997246299063</v>
      </c>
      <c r="AA785" s="6">
        <f t="shared" ca="1" si="120"/>
        <v>131572.21859866209</v>
      </c>
      <c r="AB785" s="6">
        <f t="shared" ca="1" si="121"/>
        <v>399.27111455853617</v>
      </c>
    </row>
    <row r="786" spans="1:28" x14ac:dyDescent="0.3">
      <c r="A786" s="53"/>
      <c r="B786" s="54"/>
      <c r="C786" s="65" t="s">
        <v>231</v>
      </c>
      <c r="D786" s="65">
        <f t="shared" ca="1" si="114"/>
        <v>3</v>
      </c>
      <c r="E786" s="3">
        <f t="shared" ca="1" si="115"/>
        <v>0.56866975275496667</v>
      </c>
      <c r="F786" s="6">
        <f t="shared" ca="1" si="116"/>
        <v>75509.18998661224</v>
      </c>
      <c r="G786" s="6">
        <f t="shared" ca="1" si="117"/>
        <v>1680.0726864025373</v>
      </c>
      <c r="V786" s="53"/>
      <c r="W786" s="54"/>
      <c r="X786" s="65" t="s">
        <v>231</v>
      </c>
      <c r="Y786" s="65">
        <f t="shared" ca="1" si="118"/>
        <v>4</v>
      </c>
      <c r="Z786" s="3">
        <f t="shared" ca="1" si="119"/>
        <v>0.71947294262120887</v>
      </c>
      <c r="AA786" s="6">
        <f t="shared" ca="1" si="120"/>
        <v>27456.207708553949</v>
      </c>
      <c r="AB786" s="6">
        <f t="shared" ca="1" si="121"/>
        <v>690.32364852533658</v>
      </c>
    </row>
    <row r="787" spans="1:28" x14ac:dyDescent="0.3">
      <c r="A787" s="53"/>
      <c r="B787" s="54"/>
      <c r="C787" s="65" t="s">
        <v>231</v>
      </c>
      <c r="D787" s="65">
        <f t="shared" ca="1" si="114"/>
        <v>4</v>
      </c>
      <c r="E787" s="3">
        <f t="shared" ca="1" si="115"/>
        <v>0.15511144772419472</v>
      </c>
      <c r="F787" s="6">
        <f t="shared" ca="1" si="116"/>
        <v>153736.69163375624</v>
      </c>
      <c r="G787" s="6">
        <f t="shared" ca="1" si="117"/>
        <v>397.77885347761298</v>
      </c>
      <c r="V787" s="53"/>
      <c r="W787" s="54"/>
      <c r="X787" s="65" t="s">
        <v>231</v>
      </c>
      <c r="Y787" s="65">
        <f t="shared" ca="1" si="118"/>
        <v>4</v>
      </c>
      <c r="Z787" s="3">
        <f t="shared" ca="1" si="119"/>
        <v>0.65857634816870947</v>
      </c>
      <c r="AA787" s="6">
        <f t="shared" ca="1" si="120"/>
        <v>72595.466920741965</v>
      </c>
      <c r="AB787" s="6">
        <f t="shared" ca="1" si="121"/>
        <v>1836.9104760989455</v>
      </c>
    </row>
    <row r="788" spans="1:28" x14ac:dyDescent="0.3">
      <c r="A788" s="53"/>
      <c r="B788" s="54"/>
      <c r="C788" s="65" t="s">
        <v>231</v>
      </c>
      <c r="D788" s="65">
        <f t="shared" ca="1" si="114"/>
        <v>4</v>
      </c>
      <c r="E788" s="3">
        <f t="shared" ca="1" si="115"/>
        <v>0.82726771634008989</v>
      </c>
      <c r="F788" s="6">
        <f t="shared" ca="1" si="116"/>
        <v>63619.926870246069</v>
      </c>
      <c r="G788" s="6">
        <f t="shared" ca="1" si="117"/>
        <v>1210.7938959929279</v>
      </c>
      <c r="V788" s="53"/>
      <c r="W788" s="54"/>
      <c r="X788" s="65" t="s">
        <v>231</v>
      </c>
      <c r="Y788" s="65">
        <f t="shared" ca="1" si="118"/>
        <v>2</v>
      </c>
      <c r="Z788" s="3">
        <f t="shared" ca="1" si="119"/>
        <v>9.6732252382696782E-2</v>
      </c>
      <c r="AA788" s="6">
        <f t="shared" ca="1" si="120"/>
        <v>91620.28287536987</v>
      </c>
      <c r="AB788" s="6">
        <f t="shared" ca="1" si="121"/>
        <v>496.68514487166669</v>
      </c>
    </row>
    <row r="789" spans="1:28" x14ac:dyDescent="0.3">
      <c r="A789" s="53"/>
      <c r="B789" s="54"/>
      <c r="C789" s="65" t="s">
        <v>231</v>
      </c>
      <c r="D789" s="65">
        <f t="shared" ca="1" si="114"/>
        <v>4</v>
      </c>
      <c r="E789" s="3">
        <f t="shared" ca="1" si="115"/>
        <v>6.4868312029556008E-2</v>
      </c>
      <c r="F789" s="6">
        <f t="shared" ca="1" si="116"/>
        <v>119869.14542705374</v>
      </c>
      <c r="G789" s="6">
        <f t="shared" ca="1" si="117"/>
        <v>1188.6643662384536</v>
      </c>
      <c r="V789" s="53"/>
      <c r="W789" s="54"/>
      <c r="X789" s="65" t="s">
        <v>231</v>
      </c>
      <c r="Y789" s="65">
        <f t="shared" ca="1" si="118"/>
        <v>1</v>
      </c>
      <c r="Z789" s="3">
        <f t="shared" ca="1" si="119"/>
        <v>0.20713416017786235</v>
      </c>
      <c r="AA789" s="6">
        <f t="shared" ca="1" si="120"/>
        <v>125417.79816005199</v>
      </c>
      <c r="AB789" s="6">
        <f t="shared" ca="1" si="121"/>
        <v>1259.8125935981843</v>
      </c>
    </row>
    <row r="790" spans="1:28" x14ac:dyDescent="0.3">
      <c r="A790" s="53"/>
      <c r="B790" s="54"/>
      <c r="C790" s="65" t="s">
        <v>231</v>
      </c>
      <c r="D790" s="65">
        <f t="shared" ca="1" si="114"/>
        <v>3</v>
      </c>
      <c r="E790" s="3">
        <f t="shared" ca="1" si="115"/>
        <v>0.54576978398907372</v>
      </c>
      <c r="F790" s="6">
        <f t="shared" ca="1" si="116"/>
        <v>65187.248485557058</v>
      </c>
      <c r="G790" s="6">
        <f t="shared" ca="1" si="117"/>
        <v>345.40441432849758</v>
      </c>
      <c r="V790" s="53"/>
      <c r="W790" s="54"/>
      <c r="X790" s="65" t="s">
        <v>231</v>
      </c>
      <c r="Y790" s="65">
        <f t="shared" ca="1" si="118"/>
        <v>3</v>
      </c>
      <c r="Z790" s="3">
        <f t="shared" ca="1" si="119"/>
        <v>0.28702968136391571</v>
      </c>
      <c r="AA790" s="6">
        <f t="shared" ca="1" si="120"/>
        <v>173015.59211576136</v>
      </c>
      <c r="AB790" s="6">
        <f t="shared" ca="1" si="121"/>
        <v>1291.2682094319337</v>
      </c>
    </row>
    <row r="791" spans="1:28" x14ac:dyDescent="0.3">
      <c r="A791" s="53"/>
      <c r="B791" s="54"/>
      <c r="C791" s="65" t="s">
        <v>231</v>
      </c>
      <c r="D791" s="65">
        <f t="shared" ca="1" si="114"/>
        <v>4</v>
      </c>
      <c r="E791" s="3">
        <f t="shared" ca="1" si="115"/>
        <v>0.73700950149467603</v>
      </c>
      <c r="F791" s="6">
        <f t="shared" ca="1" si="116"/>
        <v>48995.912553281509</v>
      </c>
      <c r="G791" s="6">
        <f t="shared" ca="1" si="117"/>
        <v>1373.888138996723</v>
      </c>
      <c r="V791" s="53"/>
      <c r="W791" s="54"/>
      <c r="X791" s="65" t="s">
        <v>231</v>
      </c>
      <c r="Y791" s="65">
        <f t="shared" ca="1" si="118"/>
        <v>4</v>
      </c>
      <c r="Z791" s="3">
        <f t="shared" ca="1" si="119"/>
        <v>0.81018858649064796</v>
      </c>
      <c r="AA791" s="6">
        <f t="shared" ca="1" si="120"/>
        <v>199986.88248095781</v>
      </c>
      <c r="AB791" s="6">
        <f t="shared" ca="1" si="121"/>
        <v>581.31462382912241</v>
      </c>
    </row>
    <row r="792" spans="1:28" x14ac:dyDescent="0.3">
      <c r="A792" s="53"/>
      <c r="B792" s="54"/>
      <c r="C792" s="65" t="s">
        <v>231</v>
      </c>
      <c r="D792" s="65">
        <f t="shared" ca="1" si="114"/>
        <v>4</v>
      </c>
      <c r="E792" s="3">
        <f t="shared" ca="1" si="115"/>
        <v>0.53582658560418039</v>
      </c>
      <c r="F792" s="6">
        <f t="shared" ca="1" si="116"/>
        <v>43639.902348698168</v>
      </c>
      <c r="G792" s="6">
        <f t="shared" ca="1" si="117"/>
        <v>216.02895030470992</v>
      </c>
      <c r="V792" s="53"/>
      <c r="W792" s="54"/>
      <c r="X792" s="65" t="s">
        <v>231</v>
      </c>
      <c r="Y792" s="65">
        <f t="shared" ca="1" si="118"/>
        <v>4</v>
      </c>
      <c r="Z792" s="3">
        <f t="shared" ca="1" si="119"/>
        <v>0.55577968169165193</v>
      </c>
      <c r="AA792" s="6">
        <f t="shared" ca="1" si="120"/>
        <v>160632.24570856488</v>
      </c>
      <c r="AB792" s="6">
        <f t="shared" ca="1" si="121"/>
        <v>344.1902555671943</v>
      </c>
    </row>
    <row r="793" spans="1:28" x14ac:dyDescent="0.3">
      <c r="A793" s="53"/>
      <c r="B793" s="54"/>
      <c r="C793" s="65" t="s">
        <v>231</v>
      </c>
      <c r="D793" s="65">
        <f t="shared" ca="1" si="114"/>
        <v>2</v>
      </c>
      <c r="E793" s="3">
        <f t="shared" ca="1" si="115"/>
        <v>0.3395917521713504</v>
      </c>
      <c r="F793" s="6">
        <f t="shared" ca="1" si="116"/>
        <v>172778.92774205343</v>
      </c>
      <c r="G793" s="6">
        <f t="shared" ca="1" si="117"/>
        <v>716.5060522600894</v>
      </c>
      <c r="V793" s="53"/>
      <c r="W793" s="54"/>
      <c r="X793" s="65" t="s">
        <v>231</v>
      </c>
      <c r="Y793" s="65">
        <f t="shared" ca="1" si="118"/>
        <v>4</v>
      </c>
      <c r="Z793" s="3">
        <f t="shared" ca="1" si="119"/>
        <v>6.5987461545083392E-2</v>
      </c>
      <c r="AA793" s="6">
        <f t="shared" ca="1" si="120"/>
        <v>116789.41577030155</v>
      </c>
      <c r="AB793" s="6">
        <f t="shared" ca="1" si="121"/>
        <v>1438.9069360098144</v>
      </c>
    </row>
    <row r="794" spans="1:28" x14ac:dyDescent="0.3">
      <c r="A794" s="53"/>
      <c r="B794" s="54"/>
      <c r="C794" s="65" t="s">
        <v>231</v>
      </c>
      <c r="D794" s="65">
        <f t="shared" ca="1" si="114"/>
        <v>1</v>
      </c>
      <c r="E794" s="3">
        <f t="shared" ca="1" si="115"/>
        <v>0.51555297936369315</v>
      </c>
      <c r="F794" s="6">
        <f t="shared" ca="1" si="116"/>
        <v>62588.174687415041</v>
      </c>
      <c r="G794" s="6">
        <f t="shared" ca="1" si="117"/>
        <v>773.11498431482369</v>
      </c>
      <c r="V794" s="53"/>
      <c r="W794" s="54"/>
      <c r="X794" s="65" t="s">
        <v>231</v>
      </c>
      <c r="Y794" s="65">
        <f t="shared" ca="1" si="118"/>
        <v>4</v>
      </c>
      <c r="Z794" s="3">
        <f t="shared" ca="1" si="119"/>
        <v>4.1725378507330713E-2</v>
      </c>
      <c r="AA794" s="6">
        <f t="shared" ca="1" si="120"/>
        <v>104461.29526287194</v>
      </c>
      <c r="AB794" s="6">
        <f t="shared" ca="1" si="121"/>
        <v>1499.0070562078629</v>
      </c>
    </row>
    <row r="795" spans="1:28" x14ac:dyDescent="0.3">
      <c r="A795" s="53"/>
      <c r="B795" s="54"/>
      <c r="C795" s="65" t="s">
        <v>231</v>
      </c>
      <c r="D795" s="65">
        <f t="shared" ca="1" si="114"/>
        <v>2</v>
      </c>
      <c r="E795" s="3">
        <f t="shared" ca="1" si="115"/>
        <v>0.15838059153505146</v>
      </c>
      <c r="F795" s="6">
        <f t="shared" ca="1" si="116"/>
        <v>72583.611639992567</v>
      </c>
      <c r="G795" s="6">
        <f t="shared" ca="1" si="117"/>
        <v>1747.2815216107454</v>
      </c>
      <c r="V795" s="53"/>
      <c r="W795" s="54"/>
      <c r="X795" s="65" t="s">
        <v>231</v>
      </c>
      <c r="Y795" s="65">
        <f t="shared" ca="1" si="118"/>
        <v>4</v>
      </c>
      <c r="Z795" s="3">
        <f t="shared" ca="1" si="119"/>
        <v>0.66099869569386993</v>
      </c>
      <c r="AA795" s="6">
        <f t="shared" ca="1" si="120"/>
        <v>44370.348735980449</v>
      </c>
      <c r="AB795" s="6">
        <f t="shared" ca="1" si="121"/>
        <v>1405.1539186174248</v>
      </c>
    </row>
    <row r="796" spans="1:28" x14ac:dyDescent="0.3">
      <c r="A796" s="53"/>
      <c r="B796" s="54"/>
      <c r="C796" s="65" t="s">
        <v>231</v>
      </c>
      <c r="D796" s="65">
        <f t="shared" ca="1" si="114"/>
        <v>4</v>
      </c>
      <c r="E796" s="3">
        <f t="shared" ca="1" si="115"/>
        <v>9.9628111169544509E-2</v>
      </c>
      <c r="F796" s="6">
        <f t="shared" ca="1" si="116"/>
        <v>170626.76623245014</v>
      </c>
      <c r="G796" s="6">
        <f t="shared" ca="1" si="117"/>
        <v>567.05649702750316</v>
      </c>
      <c r="V796" s="53"/>
      <c r="W796" s="54"/>
      <c r="X796" s="65" t="s">
        <v>231</v>
      </c>
      <c r="Y796" s="65">
        <f t="shared" ca="1" si="118"/>
        <v>3</v>
      </c>
      <c r="Z796" s="3">
        <f t="shared" ca="1" si="119"/>
        <v>0.98933830983430526</v>
      </c>
      <c r="AA796" s="6">
        <f t="shared" ca="1" si="120"/>
        <v>162966.43118177415</v>
      </c>
      <c r="AB796" s="6">
        <f t="shared" ca="1" si="121"/>
        <v>1966.8465420910966</v>
      </c>
    </row>
    <row r="797" spans="1:28" x14ac:dyDescent="0.3">
      <c r="A797" s="53"/>
      <c r="B797" s="54"/>
      <c r="C797" s="65" t="s">
        <v>231</v>
      </c>
      <c r="D797" s="65">
        <f t="shared" ca="1" si="114"/>
        <v>3</v>
      </c>
      <c r="E797" s="3">
        <f t="shared" ca="1" si="115"/>
        <v>0.39748488378429736</v>
      </c>
      <c r="F797" s="6">
        <f t="shared" ca="1" si="116"/>
        <v>176357.60957763641</v>
      </c>
      <c r="G797" s="6">
        <f t="shared" ca="1" si="117"/>
        <v>591.37681646579995</v>
      </c>
      <c r="V797" s="53"/>
      <c r="W797" s="54"/>
      <c r="X797" s="65" t="s">
        <v>231</v>
      </c>
      <c r="Y797" s="65">
        <f t="shared" ca="1" si="118"/>
        <v>1</v>
      </c>
      <c r="Z797" s="3">
        <f t="shared" ca="1" si="119"/>
        <v>5.7258210465340964E-2</v>
      </c>
      <c r="AA797" s="6">
        <f t="shared" ca="1" si="120"/>
        <v>20629.082923916852</v>
      </c>
      <c r="AB797" s="6">
        <f t="shared" ca="1" si="121"/>
        <v>609.43445887539997</v>
      </c>
    </row>
    <row r="798" spans="1:28" x14ac:dyDescent="0.3">
      <c r="A798" s="53"/>
      <c r="B798" s="54"/>
      <c r="C798" s="65" t="s">
        <v>231</v>
      </c>
      <c r="D798" s="65">
        <f t="shared" ca="1" si="114"/>
        <v>1</v>
      </c>
      <c r="E798" s="3">
        <f t="shared" ca="1" si="115"/>
        <v>0.24689767306590504</v>
      </c>
      <c r="F798" s="6">
        <f t="shared" ca="1" si="116"/>
        <v>605.52307191248383</v>
      </c>
      <c r="G798" s="6">
        <f t="shared" ca="1" si="117"/>
        <v>1907.9952828697617</v>
      </c>
      <c r="V798" s="53"/>
      <c r="W798" s="54"/>
      <c r="X798" s="65" t="s">
        <v>231</v>
      </c>
      <c r="Y798" s="65">
        <f t="shared" ca="1" si="118"/>
        <v>3</v>
      </c>
      <c r="Z798" s="3">
        <f t="shared" ca="1" si="119"/>
        <v>0.50580737811961241</v>
      </c>
      <c r="AA798" s="6">
        <f t="shared" ca="1" si="120"/>
        <v>127627.81162985865</v>
      </c>
      <c r="AB798" s="6">
        <f t="shared" ca="1" si="121"/>
        <v>724.60010214617205</v>
      </c>
    </row>
    <row r="799" spans="1:28" x14ac:dyDescent="0.3">
      <c r="A799" s="53"/>
      <c r="B799" s="54"/>
      <c r="C799" s="65" t="s">
        <v>231</v>
      </c>
      <c r="D799" s="65">
        <f t="shared" ca="1" si="114"/>
        <v>1</v>
      </c>
      <c r="E799" s="3">
        <f t="shared" ca="1" si="115"/>
        <v>0.46303082264569795</v>
      </c>
      <c r="F799" s="6">
        <f t="shared" ca="1" si="116"/>
        <v>198905.29809521142</v>
      </c>
      <c r="G799" s="6">
        <f t="shared" ca="1" si="117"/>
        <v>1040.8616286519043</v>
      </c>
      <c r="V799" s="53"/>
      <c r="W799" s="54"/>
      <c r="X799" s="65" t="s">
        <v>231</v>
      </c>
      <c r="Y799" s="65">
        <f t="shared" ca="1" si="118"/>
        <v>2</v>
      </c>
      <c r="Z799" s="3">
        <f t="shared" ca="1" si="119"/>
        <v>0.24057209488655251</v>
      </c>
      <c r="AA799" s="6">
        <f t="shared" ca="1" si="120"/>
        <v>196695.4565086184</v>
      </c>
      <c r="AB799" s="6">
        <f t="shared" ca="1" si="121"/>
        <v>231.7742224373709</v>
      </c>
    </row>
    <row r="800" spans="1:28" x14ac:dyDescent="0.3">
      <c r="A800" s="53"/>
      <c r="B800" s="54"/>
      <c r="C800" s="65" t="s">
        <v>231</v>
      </c>
      <c r="D800" s="65">
        <f t="shared" ca="1" si="114"/>
        <v>3</v>
      </c>
      <c r="E800" s="3">
        <f t="shared" ca="1" si="115"/>
        <v>0.4699145295011079</v>
      </c>
      <c r="F800" s="6">
        <f t="shared" ca="1" si="116"/>
        <v>47867.079498347164</v>
      </c>
      <c r="G800" s="6">
        <f t="shared" ca="1" si="117"/>
        <v>1438.7717864626388</v>
      </c>
      <c r="V800" s="53"/>
      <c r="W800" s="54"/>
      <c r="X800" s="65" t="s">
        <v>231</v>
      </c>
      <c r="Y800" s="65">
        <f t="shared" ca="1" si="118"/>
        <v>4</v>
      </c>
      <c r="Z800" s="3">
        <f t="shared" ca="1" si="119"/>
        <v>0.35554639200230176</v>
      </c>
      <c r="AA800" s="6">
        <f t="shared" ca="1" si="120"/>
        <v>134466.43402607957</v>
      </c>
      <c r="AB800" s="6">
        <f t="shared" ca="1" si="121"/>
        <v>736.09344043969395</v>
      </c>
    </row>
    <row r="801" spans="1:28" x14ac:dyDescent="0.3">
      <c r="A801" s="53"/>
      <c r="B801" s="54"/>
      <c r="C801" s="65" t="s">
        <v>231</v>
      </c>
      <c r="D801" s="65">
        <f t="shared" ca="1" si="114"/>
        <v>4</v>
      </c>
      <c r="E801" s="3">
        <f t="shared" ca="1" si="115"/>
        <v>0.30639311542049741</v>
      </c>
      <c r="F801" s="6">
        <f t="shared" ca="1" si="116"/>
        <v>7211.7567795559671</v>
      </c>
      <c r="G801" s="6">
        <f t="shared" ca="1" si="117"/>
        <v>1564.1196955452117</v>
      </c>
      <c r="V801" s="53"/>
      <c r="W801" s="54"/>
      <c r="X801" s="65" t="s">
        <v>231</v>
      </c>
      <c r="Y801" s="65">
        <f t="shared" ca="1" si="118"/>
        <v>4</v>
      </c>
      <c r="Z801" s="3">
        <f t="shared" ca="1" si="119"/>
        <v>0.82891749404281168</v>
      </c>
      <c r="AA801" s="6">
        <f t="shared" ca="1" si="120"/>
        <v>170448.20303619053</v>
      </c>
      <c r="AB801" s="6">
        <f t="shared" ca="1" si="121"/>
        <v>371.37795179817323</v>
      </c>
    </row>
    <row r="802" spans="1:28" x14ac:dyDescent="0.3">
      <c r="A802" s="53"/>
      <c r="B802" s="54"/>
      <c r="C802" s="65" t="s">
        <v>231</v>
      </c>
      <c r="D802" s="65">
        <f t="shared" ca="1" si="114"/>
        <v>2</v>
      </c>
      <c r="E802" s="3">
        <f t="shared" ca="1" si="115"/>
        <v>0.44482173115625312</v>
      </c>
      <c r="F802" s="6">
        <f t="shared" ca="1" si="116"/>
        <v>33142.880046167455</v>
      </c>
      <c r="G802" s="6">
        <f t="shared" ca="1" si="117"/>
        <v>719.72934661060788</v>
      </c>
      <c r="V802" s="53"/>
      <c r="W802" s="54"/>
      <c r="X802" s="65" t="s">
        <v>231</v>
      </c>
      <c r="Y802" s="65">
        <f t="shared" ca="1" si="118"/>
        <v>2</v>
      </c>
      <c r="Z802" s="3">
        <f t="shared" ca="1" si="119"/>
        <v>0.7806964764534895</v>
      </c>
      <c r="AA802" s="6">
        <f t="shared" ca="1" si="120"/>
        <v>19637.130526652989</v>
      </c>
      <c r="AB802" s="6">
        <f t="shared" ca="1" si="121"/>
        <v>1962.0768469223715</v>
      </c>
    </row>
    <row r="803" spans="1:28" x14ac:dyDescent="0.3">
      <c r="A803" s="53"/>
      <c r="B803" s="54"/>
      <c r="C803" s="65" t="s">
        <v>231</v>
      </c>
      <c r="D803" s="65">
        <f t="shared" ca="1" si="114"/>
        <v>3</v>
      </c>
      <c r="E803" s="3">
        <f t="shared" ca="1" si="115"/>
        <v>0.12268397484305105</v>
      </c>
      <c r="F803" s="6">
        <f t="shared" ca="1" si="116"/>
        <v>114267.5864017369</v>
      </c>
      <c r="G803" s="6">
        <f t="shared" ca="1" si="117"/>
        <v>978.74597220430928</v>
      </c>
      <c r="V803" s="53"/>
      <c r="W803" s="54"/>
      <c r="X803" s="65" t="s">
        <v>231</v>
      </c>
      <c r="Y803" s="65">
        <f t="shared" ca="1" si="118"/>
        <v>3</v>
      </c>
      <c r="Z803" s="3">
        <f t="shared" ca="1" si="119"/>
        <v>0.38932591721170762</v>
      </c>
      <c r="AA803" s="6">
        <f t="shared" ca="1" si="120"/>
        <v>163479.47120635331</v>
      </c>
      <c r="AB803" s="6">
        <f t="shared" ca="1" si="121"/>
        <v>1754.9113294836297</v>
      </c>
    </row>
    <row r="804" spans="1:28" x14ac:dyDescent="0.3">
      <c r="A804" s="53"/>
      <c r="B804" s="54"/>
      <c r="C804" s="65" t="s">
        <v>231</v>
      </c>
      <c r="D804" s="65">
        <f t="shared" ca="1" si="114"/>
        <v>2</v>
      </c>
      <c r="E804" s="3">
        <f t="shared" ca="1" si="115"/>
        <v>0.72660283980551166</v>
      </c>
      <c r="F804" s="6">
        <f t="shared" ca="1" si="116"/>
        <v>66095.404594433188</v>
      </c>
      <c r="G804" s="6">
        <f t="shared" ca="1" si="117"/>
        <v>956.0094254587674</v>
      </c>
      <c r="V804" s="53"/>
      <c r="W804" s="54"/>
      <c r="X804" s="65" t="s">
        <v>231</v>
      </c>
      <c r="Y804" s="65">
        <f t="shared" ca="1" si="118"/>
        <v>4</v>
      </c>
      <c r="Z804" s="3">
        <f t="shared" ca="1" si="119"/>
        <v>7.2145695128471465E-2</v>
      </c>
      <c r="AA804" s="6">
        <f t="shared" ca="1" si="120"/>
        <v>168794.05650085059</v>
      </c>
      <c r="AB804" s="6">
        <f t="shared" ca="1" si="121"/>
        <v>1834.2078620627265</v>
      </c>
    </row>
    <row r="805" spans="1:28" x14ac:dyDescent="0.3">
      <c r="A805" s="53"/>
      <c r="B805" s="54"/>
      <c r="C805" s="65" t="s">
        <v>231</v>
      </c>
      <c r="D805" s="65">
        <f t="shared" ca="1" si="114"/>
        <v>2</v>
      </c>
      <c r="E805" s="3">
        <f t="shared" ca="1" si="115"/>
        <v>0.96669325942456252</v>
      </c>
      <c r="F805" s="6">
        <f t="shared" ca="1" si="116"/>
        <v>127378.36674187265</v>
      </c>
      <c r="G805" s="6">
        <f t="shared" ca="1" si="117"/>
        <v>1882.4195528072416</v>
      </c>
      <c r="V805" s="53"/>
      <c r="W805" s="54"/>
      <c r="X805" s="65" t="s">
        <v>231</v>
      </c>
      <c r="Y805" s="65">
        <f t="shared" ca="1" si="118"/>
        <v>4</v>
      </c>
      <c r="Z805" s="3">
        <f t="shared" ca="1" si="119"/>
        <v>0.36158131940332405</v>
      </c>
      <c r="AA805" s="6">
        <f t="shared" ca="1" si="120"/>
        <v>26528.787601275551</v>
      </c>
      <c r="AB805" s="6">
        <f t="shared" ca="1" si="121"/>
        <v>252.9934603423014</v>
      </c>
    </row>
    <row r="806" spans="1:28" x14ac:dyDescent="0.3">
      <c r="A806" s="53"/>
      <c r="B806" s="54"/>
      <c r="C806" s="65" t="s">
        <v>231</v>
      </c>
      <c r="D806" s="65">
        <f t="shared" ca="1" si="114"/>
        <v>3</v>
      </c>
      <c r="E806" s="3">
        <f t="shared" ca="1" si="115"/>
        <v>0.47862475600925847</v>
      </c>
      <c r="F806" s="6">
        <f t="shared" ca="1" si="116"/>
        <v>56165.889538435818</v>
      </c>
      <c r="G806" s="6">
        <f t="shared" ca="1" si="117"/>
        <v>916.10766888841954</v>
      </c>
      <c r="V806" s="53"/>
      <c r="W806" s="54"/>
      <c r="X806" s="65" t="s">
        <v>231</v>
      </c>
      <c r="Y806" s="65">
        <f t="shared" ca="1" si="118"/>
        <v>1</v>
      </c>
      <c r="Z806" s="3">
        <f t="shared" ca="1" si="119"/>
        <v>0.28998084572458727</v>
      </c>
      <c r="AA806" s="6">
        <f t="shared" ca="1" si="120"/>
        <v>137099.30710021214</v>
      </c>
      <c r="AB806" s="6">
        <f t="shared" ca="1" si="121"/>
        <v>697.37767412765356</v>
      </c>
    </row>
    <row r="807" spans="1:28" x14ac:dyDescent="0.3">
      <c r="A807" s="53"/>
      <c r="B807" s="54"/>
      <c r="C807" s="65" t="s">
        <v>231</v>
      </c>
      <c r="D807" s="65">
        <f t="shared" ca="1" si="114"/>
        <v>4</v>
      </c>
      <c r="E807" s="3">
        <f t="shared" ca="1" si="115"/>
        <v>1.8791169040823119E-2</v>
      </c>
      <c r="F807" s="6">
        <f t="shared" ca="1" si="116"/>
        <v>163809.61451032749</v>
      </c>
      <c r="G807" s="6">
        <f t="shared" ca="1" si="117"/>
        <v>873.78231893452482</v>
      </c>
      <c r="V807" s="53"/>
      <c r="W807" s="54"/>
      <c r="X807" s="65" t="s">
        <v>231</v>
      </c>
      <c r="Y807" s="65">
        <f t="shared" ca="1" si="118"/>
        <v>2</v>
      </c>
      <c r="Z807" s="3">
        <f t="shared" ca="1" si="119"/>
        <v>0.75430691221086332</v>
      </c>
      <c r="AA807" s="6">
        <f t="shared" ca="1" si="120"/>
        <v>178618.53199206604</v>
      </c>
      <c r="AB807" s="6">
        <f t="shared" ca="1" si="121"/>
        <v>777.98791883302226</v>
      </c>
    </row>
    <row r="808" spans="1:28" x14ac:dyDescent="0.3">
      <c r="A808" s="53"/>
      <c r="B808" s="54"/>
      <c r="C808" s="65" t="s">
        <v>231</v>
      </c>
      <c r="D808" s="65">
        <f t="shared" ca="1" si="114"/>
        <v>2</v>
      </c>
      <c r="E808" s="3">
        <f t="shared" ca="1" si="115"/>
        <v>2.590620117067588E-2</v>
      </c>
      <c r="F808" s="6">
        <f t="shared" ca="1" si="116"/>
        <v>127789.49370119847</v>
      </c>
      <c r="G808" s="6">
        <f t="shared" ca="1" si="117"/>
        <v>1318.6991791608159</v>
      </c>
      <c r="V808" s="53"/>
      <c r="W808" s="54"/>
      <c r="X808" s="65" t="s">
        <v>231</v>
      </c>
      <c r="Y808" s="65">
        <f t="shared" ca="1" si="118"/>
        <v>3</v>
      </c>
      <c r="Z808" s="3">
        <f t="shared" ca="1" si="119"/>
        <v>0.94696095326970209</v>
      </c>
      <c r="AA808" s="6">
        <f t="shared" ca="1" si="120"/>
        <v>18252.033143763314</v>
      </c>
      <c r="AB808" s="6">
        <f t="shared" ca="1" si="121"/>
        <v>1413.1114592117822</v>
      </c>
    </row>
    <row r="809" spans="1:28" x14ac:dyDescent="0.3">
      <c r="A809" s="53"/>
      <c r="B809" s="54"/>
      <c r="C809" s="65" t="s">
        <v>231</v>
      </c>
      <c r="D809" s="65">
        <f t="shared" ca="1" si="114"/>
        <v>3</v>
      </c>
      <c r="E809" s="3">
        <f t="shared" ca="1" si="115"/>
        <v>0.89027062364642839</v>
      </c>
      <c r="F809" s="6">
        <f t="shared" ca="1" si="116"/>
        <v>152033.20450507454</v>
      </c>
      <c r="G809" s="6">
        <f t="shared" ca="1" si="117"/>
        <v>653.00482099515023</v>
      </c>
      <c r="V809" s="53"/>
      <c r="W809" s="54"/>
      <c r="X809" s="65" t="s">
        <v>231</v>
      </c>
      <c r="Y809" s="65">
        <f t="shared" ca="1" si="118"/>
        <v>2</v>
      </c>
      <c r="Z809" s="3">
        <f t="shared" ca="1" si="119"/>
        <v>0.91185909263155696</v>
      </c>
      <c r="AA809" s="6">
        <f t="shared" ca="1" si="120"/>
        <v>88592.889946119001</v>
      </c>
      <c r="AB809" s="6">
        <f t="shared" ca="1" si="121"/>
        <v>563.22865939506994</v>
      </c>
    </row>
    <row r="810" spans="1:28" x14ac:dyDescent="0.3">
      <c r="A810" s="53"/>
      <c r="B810" s="54"/>
      <c r="C810" s="65" t="s">
        <v>231</v>
      </c>
      <c r="D810" s="65">
        <f t="shared" ca="1" si="114"/>
        <v>2</v>
      </c>
      <c r="E810" s="3">
        <f t="shared" ca="1" si="115"/>
        <v>0.22721289420856261</v>
      </c>
      <c r="F810" s="6">
        <f t="shared" ca="1" si="116"/>
        <v>13099.534930035396</v>
      </c>
      <c r="G810" s="6">
        <f t="shared" ca="1" si="117"/>
        <v>1753.083019403854</v>
      </c>
      <c r="V810" s="53"/>
      <c r="W810" s="54"/>
      <c r="X810" s="65" t="s">
        <v>231</v>
      </c>
      <c r="Y810" s="65">
        <f t="shared" ca="1" si="118"/>
        <v>4</v>
      </c>
      <c r="Z810" s="3">
        <f t="shared" ca="1" si="119"/>
        <v>0.36529930812998668</v>
      </c>
      <c r="AA810" s="6">
        <f t="shared" ca="1" si="120"/>
        <v>95692.207682711873</v>
      </c>
      <c r="AB810" s="6">
        <f t="shared" ca="1" si="121"/>
        <v>1330.0127984871406</v>
      </c>
    </row>
    <row r="811" spans="1:28" x14ac:dyDescent="0.3">
      <c r="A811" s="53"/>
      <c r="B811" s="54"/>
      <c r="C811" s="65" t="s">
        <v>231</v>
      </c>
      <c r="D811" s="65">
        <f t="shared" ca="1" si="114"/>
        <v>2</v>
      </c>
      <c r="E811" s="3">
        <f t="shared" ca="1" si="115"/>
        <v>0.92499808281719964</v>
      </c>
      <c r="F811" s="6">
        <f t="shared" ca="1" si="116"/>
        <v>185685.95770080175</v>
      </c>
      <c r="G811" s="6">
        <f t="shared" ca="1" si="117"/>
        <v>1568.6827732835964</v>
      </c>
      <c r="V811" s="53"/>
      <c r="W811" s="54"/>
      <c r="X811" s="65" t="s">
        <v>231</v>
      </c>
      <c r="Y811" s="65">
        <f t="shared" ca="1" si="118"/>
        <v>1</v>
      </c>
      <c r="Z811" s="3">
        <f t="shared" ca="1" si="119"/>
        <v>0.73229472020264397</v>
      </c>
      <c r="AA811" s="6">
        <f t="shared" ca="1" si="120"/>
        <v>4005.8448435016826</v>
      </c>
      <c r="AB811" s="6">
        <f t="shared" ca="1" si="121"/>
        <v>13.681574941484698</v>
      </c>
    </row>
    <row r="812" spans="1:28" x14ac:dyDescent="0.3">
      <c r="A812" s="53"/>
      <c r="B812" s="54"/>
      <c r="C812" s="65" t="s">
        <v>231</v>
      </c>
      <c r="D812" s="65">
        <f t="shared" ca="1" si="114"/>
        <v>4</v>
      </c>
      <c r="E812" s="3">
        <f t="shared" ca="1" si="115"/>
        <v>0.91213582505142443</v>
      </c>
      <c r="F812" s="6">
        <f t="shared" ca="1" si="116"/>
        <v>35083.258735913871</v>
      </c>
      <c r="G812" s="6">
        <f t="shared" ca="1" si="117"/>
        <v>1555.3146005531232</v>
      </c>
      <c r="V812" s="53"/>
      <c r="W812" s="54"/>
      <c r="X812" s="65" t="s">
        <v>231</v>
      </c>
      <c r="Y812" s="65">
        <f t="shared" ca="1" si="118"/>
        <v>4</v>
      </c>
      <c r="Z812" s="3">
        <f t="shared" ca="1" si="119"/>
        <v>0.33535619394188487</v>
      </c>
      <c r="AA812" s="6">
        <f t="shared" ca="1" si="120"/>
        <v>33633.39825972882</v>
      </c>
      <c r="AB812" s="6">
        <f t="shared" ca="1" si="121"/>
        <v>312.71748824818667</v>
      </c>
    </row>
    <row r="813" spans="1:28" x14ac:dyDescent="0.3">
      <c r="A813" s="53"/>
      <c r="B813" s="54"/>
      <c r="C813" s="65" t="s">
        <v>231</v>
      </c>
      <c r="D813" s="65">
        <f t="shared" ca="1" si="114"/>
        <v>2</v>
      </c>
      <c r="E813" s="3">
        <f t="shared" ca="1" si="115"/>
        <v>0.5101497425380066</v>
      </c>
      <c r="F813" s="6">
        <f t="shared" ca="1" si="116"/>
        <v>63500.825819934282</v>
      </c>
      <c r="G813" s="6">
        <f t="shared" ca="1" si="117"/>
        <v>254.51406983452296</v>
      </c>
      <c r="V813" s="53"/>
      <c r="W813" s="54"/>
      <c r="X813" s="65" t="s">
        <v>231</v>
      </c>
      <c r="Y813" s="65">
        <f t="shared" ca="1" si="118"/>
        <v>2</v>
      </c>
      <c r="Z813" s="3">
        <f t="shared" ca="1" si="119"/>
        <v>0.65507358462090182</v>
      </c>
      <c r="AA813" s="6">
        <f t="shared" ca="1" si="120"/>
        <v>41624.870143859072</v>
      </c>
      <c r="AB813" s="6">
        <f t="shared" ca="1" si="121"/>
        <v>270.73476523585714</v>
      </c>
    </row>
    <row r="814" spans="1:28" x14ac:dyDescent="0.3">
      <c r="A814" s="53"/>
      <c r="B814" s="54"/>
      <c r="C814" s="65" t="s">
        <v>231</v>
      </c>
      <c r="D814" s="65">
        <f t="shared" ca="1" si="114"/>
        <v>1</v>
      </c>
      <c r="E814" s="3">
        <f t="shared" ca="1" si="115"/>
        <v>4.988063994969516E-2</v>
      </c>
      <c r="F814" s="6">
        <f t="shared" ca="1" si="116"/>
        <v>185236.70108423979</v>
      </c>
      <c r="G814" s="6">
        <f t="shared" ca="1" si="117"/>
        <v>193.37587221114649</v>
      </c>
      <c r="V814" s="53"/>
      <c r="W814" s="54"/>
      <c r="X814" s="65" t="s">
        <v>231</v>
      </c>
      <c r="Y814" s="65">
        <f t="shared" ca="1" si="118"/>
        <v>3</v>
      </c>
      <c r="Z814" s="3">
        <f t="shared" ca="1" si="119"/>
        <v>0.75711194973409812</v>
      </c>
      <c r="AA814" s="6">
        <f t="shared" ca="1" si="120"/>
        <v>7775.9853127522756</v>
      </c>
      <c r="AB814" s="6">
        <f t="shared" ca="1" si="121"/>
        <v>876.16486359518638</v>
      </c>
    </row>
    <row r="815" spans="1:28" x14ac:dyDescent="0.3">
      <c r="A815" s="53"/>
      <c r="B815" s="54"/>
      <c r="C815" s="65" t="s">
        <v>231</v>
      </c>
      <c r="D815" s="65">
        <f t="shared" ca="1" si="114"/>
        <v>3</v>
      </c>
      <c r="E815" s="3">
        <f t="shared" ca="1" si="115"/>
        <v>0.66111794032645843</v>
      </c>
      <c r="F815" s="6">
        <f t="shared" ca="1" si="116"/>
        <v>125604.03569731743</v>
      </c>
      <c r="G815" s="6">
        <f t="shared" ca="1" si="117"/>
        <v>1062.1410938332492</v>
      </c>
      <c r="V815" s="53"/>
      <c r="W815" s="54"/>
      <c r="X815" s="65" t="s">
        <v>231</v>
      </c>
      <c r="Y815" s="65">
        <f t="shared" ca="1" si="118"/>
        <v>3</v>
      </c>
      <c r="Z815" s="3">
        <f t="shared" ca="1" si="119"/>
        <v>0.13742392496722811</v>
      </c>
      <c r="AA815" s="6">
        <f t="shared" ca="1" si="120"/>
        <v>124669.66394302226</v>
      </c>
      <c r="AB815" s="6">
        <f t="shared" ca="1" si="121"/>
        <v>243.93317804153614</v>
      </c>
    </row>
    <row r="816" spans="1:28" x14ac:dyDescent="0.3">
      <c r="A816" s="53"/>
      <c r="B816" s="54"/>
      <c r="C816" s="65" t="s">
        <v>231</v>
      </c>
      <c r="D816" s="65">
        <f t="shared" ca="1" si="114"/>
        <v>1</v>
      </c>
      <c r="E816" s="3">
        <f t="shared" ca="1" si="115"/>
        <v>0.39715350557877271</v>
      </c>
      <c r="F816" s="6">
        <f t="shared" ca="1" si="116"/>
        <v>24408.115123798703</v>
      </c>
      <c r="G816" s="6">
        <f t="shared" ca="1" si="117"/>
        <v>1663.1940888670679</v>
      </c>
      <c r="V816" s="53"/>
      <c r="W816" s="54"/>
      <c r="X816" s="65" t="s">
        <v>231</v>
      </c>
      <c r="Y816" s="65">
        <f t="shared" ca="1" si="118"/>
        <v>4</v>
      </c>
      <c r="Z816" s="3">
        <f t="shared" ca="1" si="119"/>
        <v>0.58569490170505123</v>
      </c>
      <c r="AA816" s="6">
        <f t="shared" ca="1" si="120"/>
        <v>108126.45179462807</v>
      </c>
      <c r="AB816" s="6">
        <f t="shared" ca="1" si="121"/>
        <v>1025.5282803745633</v>
      </c>
    </row>
    <row r="817" spans="1:28" x14ac:dyDescent="0.3">
      <c r="A817" s="53"/>
      <c r="B817" s="54"/>
      <c r="C817" s="65" t="s">
        <v>231</v>
      </c>
      <c r="D817" s="65">
        <f t="shared" ca="1" si="114"/>
        <v>1</v>
      </c>
      <c r="E817" s="3">
        <f t="shared" ca="1" si="115"/>
        <v>4.5918292939165495E-3</v>
      </c>
      <c r="F817" s="6">
        <f t="shared" ca="1" si="116"/>
        <v>188975.00585912738</v>
      </c>
      <c r="G817" s="6">
        <f t="shared" ca="1" si="117"/>
        <v>1500.3333518112584</v>
      </c>
      <c r="V817" s="53"/>
      <c r="W817" s="54"/>
      <c r="X817" s="65" t="s">
        <v>231</v>
      </c>
      <c r="Y817" s="65">
        <f t="shared" ca="1" si="118"/>
        <v>3</v>
      </c>
      <c r="Z817" s="3">
        <f t="shared" ca="1" si="119"/>
        <v>0.28778276311271445</v>
      </c>
      <c r="AA817" s="6">
        <f t="shared" ca="1" si="120"/>
        <v>79735.449021312859</v>
      </c>
      <c r="AB817" s="6">
        <f t="shared" ca="1" si="121"/>
        <v>1741.1149579838086</v>
      </c>
    </row>
    <row r="818" spans="1:28" x14ac:dyDescent="0.3">
      <c r="A818" s="53"/>
      <c r="B818" s="54"/>
      <c r="C818" s="65" t="s">
        <v>231</v>
      </c>
      <c r="D818" s="65">
        <f t="shared" ca="1" si="114"/>
        <v>2</v>
      </c>
      <c r="E818" s="3">
        <f t="shared" ca="1" si="115"/>
        <v>0.49365876322997482</v>
      </c>
      <c r="F818" s="6">
        <f t="shared" ca="1" si="116"/>
        <v>27324.927875978068</v>
      </c>
      <c r="G818" s="6">
        <f t="shared" ca="1" si="117"/>
        <v>1959.7980632090855</v>
      </c>
      <c r="V818" s="53"/>
      <c r="W818" s="54"/>
      <c r="X818" s="65" t="s">
        <v>231</v>
      </c>
      <c r="Y818" s="65">
        <f t="shared" ca="1" si="118"/>
        <v>2</v>
      </c>
      <c r="Z818" s="3">
        <f t="shared" ca="1" si="119"/>
        <v>0.7114744351087452</v>
      </c>
      <c r="AA818" s="6">
        <f t="shared" ca="1" si="120"/>
        <v>137357.73806307247</v>
      </c>
      <c r="AB818" s="6">
        <f t="shared" ca="1" si="121"/>
        <v>400.98757331766109</v>
      </c>
    </row>
    <row r="819" spans="1:28" x14ac:dyDescent="0.3">
      <c r="A819" s="53"/>
      <c r="B819" s="54"/>
      <c r="C819" s="65" t="s">
        <v>231</v>
      </c>
      <c r="D819" s="65">
        <f t="shared" ca="1" si="114"/>
        <v>4</v>
      </c>
      <c r="E819" s="3">
        <f t="shared" ca="1" si="115"/>
        <v>0.36835465114292676</v>
      </c>
      <c r="F819" s="6">
        <f t="shared" ca="1" si="116"/>
        <v>77421.534037153397</v>
      </c>
      <c r="G819" s="6">
        <f t="shared" ca="1" si="117"/>
        <v>772.23477421942596</v>
      </c>
      <c r="V819" s="53"/>
      <c r="W819" s="54"/>
      <c r="X819" s="65" t="s">
        <v>231</v>
      </c>
      <c r="Y819" s="65">
        <f t="shared" ca="1" si="118"/>
        <v>4</v>
      </c>
      <c r="Z819" s="3">
        <f t="shared" ca="1" si="119"/>
        <v>0.1572396081026245</v>
      </c>
      <c r="AA819" s="6">
        <f t="shared" ca="1" si="120"/>
        <v>108405.83048618233</v>
      </c>
      <c r="AB819" s="6">
        <f t="shared" ca="1" si="121"/>
        <v>1851.8554841082432</v>
      </c>
    </row>
    <row r="820" spans="1:28" x14ac:dyDescent="0.3">
      <c r="A820" s="53"/>
      <c r="B820" s="54"/>
      <c r="C820" s="65" t="s">
        <v>231</v>
      </c>
      <c r="D820" s="65">
        <f t="shared" ca="1" si="114"/>
        <v>2</v>
      </c>
      <c r="E820" s="3">
        <f t="shared" ca="1" si="115"/>
        <v>5.8242417146898151E-2</v>
      </c>
      <c r="F820" s="6">
        <f t="shared" ca="1" si="116"/>
        <v>113249.56290546105</v>
      </c>
      <c r="G820" s="6">
        <f t="shared" ca="1" si="117"/>
        <v>93.470276849867645</v>
      </c>
      <c r="V820" s="53"/>
      <c r="W820" s="54"/>
      <c r="X820" s="65" t="s">
        <v>231</v>
      </c>
      <c r="Y820" s="65">
        <f t="shared" ca="1" si="118"/>
        <v>2</v>
      </c>
      <c r="Z820" s="3">
        <f t="shared" ca="1" si="119"/>
        <v>1.6580895166376175E-2</v>
      </c>
      <c r="AA820" s="6">
        <f t="shared" ca="1" si="120"/>
        <v>111123.30947856199</v>
      </c>
      <c r="AB820" s="6">
        <f t="shared" ca="1" si="121"/>
        <v>1910.6470160250237</v>
      </c>
    </row>
    <row r="821" spans="1:28" x14ac:dyDescent="0.3">
      <c r="A821" s="53"/>
      <c r="B821" s="54"/>
      <c r="C821" s="65" t="s">
        <v>231</v>
      </c>
      <c r="D821" s="65">
        <f t="shared" ca="1" si="114"/>
        <v>1</v>
      </c>
      <c r="E821" s="3">
        <f t="shared" ca="1" si="115"/>
        <v>0.63455995994626535</v>
      </c>
      <c r="F821" s="6">
        <f t="shared" ca="1" si="116"/>
        <v>156674.40124515959</v>
      </c>
      <c r="G821" s="6">
        <f t="shared" ca="1" si="117"/>
        <v>1977.5542978123999</v>
      </c>
      <c r="V821" s="53"/>
      <c r="W821" s="54"/>
      <c r="X821" s="65" t="s">
        <v>231</v>
      </c>
      <c r="Y821" s="65">
        <f t="shared" ca="1" si="118"/>
        <v>4</v>
      </c>
      <c r="Z821" s="3">
        <f t="shared" ca="1" si="119"/>
        <v>0.20689826332082917</v>
      </c>
      <c r="AA821" s="6">
        <f t="shared" ca="1" si="120"/>
        <v>158857.90901305049</v>
      </c>
      <c r="AB821" s="6">
        <f t="shared" ca="1" si="121"/>
        <v>1083.2706672393724</v>
      </c>
    </row>
    <row r="822" spans="1:28" x14ac:dyDescent="0.3">
      <c r="A822" s="53"/>
      <c r="B822" s="54"/>
      <c r="C822" s="65" t="s">
        <v>231</v>
      </c>
      <c r="D822" s="65">
        <f t="shared" ca="1" si="114"/>
        <v>2</v>
      </c>
      <c r="E822" s="3">
        <f t="shared" ca="1" si="115"/>
        <v>0.10865640441620272</v>
      </c>
      <c r="F822" s="6">
        <f t="shared" ca="1" si="116"/>
        <v>66428.636904205589</v>
      </c>
      <c r="G822" s="6">
        <f t="shared" ca="1" si="117"/>
        <v>1119.3655040785068</v>
      </c>
      <c r="V822" s="53"/>
      <c r="W822" s="54"/>
      <c r="X822" s="65" t="s">
        <v>231</v>
      </c>
      <c r="Y822" s="65">
        <f t="shared" ca="1" si="118"/>
        <v>3</v>
      </c>
      <c r="Z822" s="3">
        <f t="shared" ca="1" si="119"/>
        <v>2.7031467682668509E-2</v>
      </c>
      <c r="AA822" s="6">
        <f t="shared" ca="1" si="120"/>
        <v>67259.523823827272</v>
      </c>
      <c r="AB822" s="6">
        <f t="shared" ca="1" si="121"/>
        <v>780.36672812855204</v>
      </c>
    </row>
    <row r="823" spans="1:28" x14ac:dyDescent="0.3">
      <c r="A823" s="53"/>
      <c r="B823" s="54"/>
      <c r="C823" s="65" t="s">
        <v>231</v>
      </c>
      <c r="D823" s="65">
        <f t="shared" ca="1" si="114"/>
        <v>4</v>
      </c>
      <c r="E823" s="3">
        <f t="shared" ca="1" si="115"/>
        <v>0.32731566458158212</v>
      </c>
      <c r="F823" s="6">
        <f t="shared" ca="1" si="116"/>
        <v>140110.14977122966</v>
      </c>
      <c r="G823" s="6">
        <f t="shared" ca="1" si="117"/>
        <v>95.905036320513616</v>
      </c>
      <c r="V823" s="53"/>
      <c r="W823" s="54"/>
      <c r="X823" s="65" t="s">
        <v>231</v>
      </c>
      <c r="Y823" s="65">
        <f t="shared" ca="1" si="118"/>
        <v>1</v>
      </c>
      <c r="Z823" s="3">
        <f t="shared" ca="1" si="119"/>
        <v>0.9904408810741131</v>
      </c>
      <c r="AA823" s="6">
        <f t="shared" ca="1" si="120"/>
        <v>192749.97904885825</v>
      </c>
      <c r="AB823" s="6">
        <f t="shared" ca="1" si="121"/>
        <v>1794.3720924486952</v>
      </c>
    </row>
    <row r="824" spans="1:28" x14ac:dyDescent="0.3">
      <c r="A824" s="53"/>
      <c r="B824" s="54"/>
      <c r="C824" s="65" t="s">
        <v>231</v>
      </c>
      <c r="D824" s="65">
        <f t="shared" ca="1" si="114"/>
        <v>4</v>
      </c>
      <c r="E824" s="3">
        <f t="shared" ca="1" si="115"/>
        <v>0.189123295801923</v>
      </c>
      <c r="F824" s="6">
        <f t="shared" ca="1" si="116"/>
        <v>128264.3954678046</v>
      </c>
      <c r="G824" s="6">
        <f t="shared" ca="1" si="117"/>
        <v>1275.2439067674222</v>
      </c>
      <c r="V824" s="53"/>
      <c r="W824" s="54"/>
      <c r="X824" s="65" t="s">
        <v>231</v>
      </c>
      <c r="Y824" s="65">
        <f t="shared" ca="1" si="118"/>
        <v>1</v>
      </c>
      <c r="Z824" s="3">
        <f t="shared" ca="1" si="119"/>
        <v>0.74508967510554147</v>
      </c>
      <c r="AA824" s="6">
        <f t="shared" ca="1" si="120"/>
        <v>26736.664543156574</v>
      </c>
      <c r="AB824" s="6">
        <f t="shared" ca="1" si="121"/>
        <v>87.845481072642116</v>
      </c>
    </row>
    <row r="825" spans="1:28" x14ac:dyDescent="0.3">
      <c r="A825" s="53"/>
      <c r="B825" s="54"/>
      <c r="C825" s="65" t="s">
        <v>231</v>
      </c>
      <c r="D825" s="65">
        <f t="shared" ca="1" si="114"/>
        <v>3</v>
      </c>
      <c r="E825" s="3">
        <f t="shared" ca="1" si="115"/>
        <v>1.0664205515277358E-2</v>
      </c>
      <c r="F825" s="6">
        <f t="shared" ca="1" si="116"/>
        <v>115911.11145608008</v>
      </c>
      <c r="G825" s="6">
        <f t="shared" ca="1" si="117"/>
        <v>591.73593383265245</v>
      </c>
      <c r="V825" s="53"/>
      <c r="W825" s="54"/>
      <c r="X825" s="65" t="s">
        <v>231</v>
      </c>
      <c r="Y825" s="65">
        <f t="shared" ca="1" si="118"/>
        <v>4</v>
      </c>
      <c r="Z825" s="3">
        <f t="shared" ca="1" si="119"/>
        <v>0.11187331599564065</v>
      </c>
      <c r="AA825" s="6">
        <f t="shared" ca="1" si="120"/>
        <v>123147.41776665759</v>
      </c>
      <c r="AB825" s="6">
        <f t="shared" ca="1" si="121"/>
        <v>1177.8389853311651</v>
      </c>
    </row>
    <row r="826" spans="1:28" x14ac:dyDescent="0.3">
      <c r="A826" s="53"/>
      <c r="B826" s="54"/>
      <c r="C826" s="65" t="s">
        <v>231</v>
      </c>
      <c r="D826" s="65">
        <f t="shared" ca="1" si="114"/>
        <v>4</v>
      </c>
      <c r="E826" s="3">
        <f t="shared" ca="1" si="115"/>
        <v>2.1357462381590975E-2</v>
      </c>
      <c r="F826" s="6">
        <f t="shared" ca="1" si="116"/>
        <v>65862.983836591258</v>
      </c>
      <c r="G826" s="6">
        <f t="shared" ca="1" si="117"/>
        <v>764.11166250627207</v>
      </c>
      <c r="V826" s="53"/>
      <c r="W826" s="54"/>
      <c r="X826" s="65" t="s">
        <v>231</v>
      </c>
      <c r="Y826" s="65">
        <f t="shared" ca="1" si="118"/>
        <v>3</v>
      </c>
      <c r="Z826" s="3">
        <f t="shared" ca="1" si="119"/>
        <v>0.80893239930216776</v>
      </c>
      <c r="AA826" s="6">
        <f t="shared" ca="1" si="120"/>
        <v>49926.340325336758</v>
      </c>
      <c r="AB826" s="6">
        <f t="shared" ca="1" si="121"/>
        <v>1296.6649147684061</v>
      </c>
    </row>
    <row r="827" spans="1:28" x14ac:dyDescent="0.3">
      <c r="A827" s="53"/>
      <c r="B827" s="54"/>
      <c r="C827" s="65" t="s">
        <v>231</v>
      </c>
      <c r="D827" s="65">
        <f t="shared" ca="1" si="114"/>
        <v>4</v>
      </c>
      <c r="E827" s="3">
        <f t="shared" ca="1" si="115"/>
        <v>0.84212716538869836</v>
      </c>
      <c r="F827" s="6">
        <f t="shared" ca="1" si="116"/>
        <v>199028.61078233228</v>
      </c>
      <c r="G827" s="6">
        <f t="shared" ca="1" si="117"/>
        <v>1235.192701824838</v>
      </c>
      <c r="V827" s="53"/>
      <c r="W827" s="54"/>
      <c r="X827" s="65" t="s">
        <v>231</v>
      </c>
      <c r="Y827" s="65">
        <f t="shared" ca="1" si="118"/>
        <v>4</v>
      </c>
      <c r="Z827" s="3">
        <f t="shared" ca="1" si="119"/>
        <v>0.42952824575154436</v>
      </c>
      <c r="AA827" s="6">
        <f t="shared" ca="1" si="120"/>
        <v>26896.66934316084</v>
      </c>
      <c r="AB827" s="6">
        <f t="shared" ca="1" si="121"/>
        <v>886.14765862699585</v>
      </c>
    </row>
    <row r="828" spans="1:28" x14ac:dyDescent="0.3">
      <c r="A828" s="53"/>
      <c r="B828" s="54"/>
      <c r="C828" s="65" t="s">
        <v>231</v>
      </c>
      <c r="D828" s="65">
        <f t="shared" ca="1" si="114"/>
        <v>4</v>
      </c>
      <c r="E828" s="3">
        <f t="shared" ca="1" si="115"/>
        <v>0.13830791559402678</v>
      </c>
      <c r="F828" s="6">
        <f t="shared" ca="1" si="116"/>
        <v>150765.59167139497</v>
      </c>
      <c r="G828" s="6">
        <f t="shared" ca="1" si="117"/>
        <v>79.388514384433279</v>
      </c>
      <c r="V828" s="53"/>
      <c r="W828" s="54"/>
      <c r="X828" s="65" t="s">
        <v>231</v>
      </c>
      <c r="Y828" s="65">
        <f t="shared" ca="1" si="118"/>
        <v>2</v>
      </c>
      <c r="Z828" s="3">
        <f t="shared" ca="1" si="119"/>
        <v>0.85379186250065742</v>
      </c>
      <c r="AA828" s="6">
        <f t="shared" ca="1" si="120"/>
        <v>44575.648278777378</v>
      </c>
      <c r="AB828" s="6">
        <f t="shared" ca="1" si="121"/>
        <v>269.05016255971816</v>
      </c>
    </row>
    <row r="829" spans="1:28" x14ac:dyDescent="0.3">
      <c r="A829" s="53"/>
      <c r="B829" s="54"/>
      <c r="C829" s="65" t="s">
        <v>231</v>
      </c>
      <c r="D829" s="65">
        <f t="shared" ca="1" si="114"/>
        <v>3</v>
      </c>
      <c r="E829" s="3">
        <f t="shared" ca="1" si="115"/>
        <v>0.87022959228893138</v>
      </c>
      <c r="F829" s="6">
        <f t="shared" ca="1" si="116"/>
        <v>151337.84935485467</v>
      </c>
      <c r="G829" s="6">
        <f t="shared" ca="1" si="117"/>
        <v>1755.5848840970818</v>
      </c>
      <c r="V829" s="53"/>
      <c r="W829" s="54"/>
      <c r="X829" s="65" t="s">
        <v>231</v>
      </c>
      <c r="Y829" s="65">
        <f t="shared" ca="1" si="118"/>
        <v>1</v>
      </c>
      <c r="Z829" s="3">
        <f t="shared" ca="1" si="119"/>
        <v>0.53577137827638754</v>
      </c>
      <c r="AA829" s="6">
        <f t="shared" ca="1" si="120"/>
        <v>100251.78402651656</v>
      </c>
      <c r="AB829" s="6">
        <f t="shared" ca="1" si="121"/>
        <v>1905.8835443777721</v>
      </c>
    </row>
    <row r="830" spans="1:28" x14ac:dyDescent="0.3">
      <c r="A830" s="53"/>
      <c r="B830" s="54"/>
      <c r="C830" s="65" t="s">
        <v>231</v>
      </c>
      <c r="D830" s="65">
        <f t="shared" ca="1" si="114"/>
        <v>4</v>
      </c>
      <c r="E830" s="3">
        <f t="shared" ca="1" si="115"/>
        <v>0.13464370051258356</v>
      </c>
      <c r="F830" s="6">
        <f t="shared" ca="1" si="116"/>
        <v>82016.786474577137</v>
      </c>
      <c r="G830" s="6">
        <f t="shared" ca="1" si="117"/>
        <v>514.95762901690694</v>
      </c>
      <c r="V830" s="53"/>
      <c r="W830" s="54"/>
      <c r="X830" s="65" t="s">
        <v>231</v>
      </c>
      <c r="Y830" s="65">
        <f t="shared" ca="1" si="118"/>
        <v>3</v>
      </c>
      <c r="Z830" s="3">
        <f t="shared" ca="1" si="119"/>
        <v>0.59850357454752023</v>
      </c>
      <c r="AA830" s="6">
        <f t="shared" ca="1" si="120"/>
        <v>105425.81482950468</v>
      </c>
      <c r="AB830" s="6">
        <f t="shared" ca="1" si="121"/>
        <v>652.06698490868291</v>
      </c>
    </row>
    <row r="831" spans="1:28" x14ac:dyDescent="0.3">
      <c r="A831" s="53"/>
      <c r="B831" s="54"/>
      <c r="C831" s="65" t="s">
        <v>231</v>
      </c>
      <c r="D831" s="65">
        <f t="shared" ca="1" si="114"/>
        <v>3</v>
      </c>
      <c r="E831" s="3">
        <f t="shared" ca="1" si="115"/>
        <v>0.92558797577878271</v>
      </c>
      <c r="F831" s="6">
        <f t="shared" ca="1" si="116"/>
        <v>111410.7224226307</v>
      </c>
      <c r="G831" s="6">
        <f t="shared" ca="1" si="117"/>
        <v>517.00514618322529</v>
      </c>
      <c r="V831" s="53"/>
      <c r="W831" s="54"/>
      <c r="X831" s="65" t="s">
        <v>231</v>
      </c>
      <c r="Y831" s="65">
        <f t="shared" ca="1" si="118"/>
        <v>4</v>
      </c>
      <c r="Z831" s="3">
        <f t="shared" ca="1" si="119"/>
        <v>0.35581266125607081</v>
      </c>
      <c r="AA831" s="6">
        <f t="shared" ca="1" si="120"/>
        <v>173774.54981495015</v>
      </c>
      <c r="AB831" s="6">
        <f t="shared" ca="1" si="121"/>
        <v>910.93227736385734</v>
      </c>
    </row>
    <row r="832" spans="1:28" x14ac:dyDescent="0.3">
      <c r="A832" s="53"/>
      <c r="B832" s="54"/>
      <c r="C832" s="65" t="s">
        <v>231</v>
      </c>
      <c r="D832" s="65">
        <f t="shared" ca="1" si="114"/>
        <v>2</v>
      </c>
      <c r="E832" s="3">
        <f t="shared" ca="1" si="115"/>
        <v>0.71617295489967847</v>
      </c>
      <c r="F832" s="6">
        <f t="shared" ca="1" si="116"/>
        <v>84731.477756981913</v>
      </c>
      <c r="G832" s="6">
        <f t="shared" ca="1" si="117"/>
        <v>1681.9655697364735</v>
      </c>
      <c r="V832" s="53"/>
      <c r="W832" s="54"/>
      <c r="X832" s="65" t="s">
        <v>231</v>
      </c>
      <c r="Y832" s="65">
        <f t="shared" ca="1" si="118"/>
        <v>2</v>
      </c>
      <c r="Z832" s="3">
        <f t="shared" ca="1" si="119"/>
        <v>3.7201853669040164E-2</v>
      </c>
      <c r="AA832" s="6">
        <f t="shared" ca="1" si="120"/>
        <v>14111.161341279188</v>
      </c>
      <c r="AB832" s="6">
        <f t="shared" ca="1" si="121"/>
        <v>1994.3127312929228</v>
      </c>
    </row>
    <row r="833" spans="1:28" x14ac:dyDescent="0.3">
      <c r="A833" s="53"/>
      <c r="B833" s="54"/>
      <c r="C833" s="65" t="s">
        <v>231</v>
      </c>
      <c r="D833" s="65">
        <f t="shared" ca="1" si="114"/>
        <v>1</v>
      </c>
      <c r="E833" s="3">
        <f t="shared" ca="1" si="115"/>
        <v>0.27962994431101862</v>
      </c>
      <c r="F833" s="6">
        <f t="shared" ca="1" si="116"/>
        <v>88787.474310943493</v>
      </c>
      <c r="G833" s="6">
        <f t="shared" ca="1" si="117"/>
        <v>1895.1286322625938</v>
      </c>
      <c r="V833" s="53"/>
      <c r="W833" s="54"/>
      <c r="X833" s="65" t="s">
        <v>231</v>
      </c>
      <c r="Y833" s="65">
        <f t="shared" ca="1" si="118"/>
        <v>1</v>
      </c>
      <c r="Z833" s="3">
        <f t="shared" ca="1" si="119"/>
        <v>0.13351806806158995</v>
      </c>
      <c r="AA833" s="6">
        <f t="shared" ca="1" si="120"/>
        <v>24513.871773274976</v>
      </c>
      <c r="AB833" s="6">
        <f t="shared" ca="1" si="121"/>
        <v>359.52957859621472</v>
      </c>
    </row>
    <row r="834" spans="1:28" x14ac:dyDescent="0.3">
      <c r="A834" s="53"/>
      <c r="B834" s="54"/>
      <c r="C834" s="65" t="s">
        <v>231</v>
      </c>
      <c r="D834" s="65">
        <f t="shared" ca="1" si="114"/>
        <v>2</v>
      </c>
      <c r="E834" s="3">
        <f t="shared" ca="1" si="115"/>
        <v>0.37545688641970865</v>
      </c>
      <c r="F834" s="6">
        <f t="shared" ca="1" si="116"/>
        <v>118020.54690170895</v>
      </c>
      <c r="G834" s="6">
        <f t="shared" ca="1" si="117"/>
        <v>1521.7534782734581</v>
      </c>
      <c r="V834" s="53"/>
      <c r="W834" s="54"/>
      <c r="X834" s="65" t="s">
        <v>231</v>
      </c>
      <c r="Y834" s="65">
        <f t="shared" ca="1" si="118"/>
        <v>4</v>
      </c>
      <c r="Z834" s="3">
        <f t="shared" ca="1" si="119"/>
        <v>0.32315392982020552</v>
      </c>
      <c r="AA834" s="6">
        <f t="shared" ca="1" si="120"/>
        <v>8840.1450853087699</v>
      </c>
      <c r="AB834" s="6">
        <f t="shared" ca="1" si="121"/>
        <v>181.73669049871521</v>
      </c>
    </row>
    <row r="835" spans="1:28" x14ac:dyDescent="0.3">
      <c r="A835" s="53"/>
      <c r="B835" s="54"/>
      <c r="C835" s="65" t="s">
        <v>231</v>
      </c>
      <c r="D835" s="65">
        <f t="shared" ca="1" si="114"/>
        <v>1</v>
      </c>
      <c r="E835" s="3">
        <f t="shared" ca="1" si="115"/>
        <v>7.4123410205783391E-2</v>
      </c>
      <c r="F835" s="6">
        <f t="shared" ca="1" si="116"/>
        <v>74503.743805562597</v>
      </c>
      <c r="G835" s="6">
        <f t="shared" ca="1" si="117"/>
        <v>874.44835161325193</v>
      </c>
      <c r="V835" s="53"/>
      <c r="W835" s="54"/>
      <c r="X835" s="65" t="s">
        <v>231</v>
      </c>
      <c r="Y835" s="65">
        <f t="shared" ca="1" si="118"/>
        <v>1</v>
      </c>
      <c r="Z835" s="3">
        <f t="shared" ca="1" si="119"/>
        <v>0.91887144870810078</v>
      </c>
      <c r="AA835" s="6">
        <f t="shared" ca="1" si="120"/>
        <v>92131.877059887236</v>
      </c>
      <c r="AB835" s="6">
        <f t="shared" ca="1" si="121"/>
        <v>690.36403152099138</v>
      </c>
    </row>
    <row r="836" spans="1:28" x14ac:dyDescent="0.3">
      <c r="A836" s="53"/>
      <c r="B836" s="54"/>
      <c r="C836" s="65" t="s">
        <v>231</v>
      </c>
      <c r="D836" s="65">
        <f t="shared" ca="1" si="114"/>
        <v>1</v>
      </c>
      <c r="E836" s="3">
        <f t="shared" ca="1" si="115"/>
        <v>0.56387680134438778</v>
      </c>
      <c r="F836" s="6">
        <f t="shared" ca="1" si="116"/>
        <v>173039.31156365314</v>
      </c>
      <c r="G836" s="6">
        <f t="shared" ca="1" si="117"/>
        <v>1742.6091646346008</v>
      </c>
      <c r="V836" s="53"/>
      <c r="W836" s="54"/>
      <c r="X836" s="65" t="s">
        <v>231</v>
      </c>
      <c r="Y836" s="65">
        <f t="shared" ca="1" si="118"/>
        <v>3</v>
      </c>
      <c r="Z836" s="3">
        <f t="shared" ca="1" si="119"/>
        <v>0.25584837007616157</v>
      </c>
      <c r="AA836" s="6">
        <f t="shared" ca="1" si="120"/>
        <v>45780.46870074328</v>
      </c>
      <c r="AB836" s="6">
        <f t="shared" ca="1" si="121"/>
        <v>1277.8921844764379</v>
      </c>
    </row>
    <row r="837" spans="1:28" x14ac:dyDescent="0.3">
      <c r="A837" s="53"/>
      <c r="B837" s="54"/>
      <c r="C837" s="65" t="s">
        <v>231</v>
      </c>
      <c r="D837" s="65">
        <f t="shared" ca="1" si="114"/>
        <v>4</v>
      </c>
      <c r="E837" s="3">
        <f t="shared" ca="1" si="115"/>
        <v>0.61052514242189004</v>
      </c>
      <c r="F837" s="6">
        <f t="shared" ca="1" si="116"/>
        <v>67822.504039128908</v>
      </c>
      <c r="G837" s="6">
        <f t="shared" ca="1" si="117"/>
        <v>1755.7887694823298</v>
      </c>
      <c r="V837" s="53"/>
      <c r="W837" s="54"/>
      <c r="X837" s="65" t="s">
        <v>231</v>
      </c>
      <c r="Y837" s="65">
        <f t="shared" ca="1" si="118"/>
        <v>3</v>
      </c>
      <c r="Z837" s="3">
        <f t="shared" ca="1" si="119"/>
        <v>0.52913288576504147</v>
      </c>
      <c r="AA837" s="6">
        <f t="shared" ca="1" si="120"/>
        <v>190570.96992030914</v>
      </c>
      <c r="AB837" s="6">
        <f t="shared" ca="1" si="121"/>
        <v>1512.2146283475445</v>
      </c>
    </row>
    <row r="838" spans="1:28" x14ac:dyDescent="0.3">
      <c r="A838" s="53"/>
      <c r="B838" s="54"/>
      <c r="C838" s="65" t="s">
        <v>231</v>
      </c>
      <c r="D838" s="65">
        <f t="shared" ca="1" si="114"/>
        <v>2</v>
      </c>
      <c r="E838" s="3">
        <f t="shared" ca="1" si="115"/>
        <v>0.82521298662540965</v>
      </c>
      <c r="F838" s="6">
        <f t="shared" ca="1" si="116"/>
        <v>185819.26143066038</v>
      </c>
      <c r="G838" s="6">
        <f t="shared" ca="1" si="117"/>
        <v>1136.1825120050128</v>
      </c>
      <c r="V838" s="53"/>
      <c r="W838" s="54"/>
      <c r="X838" s="65" t="s">
        <v>231</v>
      </c>
      <c r="Y838" s="65">
        <f t="shared" ca="1" si="118"/>
        <v>3</v>
      </c>
      <c r="Z838" s="3">
        <f t="shared" ca="1" si="119"/>
        <v>0.15412152644082311</v>
      </c>
      <c r="AA838" s="6">
        <f t="shared" ca="1" si="120"/>
        <v>15353.565284277203</v>
      </c>
      <c r="AB838" s="6">
        <f t="shared" ca="1" si="121"/>
        <v>859.41248410302444</v>
      </c>
    </row>
    <row r="839" spans="1:28" x14ac:dyDescent="0.3">
      <c r="A839" s="53"/>
      <c r="B839" s="54"/>
      <c r="C839" s="65" t="s">
        <v>231</v>
      </c>
      <c r="D839" s="65">
        <f t="shared" ca="1" si="114"/>
        <v>3</v>
      </c>
      <c r="E839" s="3">
        <f t="shared" ca="1" si="115"/>
        <v>0.10293363875648887</v>
      </c>
      <c r="F839" s="6">
        <f t="shared" ca="1" si="116"/>
        <v>129480.81136282484</v>
      </c>
      <c r="G839" s="6">
        <f t="shared" ca="1" si="117"/>
        <v>1339.0200872613839</v>
      </c>
      <c r="V839" s="53"/>
      <c r="W839" s="54"/>
      <c r="X839" s="65" t="s">
        <v>231</v>
      </c>
      <c r="Y839" s="65">
        <f t="shared" ca="1" si="118"/>
        <v>1</v>
      </c>
      <c r="Z839" s="3">
        <f t="shared" ca="1" si="119"/>
        <v>8.7022876613855882E-2</v>
      </c>
      <c r="AA839" s="6">
        <f t="shared" ca="1" si="120"/>
        <v>43959.768529691944</v>
      </c>
      <c r="AB839" s="6">
        <f t="shared" ca="1" si="121"/>
        <v>573.45215871233449</v>
      </c>
    </row>
    <row r="840" spans="1:28" x14ac:dyDescent="0.3">
      <c r="A840" s="53"/>
      <c r="B840" s="54"/>
      <c r="C840" s="65" t="s">
        <v>231</v>
      </c>
      <c r="D840" s="65">
        <f t="shared" ca="1" si="114"/>
        <v>2</v>
      </c>
      <c r="E840" s="3">
        <f t="shared" ca="1" si="115"/>
        <v>8.9432128356967566E-2</v>
      </c>
      <c r="F840" s="6">
        <f t="shared" ca="1" si="116"/>
        <v>32777.059647102426</v>
      </c>
      <c r="G840" s="6">
        <f t="shared" ca="1" si="117"/>
        <v>1578.589024170253</v>
      </c>
      <c r="V840" s="53"/>
      <c r="W840" s="54"/>
      <c r="X840" s="65" t="s">
        <v>231</v>
      </c>
      <c r="Y840" s="65">
        <f t="shared" ca="1" si="118"/>
        <v>4</v>
      </c>
      <c r="Z840" s="3">
        <f t="shared" ca="1" si="119"/>
        <v>0.1540370403143051</v>
      </c>
      <c r="AA840" s="6">
        <f t="shared" ca="1" si="120"/>
        <v>122806.1930322758</v>
      </c>
      <c r="AB840" s="6">
        <f t="shared" ca="1" si="121"/>
        <v>866.76833674025363</v>
      </c>
    </row>
    <row r="841" spans="1:28" x14ac:dyDescent="0.3">
      <c r="A841" s="53"/>
      <c r="B841" s="54"/>
      <c r="C841" s="65" t="s">
        <v>231</v>
      </c>
      <c r="D841" s="65">
        <f t="shared" ca="1" si="114"/>
        <v>2</v>
      </c>
      <c r="E841" s="3">
        <f t="shared" ca="1" si="115"/>
        <v>2.3957091617536896E-3</v>
      </c>
      <c r="F841" s="6">
        <f t="shared" ca="1" si="116"/>
        <v>7126.7002974979341</v>
      </c>
      <c r="G841" s="6">
        <f t="shared" ca="1" si="117"/>
        <v>62.081233065447435</v>
      </c>
      <c r="V841" s="53"/>
      <c r="W841" s="54"/>
      <c r="X841" s="65" t="s">
        <v>231</v>
      </c>
      <c r="Y841" s="65">
        <f t="shared" ca="1" si="118"/>
        <v>1</v>
      </c>
      <c r="Z841" s="3">
        <f t="shared" ca="1" si="119"/>
        <v>0.22165053852497996</v>
      </c>
      <c r="AA841" s="6">
        <f t="shared" ca="1" si="120"/>
        <v>21256.345147610344</v>
      </c>
      <c r="AB841" s="6">
        <f t="shared" ca="1" si="121"/>
        <v>1458.1034103631209</v>
      </c>
    </row>
    <row r="842" spans="1:28" x14ac:dyDescent="0.3">
      <c r="A842" s="53"/>
      <c r="B842" s="54"/>
      <c r="C842" s="65" t="s">
        <v>231</v>
      </c>
      <c r="D842" s="65">
        <f t="shared" ca="1" si="114"/>
        <v>1</v>
      </c>
      <c r="E842" s="3">
        <f t="shared" ca="1" si="115"/>
        <v>0.19338410963704089</v>
      </c>
      <c r="F842" s="6">
        <f t="shared" ca="1" si="116"/>
        <v>168532.83613606152</v>
      </c>
      <c r="G842" s="6">
        <f t="shared" ca="1" si="117"/>
        <v>1369.8976765300788</v>
      </c>
      <c r="V842" s="53"/>
      <c r="W842" s="54"/>
      <c r="X842" s="65" t="s">
        <v>231</v>
      </c>
      <c r="Y842" s="65">
        <f t="shared" ca="1" si="118"/>
        <v>3</v>
      </c>
      <c r="Z842" s="3">
        <f t="shared" ca="1" si="119"/>
        <v>0.5902659154160832</v>
      </c>
      <c r="AA842" s="6">
        <f t="shared" ca="1" si="120"/>
        <v>69665.240783575413</v>
      </c>
      <c r="AB842" s="6">
        <f t="shared" ca="1" si="121"/>
        <v>1710.2296564657172</v>
      </c>
    </row>
    <row r="843" spans="1:28" x14ac:dyDescent="0.3">
      <c r="A843" s="53"/>
      <c r="B843" s="54"/>
      <c r="C843" s="65" t="s">
        <v>231</v>
      </c>
      <c r="D843" s="65">
        <f t="shared" ca="1" si="114"/>
        <v>1</v>
      </c>
      <c r="E843" s="3">
        <f t="shared" ca="1" si="115"/>
        <v>0.54404096300434623</v>
      </c>
      <c r="F843" s="6">
        <f t="shared" ca="1" si="116"/>
        <v>175108.65894193738</v>
      </c>
      <c r="G843" s="6">
        <f t="shared" ca="1" si="117"/>
        <v>138.75535346972967</v>
      </c>
      <c r="V843" s="53"/>
      <c r="W843" s="54"/>
      <c r="X843" s="65" t="s">
        <v>231</v>
      </c>
      <c r="Y843" s="65">
        <f t="shared" ca="1" si="118"/>
        <v>3</v>
      </c>
      <c r="Z843" s="3">
        <f t="shared" ca="1" si="119"/>
        <v>4.3199966024735748E-2</v>
      </c>
      <c r="AA843" s="6">
        <f t="shared" ca="1" si="120"/>
        <v>59.862461419313284</v>
      </c>
      <c r="AB843" s="6">
        <f t="shared" ca="1" si="121"/>
        <v>1938.5504304313697</v>
      </c>
    </row>
    <row r="844" spans="1:28" x14ac:dyDescent="0.3">
      <c r="A844" s="53"/>
      <c r="B844" s="54"/>
      <c r="C844" s="65" t="s">
        <v>231</v>
      </c>
      <c r="D844" s="65">
        <f t="shared" ca="1" si="114"/>
        <v>3</v>
      </c>
      <c r="E844" s="3">
        <f t="shared" ca="1" si="115"/>
        <v>0.87496090984399144</v>
      </c>
      <c r="F844" s="6">
        <f t="shared" ca="1" si="116"/>
        <v>132563.41577552678</v>
      </c>
      <c r="G844" s="6">
        <f t="shared" ca="1" si="117"/>
        <v>89.178469184451046</v>
      </c>
      <c r="V844" s="53"/>
      <c r="W844" s="54"/>
      <c r="X844" s="65" t="s">
        <v>231</v>
      </c>
      <c r="Y844" s="65">
        <f t="shared" ca="1" si="118"/>
        <v>3</v>
      </c>
      <c r="Z844" s="3">
        <f t="shared" ca="1" si="119"/>
        <v>0.16572240024007101</v>
      </c>
      <c r="AA844" s="6">
        <f t="shared" ca="1" si="120"/>
        <v>55380.859796809003</v>
      </c>
      <c r="AB844" s="6">
        <f t="shared" ca="1" si="121"/>
        <v>449.78007343926339</v>
      </c>
    </row>
    <row r="845" spans="1:28" x14ac:dyDescent="0.3">
      <c r="A845" s="53"/>
      <c r="B845" s="54"/>
      <c r="C845" s="65" t="s">
        <v>231</v>
      </c>
      <c r="D845" s="65">
        <f t="shared" ref="D845:D908" ca="1" si="122">INT(RAND()*4)+1</f>
        <v>2</v>
      </c>
      <c r="E845" s="3">
        <f t="shared" ref="E845:E908" ca="1" si="123">RAND()</f>
        <v>0.72033355332180493</v>
      </c>
      <c r="F845" s="6">
        <f t="shared" ref="F845:F908" ca="1" si="124">RAND()*200000</f>
        <v>78916.972087332062</v>
      </c>
      <c r="G845" s="6">
        <f t="shared" ref="G845:G908" ca="1" si="125">RAND()*2000</f>
        <v>725.82932902551306</v>
      </c>
      <c r="V845" s="53"/>
      <c r="W845" s="54"/>
      <c r="X845" s="65" t="s">
        <v>231</v>
      </c>
      <c r="Y845" s="65">
        <f t="shared" ref="Y845:Y908" ca="1" si="126">INT(RAND()*4)+1</f>
        <v>4</v>
      </c>
      <c r="Z845" s="3">
        <f t="shared" ref="Z845:Z908" ca="1" si="127">RAND()</f>
        <v>0.33345145425495826</v>
      </c>
      <c r="AA845" s="6">
        <f t="shared" ref="AA845:AA908" ca="1" si="128">RAND()*200000</f>
        <v>154506.82125015816</v>
      </c>
      <c r="AB845" s="6">
        <f t="shared" ref="AB845:AB908" ca="1" si="129">RAND()*2000</f>
        <v>1677.1672773134835</v>
      </c>
    </row>
    <row r="846" spans="1:28" x14ac:dyDescent="0.3">
      <c r="A846" s="53"/>
      <c r="B846" s="54"/>
      <c r="C846" s="65" t="s">
        <v>231</v>
      </c>
      <c r="D846" s="65">
        <f t="shared" ca="1" si="122"/>
        <v>2</v>
      </c>
      <c r="E846" s="3">
        <f t="shared" ca="1" si="123"/>
        <v>0.55060306229470724</v>
      </c>
      <c r="F846" s="6">
        <f t="shared" ca="1" si="124"/>
        <v>30085.240671922977</v>
      </c>
      <c r="G846" s="6">
        <f t="shared" ca="1" si="125"/>
        <v>910.44016436866241</v>
      </c>
      <c r="V846" s="53"/>
      <c r="W846" s="54"/>
      <c r="X846" s="65" t="s">
        <v>231</v>
      </c>
      <c r="Y846" s="65">
        <f t="shared" ca="1" si="126"/>
        <v>1</v>
      </c>
      <c r="Z846" s="3">
        <f t="shared" ca="1" si="127"/>
        <v>0.74868983919425691</v>
      </c>
      <c r="AA846" s="6">
        <f t="shared" ca="1" si="128"/>
        <v>144895.94271481523</v>
      </c>
      <c r="AB846" s="6">
        <f t="shared" ca="1" si="129"/>
        <v>805.23771136709593</v>
      </c>
    </row>
    <row r="847" spans="1:28" x14ac:dyDescent="0.3">
      <c r="A847" s="53"/>
      <c r="B847" s="54"/>
      <c r="C847" s="65" t="s">
        <v>231</v>
      </c>
      <c r="D847" s="65">
        <f t="shared" ca="1" si="122"/>
        <v>3</v>
      </c>
      <c r="E847" s="3">
        <f t="shared" ca="1" si="123"/>
        <v>8.695295543621917E-3</v>
      </c>
      <c r="F847" s="6">
        <f t="shared" ca="1" si="124"/>
        <v>21350.895771749267</v>
      </c>
      <c r="G847" s="6">
        <f t="shared" ca="1" si="125"/>
        <v>1457.9601484284512</v>
      </c>
      <c r="V847" s="53"/>
      <c r="W847" s="54"/>
      <c r="X847" s="65" t="s">
        <v>231</v>
      </c>
      <c r="Y847" s="65">
        <f t="shared" ca="1" si="126"/>
        <v>3</v>
      </c>
      <c r="Z847" s="3">
        <f t="shared" ca="1" si="127"/>
        <v>0.32617326303337846</v>
      </c>
      <c r="AA847" s="6">
        <f t="shared" ca="1" si="128"/>
        <v>40971.179508927569</v>
      </c>
      <c r="AB847" s="6">
        <f t="shared" ca="1" si="129"/>
        <v>1685.8720654657168</v>
      </c>
    </row>
    <row r="848" spans="1:28" x14ac:dyDescent="0.3">
      <c r="A848" s="53"/>
      <c r="B848" s="54"/>
      <c r="C848" s="65" t="s">
        <v>231</v>
      </c>
      <c r="D848" s="65">
        <f t="shared" ca="1" si="122"/>
        <v>4</v>
      </c>
      <c r="E848" s="3">
        <f t="shared" ca="1" si="123"/>
        <v>0.74506599941731477</v>
      </c>
      <c r="F848" s="6">
        <f t="shared" ca="1" si="124"/>
        <v>194630.56332680085</v>
      </c>
      <c r="G848" s="6">
        <f t="shared" ca="1" si="125"/>
        <v>1795.3534065922693</v>
      </c>
      <c r="V848" s="53"/>
      <c r="W848" s="54"/>
      <c r="X848" s="65" t="s">
        <v>231</v>
      </c>
      <c r="Y848" s="65">
        <f t="shared" ca="1" si="126"/>
        <v>3</v>
      </c>
      <c r="Z848" s="3">
        <f t="shared" ca="1" si="127"/>
        <v>0.76022065103920455</v>
      </c>
      <c r="AA848" s="6">
        <f t="shared" ca="1" si="128"/>
        <v>64359.032573912555</v>
      </c>
      <c r="AB848" s="6">
        <f t="shared" ca="1" si="129"/>
        <v>1502.0038053059513</v>
      </c>
    </row>
    <row r="849" spans="1:28" x14ac:dyDescent="0.3">
      <c r="A849" s="53"/>
      <c r="B849" s="54"/>
      <c r="C849" s="65" t="s">
        <v>219</v>
      </c>
      <c r="D849" s="65">
        <f t="shared" ca="1" si="122"/>
        <v>1</v>
      </c>
      <c r="E849" s="3">
        <f t="shared" ca="1" si="123"/>
        <v>0.18668376500291284</v>
      </c>
      <c r="F849" s="6">
        <f t="shared" ca="1" si="124"/>
        <v>153521.89552756396</v>
      </c>
      <c r="G849" s="6">
        <f t="shared" ca="1" si="125"/>
        <v>373.67742782561675</v>
      </c>
      <c r="V849" s="53"/>
      <c r="W849" s="54"/>
      <c r="X849" s="65" t="s">
        <v>219</v>
      </c>
      <c r="Y849" s="65">
        <f t="shared" ca="1" si="126"/>
        <v>4</v>
      </c>
      <c r="Z849" s="3">
        <f t="shared" ca="1" si="127"/>
        <v>0.77477173335146166</v>
      </c>
      <c r="AA849" s="6">
        <f t="shared" ca="1" si="128"/>
        <v>128332.2014730901</v>
      </c>
      <c r="AB849" s="6">
        <f t="shared" ca="1" si="129"/>
        <v>188.95270750514936</v>
      </c>
    </row>
    <row r="850" spans="1:28" x14ac:dyDescent="0.3">
      <c r="A850" s="53"/>
      <c r="B850" s="54"/>
      <c r="C850" s="65" t="s">
        <v>242</v>
      </c>
      <c r="D850" s="65">
        <f t="shared" ca="1" si="122"/>
        <v>1</v>
      </c>
      <c r="E850" s="3">
        <f t="shared" ca="1" si="123"/>
        <v>0.20211066582314607</v>
      </c>
      <c r="F850" s="6">
        <f t="shared" ca="1" si="124"/>
        <v>150783.32182646834</v>
      </c>
      <c r="G850" s="6">
        <f t="shared" ca="1" si="125"/>
        <v>831.45709358632485</v>
      </c>
      <c r="V850" s="53"/>
      <c r="W850" s="54"/>
      <c r="X850" s="65" t="s">
        <v>242</v>
      </c>
      <c r="Y850" s="65">
        <f t="shared" ca="1" si="126"/>
        <v>2</v>
      </c>
      <c r="Z850" s="3">
        <f t="shared" ca="1" si="127"/>
        <v>0.27916732359344798</v>
      </c>
      <c r="AA850" s="6">
        <f t="shared" ca="1" si="128"/>
        <v>158406.29951575212</v>
      </c>
      <c r="AB850" s="6">
        <f t="shared" ca="1" si="129"/>
        <v>388.2194527496938</v>
      </c>
    </row>
    <row r="851" spans="1:28" x14ac:dyDescent="0.3">
      <c r="A851" s="53"/>
      <c r="B851" s="54"/>
      <c r="C851" s="65" t="s">
        <v>242</v>
      </c>
      <c r="D851" s="65">
        <f t="shared" ca="1" si="122"/>
        <v>4</v>
      </c>
      <c r="E851" s="3">
        <f t="shared" ca="1" si="123"/>
        <v>0.25797375031696279</v>
      </c>
      <c r="F851" s="6">
        <f t="shared" ca="1" si="124"/>
        <v>47467.203481646167</v>
      </c>
      <c r="G851" s="6">
        <f t="shared" ca="1" si="125"/>
        <v>1734.9275579989906</v>
      </c>
      <c r="V851" s="53"/>
      <c r="W851" s="54"/>
      <c r="X851" s="65" t="s">
        <v>242</v>
      </c>
      <c r="Y851" s="65">
        <f t="shared" ca="1" si="126"/>
        <v>1</v>
      </c>
      <c r="Z851" s="3">
        <f t="shared" ca="1" si="127"/>
        <v>0.26059253206059896</v>
      </c>
      <c r="AA851" s="6">
        <f t="shared" ca="1" si="128"/>
        <v>106055.39713543774</v>
      </c>
      <c r="AB851" s="6">
        <f t="shared" ca="1" si="129"/>
        <v>1027.3714125231852</v>
      </c>
    </row>
    <row r="852" spans="1:28" x14ac:dyDescent="0.3">
      <c r="A852" s="53"/>
      <c r="B852" s="54"/>
      <c r="C852" s="65" t="s">
        <v>242</v>
      </c>
      <c r="D852" s="65">
        <f t="shared" ca="1" si="122"/>
        <v>2</v>
      </c>
      <c r="E852" s="3">
        <f t="shared" ca="1" si="123"/>
        <v>0.51571163052633062</v>
      </c>
      <c r="F852" s="6">
        <f t="shared" ca="1" si="124"/>
        <v>142830.33819851591</v>
      </c>
      <c r="G852" s="6">
        <f t="shared" ca="1" si="125"/>
        <v>1900.9408633427729</v>
      </c>
      <c r="V852" s="53"/>
      <c r="W852" s="54"/>
      <c r="X852" s="65" t="s">
        <v>242</v>
      </c>
      <c r="Y852" s="65">
        <f t="shared" ca="1" si="126"/>
        <v>1</v>
      </c>
      <c r="Z852" s="3">
        <f t="shared" ca="1" si="127"/>
        <v>0.43616213261053416</v>
      </c>
      <c r="AA852" s="6">
        <f t="shared" ca="1" si="128"/>
        <v>189002.84258039121</v>
      </c>
      <c r="AB852" s="6">
        <f t="shared" ca="1" si="129"/>
        <v>363.65461148720811</v>
      </c>
    </row>
    <row r="853" spans="1:28" x14ac:dyDescent="0.3">
      <c r="A853" s="53"/>
      <c r="B853" s="54"/>
      <c r="C853" s="65" t="s">
        <v>242</v>
      </c>
      <c r="D853" s="65">
        <f t="shared" ca="1" si="122"/>
        <v>2</v>
      </c>
      <c r="E853" s="3">
        <f t="shared" ca="1" si="123"/>
        <v>0.36563271121220875</v>
      </c>
      <c r="F853" s="6">
        <f t="shared" ca="1" si="124"/>
        <v>36976.44561889446</v>
      </c>
      <c r="G853" s="6">
        <f t="shared" ca="1" si="125"/>
        <v>70.32342415185866</v>
      </c>
      <c r="V853" s="53"/>
      <c r="W853" s="54"/>
      <c r="X853" s="65" t="s">
        <v>242</v>
      </c>
      <c r="Y853" s="65">
        <f t="shared" ca="1" si="126"/>
        <v>2</v>
      </c>
      <c r="Z853" s="3">
        <f t="shared" ca="1" si="127"/>
        <v>1.901412385529877E-2</v>
      </c>
      <c r="AA853" s="6">
        <f t="shared" ca="1" si="128"/>
        <v>153335.97437639415</v>
      </c>
      <c r="AB853" s="6">
        <f t="shared" ca="1" si="129"/>
        <v>1693.2785075645631</v>
      </c>
    </row>
    <row r="854" spans="1:28" x14ac:dyDescent="0.3">
      <c r="A854" s="53"/>
      <c r="B854" s="54"/>
      <c r="C854" s="65" t="s">
        <v>242</v>
      </c>
      <c r="D854" s="65">
        <f t="shared" ca="1" si="122"/>
        <v>4</v>
      </c>
      <c r="E854" s="3">
        <f t="shared" ca="1" si="123"/>
        <v>0.54541519469052291</v>
      </c>
      <c r="F854" s="6">
        <f t="shared" ca="1" si="124"/>
        <v>183319.83244190048</v>
      </c>
      <c r="G854" s="6">
        <f t="shared" ca="1" si="125"/>
        <v>818.31003367600158</v>
      </c>
      <c r="V854" s="53"/>
      <c r="W854" s="54"/>
      <c r="X854" s="65" t="s">
        <v>242</v>
      </c>
      <c r="Y854" s="65">
        <f t="shared" ca="1" si="126"/>
        <v>4</v>
      </c>
      <c r="Z854" s="3">
        <f t="shared" ca="1" si="127"/>
        <v>0.16260360669172513</v>
      </c>
      <c r="AA854" s="6">
        <f t="shared" ca="1" si="128"/>
        <v>184911.46383316163</v>
      </c>
      <c r="AB854" s="6">
        <f t="shared" ca="1" si="129"/>
        <v>524.33579056100905</v>
      </c>
    </row>
    <row r="855" spans="1:28" x14ac:dyDescent="0.3">
      <c r="A855" s="53"/>
      <c r="B855" s="54"/>
      <c r="C855" s="65" t="s">
        <v>242</v>
      </c>
      <c r="D855" s="65">
        <f t="shared" ca="1" si="122"/>
        <v>4</v>
      </c>
      <c r="E855" s="3">
        <f t="shared" ca="1" si="123"/>
        <v>0.52030142869795482</v>
      </c>
      <c r="F855" s="6">
        <f t="shared" ca="1" si="124"/>
        <v>64878.569975653423</v>
      </c>
      <c r="G855" s="6">
        <f t="shared" ca="1" si="125"/>
        <v>179.42155202074562</v>
      </c>
      <c r="V855" s="53"/>
      <c r="W855" s="54"/>
      <c r="X855" s="65" t="s">
        <v>242</v>
      </c>
      <c r="Y855" s="65">
        <f t="shared" ca="1" si="126"/>
        <v>3</v>
      </c>
      <c r="Z855" s="3">
        <f t="shared" ca="1" si="127"/>
        <v>0.20677196161962885</v>
      </c>
      <c r="AA855" s="6">
        <f t="shared" ca="1" si="128"/>
        <v>22668.158600005616</v>
      </c>
      <c r="AB855" s="6">
        <f t="shared" ca="1" si="129"/>
        <v>1862.7579929152507</v>
      </c>
    </row>
    <row r="856" spans="1:28" x14ac:dyDescent="0.3">
      <c r="A856" s="53"/>
      <c r="B856" s="54"/>
      <c r="C856" s="65" t="s">
        <v>242</v>
      </c>
      <c r="D856" s="65">
        <f t="shared" ca="1" si="122"/>
        <v>1</v>
      </c>
      <c r="E856" s="3">
        <f t="shared" ca="1" si="123"/>
        <v>0.47019835093191065</v>
      </c>
      <c r="F856" s="6">
        <f t="shared" ca="1" si="124"/>
        <v>194304.16313197691</v>
      </c>
      <c r="G856" s="6">
        <f t="shared" ca="1" si="125"/>
        <v>1009.107179943848</v>
      </c>
      <c r="V856" s="53"/>
      <c r="W856" s="54"/>
      <c r="X856" s="65" t="s">
        <v>242</v>
      </c>
      <c r="Y856" s="65">
        <f t="shared" ca="1" si="126"/>
        <v>4</v>
      </c>
      <c r="Z856" s="3">
        <f t="shared" ca="1" si="127"/>
        <v>0.68587514332190369</v>
      </c>
      <c r="AA856" s="6">
        <f t="shared" ca="1" si="128"/>
        <v>127074.48724437496</v>
      </c>
      <c r="AB856" s="6">
        <f t="shared" ca="1" si="129"/>
        <v>551.85084656497338</v>
      </c>
    </row>
    <row r="857" spans="1:28" x14ac:dyDescent="0.3">
      <c r="A857" s="53"/>
      <c r="B857" s="54"/>
      <c r="C857" s="65" t="s">
        <v>242</v>
      </c>
      <c r="D857" s="65">
        <f t="shared" ca="1" si="122"/>
        <v>4</v>
      </c>
      <c r="E857" s="3">
        <f t="shared" ca="1" si="123"/>
        <v>0.37731084638750112</v>
      </c>
      <c r="F857" s="6">
        <f t="shared" ca="1" si="124"/>
        <v>31999.262044532119</v>
      </c>
      <c r="G857" s="6">
        <f t="shared" ca="1" si="125"/>
        <v>324.92696284151054</v>
      </c>
      <c r="V857" s="53"/>
      <c r="W857" s="54"/>
      <c r="X857" s="65" t="s">
        <v>242</v>
      </c>
      <c r="Y857" s="65">
        <f t="shared" ca="1" si="126"/>
        <v>4</v>
      </c>
      <c r="Z857" s="3">
        <f t="shared" ca="1" si="127"/>
        <v>0.70205290182565183</v>
      </c>
      <c r="AA857" s="6">
        <f t="shared" ca="1" si="128"/>
        <v>64185.797719878246</v>
      </c>
      <c r="AB857" s="6">
        <f t="shared" ca="1" si="129"/>
        <v>291.53530905316495</v>
      </c>
    </row>
    <row r="858" spans="1:28" x14ac:dyDescent="0.3">
      <c r="A858" s="53"/>
      <c r="B858" s="54"/>
      <c r="C858" s="65" t="s">
        <v>242</v>
      </c>
      <c r="D858" s="65">
        <f t="shared" ca="1" si="122"/>
        <v>1</v>
      </c>
      <c r="E858" s="3">
        <f t="shared" ca="1" si="123"/>
        <v>1.4193168248865518E-2</v>
      </c>
      <c r="F858" s="6">
        <f t="shared" ca="1" si="124"/>
        <v>62372.172176943597</v>
      </c>
      <c r="G858" s="6">
        <f t="shared" ca="1" si="125"/>
        <v>1558.1479780615882</v>
      </c>
      <c r="V858" s="53"/>
      <c r="W858" s="54"/>
      <c r="X858" s="65" t="s">
        <v>242</v>
      </c>
      <c r="Y858" s="65">
        <f t="shared" ca="1" si="126"/>
        <v>3</v>
      </c>
      <c r="Z858" s="3">
        <f t="shared" ca="1" si="127"/>
        <v>0.87789485820045843</v>
      </c>
      <c r="AA858" s="6">
        <f t="shared" ca="1" si="128"/>
        <v>118169.07460543125</v>
      </c>
      <c r="AB858" s="6">
        <f t="shared" ca="1" si="129"/>
        <v>1090.3940855666574</v>
      </c>
    </row>
    <row r="859" spans="1:28" x14ac:dyDescent="0.3">
      <c r="A859" s="53"/>
      <c r="B859" s="54"/>
      <c r="C859" s="65" t="s">
        <v>242</v>
      </c>
      <c r="D859" s="65">
        <f t="shared" ca="1" si="122"/>
        <v>3</v>
      </c>
      <c r="E859" s="3">
        <f t="shared" ca="1" si="123"/>
        <v>0.64751507930345842</v>
      </c>
      <c r="F859" s="6">
        <f t="shared" ca="1" si="124"/>
        <v>174668.36890893924</v>
      </c>
      <c r="G859" s="6">
        <f t="shared" ca="1" si="125"/>
        <v>1026.2337027048875</v>
      </c>
      <c r="V859" s="53"/>
      <c r="W859" s="54"/>
      <c r="X859" s="65" t="s">
        <v>242</v>
      </c>
      <c r="Y859" s="65">
        <f t="shared" ca="1" si="126"/>
        <v>2</v>
      </c>
      <c r="Z859" s="3">
        <f t="shared" ca="1" si="127"/>
        <v>8.0751287326736199E-2</v>
      </c>
      <c r="AA859" s="6">
        <f t="shared" ca="1" si="128"/>
        <v>100404.49772048321</v>
      </c>
      <c r="AB859" s="6">
        <f t="shared" ca="1" si="129"/>
        <v>607.50575606076529</v>
      </c>
    </row>
    <row r="860" spans="1:28" x14ac:dyDescent="0.3">
      <c r="A860" s="53"/>
      <c r="B860" s="54"/>
      <c r="C860" s="65" t="s">
        <v>242</v>
      </c>
      <c r="D860" s="65">
        <f t="shared" ca="1" si="122"/>
        <v>3</v>
      </c>
      <c r="E860" s="3">
        <f t="shared" ca="1" si="123"/>
        <v>0.82306845293193009</v>
      </c>
      <c r="F860" s="6">
        <f t="shared" ca="1" si="124"/>
        <v>187036.79988040312</v>
      </c>
      <c r="G860" s="6">
        <f t="shared" ca="1" si="125"/>
        <v>1752.8998612973546</v>
      </c>
      <c r="V860" s="53"/>
      <c r="W860" s="54"/>
      <c r="X860" s="65" t="s">
        <v>242</v>
      </c>
      <c r="Y860" s="65">
        <f t="shared" ca="1" si="126"/>
        <v>1</v>
      </c>
      <c r="Z860" s="3">
        <f t="shared" ca="1" si="127"/>
        <v>0.3103469241347715</v>
      </c>
      <c r="AA860" s="6">
        <f t="shared" ca="1" si="128"/>
        <v>59260.706730156933</v>
      </c>
      <c r="AB860" s="6">
        <f t="shared" ca="1" si="129"/>
        <v>1955.7047958676503</v>
      </c>
    </row>
    <row r="861" spans="1:28" x14ac:dyDescent="0.3">
      <c r="A861" s="53"/>
      <c r="B861" s="54"/>
      <c r="C861" s="65" t="s">
        <v>242</v>
      </c>
      <c r="D861" s="65">
        <f t="shared" ca="1" si="122"/>
        <v>1</v>
      </c>
      <c r="E861" s="3">
        <f t="shared" ca="1" si="123"/>
        <v>0.26550372372708386</v>
      </c>
      <c r="F861" s="6">
        <f t="shared" ca="1" si="124"/>
        <v>47224.552321181698</v>
      </c>
      <c r="G861" s="6">
        <f t="shared" ca="1" si="125"/>
        <v>1334.9162389937355</v>
      </c>
      <c r="V861" s="53"/>
      <c r="W861" s="54"/>
      <c r="X861" s="65" t="s">
        <v>242</v>
      </c>
      <c r="Y861" s="65">
        <f t="shared" ca="1" si="126"/>
        <v>2</v>
      </c>
      <c r="Z861" s="3">
        <f t="shared" ca="1" si="127"/>
        <v>0.50609555286195373</v>
      </c>
      <c r="AA861" s="6">
        <f t="shared" ca="1" si="128"/>
        <v>104234.03934720234</v>
      </c>
      <c r="AB861" s="6">
        <f t="shared" ca="1" si="129"/>
        <v>1105.0331200524815</v>
      </c>
    </row>
    <row r="862" spans="1:28" x14ac:dyDescent="0.3">
      <c r="A862" s="53"/>
      <c r="B862" s="54"/>
      <c r="C862" s="65" t="s">
        <v>242</v>
      </c>
      <c r="D862" s="65">
        <f t="shared" ca="1" si="122"/>
        <v>2</v>
      </c>
      <c r="E862" s="3">
        <f t="shared" ca="1" si="123"/>
        <v>0.83306083092509808</v>
      </c>
      <c r="F862" s="6">
        <f t="shared" ca="1" si="124"/>
        <v>148595.73646419257</v>
      </c>
      <c r="G862" s="6">
        <f t="shared" ca="1" si="125"/>
        <v>1563.2685604759101</v>
      </c>
      <c r="V862" s="53"/>
      <c r="W862" s="54"/>
      <c r="X862" s="65" t="s">
        <v>242</v>
      </c>
      <c r="Y862" s="65">
        <f t="shared" ca="1" si="126"/>
        <v>2</v>
      </c>
      <c r="Z862" s="3">
        <f t="shared" ca="1" si="127"/>
        <v>0.81964124946984662</v>
      </c>
      <c r="AA862" s="6">
        <f t="shared" ca="1" si="128"/>
        <v>93304.501289251057</v>
      </c>
      <c r="AB862" s="6">
        <f t="shared" ca="1" si="129"/>
        <v>1438.5973100696897</v>
      </c>
    </row>
    <row r="863" spans="1:28" x14ac:dyDescent="0.3">
      <c r="A863" s="53"/>
      <c r="B863" s="54"/>
      <c r="C863" s="65" t="s">
        <v>242</v>
      </c>
      <c r="D863" s="65">
        <f t="shared" ca="1" si="122"/>
        <v>4</v>
      </c>
      <c r="E863" s="3">
        <f t="shared" ca="1" si="123"/>
        <v>0.36039080810851121</v>
      </c>
      <c r="F863" s="6">
        <f t="shared" ca="1" si="124"/>
        <v>199052.88768229604</v>
      </c>
      <c r="G863" s="6">
        <f t="shared" ca="1" si="125"/>
        <v>1926.671487118191</v>
      </c>
      <c r="V863" s="53"/>
      <c r="W863" s="54"/>
      <c r="X863" s="65" t="s">
        <v>242</v>
      </c>
      <c r="Y863" s="65">
        <f t="shared" ca="1" si="126"/>
        <v>2</v>
      </c>
      <c r="Z863" s="3">
        <f t="shared" ca="1" si="127"/>
        <v>0.84641341961441818</v>
      </c>
      <c r="AA863" s="6">
        <f t="shared" ca="1" si="128"/>
        <v>126154.38876079168</v>
      </c>
      <c r="AB863" s="6">
        <f t="shared" ca="1" si="129"/>
        <v>1691.996087357863</v>
      </c>
    </row>
    <row r="864" spans="1:28" x14ac:dyDescent="0.3">
      <c r="A864" s="53"/>
      <c r="B864" s="54"/>
      <c r="C864" s="65" t="s">
        <v>219</v>
      </c>
      <c r="D864" s="65">
        <f t="shared" ca="1" si="122"/>
        <v>3</v>
      </c>
      <c r="E864" s="3">
        <f t="shared" ca="1" si="123"/>
        <v>0.22261990222968076</v>
      </c>
      <c r="F864" s="6">
        <f t="shared" ca="1" si="124"/>
        <v>84177.071413977348</v>
      </c>
      <c r="G864" s="6">
        <f t="shared" ca="1" si="125"/>
        <v>1206.0027914992952</v>
      </c>
      <c r="V864" s="53"/>
      <c r="W864" s="54"/>
      <c r="X864" s="65" t="s">
        <v>219</v>
      </c>
      <c r="Y864" s="65">
        <f t="shared" ca="1" si="126"/>
        <v>2</v>
      </c>
      <c r="Z864" s="3">
        <f t="shared" ca="1" si="127"/>
        <v>2.314043846070879E-2</v>
      </c>
      <c r="AA864" s="6">
        <f t="shared" ca="1" si="128"/>
        <v>117952.13889015121</v>
      </c>
      <c r="AB864" s="6">
        <f t="shared" ca="1" si="129"/>
        <v>1687.1021288135541</v>
      </c>
    </row>
    <row r="865" spans="1:28" x14ac:dyDescent="0.3">
      <c r="A865" s="53"/>
      <c r="B865" s="54"/>
      <c r="C865" s="65" t="s">
        <v>219</v>
      </c>
      <c r="D865" s="65">
        <f t="shared" ca="1" si="122"/>
        <v>4</v>
      </c>
      <c r="E865" s="3">
        <f t="shared" ca="1" si="123"/>
        <v>5.5072374210725195E-2</v>
      </c>
      <c r="F865" s="6">
        <f t="shared" ca="1" si="124"/>
        <v>104758.41645849607</v>
      </c>
      <c r="G865" s="6">
        <f t="shared" ca="1" si="125"/>
        <v>992.24886796125418</v>
      </c>
      <c r="V865" s="53"/>
      <c r="W865" s="54"/>
      <c r="X865" s="65" t="s">
        <v>219</v>
      </c>
      <c r="Y865" s="65">
        <f t="shared" ca="1" si="126"/>
        <v>2</v>
      </c>
      <c r="Z865" s="3">
        <f t="shared" ca="1" si="127"/>
        <v>0.62462502079066107</v>
      </c>
      <c r="AA865" s="6">
        <f t="shared" ca="1" si="128"/>
        <v>135603.30524242684</v>
      </c>
      <c r="AB865" s="6">
        <f t="shared" ca="1" si="129"/>
        <v>1144.4075602269429</v>
      </c>
    </row>
    <row r="866" spans="1:28" x14ac:dyDescent="0.3">
      <c r="A866" s="53"/>
      <c r="B866" s="54"/>
      <c r="C866" s="65" t="s">
        <v>219</v>
      </c>
      <c r="D866" s="65">
        <f t="shared" ca="1" si="122"/>
        <v>2</v>
      </c>
      <c r="E866" s="3">
        <f t="shared" ca="1" si="123"/>
        <v>0.15548345620066373</v>
      </c>
      <c r="F866" s="6">
        <f t="shared" ca="1" si="124"/>
        <v>73228.824784352691</v>
      </c>
      <c r="G866" s="6">
        <f t="shared" ca="1" si="125"/>
        <v>1936.0686372944683</v>
      </c>
      <c r="V866" s="53"/>
      <c r="W866" s="54"/>
      <c r="X866" s="65" t="s">
        <v>219</v>
      </c>
      <c r="Y866" s="65">
        <f t="shared" ca="1" si="126"/>
        <v>1</v>
      </c>
      <c r="Z866" s="3">
        <f t="shared" ca="1" si="127"/>
        <v>0.32675574552883446</v>
      </c>
      <c r="AA866" s="6">
        <f t="shared" ca="1" si="128"/>
        <v>74493.75714391518</v>
      </c>
      <c r="AB866" s="6">
        <f t="shared" ca="1" si="129"/>
        <v>1705.9415246088117</v>
      </c>
    </row>
    <row r="867" spans="1:28" x14ac:dyDescent="0.3">
      <c r="A867" s="53"/>
      <c r="B867" s="54"/>
      <c r="C867" s="65" t="s">
        <v>219</v>
      </c>
      <c r="D867" s="65">
        <f t="shared" ca="1" si="122"/>
        <v>3</v>
      </c>
      <c r="E867" s="3">
        <f t="shared" ca="1" si="123"/>
        <v>0.17945421901203717</v>
      </c>
      <c r="F867" s="6">
        <f t="shared" ca="1" si="124"/>
        <v>19945.702197287173</v>
      </c>
      <c r="G867" s="6">
        <f t="shared" ca="1" si="125"/>
        <v>813.19559605990958</v>
      </c>
      <c r="V867" s="53"/>
      <c r="W867" s="54"/>
      <c r="X867" s="65" t="s">
        <v>219</v>
      </c>
      <c r="Y867" s="65">
        <f t="shared" ca="1" si="126"/>
        <v>3</v>
      </c>
      <c r="Z867" s="3">
        <f t="shared" ca="1" si="127"/>
        <v>1.3734132506230901E-2</v>
      </c>
      <c r="AA867" s="6">
        <f t="shared" ca="1" si="128"/>
        <v>25039.114143267827</v>
      </c>
      <c r="AB867" s="6">
        <f t="shared" ca="1" si="129"/>
        <v>892.64679615796604</v>
      </c>
    </row>
    <row r="868" spans="1:28" x14ac:dyDescent="0.3">
      <c r="A868" s="53"/>
      <c r="B868" s="54"/>
      <c r="C868" s="65" t="s">
        <v>219</v>
      </c>
      <c r="D868" s="65">
        <f t="shared" ca="1" si="122"/>
        <v>4</v>
      </c>
      <c r="E868" s="3">
        <f t="shared" ca="1" si="123"/>
        <v>0.53363598155105385</v>
      </c>
      <c r="F868" s="6">
        <f t="shared" ca="1" si="124"/>
        <v>2093.3804721385172</v>
      </c>
      <c r="G868" s="6">
        <f t="shared" ca="1" si="125"/>
        <v>614.71105641137206</v>
      </c>
      <c r="V868" s="53"/>
      <c r="W868" s="54"/>
      <c r="X868" s="65" t="s">
        <v>219</v>
      </c>
      <c r="Y868" s="65">
        <f t="shared" ca="1" si="126"/>
        <v>3</v>
      </c>
      <c r="Z868" s="3">
        <f t="shared" ca="1" si="127"/>
        <v>0.48265986753744228</v>
      </c>
      <c r="AA868" s="6">
        <f t="shared" ca="1" si="128"/>
        <v>6807.5423971322598</v>
      </c>
      <c r="AB868" s="6">
        <f t="shared" ca="1" si="129"/>
        <v>1118.7843827470194</v>
      </c>
    </row>
    <row r="869" spans="1:28" x14ac:dyDescent="0.3">
      <c r="A869" s="53"/>
      <c r="B869" s="54"/>
      <c r="C869" s="65" t="s">
        <v>219</v>
      </c>
      <c r="D869" s="65">
        <f t="shared" ca="1" si="122"/>
        <v>1</v>
      </c>
      <c r="E869" s="3">
        <f t="shared" ca="1" si="123"/>
        <v>0.22773213413244064</v>
      </c>
      <c r="F869" s="6">
        <f t="shared" ca="1" si="124"/>
        <v>108219.04665687964</v>
      </c>
      <c r="G869" s="6">
        <f t="shared" ca="1" si="125"/>
        <v>790.13578563841907</v>
      </c>
      <c r="V869" s="53"/>
      <c r="W869" s="54"/>
      <c r="X869" s="65" t="s">
        <v>219</v>
      </c>
      <c r="Y869" s="65">
        <f t="shared" ca="1" si="126"/>
        <v>2</v>
      </c>
      <c r="Z869" s="3">
        <f t="shared" ca="1" si="127"/>
        <v>0.60251815974342504</v>
      </c>
      <c r="AA869" s="6">
        <f t="shared" ca="1" si="128"/>
        <v>117459.11855050593</v>
      </c>
      <c r="AB869" s="6">
        <f t="shared" ca="1" si="129"/>
        <v>459.19464952396362</v>
      </c>
    </row>
    <row r="870" spans="1:28" x14ac:dyDescent="0.3">
      <c r="A870" s="53"/>
      <c r="B870" s="54"/>
      <c r="C870" s="65" t="s">
        <v>219</v>
      </c>
      <c r="D870" s="65">
        <f t="shared" ca="1" si="122"/>
        <v>2</v>
      </c>
      <c r="E870" s="3">
        <f t="shared" ca="1" si="123"/>
        <v>0.21769253409867106</v>
      </c>
      <c r="F870" s="6">
        <f t="shared" ca="1" si="124"/>
        <v>11866.90837900557</v>
      </c>
      <c r="G870" s="6">
        <f t="shared" ca="1" si="125"/>
        <v>974.12081307038864</v>
      </c>
      <c r="V870" s="53"/>
      <c r="W870" s="54"/>
      <c r="X870" s="65" t="s">
        <v>219</v>
      </c>
      <c r="Y870" s="65">
        <f t="shared" ca="1" si="126"/>
        <v>1</v>
      </c>
      <c r="Z870" s="3">
        <f t="shared" ca="1" si="127"/>
        <v>0.21249659029897572</v>
      </c>
      <c r="AA870" s="6">
        <f t="shared" ca="1" si="128"/>
        <v>70526.924443750191</v>
      </c>
      <c r="AB870" s="6">
        <f t="shared" ca="1" si="129"/>
        <v>996.30398264316545</v>
      </c>
    </row>
    <row r="871" spans="1:28" x14ac:dyDescent="0.3">
      <c r="A871" s="53"/>
      <c r="B871" s="54"/>
      <c r="C871" s="65" t="s">
        <v>219</v>
      </c>
      <c r="D871" s="65">
        <f t="shared" ca="1" si="122"/>
        <v>2</v>
      </c>
      <c r="E871" s="3">
        <f t="shared" ca="1" si="123"/>
        <v>6.8447794394165706E-2</v>
      </c>
      <c r="F871" s="6">
        <f t="shared" ca="1" si="124"/>
        <v>14748.186007966879</v>
      </c>
      <c r="G871" s="6">
        <f t="shared" ca="1" si="125"/>
        <v>843.31355228782195</v>
      </c>
      <c r="V871" s="53"/>
      <c r="W871" s="54"/>
      <c r="X871" s="65" t="s">
        <v>219</v>
      </c>
      <c r="Y871" s="65">
        <f t="shared" ca="1" si="126"/>
        <v>3</v>
      </c>
      <c r="Z871" s="3">
        <f t="shared" ca="1" si="127"/>
        <v>5.9307551930638747E-2</v>
      </c>
      <c r="AA871" s="6">
        <f t="shared" ca="1" si="128"/>
        <v>53203.36295274963</v>
      </c>
      <c r="AB871" s="6">
        <f t="shared" ca="1" si="129"/>
        <v>981.66761812375296</v>
      </c>
    </row>
    <row r="872" spans="1:28" x14ac:dyDescent="0.3">
      <c r="A872" s="53"/>
      <c r="B872" s="54"/>
      <c r="C872" s="65" t="s">
        <v>219</v>
      </c>
      <c r="D872" s="65">
        <f t="shared" ca="1" si="122"/>
        <v>3</v>
      </c>
      <c r="E872" s="3">
        <f t="shared" ca="1" si="123"/>
        <v>0.55455042939829891</v>
      </c>
      <c r="F872" s="6">
        <f t="shared" ca="1" si="124"/>
        <v>114294.46415072455</v>
      </c>
      <c r="G872" s="6">
        <f t="shared" ca="1" si="125"/>
        <v>748.37022435643098</v>
      </c>
      <c r="V872" s="53"/>
      <c r="W872" s="54"/>
      <c r="X872" s="65" t="s">
        <v>219</v>
      </c>
      <c r="Y872" s="65">
        <f t="shared" ca="1" si="126"/>
        <v>1</v>
      </c>
      <c r="Z872" s="3">
        <f t="shared" ca="1" si="127"/>
        <v>0.51435461684805628</v>
      </c>
      <c r="AA872" s="6">
        <f t="shared" ca="1" si="128"/>
        <v>69172.654201973099</v>
      </c>
      <c r="AB872" s="6">
        <f t="shared" ca="1" si="129"/>
        <v>1503.2902602055187</v>
      </c>
    </row>
    <row r="873" spans="1:28" x14ac:dyDescent="0.3">
      <c r="A873" s="53"/>
      <c r="B873" s="54"/>
      <c r="C873" s="65" t="s">
        <v>219</v>
      </c>
      <c r="D873" s="65">
        <f t="shared" ca="1" si="122"/>
        <v>3</v>
      </c>
      <c r="E873" s="3">
        <f t="shared" ca="1" si="123"/>
        <v>3.7621554733518359E-2</v>
      </c>
      <c r="F873" s="6">
        <f t="shared" ca="1" si="124"/>
        <v>26015.359967114015</v>
      </c>
      <c r="G873" s="6">
        <f t="shared" ca="1" si="125"/>
        <v>445.82611413824958</v>
      </c>
      <c r="V873" s="53"/>
      <c r="W873" s="54"/>
      <c r="X873" s="65" t="s">
        <v>219</v>
      </c>
      <c r="Y873" s="65">
        <f t="shared" ca="1" si="126"/>
        <v>4</v>
      </c>
      <c r="Z873" s="3">
        <f t="shared" ca="1" si="127"/>
        <v>0.11252209794308432</v>
      </c>
      <c r="AA873" s="6">
        <f t="shared" ca="1" si="128"/>
        <v>120880.14370810261</v>
      </c>
      <c r="AB873" s="6">
        <f t="shared" ca="1" si="129"/>
        <v>741.36206603157609</v>
      </c>
    </row>
    <row r="874" spans="1:28" x14ac:dyDescent="0.3">
      <c r="A874" s="53"/>
      <c r="B874" s="54"/>
      <c r="C874" s="65" t="s">
        <v>219</v>
      </c>
      <c r="D874" s="65">
        <f t="shared" ca="1" si="122"/>
        <v>1</v>
      </c>
      <c r="E874" s="3">
        <f t="shared" ca="1" si="123"/>
        <v>8.875993030785545E-2</v>
      </c>
      <c r="F874" s="6">
        <f t="shared" ca="1" si="124"/>
        <v>9301.3956162063769</v>
      </c>
      <c r="G874" s="6">
        <f t="shared" ca="1" si="125"/>
        <v>1334.7025642856506</v>
      </c>
      <c r="V874" s="53"/>
      <c r="W874" s="54"/>
      <c r="X874" s="65" t="s">
        <v>219</v>
      </c>
      <c r="Y874" s="65">
        <f t="shared" ca="1" si="126"/>
        <v>1</v>
      </c>
      <c r="Z874" s="3">
        <f t="shared" ca="1" si="127"/>
        <v>0.52763691917084765</v>
      </c>
      <c r="AA874" s="6">
        <f t="shared" ca="1" si="128"/>
        <v>130397.72834240242</v>
      </c>
      <c r="AB874" s="6">
        <f t="shared" ca="1" si="129"/>
        <v>1211.8564136384523</v>
      </c>
    </row>
    <row r="875" spans="1:28" x14ac:dyDescent="0.3">
      <c r="A875" s="53"/>
      <c r="B875" s="54"/>
      <c r="C875" s="65" t="s">
        <v>219</v>
      </c>
      <c r="D875" s="65">
        <f t="shared" ca="1" si="122"/>
        <v>3</v>
      </c>
      <c r="E875" s="3">
        <f t="shared" ca="1" si="123"/>
        <v>0.48789656366897338</v>
      </c>
      <c r="F875" s="6">
        <f t="shared" ca="1" si="124"/>
        <v>42593.341971539725</v>
      </c>
      <c r="G875" s="6">
        <f t="shared" ca="1" si="125"/>
        <v>844.71825447674507</v>
      </c>
      <c r="V875" s="53"/>
      <c r="W875" s="54"/>
      <c r="X875" s="65" t="s">
        <v>219</v>
      </c>
      <c r="Y875" s="65">
        <f t="shared" ca="1" si="126"/>
        <v>3</v>
      </c>
      <c r="Z875" s="3">
        <f t="shared" ca="1" si="127"/>
        <v>0.14365913429264776</v>
      </c>
      <c r="AA875" s="6">
        <f t="shared" ca="1" si="128"/>
        <v>51198.922643880614</v>
      </c>
      <c r="AB875" s="6">
        <f t="shared" ca="1" si="129"/>
        <v>344.27638581339704</v>
      </c>
    </row>
    <row r="876" spans="1:28" x14ac:dyDescent="0.3">
      <c r="A876" s="53"/>
      <c r="B876" s="54"/>
      <c r="C876" s="65" t="s">
        <v>219</v>
      </c>
      <c r="D876" s="65">
        <f t="shared" ca="1" si="122"/>
        <v>1</v>
      </c>
      <c r="E876" s="3">
        <f t="shared" ca="1" si="123"/>
        <v>0.75003036849776317</v>
      </c>
      <c r="F876" s="6">
        <f t="shared" ca="1" si="124"/>
        <v>15162.765867084161</v>
      </c>
      <c r="G876" s="6">
        <f t="shared" ca="1" si="125"/>
        <v>1315.8092446373043</v>
      </c>
      <c r="V876" s="53"/>
      <c r="W876" s="54"/>
      <c r="X876" s="65" t="s">
        <v>219</v>
      </c>
      <c r="Y876" s="65">
        <f t="shared" ca="1" si="126"/>
        <v>4</v>
      </c>
      <c r="Z876" s="3">
        <f t="shared" ca="1" si="127"/>
        <v>0.10906166906115233</v>
      </c>
      <c r="AA876" s="6">
        <f t="shared" ca="1" si="128"/>
        <v>156798.5060770784</v>
      </c>
      <c r="AB876" s="6">
        <f t="shared" ca="1" si="129"/>
        <v>326.65369738557115</v>
      </c>
    </row>
    <row r="877" spans="1:28" x14ac:dyDescent="0.3">
      <c r="A877" s="53"/>
      <c r="B877" s="54"/>
      <c r="C877" s="65" t="s">
        <v>219</v>
      </c>
      <c r="D877" s="65">
        <f t="shared" ca="1" si="122"/>
        <v>3</v>
      </c>
      <c r="E877" s="3">
        <f t="shared" ca="1" si="123"/>
        <v>0.30434774659769892</v>
      </c>
      <c r="F877" s="6">
        <f t="shared" ca="1" si="124"/>
        <v>29085.07651693415</v>
      </c>
      <c r="G877" s="6">
        <f t="shared" ca="1" si="125"/>
        <v>191.97609123216131</v>
      </c>
      <c r="V877" s="53"/>
      <c r="W877" s="54"/>
      <c r="X877" s="65" t="s">
        <v>219</v>
      </c>
      <c r="Y877" s="65">
        <f t="shared" ca="1" si="126"/>
        <v>2</v>
      </c>
      <c r="Z877" s="3">
        <f t="shared" ca="1" si="127"/>
        <v>0.79558969578862426</v>
      </c>
      <c r="AA877" s="6">
        <f t="shared" ca="1" si="128"/>
        <v>99461.503484644287</v>
      </c>
      <c r="AB877" s="6">
        <f t="shared" ca="1" si="129"/>
        <v>23.017838802003698</v>
      </c>
    </row>
    <row r="878" spans="1:28" x14ac:dyDescent="0.3">
      <c r="A878" s="53"/>
      <c r="B878" s="54"/>
      <c r="C878" s="65" t="s">
        <v>219</v>
      </c>
      <c r="D878" s="65">
        <f t="shared" ca="1" si="122"/>
        <v>1</v>
      </c>
      <c r="E878" s="3">
        <f t="shared" ca="1" si="123"/>
        <v>0.5339439318106235</v>
      </c>
      <c r="F878" s="6">
        <f t="shared" ca="1" si="124"/>
        <v>44225.473572020848</v>
      </c>
      <c r="G878" s="6">
        <f t="shared" ca="1" si="125"/>
        <v>428.18186370548705</v>
      </c>
      <c r="V878" s="53"/>
      <c r="W878" s="54"/>
      <c r="X878" s="65" t="s">
        <v>219</v>
      </c>
      <c r="Y878" s="65">
        <f t="shared" ca="1" si="126"/>
        <v>4</v>
      </c>
      <c r="Z878" s="3">
        <f t="shared" ca="1" si="127"/>
        <v>0.20631563238865225</v>
      </c>
      <c r="AA878" s="6">
        <f t="shared" ca="1" si="128"/>
        <v>47657.482237763979</v>
      </c>
      <c r="AB878" s="6">
        <f t="shared" ca="1" si="129"/>
        <v>1264.3485384705125</v>
      </c>
    </row>
    <row r="879" spans="1:28" x14ac:dyDescent="0.3">
      <c r="A879" s="53"/>
      <c r="B879" s="54"/>
      <c r="C879" s="65" t="s">
        <v>219</v>
      </c>
      <c r="D879" s="65">
        <f t="shared" ca="1" si="122"/>
        <v>2</v>
      </c>
      <c r="E879" s="3">
        <f t="shared" ca="1" si="123"/>
        <v>0.93406585180543544</v>
      </c>
      <c r="F879" s="6">
        <f t="shared" ca="1" si="124"/>
        <v>56347.658785285072</v>
      </c>
      <c r="G879" s="6">
        <f t="shared" ca="1" si="125"/>
        <v>514.70234962323059</v>
      </c>
      <c r="V879" s="53"/>
      <c r="W879" s="54"/>
      <c r="X879" s="65" t="s">
        <v>219</v>
      </c>
      <c r="Y879" s="65">
        <f t="shared" ca="1" si="126"/>
        <v>4</v>
      </c>
      <c r="Z879" s="3">
        <f t="shared" ca="1" si="127"/>
        <v>0.43464158892950389</v>
      </c>
      <c r="AA879" s="6">
        <f t="shared" ca="1" si="128"/>
        <v>5145.3048582481788</v>
      </c>
      <c r="AB879" s="6">
        <f t="shared" ca="1" si="129"/>
        <v>1307.664750258466</v>
      </c>
    </row>
    <row r="880" spans="1:28" x14ac:dyDescent="0.3">
      <c r="A880" s="53"/>
      <c r="B880" s="54"/>
      <c r="C880" s="65" t="s">
        <v>219</v>
      </c>
      <c r="D880" s="65">
        <f t="shared" ca="1" si="122"/>
        <v>2</v>
      </c>
      <c r="E880" s="3">
        <f t="shared" ca="1" si="123"/>
        <v>0.61334936729304557</v>
      </c>
      <c r="F880" s="6">
        <f t="shared" ca="1" si="124"/>
        <v>108801.87530588907</v>
      </c>
      <c r="G880" s="6">
        <f t="shared" ca="1" si="125"/>
        <v>1690.576206517032</v>
      </c>
      <c r="V880" s="53"/>
      <c r="W880" s="54"/>
      <c r="X880" s="65" t="s">
        <v>219</v>
      </c>
      <c r="Y880" s="65">
        <f t="shared" ca="1" si="126"/>
        <v>4</v>
      </c>
      <c r="Z880" s="3">
        <f t="shared" ca="1" si="127"/>
        <v>0.69170907103916335</v>
      </c>
      <c r="AA880" s="6">
        <f t="shared" ca="1" si="128"/>
        <v>161077.9217060857</v>
      </c>
      <c r="AB880" s="6">
        <f t="shared" ca="1" si="129"/>
        <v>1126.0961959992026</v>
      </c>
    </row>
    <row r="881" spans="1:28" x14ac:dyDescent="0.3">
      <c r="A881" s="53"/>
      <c r="B881" s="54"/>
      <c r="C881" s="65" t="s">
        <v>219</v>
      </c>
      <c r="D881" s="65">
        <f t="shared" ca="1" si="122"/>
        <v>2</v>
      </c>
      <c r="E881" s="3">
        <f t="shared" ca="1" si="123"/>
        <v>0.51984689087743208</v>
      </c>
      <c r="F881" s="6">
        <f t="shared" ca="1" si="124"/>
        <v>31543.295895834577</v>
      </c>
      <c r="G881" s="6">
        <f t="shared" ca="1" si="125"/>
        <v>897.30524788607431</v>
      </c>
      <c r="V881" s="53"/>
      <c r="W881" s="54"/>
      <c r="X881" s="65" t="s">
        <v>219</v>
      </c>
      <c r="Y881" s="65">
        <f t="shared" ca="1" si="126"/>
        <v>2</v>
      </c>
      <c r="Z881" s="3">
        <f t="shared" ca="1" si="127"/>
        <v>0.10571626880850693</v>
      </c>
      <c r="AA881" s="6">
        <f t="shared" ca="1" si="128"/>
        <v>83881.099181392798</v>
      </c>
      <c r="AB881" s="6">
        <f t="shared" ca="1" si="129"/>
        <v>233.24880995100884</v>
      </c>
    </row>
    <row r="882" spans="1:28" x14ac:dyDescent="0.3">
      <c r="A882" s="53"/>
      <c r="B882" s="54"/>
      <c r="C882" s="65" t="s">
        <v>219</v>
      </c>
      <c r="D882" s="65">
        <f t="shared" ca="1" si="122"/>
        <v>3</v>
      </c>
      <c r="E882" s="3">
        <f t="shared" ca="1" si="123"/>
        <v>0.87626747221356027</v>
      </c>
      <c r="F882" s="6">
        <f t="shared" ca="1" si="124"/>
        <v>121570.95428127171</v>
      </c>
      <c r="G882" s="6">
        <f t="shared" ca="1" si="125"/>
        <v>1176.166297935767</v>
      </c>
      <c r="V882" s="53"/>
      <c r="W882" s="54"/>
      <c r="X882" s="65" t="s">
        <v>219</v>
      </c>
      <c r="Y882" s="65">
        <f t="shared" ca="1" si="126"/>
        <v>4</v>
      </c>
      <c r="Z882" s="3">
        <f t="shared" ca="1" si="127"/>
        <v>1.5676697171530751E-2</v>
      </c>
      <c r="AA882" s="6">
        <f t="shared" ca="1" si="128"/>
        <v>6559.7680738599838</v>
      </c>
      <c r="AB882" s="6">
        <f t="shared" ca="1" si="129"/>
        <v>534.24731034761135</v>
      </c>
    </row>
    <row r="883" spans="1:28" x14ac:dyDescent="0.3">
      <c r="A883" s="53"/>
      <c r="B883" s="54"/>
      <c r="C883" s="65" t="s">
        <v>219</v>
      </c>
      <c r="D883" s="65">
        <f t="shared" ca="1" si="122"/>
        <v>3</v>
      </c>
      <c r="E883" s="3">
        <f t="shared" ca="1" si="123"/>
        <v>3.1198499099032939E-2</v>
      </c>
      <c r="F883" s="6">
        <f t="shared" ca="1" si="124"/>
        <v>91220.388869544593</v>
      </c>
      <c r="G883" s="6">
        <f t="shared" ca="1" si="125"/>
        <v>1387.6947303440429</v>
      </c>
      <c r="V883" s="53"/>
      <c r="W883" s="54"/>
      <c r="X883" s="65" t="s">
        <v>219</v>
      </c>
      <c r="Y883" s="65">
        <f t="shared" ca="1" si="126"/>
        <v>3</v>
      </c>
      <c r="Z883" s="3">
        <f t="shared" ca="1" si="127"/>
        <v>0.76290818004423455</v>
      </c>
      <c r="AA883" s="6">
        <f t="shared" ca="1" si="128"/>
        <v>107960.14697274005</v>
      </c>
      <c r="AB883" s="6">
        <f t="shared" ca="1" si="129"/>
        <v>1420.2050095883662</v>
      </c>
    </row>
    <row r="884" spans="1:28" x14ac:dyDescent="0.3">
      <c r="A884" s="53"/>
      <c r="B884" s="54"/>
      <c r="C884" s="65" t="s">
        <v>219</v>
      </c>
      <c r="D884" s="65">
        <f t="shared" ca="1" si="122"/>
        <v>1</v>
      </c>
      <c r="E884" s="3">
        <f t="shared" ca="1" si="123"/>
        <v>0.99011861665112366</v>
      </c>
      <c r="F884" s="6">
        <f t="shared" ca="1" si="124"/>
        <v>117486.22291945279</v>
      </c>
      <c r="G884" s="6">
        <f t="shared" ca="1" si="125"/>
        <v>1656.2995106685978</v>
      </c>
      <c r="V884" s="53"/>
      <c r="W884" s="54"/>
      <c r="X884" s="65" t="s">
        <v>219</v>
      </c>
      <c r="Y884" s="65">
        <f t="shared" ca="1" si="126"/>
        <v>2</v>
      </c>
      <c r="Z884" s="3">
        <f t="shared" ca="1" si="127"/>
        <v>0.22427521794194683</v>
      </c>
      <c r="AA884" s="6">
        <f t="shared" ca="1" si="128"/>
        <v>191120.87776466899</v>
      </c>
      <c r="AB884" s="6">
        <f t="shared" ca="1" si="129"/>
        <v>1114.5149865384094</v>
      </c>
    </row>
    <row r="885" spans="1:28" x14ac:dyDescent="0.3">
      <c r="A885" s="53"/>
      <c r="B885" s="54"/>
      <c r="C885" s="65" t="s">
        <v>219</v>
      </c>
      <c r="D885" s="65">
        <f t="shared" ca="1" si="122"/>
        <v>4</v>
      </c>
      <c r="E885" s="3">
        <f t="shared" ca="1" si="123"/>
        <v>0.39581291792171136</v>
      </c>
      <c r="F885" s="6">
        <f t="shared" ca="1" si="124"/>
        <v>146117.25796600475</v>
      </c>
      <c r="G885" s="6">
        <f t="shared" ca="1" si="125"/>
        <v>508.70442748578949</v>
      </c>
      <c r="V885" s="53"/>
      <c r="W885" s="54"/>
      <c r="X885" s="65" t="s">
        <v>219</v>
      </c>
      <c r="Y885" s="65">
        <f t="shared" ca="1" si="126"/>
        <v>4</v>
      </c>
      <c r="Z885" s="3">
        <f t="shared" ca="1" si="127"/>
        <v>0.29346745705950084</v>
      </c>
      <c r="AA885" s="6">
        <f t="shared" ca="1" si="128"/>
        <v>129212.19967441625</v>
      </c>
      <c r="AB885" s="6">
        <f t="shared" ca="1" si="129"/>
        <v>751.66021948391813</v>
      </c>
    </row>
    <row r="886" spans="1:28" x14ac:dyDescent="0.3">
      <c r="A886" s="53"/>
      <c r="B886" s="54"/>
      <c r="C886" s="65" t="s">
        <v>219</v>
      </c>
      <c r="D886" s="65">
        <f t="shared" ca="1" si="122"/>
        <v>4</v>
      </c>
      <c r="E886" s="3">
        <f t="shared" ca="1" si="123"/>
        <v>0.31156960781601228</v>
      </c>
      <c r="F886" s="6">
        <f t="shared" ca="1" si="124"/>
        <v>187063.74275741432</v>
      </c>
      <c r="G886" s="6">
        <f t="shared" ca="1" si="125"/>
        <v>549.25877325524857</v>
      </c>
      <c r="V886" s="53"/>
      <c r="W886" s="54"/>
      <c r="X886" s="65" t="s">
        <v>219</v>
      </c>
      <c r="Y886" s="65">
        <f t="shared" ca="1" si="126"/>
        <v>4</v>
      </c>
      <c r="Z886" s="3">
        <f t="shared" ca="1" si="127"/>
        <v>0.31206096327333666</v>
      </c>
      <c r="AA886" s="6">
        <f t="shared" ca="1" si="128"/>
        <v>134933.91438123272</v>
      </c>
      <c r="AB886" s="6">
        <f t="shared" ca="1" si="129"/>
        <v>811.88628407943236</v>
      </c>
    </row>
    <row r="887" spans="1:28" x14ac:dyDescent="0.3">
      <c r="A887" s="53"/>
      <c r="B887" s="54"/>
      <c r="C887" s="65" t="s">
        <v>219</v>
      </c>
      <c r="D887" s="65">
        <f t="shared" ca="1" si="122"/>
        <v>2</v>
      </c>
      <c r="E887" s="3">
        <f t="shared" ca="1" si="123"/>
        <v>0.88326030441588421</v>
      </c>
      <c r="F887" s="6">
        <f t="shared" ca="1" si="124"/>
        <v>157808.53000064968</v>
      </c>
      <c r="G887" s="6">
        <f t="shared" ca="1" si="125"/>
        <v>1991.2664994565271</v>
      </c>
      <c r="V887" s="53"/>
      <c r="W887" s="54"/>
      <c r="X887" s="65" t="s">
        <v>219</v>
      </c>
      <c r="Y887" s="65">
        <f t="shared" ca="1" si="126"/>
        <v>3</v>
      </c>
      <c r="Z887" s="3">
        <f t="shared" ca="1" si="127"/>
        <v>3.8430714770967045E-2</v>
      </c>
      <c r="AA887" s="6">
        <f t="shared" ca="1" si="128"/>
        <v>18672.561430538881</v>
      </c>
      <c r="AB887" s="6">
        <f t="shared" ca="1" si="129"/>
        <v>970.28122019706541</v>
      </c>
    </row>
    <row r="888" spans="1:28" x14ac:dyDescent="0.3">
      <c r="A888" s="53"/>
      <c r="B888" s="54"/>
      <c r="C888" s="65" t="s">
        <v>219</v>
      </c>
      <c r="D888" s="65">
        <f t="shared" ca="1" si="122"/>
        <v>3</v>
      </c>
      <c r="E888" s="3">
        <f t="shared" ca="1" si="123"/>
        <v>0.60622747874640626</v>
      </c>
      <c r="F888" s="6">
        <f t="shared" ca="1" si="124"/>
        <v>172128.4407125116</v>
      </c>
      <c r="G888" s="6">
        <f t="shared" ca="1" si="125"/>
        <v>92.033635477577263</v>
      </c>
      <c r="V888" s="53"/>
      <c r="W888" s="54"/>
      <c r="X888" s="65" t="s">
        <v>219</v>
      </c>
      <c r="Y888" s="65">
        <f t="shared" ca="1" si="126"/>
        <v>3</v>
      </c>
      <c r="Z888" s="3">
        <f t="shared" ca="1" si="127"/>
        <v>0.17186612316456173</v>
      </c>
      <c r="AA888" s="6">
        <f t="shared" ca="1" si="128"/>
        <v>29652.626183525066</v>
      </c>
      <c r="AB888" s="6">
        <f t="shared" ca="1" si="129"/>
        <v>179.1220855153386</v>
      </c>
    </row>
    <row r="889" spans="1:28" x14ac:dyDescent="0.3">
      <c r="A889" s="53"/>
      <c r="B889" s="54"/>
      <c r="C889" s="65" t="s">
        <v>219</v>
      </c>
      <c r="D889" s="65">
        <f t="shared" ca="1" si="122"/>
        <v>4</v>
      </c>
      <c r="E889" s="3">
        <f t="shared" ca="1" si="123"/>
        <v>0.5773863006844896</v>
      </c>
      <c r="F889" s="6">
        <f t="shared" ca="1" si="124"/>
        <v>112898.90439643424</v>
      </c>
      <c r="G889" s="6">
        <f t="shared" ca="1" si="125"/>
        <v>358.23588433529864</v>
      </c>
      <c r="V889" s="53"/>
      <c r="W889" s="54"/>
      <c r="X889" s="65" t="s">
        <v>219</v>
      </c>
      <c r="Y889" s="65">
        <f t="shared" ca="1" si="126"/>
        <v>4</v>
      </c>
      <c r="Z889" s="3">
        <f t="shared" ca="1" si="127"/>
        <v>0.19034878703183711</v>
      </c>
      <c r="AA889" s="6">
        <f t="shared" ca="1" si="128"/>
        <v>148377.34944022642</v>
      </c>
      <c r="AB889" s="6">
        <f t="shared" ca="1" si="129"/>
        <v>532.24160192542172</v>
      </c>
    </row>
    <row r="890" spans="1:28" x14ac:dyDescent="0.3">
      <c r="A890" s="53"/>
      <c r="B890" s="54"/>
      <c r="C890" s="65" t="s">
        <v>219</v>
      </c>
      <c r="D890" s="65">
        <f t="shared" ca="1" si="122"/>
        <v>1</v>
      </c>
      <c r="E890" s="3">
        <f t="shared" ca="1" si="123"/>
        <v>0.32454857162671824</v>
      </c>
      <c r="F890" s="6">
        <f t="shared" ca="1" si="124"/>
        <v>157167.26000861797</v>
      </c>
      <c r="G890" s="6">
        <f t="shared" ca="1" si="125"/>
        <v>462.53962598770062</v>
      </c>
      <c r="V890" s="53"/>
      <c r="W890" s="54"/>
      <c r="X890" s="65" t="s">
        <v>219</v>
      </c>
      <c r="Y890" s="65">
        <f t="shared" ca="1" si="126"/>
        <v>3</v>
      </c>
      <c r="Z890" s="3">
        <f t="shared" ca="1" si="127"/>
        <v>0.34366797182135378</v>
      </c>
      <c r="AA890" s="6">
        <f t="shared" ca="1" si="128"/>
        <v>74545.358272551617</v>
      </c>
      <c r="AB890" s="6">
        <f t="shared" ca="1" si="129"/>
        <v>1920.4388447672675</v>
      </c>
    </row>
    <row r="891" spans="1:28" x14ac:dyDescent="0.3">
      <c r="A891" s="53"/>
      <c r="B891" s="54"/>
      <c r="C891" s="65" t="s">
        <v>219</v>
      </c>
      <c r="D891" s="65">
        <f t="shared" ca="1" si="122"/>
        <v>4</v>
      </c>
      <c r="E891" s="3">
        <f t="shared" ca="1" si="123"/>
        <v>0.54186927068056634</v>
      </c>
      <c r="F891" s="6">
        <f t="shared" ca="1" si="124"/>
        <v>39211.087132123335</v>
      </c>
      <c r="G891" s="6">
        <f t="shared" ca="1" si="125"/>
        <v>1553.0741621930297</v>
      </c>
      <c r="V891" s="53"/>
      <c r="W891" s="54"/>
      <c r="X891" s="65" t="s">
        <v>219</v>
      </c>
      <c r="Y891" s="65">
        <f t="shared" ca="1" si="126"/>
        <v>2</v>
      </c>
      <c r="Z891" s="3">
        <f t="shared" ca="1" si="127"/>
        <v>0.77910648915078373</v>
      </c>
      <c r="AA891" s="6">
        <f t="shared" ca="1" si="128"/>
        <v>192600.89598062905</v>
      </c>
      <c r="AB891" s="6">
        <f t="shared" ca="1" si="129"/>
        <v>1324.5051284831125</v>
      </c>
    </row>
    <row r="892" spans="1:28" x14ac:dyDescent="0.3">
      <c r="A892" s="53"/>
      <c r="B892" s="54"/>
      <c r="C892" s="65" t="s">
        <v>219</v>
      </c>
      <c r="D892" s="65">
        <f t="shared" ca="1" si="122"/>
        <v>3</v>
      </c>
      <c r="E892" s="3">
        <f t="shared" ca="1" si="123"/>
        <v>0.76838413642303649</v>
      </c>
      <c r="F892" s="6">
        <f t="shared" ca="1" si="124"/>
        <v>41541.072375189222</v>
      </c>
      <c r="G892" s="6">
        <f t="shared" ca="1" si="125"/>
        <v>1569.819169096957</v>
      </c>
      <c r="V892" s="53"/>
      <c r="W892" s="54"/>
      <c r="X892" s="65" t="s">
        <v>219</v>
      </c>
      <c r="Y892" s="65">
        <f t="shared" ca="1" si="126"/>
        <v>1</v>
      </c>
      <c r="Z892" s="3">
        <f t="shared" ca="1" si="127"/>
        <v>0.36575375120184705</v>
      </c>
      <c r="AA892" s="6">
        <f t="shared" ca="1" si="128"/>
        <v>134080.15063723637</v>
      </c>
      <c r="AB892" s="6">
        <f t="shared" ca="1" si="129"/>
        <v>1750.8439437919731</v>
      </c>
    </row>
    <row r="893" spans="1:28" x14ac:dyDescent="0.3">
      <c r="A893" s="53"/>
      <c r="B893" s="54"/>
      <c r="C893" s="65" t="s">
        <v>219</v>
      </c>
      <c r="D893" s="65">
        <f t="shared" ca="1" si="122"/>
        <v>2</v>
      </c>
      <c r="E893" s="3">
        <f t="shared" ca="1" si="123"/>
        <v>0.60837863701729067</v>
      </c>
      <c r="F893" s="6">
        <f t="shared" ca="1" si="124"/>
        <v>195138.54915526236</v>
      </c>
      <c r="G893" s="6">
        <f t="shared" ca="1" si="125"/>
        <v>564.01834916684027</v>
      </c>
      <c r="V893" s="53"/>
      <c r="W893" s="54"/>
      <c r="X893" s="65" t="s">
        <v>219</v>
      </c>
      <c r="Y893" s="65">
        <f t="shared" ca="1" si="126"/>
        <v>4</v>
      </c>
      <c r="Z893" s="3">
        <f t="shared" ca="1" si="127"/>
        <v>0.52881478833174533</v>
      </c>
      <c r="AA893" s="6">
        <f t="shared" ca="1" si="128"/>
        <v>71963.963929586389</v>
      </c>
      <c r="AB893" s="6">
        <f t="shared" ca="1" si="129"/>
        <v>1217.9177007423907</v>
      </c>
    </row>
    <row r="894" spans="1:28" x14ac:dyDescent="0.3">
      <c r="A894" s="53"/>
      <c r="B894" s="54"/>
      <c r="C894" s="65" t="s">
        <v>219</v>
      </c>
      <c r="D894" s="65">
        <f t="shared" ca="1" si="122"/>
        <v>4</v>
      </c>
      <c r="E894" s="3">
        <f t="shared" ca="1" si="123"/>
        <v>0.10332057515574466</v>
      </c>
      <c r="F894" s="6">
        <f t="shared" ca="1" si="124"/>
        <v>189448.65629778235</v>
      </c>
      <c r="G894" s="6">
        <f t="shared" ca="1" si="125"/>
        <v>1225.7458541947874</v>
      </c>
      <c r="V894" s="53"/>
      <c r="W894" s="54"/>
      <c r="X894" s="65" t="s">
        <v>219</v>
      </c>
      <c r="Y894" s="65">
        <f t="shared" ca="1" si="126"/>
        <v>1</v>
      </c>
      <c r="Z894" s="3">
        <f t="shared" ca="1" si="127"/>
        <v>0.31975806452816413</v>
      </c>
      <c r="AA894" s="6">
        <f t="shared" ca="1" si="128"/>
        <v>174470.71455887891</v>
      </c>
      <c r="AB894" s="6">
        <f t="shared" ca="1" si="129"/>
        <v>353.22505638090985</v>
      </c>
    </row>
    <row r="895" spans="1:28" x14ac:dyDescent="0.3">
      <c r="A895" s="53"/>
      <c r="B895" s="54"/>
      <c r="C895" s="65" t="s">
        <v>219</v>
      </c>
      <c r="D895" s="65">
        <f t="shared" ca="1" si="122"/>
        <v>4</v>
      </c>
      <c r="E895" s="3">
        <f t="shared" ca="1" si="123"/>
        <v>0.76187995373268325</v>
      </c>
      <c r="F895" s="6">
        <f t="shared" ca="1" si="124"/>
        <v>55735.11450816795</v>
      </c>
      <c r="G895" s="6">
        <f t="shared" ca="1" si="125"/>
        <v>1151.0402582647851</v>
      </c>
      <c r="V895" s="53"/>
      <c r="W895" s="54"/>
      <c r="X895" s="65" t="s">
        <v>219</v>
      </c>
      <c r="Y895" s="65">
        <f t="shared" ca="1" si="126"/>
        <v>3</v>
      </c>
      <c r="Z895" s="3">
        <f t="shared" ca="1" si="127"/>
        <v>0.45422766677708437</v>
      </c>
      <c r="AA895" s="6">
        <f t="shared" ca="1" si="128"/>
        <v>132012.57275994465</v>
      </c>
      <c r="AB895" s="6">
        <f t="shared" ca="1" si="129"/>
        <v>1005.9049937719178</v>
      </c>
    </row>
    <row r="896" spans="1:28" x14ac:dyDescent="0.3">
      <c r="A896" s="53"/>
      <c r="B896" s="54"/>
      <c r="C896" s="65" t="s">
        <v>219</v>
      </c>
      <c r="D896" s="65">
        <f t="shared" ca="1" si="122"/>
        <v>3</v>
      </c>
      <c r="E896" s="3">
        <f t="shared" ca="1" si="123"/>
        <v>0.94958511528020162</v>
      </c>
      <c r="F896" s="6">
        <f t="shared" ca="1" si="124"/>
        <v>69779.946875140537</v>
      </c>
      <c r="G896" s="6">
        <f t="shared" ca="1" si="125"/>
        <v>40.494380640859752</v>
      </c>
      <c r="V896" s="53"/>
      <c r="W896" s="54"/>
      <c r="X896" s="65" t="s">
        <v>219</v>
      </c>
      <c r="Y896" s="65">
        <f t="shared" ca="1" si="126"/>
        <v>1</v>
      </c>
      <c r="Z896" s="3">
        <f t="shared" ca="1" si="127"/>
        <v>0.95696273304139357</v>
      </c>
      <c r="AA896" s="6">
        <f t="shared" ca="1" si="128"/>
        <v>64486.9940647556</v>
      </c>
      <c r="AB896" s="6">
        <f t="shared" ca="1" si="129"/>
        <v>234.69729395793172</v>
      </c>
    </row>
    <row r="897" spans="1:28" x14ac:dyDescent="0.3">
      <c r="A897" s="53"/>
      <c r="B897" s="54"/>
      <c r="C897" s="65" t="s">
        <v>219</v>
      </c>
      <c r="D897" s="65">
        <f t="shared" ca="1" si="122"/>
        <v>2</v>
      </c>
      <c r="E897" s="3">
        <f t="shared" ca="1" si="123"/>
        <v>0.56309417277009099</v>
      </c>
      <c r="F897" s="6">
        <f t="shared" ca="1" si="124"/>
        <v>138177.21678629285</v>
      </c>
      <c r="G897" s="6">
        <f t="shared" ca="1" si="125"/>
        <v>1970.3807877539459</v>
      </c>
      <c r="V897" s="53"/>
      <c r="W897" s="54"/>
      <c r="X897" s="65" t="s">
        <v>219</v>
      </c>
      <c r="Y897" s="65">
        <f t="shared" ca="1" si="126"/>
        <v>2</v>
      </c>
      <c r="Z897" s="3">
        <f t="shared" ca="1" si="127"/>
        <v>0.943180188051432</v>
      </c>
      <c r="AA897" s="6">
        <f t="shared" ca="1" si="128"/>
        <v>144054.52936113684</v>
      </c>
      <c r="AB897" s="6">
        <f t="shared" ca="1" si="129"/>
        <v>907.69532198037871</v>
      </c>
    </row>
    <row r="898" spans="1:28" x14ac:dyDescent="0.3">
      <c r="A898" s="53"/>
      <c r="B898" s="54"/>
      <c r="C898" s="65" t="s">
        <v>219</v>
      </c>
      <c r="D898" s="65">
        <f t="shared" ca="1" si="122"/>
        <v>1</v>
      </c>
      <c r="E898" s="3">
        <f t="shared" ca="1" si="123"/>
        <v>0.71489721242102322</v>
      </c>
      <c r="F898" s="6">
        <f t="shared" ca="1" si="124"/>
        <v>55507.822087269567</v>
      </c>
      <c r="G898" s="6">
        <f t="shared" ca="1" si="125"/>
        <v>272.80662821129664</v>
      </c>
      <c r="V898" s="53"/>
      <c r="W898" s="54"/>
      <c r="X898" s="65" t="s">
        <v>219</v>
      </c>
      <c r="Y898" s="65">
        <f t="shared" ca="1" si="126"/>
        <v>1</v>
      </c>
      <c r="Z898" s="3">
        <f t="shared" ca="1" si="127"/>
        <v>0.82752711126758027</v>
      </c>
      <c r="AA898" s="6">
        <f t="shared" ca="1" si="128"/>
        <v>67737.205354597128</v>
      </c>
      <c r="AB898" s="6">
        <f t="shared" ca="1" si="129"/>
        <v>1564.9930440684268</v>
      </c>
    </row>
    <row r="899" spans="1:28" x14ac:dyDescent="0.3">
      <c r="A899" s="53"/>
      <c r="B899" s="54"/>
      <c r="C899" s="65" t="s">
        <v>219</v>
      </c>
      <c r="D899" s="65">
        <f t="shared" ca="1" si="122"/>
        <v>2</v>
      </c>
      <c r="E899" s="3">
        <f t="shared" ca="1" si="123"/>
        <v>0.7418243922482094</v>
      </c>
      <c r="F899" s="6">
        <f t="shared" ca="1" si="124"/>
        <v>88072.197789506463</v>
      </c>
      <c r="G899" s="6">
        <f t="shared" ca="1" si="125"/>
        <v>1375.4241923491247</v>
      </c>
      <c r="V899" s="53"/>
      <c r="W899" s="54"/>
      <c r="X899" s="65" t="s">
        <v>219</v>
      </c>
      <c r="Y899" s="65">
        <f t="shared" ca="1" si="126"/>
        <v>2</v>
      </c>
      <c r="Z899" s="3">
        <f t="shared" ca="1" si="127"/>
        <v>0.10137296996914047</v>
      </c>
      <c r="AA899" s="6">
        <f t="shared" ca="1" si="128"/>
        <v>142024.05152397082</v>
      </c>
      <c r="AB899" s="6">
        <f t="shared" ca="1" si="129"/>
        <v>157.26183275718864</v>
      </c>
    </row>
    <row r="900" spans="1:28" x14ac:dyDescent="0.3">
      <c r="A900" s="53"/>
      <c r="B900" s="54"/>
      <c r="C900" s="65" t="s">
        <v>219</v>
      </c>
      <c r="D900" s="65">
        <f t="shared" ca="1" si="122"/>
        <v>1</v>
      </c>
      <c r="E900" s="3">
        <f t="shared" ca="1" si="123"/>
        <v>0.48693760099334071</v>
      </c>
      <c r="F900" s="6">
        <f t="shared" ca="1" si="124"/>
        <v>88169.161654214753</v>
      </c>
      <c r="G900" s="6">
        <f t="shared" ca="1" si="125"/>
        <v>1306.4056984232648</v>
      </c>
      <c r="V900" s="53"/>
      <c r="W900" s="54"/>
      <c r="X900" s="65" t="s">
        <v>219</v>
      </c>
      <c r="Y900" s="65">
        <f t="shared" ca="1" si="126"/>
        <v>4</v>
      </c>
      <c r="Z900" s="3">
        <f t="shared" ca="1" si="127"/>
        <v>0.88663313214930906</v>
      </c>
      <c r="AA900" s="6">
        <f t="shared" ca="1" si="128"/>
        <v>86976.138201867827</v>
      </c>
      <c r="AB900" s="6">
        <f t="shared" ca="1" si="129"/>
        <v>1261.184433943002</v>
      </c>
    </row>
    <row r="901" spans="1:28" x14ac:dyDescent="0.3">
      <c r="A901" s="53"/>
      <c r="B901" s="54"/>
      <c r="C901" s="65" t="s">
        <v>219</v>
      </c>
      <c r="D901" s="65">
        <f t="shared" ca="1" si="122"/>
        <v>3</v>
      </c>
      <c r="E901" s="3">
        <f t="shared" ca="1" si="123"/>
        <v>3.7911767844986288E-2</v>
      </c>
      <c r="F901" s="6">
        <f t="shared" ca="1" si="124"/>
        <v>68674.23078535762</v>
      </c>
      <c r="G901" s="6">
        <f t="shared" ca="1" si="125"/>
        <v>1136.7782357700669</v>
      </c>
      <c r="V901" s="53"/>
      <c r="W901" s="54"/>
      <c r="X901" s="65" t="s">
        <v>219</v>
      </c>
      <c r="Y901" s="65">
        <f t="shared" ca="1" si="126"/>
        <v>4</v>
      </c>
      <c r="Z901" s="3">
        <f t="shared" ca="1" si="127"/>
        <v>2.720057139820542E-2</v>
      </c>
      <c r="AA901" s="6">
        <f t="shared" ca="1" si="128"/>
        <v>113872.5852332791</v>
      </c>
      <c r="AB901" s="6">
        <f t="shared" ca="1" si="129"/>
        <v>1327.4291458073033</v>
      </c>
    </row>
    <row r="902" spans="1:28" x14ac:dyDescent="0.3">
      <c r="A902" s="53"/>
      <c r="B902" s="54"/>
      <c r="C902" s="65" t="s">
        <v>219</v>
      </c>
      <c r="D902" s="65">
        <f t="shared" ca="1" si="122"/>
        <v>1</v>
      </c>
      <c r="E902" s="3">
        <f t="shared" ca="1" si="123"/>
        <v>0.77661106568444083</v>
      </c>
      <c r="F902" s="6">
        <f t="shared" ca="1" si="124"/>
        <v>20115.736333766086</v>
      </c>
      <c r="G902" s="6">
        <f t="shared" ca="1" si="125"/>
        <v>1594.0081641774013</v>
      </c>
      <c r="V902" s="53"/>
      <c r="W902" s="54"/>
      <c r="X902" s="65" t="s">
        <v>219</v>
      </c>
      <c r="Y902" s="65">
        <f t="shared" ca="1" si="126"/>
        <v>4</v>
      </c>
      <c r="Z902" s="3">
        <f t="shared" ca="1" si="127"/>
        <v>0.6362021090587282</v>
      </c>
      <c r="AA902" s="6">
        <f t="shared" ca="1" si="128"/>
        <v>145824.60130725877</v>
      </c>
      <c r="AB902" s="6">
        <f t="shared" ca="1" si="129"/>
        <v>1220.816940305506</v>
      </c>
    </row>
    <row r="903" spans="1:28" x14ac:dyDescent="0.3">
      <c r="A903" s="53"/>
      <c r="B903" s="54"/>
      <c r="C903" s="65" t="s">
        <v>219</v>
      </c>
      <c r="D903" s="65">
        <f t="shared" ca="1" si="122"/>
        <v>1</v>
      </c>
      <c r="E903" s="3">
        <f t="shared" ca="1" si="123"/>
        <v>0.33064983926730651</v>
      </c>
      <c r="F903" s="6">
        <f t="shared" ca="1" si="124"/>
        <v>65446.067906355813</v>
      </c>
      <c r="G903" s="6">
        <f t="shared" ca="1" si="125"/>
        <v>1611.1003162282868</v>
      </c>
      <c r="V903" s="53"/>
      <c r="W903" s="54"/>
      <c r="X903" s="65" t="s">
        <v>219</v>
      </c>
      <c r="Y903" s="65">
        <f t="shared" ca="1" si="126"/>
        <v>2</v>
      </c>
      <c r="Z903" s="3">
        <f t="shared" ca="1" si="127"/>
        <v>0.32964510935599822</v>
      </c>
      <c r="AA903" s="6">
        <f t="shared" ca="1" si="128"/>
        <v>187943.11612177911</v>
      </c>
      <c r="AB903" s="6">
        <f t="shared" ca="1" si="129"/>
        <v>251.21200023981638</v>
      </c>
    </row>
    <row r="904" spans="1:28" x14ac:dyDescent="0.3">
      <c r="A904" s="53"/>
      <c r="B904" s="54"/>
      <c r="C904" s="65" t="s">
        <v>219</v>
      </c>
      <c r="D904" s="65">
        <f t="shared" ca="1" si="122"/>
        <v>2</v>
      </c>
      <c r="E904" s="3">
        <f t="shared" ca="1" si="123"/>
        <v>0.14010186521157364</v>
      </c>
      <c r="F904" s="6">
        <f t="shared" ca="1" si="124"/>
        <v>133693.56154914451</v>
      </c>
      <c r="G904" s="6">
        <f t="shared" ca="1" si="125"/>
        <v>1752.9494702227216</v>
      </c>
      <c r="V904" s="53"/>
      <c r="W904" s="54"/>
      <c r="X904" s="65" t="s">
        <v>219</v>
      </c>
      <c r="Y904" s="65">
        <f t="shared" ca="1" si="126"/>
        <v>3</v>
      </c>
      <c r="Z904" s="3">
        <f t="shared" ca="1" si="127"/>
        <v>1.0034258748815361E-2</v>
      </c>
      <c r="AA904" s="6">
        <f t="shared" ca="1" si="128"/>
        <v>155141.81995119818</v>
      </c>
      <c r="AB904" s="6">
        <f t="shared" ca="1" si="129"/>
        <v>113.84402752256494</v>
      </c>
    </row>
    <row r="905" spans="1:28" x14ac:dyDescent="0.3">
      <c r="A905" s="53"/>
      <c r="B905" s="54"/>
      <c r="C905" s="65" t="s">
        <v>219</v>
      </c>
      <c r="D905" s="65">
        <f t="shared" ca="1" si="122"/>
        <v>1</v>
      </c>
      <c r="E905" s="3">
        <f t="shared" ca="1" si="123"/>
        <v>0.29002714627110326</v>
      </c>
      <c r="F905" s="6">
        <f t="shared" ca="1" si="124"/>
        <v>118924.24486819544</v>
      </c>
      <c r="G905" s="6">
        <f t="shared" ca="1" si="125"/>
        <v>768.52865935532816</v>
      </c>
      <c r="V905" s="53"/>
      <c r="W905" s="54"/>
      <c r="X905" s="65" t="s">
        <v>219</v>
      </c>
      <c r="Y905" s="65">
        <f t="shared" ca="1" si="126"/>
        <v>2</v>
      </c>
      <c r="Z905" s="3">
        <f t="shared" ca="1" si="127"/>
        <v>0.87631536987524583</v>
      </c>
      <c r="AA905" s="6">
        <f t="shared" ca="1" si="128"/>
        <v>91705.140619158381</v>
      </c>
      <c r="AB905" s="6">
        <f t="shared" ca="1" si="129"/>
        <v>1073.2181797880164</v>
      </c>
    </row>
    <row r="906" spans="1:28" x14ac:dyDescent="0.3">
      <c r="A906" s="53"/>
      <c r="B906" s="54"/>
      <c r="C906" s="65" t="s">
        <v>219</v>
      </c>
      <c r="D906" s="65">
        <f t="shared" ca="1" si="122"/>
        <v>2</v>
      </c>
      <c r="E906" s="3">
        <f t="shared" ca="1" si="123"/>
        <v>0.8941044616550744</v>
      </c>
      <c r="F906" s="6">
        <f t="shared" ca="1" si="124"/>
        <v>117008.71073739411</v>
      </c>
      <c r="G906" s="6">
        <f t="shared" ca="1" si="125"/>
        <v>383.02180176757349</v>
      </c>
      <c r="V906" s="53"/>
      <c r="W906" s="54"/>
      <c r="X906" s="65" t="s">
        <v>219</v>
      </c>
      <c r="Y906" s="65">
        <f t="shared" ca="1" si="126"/>
        <v>1</v>
      </c>
      <c r="Z906" s="3">
        <f t="shared" ca="1" si="127"/>
        <v>0.74871176795326744</v>
      </c>
      <c r="AA906" s="6">
        <f t="shared" ca="1" si="128"/>
        <v>35337.060954830289</v>
      </c>
      <c r="AB906" s="6">
        <f t="shared" ca="1" si="129"/>
        <v>1276.997970277087</v>
      </c>
    </row>
    <row r="907" spans="1:28" x14ac:dyDescent="0.3">
      <c r="A907" s="53"/>
      <c r="B907" s="54"/>
      <c r="C907" s="65" t="s">
        <v>219</v>
      </c>
      <c r="D907" s="65">
        <f t="shared" ca="1" si="122"/>
        <v>2</v>
      </c>
      <c r="E907" s="3">
        <f t="shared" ca="1" si="123"/>
        <v>0.62433339564662904</v>
      </c>
      <c r="F907" s="6">
        <f t="shared" ca="1" si="124"/>
        <v>128471.88134250003</v>
      </c>
      <c r="G907" s="6">
        <f t="shared" ca="1" si="125"/>
        <v>1426.1591667149116</v>
      </c>
      <c r="V907" s="53"/>
      <c r="W907" s="54"/>
      <c r="X907" s="65" t="s">
        <v>219</v>
      </c>
      <c r="Y907" s="65">
        <f t="shared" ca="1" si="126"/>
        <v>2</v>
      </c>
      <c r="Z907" s="3">
        <f t="shared" ca="1" si="127"/>
        <v>0.14518023562319227</v>
      </c>
      <c r="AA907" s="6">
        <f t="shared" ca="1" si="128"/>
        <v>60374.35984955317</v>
      </c>
      <c r="AB907" s="6">
        <f t="shared" ca="1" si="129"/>
        <v>363.34477254944608</v>
      </c>
    </row>
    <row r="908" spans="1:28" x14ac:dyDescent="0.3">
      <c r="A908" s="53"/>
      <c r="B908" s="54"/>
      <c r="C908" s="65" t="s">
        <v>219</v>
      </c>
      <c r="D908" s="65">
        <f t="shared" ca="1" si="122"/>
        <v>4</v>
      </c>
      <c r="E908" s="3">
        <f t="shared" ca="1" si="123"/>
        <v>0.21616248629281309</v>
      </c>
      <c r="F908" s="6">
        <f t="shared" ca="1" si="124"/>
        <v>195010.24245877273</v>
      </c>
      <c r="G908" s="6">
        <f t="shared" ca="1" si="125"/>
        <v>1090.5233583602658</v>
      </c>
      <c r="V908" s="53"/>
      <c r="W908" s="54"/>
      <c r="X908" s="65" t="s">
        <v>219</v>
      </c>
      <c r="Y908" s="65">
        <f t="shared" ca="1" si="126"/>
        <v>3</v>
      </c>
      <c r="Z908" s="3">
        <f t="shared" ca="1" si="127"/>
        <v>0.70111246710030739</v>
      </c>
      <c r="AA908" s="6">
        <f t="shared" ca="1" si="128"/>
        <v>61541.434986574626</v>
      </c>
      <c r="AB908" s="6">
        <f t="shared" ca="1" si="129"/>
        <v>503.78835596188986</v>
      </c>
    </row>
    <row r="909" spans="1:28" x14ac:dyDescent="0.3">
      <c r="A909" s="53"/>
      <c r="B909" s="54"/>
      <c r="C909" s="65" t="s">
        <v>219</v>
      </c>
      <c r="D909" s="65">
        <f t="shared" ref="D909:D972" ca="1" si="130">INT(RAND()*4)+1</f>
        <v>1</v>
      </c>
      <c r="E909" s="3">
        <f t="shared" ref="E909:E972" ca="1" si="131">RAND()</f>
        <v>0.84735114423326274</v>
      </c>
      <c r="F909" s="6">
        <f t="shared" ref="F909:F972" ca="1" si="132">RAND()*200000</f>
        <v>184014.36471073676</v>
      </c>
      <c r="G909" s="6">
        <f t="shared" ref="G909:G972" ca="1" si="133">RAND()*2000</f>
        <v>1932.2064887030058</v>
      </c>
      <c r="V909" s="53"/>
      <c r="W909" s="54"/>
      <c r="X909" s="65" t="s">
        <v>219</v>
      </c>
      <c r="Y909" s="65">
        <f t="shared" ref="Y909:Y972" ca="1" si="134">INT(RAND()*4)+1</f>
        <v>2</v>
      </c>
      <c r="Z909" s="3">
        <f t="shared" ref="Z909:Z972" ca="1" si="135">RAND()</f>
        <v>0.25394631565649339</v>
      </c>
      <c r="AA909" s="6">
        <f t="shared" ref="AA909:AA972" ca="1" si="136">RAND()*200000</f>
        <v>10235.062508999792</v>
      </c>
      <c r="AB909" s="6">
        <f t="shared" ref="AB909:AB972" ca="1" si="137">RAND()*2000</f>
        <v>609.84224818196026</v>
      </c>
    </row>
    <row r="910" spans="1:28" x14ac:dyDescent="0.3">
      <c r="A910" s="53"/>
      <c r="B910" s="54"/>
      <c r="C910" s="65" t="s">
        <v>219</v>
      </c>
      <c r="D910" s="65">
        <f t="shared" ca="1" si="130"/>
        <v>2</v>
      </c>
      <c r="E910" s="3">
        <f t="shared" ca="1" si="131"/>
        <v>0.70886749023080653</v>
      </c>
      <c r="F910" s="6">
        <f t="shared" ca="1" si="132"/>
        <v>25420.217633548225</v>
      </c>
      <c r="G910" s="6">
        <f t="shared" ca="1" si="133"/>
        <v>195.55683687407054</v>
      </c>
      <c r="V910" s="53"/>
      <c r="W910" s="54"/>
      <c r="X910" s="65" t="s">
        <v>219</v>
      </c>
      <c r="Y910" s="65">
        <f t="shared" ca="1" si="134"/>
        <v>2</v>
      </c>
      <c r="Z910" s="3">
        <f t="shared" ca="1" si="135"/>
        <v>0.20900415177699383</v>
      </c>
      <c r="AA910" s="6">
        <f t="shared" ca="1" si="136"/>
        <v>106904.76081537829</v>
      </c>
      <c r="AB910" s="6">
        <f t="shared" ca="1" si="137"/>
        <v>1854.6618610765513</v>
      </c>
    </row>
    <row r="911" spans="1:28" x14ac:dyDescent="0.3">
      <c r="A911" s="53"/>
      <c r="B911" s="54"/>
      <c r="C911" s="65" t="s">
        <v>219</v>
      </c>
      <c r="D911" s="65">
        <f t="shared" ca="1" si="130"/>
        <v>2</v>
      </c>
      <c r="E911" s="3">
        <f t="shared" ca="1" si="131"/>
        <v>0.3287363574746327</v>
      </c>
      <c r="F911" s="6">
        <f t="shared" ca="1" si="132"/>
        <v>165359.71131359803</v>
      </c>
      <c r="G911" s="6">
        <f t="shared" ca="1" si="133"/>
        <v>1761.409409663403</v>
      </c>
      <c r="V911" s="53"/>
      <c r="W911" s="54"/>
      <c r="X911" s="65" t="s">
        <v>219</v>
      </c>
      <c r="Y911" s="65">
        <f t="shared" ca="1" si="134"/>
        <v>2</v>
      </c>
      <c r="Z911" s="3">
        <f t="shared" ca="1" si="135"/>
        <v>0.25518085330086171</v>
      </c>
      <c r="AA911" s="6">
        <f t="shared" ca="1" si="136"/>
        <v>28869.382556339708</v>
      </c>
      <c r="AB911" s="6">
        <f t="shared" ca="1" si="137"/>
        <v>1024.0432157727535</v>
      </c>
    </row>
    <row r="912" spans="1:28" x14ac:dyDescent="0.3">
      <c r="A912" s="53"/>
      <c r="B912" s="54"/>
      <c r="C912" s="65" t="s">
        <v>219</v>
      </c>
      <c r="D912" s="65">
        <f t="shared" ca="1" si="130"/>
        <v>4</v>
      </c>
      <c r="E912" s="3">
        <f t="shared" ca="1" si="131"/>
        <v>0.75459105342485955</v>
      </c>
      <c r="F912" s="6">
        <f t="shared" ca="1" si="132"/>
        <v>43545.129996704702</v>
      </c>
      <c r="G912" s="6">
        <f t="shared" ca="1" si="133"/>
        <v>1362.7100288289516</v>
      </c>
      <c r="V912" s="53"/>
      <c r="W912" s="54"/>
      <c r="X912" s="65" t="s">
        <v>219</v>
      </c>
      <c r="Y912" s="65">
        <f t="shared" ca="1" si="134"/>
        <v>4</v>
      </c>
      <c r="Z912" s="3">
        <f t="shared" ca="1" si="135"/>
        <v>0.26655561351759827</v>
      </c>
      <c r="AA912" s="6">
        <f t="shared" ca="1" si="136"/>
        <v>10685.973081063805</v>
      </c>
      <c r="AB912" s="6">
        <f t="shared" ca="1" si="137"/>
        <v>695.97802431862817</v>
      </c>
    </row>
    <row r="913" spans="1:28" x14ac:dyDescent="0.3">
      <c r="A913" s="53"/>
      <c r="B913" s="54"/>
      <c r="C913" s="65" t="s">
        <v>219</v>
      </c>
      <c r="D913" s="65">
        <f t="shared" ca="1" si="130"/>
        <v>1</v>
      </c>
      <c r="E913" s="3">
        <f t="shared" ca="1" si="131"/>
        <v>0.57753912116723727</v>
      </c>
      <c r="F913" s="6">
        <f t="shared" ca="1" si="132"/>
        <v>106854.68845705024</v>
      </c>
      <c r="G913" s="6">
        <f t="shared" ca="1" si="133"/>
        <v>90.652600664469006</v>
      </c>
      <c r="V913" s="53"/>
      <c r="W913" s="54"/>
      <c r="X913" s="65" t="s">
        <v>219</v>
      </c>
      <c r="Y913" s="65">
        <f t="shared" ca="1" si="134"/>
        <v>4</v>
      </c>
      <c r="Z913" s="3">
        <f t="shared" ca="1" si="135"/>
        <v>0.90673714096798419</v>
      </c>
      <c r="AA913" s="6">
        <f t="shared" ca="1" si="136"/>
        <v>173883.6891502279</v>
      </c>
      <c r="AB913" s="6">
        <f t="shared" ca="1" si="137"/>
        <v>1379.3108343868864</v>
      </c>
    </row>
    <row r="914" spans="1:28" x14ac:dyDescent="0.3">
      <c r="A914" s="53"/>
      <c r="B914" s="54"/>
      <c r="C914" s="65" t="s">
        <v>219</v>
      </c>
      <c r="D914" s="65">
        <f t="shared" ca="1" si="130"/>
        <v>2</v>
      </c>
      <c r="E914" s="3">
        <f t="shared" ca="1" si="131"/>
        <v>8.7519382475387819E-2</v>
      </c>
      <c r="F914" s="6">
        <f t="shared" ca="1" si="132"/>
        <v>2199.2342933163654</v>
      </c>
      <c r="G914" s="6">
        <f t="shared" ca="1" si="133"/>
        <v>1189.4138028565001</v>
      </c>
      <c r="V914" s="53"/>
      <c r="W914" s="54"/>
      <c r="X914" s="65" t="s">
        <v>219</v>
      </c>
      <c r="Y914" s="65">
        <f t="shared" ca="1" si="134"/>
        <v>2</v>
      </c>
      <c r="Z914" s="3">
        <f t="shared" ca="1" si="135"/>
        <v>0.94142853033557261</v>
      </c>
      <c r="AA914" s="6">
        <f t="shared" ca="1" si="136"/>
        <v>192743.6555960651</v>
      </c>
      <c r="AB914" s="6">
        <f t="shared" ca="1" si="137"/>
        <v>1422.2315646933528</v>
      </c>
    </row>
    <row r="915" spans="1:28" x14ac:dyDescent="0.3">
      <c r="A915" s="53"/>
      <c r="B915" s="54"/>
      <c r="C915" s="65" t="s">
        <v>219</v>
      </c>
      <c r="D915" s="65">
        <f t="shared" ca="1" si="130"/>
        <v>2</v>
      </c>
      <c r="E915" s="3">
        <f t="shared" ca="1" si="131"/>
        <v>8.3156386059486609E-2</v>
      </c>
      <c r="F915" s="6">
        <f t="shared" ca="1" si="132"/>
        <v>10182.697987047628</v>
      </c>
      <c r="G915" s="6">
        <f t="shared" ca="1" si="133"/>
        <v>421.85975903063411</v>
      </c>
      <c r="V915" s="53"/>
      <c r="W915" s="54"/>
      <c r="X915" s="65" t="s">
        <v>219</v>
      </c>
      <c r="Y915" s="65">
        <f t="shared" ca="1" si="134"/>
        <v>4</v>
      </c>
      <c r="Z915" s="3">
        <f t="shared" ca="1" si="135"/>
        <v>0.99576018555016532</v>
      </c>
      <c r="AA915" s="6">
        <f t="shared" ca="1" si="136"/>
        <v>1981.4407249053368</v>
      </c>
      <c r="AB915" s="6">
        <f t="shared" ca="1" si="137"/>
        <v>1934.4210019131172</v>
      </c>
    </row>
    <row r="916" spans="1:28" x14ac:dyDescent="0.3">
      <c r="A916" s="53"/>
      <c r="B916" s="54"/>
      <c r="C916" s="65" t="s">
        <v>219</v>
      </c>
      <c r="D916" s="65">
        <f t="shared" ca="1" si="130"/>
        <v>1</v>
      </c>
      <c r="E916" s="3">
        <f t="shared" ca="1" si="131"/>
        <v>0.65935566314423777</v>
      </c>
      <c r="F916" s="6">
        <f t="shared" ca="1" si="132"/>
        <v>102633.81368531974</v>
      </c>
      <c r="G916" s="6">
        <f t="shared" ca="1" si="133"/>
        <v>905.65697588571629</v>
      </c>
      <c r="V916" s="53"/>
      <c r="W916" s="54"/>
      <c r="X916" s="65" t="s">
        <v>219</v>
      </c>
      <c r="Y916" s="65">
        <f t="shared" ca="1" si="134"/>
        <v>4</v>
      </c>
      <c r="Z916" s="3">
        <f t="shared" ca="1" si="135"/>
        <v>5.3710492094960705E-2</v>
      </c>
      <c r="AA916" s="6">
        <f t="shared" ca="1" si="136"/>
        <v>184325.74166981323</v>
      </c>
      <c r="AB916" s="6">
        <f t="shared" ca="1" si="137"/>
        <v>145.57257174180594</v>
      </c>
    </row>
    <row r="917" spans="1:28" x14ac:dyDescent="0.3">
      <c r="A917" s="53"/>
      <c r="B917" s="54"/>
      <c r="C917" s="65" t="s">
        <v>219</v>
      </c>
      <c r="D917" s="65">
        <f t="shared" ca="1" si="130"/>
        <v>3</v>
      </c>
      <c r="E917" s="3">
        <f t="shared" ca="1" si="131"/>
        <v>0.56296284548091147</v>
      </c>
      <c r="F917" s="6">
        <f t="shared" ca="1" si="132"/>
        <v>130289.64479237719</v>
      </c>
      <c r="G917" s="6">
        <f t="shared" ca="1" si="133"/>
        <v>748.88708424413267</v>
      </c>
      <c r="V917" s="53"/>
      <c r="W917" s="54"/>
      <c r="X917" s="65" t="s">
        <v>219</v>
      </c>
      <c r="Y917" s="65">
        <f t="shared" ca="1" si="134"/>
        <v>4</v>
      </c>
      <c r="Z917" s="3">
        <f t="shared" ca="1" si="135"/>
        <v>0.75484648554016287</v>
      </c>
      <c r="AA917" s="6">
        <f t="shared" ca="1" si="136"/>
        <v>106318.97482395422</v>
      </c>
      <c r="AB917" s="6">
        <f t="shared" ca="1" si="137"/>
        <v>1617.2143412815974</v>
      </c>
    </row>
    <row r="918" spans="1:28" x14ac:dyDescent="0.3">
      <c r="A918" s="53"/>
      <c r="B918" s="54"/>
      <c r="C918" s="65" t="s">
        <v>219</v>
      </c>
      <c r="D918" s="65">
        <f t="shared" ca="1" si="130"/>
        <v>4</v>
      </c>
      <c r="E918" s="3">
        <f t="shared" ca="1" si="131"/>
        <v>0.9287568257497244</v>
      </c>
      <c r="F918" s="6">
        <f t="shared" ca="1" si="132"/>
        <v>108585.12594568581</v>
      </c>
      <c r="G918" s="6">
        <f t="shared" ca="1" si="133"/>
        <v>48.932606213625277</v>
      </c>
      <c r="V918" s="53"/>
      <c r="W918" s="54"/>
      <c r="X918" s="65" t="s">
        <v>219</v>
      </c>
      <c r="Y918" s="65">
        <f t="shared" ca="1" si="134"/>
        <v>3</v>
      </c>
      <c r="Z918" s="3">
        <f t="shared" ca="1" si="135"/>
        <v>0.89342062749579221</v>
      </c>
      <c r="AA918" s="6">
        <f t="shared" ca="1" si="136"/>
        <v>191247.71972442546</v>
      </c>
      <c r="AB918" s="6">
        <f t="shared" ca="1" si="137"/>
        <v>1379.010442739567</v>
      </c>
    </row>
    <row r="919" spans="1:28" x14ac:dyDescent="0.3">
      <c r="A919" s="53"/>
      <c r="B919" s="54"/>
      <c r="C919" s="65" t="s">
        <v>219</v>
      </c>
      <c r="D919" s="65">
        <f t="shared" ca="1" si="130"/>
        <v>3</v>
      </c>
      <c r="E919" s="3">
        <f t="shared" ca="1" si="131"/>
        <v>0.58794865559160914</v>
      </c>
      <c r="F919" s="6">
        <f t="shared" ca="1" si="132"/>
        <v>70821.604474763983</v>
      </c>
      <c r="G919" s="6">
        <f t="shared" ca="1" si="133"/>
        <v>33.052127580649461</v>
      </c>
      <c r="V919" s="53"/>
      <c r="W919" s="54"/>
      <c r="X919" s="65" t="s">
        <v>219</v>
      </c>
      <c r="Y919" s="65">
        <f t="shared" ca="1" si="134"/>
        <v>4</v>
      </c>
      <c r="Z919" s="3">
        <f t="shared" ca="1" si="135"/>
        <v>0.34996290764581517</v>
      </c>
      <c r="AA919" s="6">
        <f t="shared" ca="1" si="136"/>
        <v>64461.813373332276</v>
      </c>
      <c r="AB919" s="6">
        <f t="shared" ca="1" si="137"/>
        <v>1847.2013310814518</v>
      </c>
    </row>
    <row r="920" spans="1:28" x14ac:dyDescent="0.3">
      <c r="A920" s="53"/>
      <c r="B920" s="54"/>
      <c r="C920" s="65" t="s">
        <v>219</v>
      </c>
      <c r="D920" s="65">
        <f t="shared" ca="1" si="130"/>
        <v>4</v>
      </c>
      <c r="E920" s="3">
        <f t="shared" ca="1" si="131"/>
        <v>0.87982355786844779</v>
      </c>
      <c r="F920" s="6">
        <f t="shared" ca="1" si="132"/>
        <v>175471.45059534183</v>
      </c>
      <c r="G920" s="6">
        <f t="shared" ca="1" si="133"/>
        <v>655.42043016347145</v>
      </c>
      <c r="V920" s="53"/>
      <c r="W920" s="54"/>
      <c r="X920" s="65" t="s">
        <v>219</v>
      </c>
      <c r="Y920" s="65">
        <f t="shared" ca="1" si="134"/>
        <v>4</v>
      </c>
      <c r="Z920" s="3">
        <f t="shared" ca="1" si="135"/>
        <v>0.83335388893846263</v>
      </c>
      <c r="AA920" s="6">
        <f t="shared" ca="1" si="136"/>
        <v>41039.282584145418</v>
      </c>
      <c r="AB920" s="6">
        <f t="shared" ca="1" si="137"/>
        <v>283.27966883268397</v>
      </c>
    </row>
    <row r="921" spans="1:28" x14ac:dyDescent="0.3">
      <c r="A921" s="53"/>
      <c r="B921" s="54"/>
      <c r="C921" s="65" t="s">
        <v>219</v>
      </c>
      <c r="D921" s="65">
        <f t="shared" ca="1" si="130"/>
        <v>2</v>
      </c>
      <c r="E921" s="3">
        <f t="shared" ca="1" si="131"/>
        <v>0.17665722519950577</v>
      </c>
      <c r="F921" s="6">
        <f t="shared" ca="1" si="132"/>
        <v>17814.399981976203</v>
      </c>
      <c r="G921" s="6">
        <f t="shared" ca="1" si="133"/>
        <v>661.0251200829789</v>
      </c>
      <c r="V921" s="53"/>
      <c r="W921" s="54"/>
      <c r="X921" s="65" t="s">
        <v>219</v>
      </c>
      <c r="Y921" s="65">
        <f t="shared" ca="1" si="134"/>
        <v>4</v>
      </c>
      <c r="Z921" s="3">
        <f t="shared" ca="1" si="135"/>
        <v>0.28758555052009016</v>
      </c>
      <c r="AA921" s="6">
        <f t="shared" ca="1" si="136"/>
        <v>60147.829275988428</v>
      </c>
      <c r="AB921" s="6">
        <f t="shared" ca="1" si="137"/>
        <v>812.17088932987201</v>
      </c>
    </row>
    <row r="922" spans="1:28" x14ac:dyDescent="0.3">
      <c r="A922" s="53"/>
      <c r="B922" s="54"/>
      <c r="C922" s="65" t="s">
        <v>219</v>
      </c>
      <c r="D922" s="65">
        <f t="shared" ca="1" si="130"/>
        <v>1</v>
      </c>
      <c r="E922" s="3">
        <f t="shared" ca="1" si="131"/>
        <v>0.9149521454720172</v>
      </c>
      <c r="F922" s="6">
        <f t="shared" ca="1" si="132"/>
        <v>164634.1209235109</v>
      </c>
      <c r="G922" s="6">
        <f t="shared" ca="1" si="133"/>
        <v>722.94725556312335</v>
      </c>
      <c r="V922" s="53"/>
      <c r="W922" s="54"/>
      <c r="X922" s="65" t="s">
        <v>219</v>
      </c>
      <c r="Y922" s="65">
        <f t="shared" ca="1" si="134"/>
        <v>1</v>
      </c>
      <c r="Z922" s="3">
        <f t="shared" ca="1" si="135"/>
        <v>0.11982693042668602</v>
      </c>
      <c r="AA922" s="6">
        <f t="shared" ca="1" si="136"/>
        <v>109298.0177057657</v>
      </c>
      <c r="AB922" s="6">
        <f t="shared" ca="1" si="137"/>
        <v>866.78123430179312</v>
      </c>
    </row>
    <row r="923" spans="1:28" x14ac:dyDescent="0.3">
      <c r="A923" s="53"/>
      <c r="B923" s="54"/>
      <c r="C923" s="65" t="s">
        <v>219</v>
      </c>
      <c r="D923" s="65">
        <f t="shared" ca="1" si="130"/>
        <v>3</v>
      </c>
      <c r="E923" s="3">
        <f t="shared" ca="1" si="131"/>
        <v>0.66980298109241432</v>
      </c>
      <c r="F923" s="6">
        <f t="shared" ca="1" si="132"/>
        <v>110920.23644705916</v>
      </c>
      <c r="G923" s="6">
        <f t="shared" ca="1" si="133"/>
        <v>1466.1746534081099</v>
      </c>
      <c r="V923" s="53"/>
      <c r="W923" s="54"/>
      <c r="X923" s="65" t="s">
        <v>219</v>
      </c>
      <c r="Y923" s="65">
        <f t="shared" ca="1" si="134"/>
        <v>1</v>
      </c>
      <c r="Z923" s="3">
        <f t="shared" ca="1" si="135"/>
        <v>0.18907722736465116</v>
      </c>
      <c r="AA923" s="6">
        <f t="shared" ca="1" si="136"/>
        <v>5225.8601250229076</v>
      </c>
      <c r="AB923" s="6">
        <f t="shared" ca="1" si="137"/>
        <v>1406.8223987449701</v>
      </c>
    </row>
    <row r="924" spans="1:28" x14ac:dyDescent="0.3">
      <c r="A924" s="53"/>
      <c r="B924" s="54"/>
      <c r="C924" s="65" t="s">
        <v>219</v>
      </c>
      <c r="D924" s="65">
        <f t="shared" ca="1" si="130"/>
        <v>3</v>
      </c>
      <c r="E924" s="3">
        <f t="shared" ca="1" si="131"/>
        <v>1.8865131153285142E-2</v>
      </c>
      <c r="F924" s="6">
        <f t="shared" ca="1" si="132"/>
        <v>82973.390246911658</v>
      </c>
      <c r="G924" s="6">
        <f t="shared" ca="1" si="133"/>
        <v>649.71829504950483</v>
      </c>
      <c r="V924" s="53"/>
      <c r="W924" s="54"/>
      <c r="X924" s="65" t="s">
        <v>219</v>
      </c>
      <c r="Y924" s="65">
        <f t="shared" ca="1" si="134"/>
        <v>2</v>
      </c>
      <c r="Z924" s="3">
        <f t="shared" ca="1" si="135"/>
        <v>0.22581232799352446</v>
      </c>
      <c r="AA924" s="6">
        <f t="shared" ca="1" si="136"/>
        <v>36532.698597807321</v>
      </c>
      <c r="AB924" s="6">
        <f t="shared" ca="1" si="137"/>
        <v>346.05785461863525</v>
      </c>
    </row>
    <row r="925" spans="1:28" x14ac:dyDescent="0.3">
      <c r="A925" s="53"/>
      <c r="B925" s="54"/>
      <c r="C925" s="65" t="s">
        <v>219</v>
      </c>
      <c r="D925" s="65">
        <f t="shared" ca="1" si="130"/>
        <v>2</v>
      </c>
      <c r="E925" s="3">
        <f t="shared" ca="1" si="131"/>
        <v>0.47238403790366967</v>
      </c>
      <c r="F925" s="6">
        <f t="shared" ca="1" si="132"/>
        <v>51195.271831917635</v>
      </c>
      <c r="G925" s="6">
        <f t="shared" ca="1" si="133"/>
        <v>1965.9237950568634</v>
      </c>
      <c r="V925" s="53"/>
      <c r="W925" s="54"/>
      <c r="X925" s="65" t="s">
        <v>219</v>
      </c>
      <c r="Y925" s="65">
        <f t="shared" ca="1" si="134"/>
        <v>4</v>
      </c>
      <c r="Z925" s="3">
        <f t="shared" ca="1" si="135"/>
        <v>0.25632786916143735</v>
      </c>
      <c r="AA925" s="6">
        <f t="shared" ca="1" si="136"/>
        <v>95557.121976492883</v>
      </c>
      <c r="AB925" s="6">
        <f t="shared" ca="1" si="137"/>
        <v>166.80216445265916</v>
      </c>
    </row>
    <row r="926" spans="1:28" x14ac:dyDescent="0.3">
      <c r="A926" s="53"/>
      <c r="B926" s="54"/>
      <c r="C926" s="65" t="s">
        <v>219</v>
      </c>
      <c r="D926" s="65">
        <f t="shared" ca="1" si="130"/>
        <v>1</v>
      </c>
      <c r="E926" s="3">
        <f t="shared" ca="1" si="131"/>
        <v>0.15879277854166285</v>
      </c>
      <c r="F926" s="6">
        <f t="shared" ca="1" si="132"/>
        <v>127791.27644602071</v>
      </c>
      <c r="G926" s="6">
        <f t="shared" ca="1" si="133"/>
        <v>852.21487818688456</v>
      </c>
      <c r="V926" s="53"/>
      <c r="W926" s="54"/>
      <c r="X926" s="65" t="s">
        <v>219</v>
      </c>
      <c r="Y926" s="65">
        <f t="shared" ca="1" si="134"/>
        <v>1</v>
      </c>
      <c r="Z926" s="3">
        <f t="shared" ca="1" si="135"/>
        <v>0.17409684090301536</v>
      </c>
      <c r="AA926" s="6">
        <f t="shared" ca="1" si="136"/>
        <v>121875.86358876323</v>
      </c>
      <c r="AB926" s="6">
        <f t="shared" ca="1" si="137"/>
        <v>775.80536265218257</v>
      </c>
    </row>
    <row r="927" spans="1:28" x14ac:dyDescent="0.3">
      <c r="A927" s="53"/>
      <c r="B927" s="54"/>
      <c r="C927" s="65" t="s">
        <v>219</v>
      </c>
      <c r="D927" s="65">
        <f t="shared" ca="1" si="130"/>
        <v>2</v>
      </c>
      <c r="E927" s="3">
        <f t="shared" ca="1" si="131"/>
        <v>0.49898888405264752</v>
      </c>
      <c r="F927" s="6">
        <f t="shared" ca="1" si="132"/>
        <v>41571.87443006636</v>
      </c>
      <c r="G927" s="6">
        <f t="shared" ca="1" si="133"/>
        <v>1085.4850235904253</v>
      </c>
      <c r="V927" s="53"/>
      <c r="W927" s="54"/>
      <c r="X927" s="65" t="s">
        <v>219</v>
      </c>
      <c r="Y927" s="65">
        <f t="shared" ca="1" si="134"/>
        <v>4</v>
      </c>
      <c r="Z927" s="3">
        <f t="shared" ca="1" si="135"/>
        <v>0.92225121908958729</v>
      </c>
      <c r="AA927" s="6">
        <f t="shared" ca="1" si="136"/>
        <v>183946.52025294965</v>
      </c>
      <c r="AB927" s="6">
        <f t="shared" ca="1" si="137"/>
        <v>1662.9173851212176</v>
      </c>
    </row>
    <row r="928" spans="1:28" x14ac:dyDescent="0.3">
      <c r="A928" s="53"/>
      <c r="B928" s="54"/>
      <c r="C928" s="65" t="s">
        <v>219</v>
      </c>
      <c r="D928" s="65">
        <f t="shared" ca="1" si="130"/>
        <v>3</v>
      </c>
      <c r="E928" s="3">
        <f t="shared" ca="1" si="131"/>
        <v>0.74488832390013637</v>
      </c>
      <c r="F928" s="6">
        <f t="shared" ca="1" si="132"/>
        <v>66585.212106610241</v>
      </c>
      <c r="G928" s="6">
        <f t="shared" ca="1" si="133"/>
        <v>1963.5062099330351</v>
      </c>
      <c r="V928" s="53"/>
      <c r="W928" s="54"/>
      <c r="X928" s="65" t="s">
        <v>219</v>
      </c>
      <c r="Y928" s="65">
        <f t="shared" ca="1" si="134"/>
        <v>4</v>
      </c>
      <c r="Z928" s="3">
        <f t="shared" ca="1" si="135"/>
        <v>0.48523952458835551</v>
      </c>
      <c r="AA928" s="6">
        <f t="shared" ca="1" si="136"/>
        <v>186824.7056680996</v>
      </c>
      <c r="AB928" s="6">
        <f t="shared" ca="1" si="137"/>
        <v>1110.1887861092398</v>
      </c>
    </row>
    <row r="929" spans="1:28" x14ac:dyDescent="0.3">
      <c r="A929" s="53"/>
      <c r="B929" s="54"/>
      <c r="C929" s="65" t="s">
        <v>219</v>
      </c>
      <c r="D929" s="65">
        <f t="shared" ca="1" si="130"/>
        <v>4</v>
      </c>
      <c r="E929" s="3">
        <f t="shared" ca="1" si="131"/>
        <v>0.63745988244189944</v>
      </c>
      <c r="F929" s="6">
        <f t="shared" ca="1" si="132"/>
        <v>98262.497809329652</v>
      </c>
      <c r="G929" s="6">
        <f t="shared" ca="1" si="133"/>
        <v>1787.9231171017132</v>
      </c>
      <c r="V929" s="53"/>
      <c r="W929" s="54"/>
      <c r="X929" s="65" t="s">
        <v>219</v>
      </c>
      <c r="Y929" s="65">
        <f t="shared" ca="1" si="134"/>
        <v>4</v>
      </c>
      <c r="Z929" s="3">
        <f t="shared" ca="1" si="135"/>
        <v>6.72653048656362E-2</v>
      </c>
      <c r="AA929" s="6">
        <f t="shared" ca="1" si="136"/>
        <v>177537.35803766915</v>
      </c>
      <c r="AB929" s="6">
        <f t="shared" ca="1" si="137"/>
        <v>256.00770460486677</v>
      </c>
    </row>
    <row r="930" spans="1:28" x14ac:dyDescent="0.3">
      <c r="A930" s="53"/>
      <c r="B930" s="54"/>
      <c r="C930" s="65" t="s">
        <v>219</v>
      </c>
      <c r="D930" s="65">
        <f t="shared" ca="1" si="130"/>
        <v>3</v>
      </c>
      <c r="E930" s="3">
        <f t="shared" ca="1" si="131"/>
        <v>0.81226070885457591</v>
      </c>
      <c r="F930" s="6">
        <f t="shared" ca="1" si="132"/>
        <v>158989.44765518841</v>
      </c>
      <c r="G930" s="6">
        <f t="shared" ca="1" si="133"/>
        <v>1300.4691709598133</v>
      </c>
      <c r="V930" s="53"/>
      <c r="W930" s="54"/>
      <c r="X930" s="65" t="s">
        <v>219</v>
      </c>
      <c r="Y930" s="65">
        <f t="shared" ca="1" si="134"/>
        <v>3</v>
      </c>
      <c r="Z930" s="3">
        <f t="shared" ca="1" si="135"/>
        <v>7.8260355393957592E-3</v>
      </c>
      <c r="AA930" s="6">
        <f t="shared" ca="1" si="136"/>
        <v>177771.62508938552</v>
      </c>
      <c r="AB930" s="6">
        <f t="shared" ca="1" si="137"/>
        <v>1703.5727366773472</v>
      </c>
    </row>
    <row r="931" spans="1:28" x14ac:dyDescent="0.3">
      <c r="A931" s="53"/>
      <c r="B931" s="54"/>
      <c r="C931" s="65" t="s">
        <v>219</v>
      </c>
      <c r="D931" s="65">
        <f t="shared" ca="1" si="130"/>
        <v>2</v>
      </c>
      <c r="E931" s="3">
        <f t="shared" ca="1" si="131"/>
        <v>0.73225054662724653</v>
      </c>
      <c r="F931" s="6">
        <f t="shared" ca="1" si="132"/>
        <v>187854.48802975216</v>
      </c>
      <c r="G931" s="6">
        <f t="shared" ca="1" si="133"/>
        <v>596.68655610484757</v>
      </c>
      <c r="V931" s="53"/>
      <c r="W931" s="54"/>
      <c r="X931" s="65" t="s">
        <v>219</v>
      </c>
      <c r="Y931" s="65">
        <f t="shared" ca="1" si="134"/>
        <v>2</v>
      </c>
      <c r="Z931" s="3">
        <f t="shared" ca="1" si="135"/>
        <v>0.933851512266199</v>
      </c>
      <c r="AA931" s="6">
        <f t="shared" ca="1" si="136"/>
        <v>142355.11163425143</v>
      </c>
      <c r="AB931" s="6">
        <f t="shared" ca="1" si="137"/>
        <v>126.40142427739653</v>
      </c>
    </row>
    <row r="932" spans="1:28" x14ac:dyDescent="0.3">
      <c r="A932" s="53"/>
      <c r="B932" s="54"/>
      <c r="C932" s="65" t="s">
        <v>219</v>
      </c>
      <c r="D932" s="65">
        <f t="shared" ca="1" si="130"/>
        <v>1</v>
      </c>
      <c r="E932" s="3">
        <f t="shared" ca="1" si="131"/>
        <v>0.69052010114169005</v>
      </c>
      <c r="F932" s="6">
        <f t="shared" ca="1" si="132"/>
        <v>4792.5630077099158</v>
      </c>
      <c r="G932" s="6">
        <f t="shared" ca="1" si="133"/>
        <v>500.07403701530586</v>
      </c>
      <c r="V932" s="53"/>
      <c r="W932" s="54"/>
      <c r="X932" s="65" t="s">
        <v>219</v>
      </c>
      <c r="Y932" s="65">
        <f t="shared" ca="1" si="134"/>
        <v>2</v>
      </c>
      <c r="Z932" s="3">
        <f t="shared" ca="1" si="135"/>
        <v>0.97517665555535937</v>
      </c>
      <c r="AA932" s="6">
        <f t="shared" ca="1" si="136"/>
        <v>194519.62305130638</v>
      </c>
      <c r="AB932" s="6">
        <f t="shared" ca="1" si="137"/>
        <v>1176.2823553371338</v>
      </c>
    </row>
    <row r="933" spans="1:28" x14ac:dyDescent="0.3">
      <c r="A933" s="53"/>
      <c r="B933" s="54"/>
      <c r="C933" s="65" t="s">
        <v>219</v>
      </c>
      <c r="D933" s="65">
        <f t="shared" ca="1" si="130"/>
        <v>4</v>
      </c>
      <c r="E933" s="3">
        <f t="shared" ca="1" si="131"/>
        <v>0.2881157739068726</v>
      </c>
      <c r="F933" s="6">
        <f t="shared" ca="1" si="132"/>
        <v>142895.55638469322</v>
      </c>
      <c r="G933" s="6">
        <f t="shared" ca="1" si="133"/>
        <v>1720.8312615559341</v>
      </c>
      <c r="V933" s="53"/>
      <c r="W933" s="54"/>
      <c r="X933" s="65" t="s">
        <v>219</v>
      </c>
      <c r="Y933" s="65">
        <f t="shared" ca="1" si="134"/>
        <v>3</v>
      </c>
      <c r="Z933" s="3">
        <f t="shared" ca="1" si="135"/>
        <v>0.97938584781139926</v>
      </c>
      <c r="AA933" s="6">
        <f t="shared" ca="1" si="136"/>
        <v>139801.36379756936</v>
      </c>
      <c r="AB933" s="6">
        <f t="shared" ca="1" si="137"/>
        <v>16.692760989529543</v>
      </c>
    </row>
    <row r="934" spans="1:28" x14ac:dyDescent="0.3">
      <c r="A934" s="53"/>
      <c r="B934" s="54"/>
      <c r="C934" s="65" t="s">
        <v>219</v>
      </c>
      <c r="D934" s="65">
        <f t="shared" ca="1" si="130"/>
        <v>2</v>
      </c>
      <c r="E934" s="3">
        <f t="shared" ca="1" si="131"/>
        <v>0.2583720689260125</v>
      </c>
      <c r="F934" s="6">
        <f t="shared" ca="1" si="132"/>
        <v>2297.0542552416705</v>
      </c>
      <c r="G934" s="6">
        <f t="shared" ca="1" si="133"/>
        <v>1884.9905809662607</v>
      </c>
      <c r="V934" s="53"/>
      <c r="W934" s="54"/>
      <c r="X934" s="65" t="s">
        <v>219</v>
      </c>
      <c r="Y934" s="65">
        <f t="shared" ca="1" si="134"/>
        <v>3</v>
      </c>
      <c r="Z934" s="3">
        <f t="shared" ca="1" si="135"/>
        <v>6.2284876983272786E-2</v>
      </c>
      <c r="AA934" s="6">
        <f t="shared" ca="1" si="136"/>
        <v>194098.76343130178</v>
      </c>
      <c r="AB934" s="6">
        <f t="shared" ca="1" si="137"/>
        <v>325.44084475198696</v>
      </c>
    </row>
    <row r="935" spans="1:28" x14ac:dyDescent="0.3">
      <c r="A935" s="53"/>
      <c r="B935" s="54"/>
      <c r="C935" s="65" t="s">
        <v>219</v>
      </c>
      <c r="D935" s="65">
        <f t="shared" ca="1" si="130"/>
        <v>1</v>
      </c>
      <c r="E935" s="3">
        <f t="shared" ca="1" si="131"/>
        <v>0.54047989861139245</v>
      </c>
      <c r="F935" s="6">
        <f t="shared" ca="1" si="132"/>
        <v>198923.08718762978</v>
      </c>
      <c r="G935" s="6">
        <f t="shared" ca="1" si="133"/>
        <v>898.44107426263986</v>
      </c>
      <c r="V935" s="53"/>
      <c r="W935" s="54"/>
      <c r="X935" s="65" t="s">
        <v>219</v>
      </c>
      <c r="Y935" s="65">
        <f t="shared" ca="1" si="134"/>
        <v>3</v>
      </c>
      <c r="Z935" s="3">
        <f t="shared" ca="1" si="135"/>
        <v>0.89141596651878674</v>
      </c>
      <c r="AA935" s="6">
        <f t="shared" ca="1" si="136"/>
        <v>52291.212021713181</v>
      </c>
      <c r="AB935" s="6">
        <f t="shared" ca="1" si="137"/>
        <v>939.1473734877269</v>
      </c>
    </row>
    <row r="936" spans="1:28" x14ac:dyDescent="0.3">
      <c r="A936" s="53"/>
      <c r="B936" s="54"/>
      <c r="C936" s="65" t="s">
        <v>219</v>
      </c>
      <c r="D936" s="65">
        <f t="shared" ca="1" si="130"/>
        <v>2</v>
      </c>
      <c r="E936" s="3">
        <f t="shared" ca="1" si="131"/>
        <v>0.43255237635126231</v>
      </c>
      <c r="F936" s="6">
        <f t="shared" ca="1" si="132"/>
        <v>165943.41394441068</v>
      </c>
      <c r="G936" s="6">
        <f t="shared" ca="1" si="133"/>
        <v>845.21982578060738</v>
      </c>
      <c r="V936" s="53"/>
      <c r="W936" s="54"/>
      <c r="X936" s="65" t="s">
        <v>219</v>
      </c>
      <c r="Y936" s="65">
        <f t="shared" ca="1" si="134"/>
        <v>2</v>
      </c>
      <c r="Z936" s="3">
        <f t="shared" ca="1" si="135"/>
        <v>0.59802128672505794</v>
      </c>
      <c r="AA936" s="6">
        <f t="shared" ca="1" si="136"/>
        <v>66583.726675056052</v>
      </c>
      <c r="AB936" s="6">
        <f t="shared" ca="1" si="137"/>
        <v>1890.4104687950698</v>
      </c>
    </row>
    <row r="937" spans="1:28" x14ac:dyDescent="0.3">
      <c r="A937" s="53"/>
      <c r="B937" s="54"/>
      <c r="C937" s="65" t="s">
        <v>219</v>
      </c>
      <c r="D937" s="65">
        <f t="shared" ca="1" si="130"/>
        <v>4</v>
      </c>
      <c r="E937" s="3">
        <f t="shared" ca="1" si="131"/>
        <v>0.44521295145511197</v>
      </c>
      <c r="F937" s="6">
        <f t="shared" ca="1" si="132"/>
        <v>35089.656544880163</v>
      </c>
      <c r="G937" s="6">
        <f t="shared" ca="1" si="133"/>
        <v>1961.7835396620399</v>
      </c>
      <c r="V937" s="53"/>
      <c r="W937" s="54"/>
      <c r="X937" s="65" t="s">
        <v>219</v>
      </c>
      <c r="Y937" s="65">
        <f t="shared" ca="1" si="134"/>
        <v>1</v>
      </c>
      <c r="Z937" s="3">
        <f t="shared" ca="1" si="135"/>
        <v>0.22840782789778935</v>
      </c>
      <c r="AA937" s="6">
        <f t="shared" ca="1" si="136"/>
        <v>12680.222571935463</v>
      </c>
      <c r="AB937" s="6">
        <f t="shared" ca="1" si="137"/>
        <v>936.58924664462461</v>
      </c>
    </row>
    <row r="938" spans="1:28" x14ac:dyDescent="0.3">
      <c r="A938" s="53"/>
      <c r="B938" s="54"/>
      <c r="C938" s="65" t="s">
        <v>219</v>
      </c>
      <c r="D938" s="65">
        <f t="shared" ca="1" si="130"/>
        <v>2</v>
      </c>
      <c r="E938" s="3">
        <f t="shared" ca="1" si="131"/>
        <v>1.6780963088491863E-4</v>
      </c>
      <c r="F938" s="6">
        <f t="shared" ca="1" si="132"/>
        <v>4773.5083204543116</v>
      </c>
      <c r="G938" s="6">
        <f t="shared" ca="1" si="133"/>
        <v>119.08519023922848</v>
      </c>
      <c r="V938" s="53"/>
      <c r="W938" s="54"/>
      <c r="X938" s="65" t="s">
        <v>219</v>
      </c>
      <c r="Y938" s="65">
        <f t="shared" ca="1" si="134"/>
        <v>3</v>
      </c>
      <c r="Z938" s="3">
        <f t="shared" ca="1" si="135"/>
        <v>0.72752829548644271</v>
      </c>
      <c r="AA938" s="6">
        <f t="shared" ca="1" si="136"/>
        <v>171093.42553449841</v>
      </c>
      <c r="AB938" s="6">
        <f t="shared" ca="1" si="137"/>
        <v>1012.3054256577375</v>
      </c>
    </row>
    <row r="939" spans="1:28" x14ac:dyDescent="0.3">
      <c r="A939" s="53"/>
      <c r="B939" s="54"/>
      <c r="C939" s="65" t="s">
        <v>219</v>
      </c>
      <c r="D939" s="65">
        <f t="shared" ca="1" si="130"/>
        <v>2</v>
      </c>
      <c r="E939" s="3">
        <f t="shared" ca="1" si="131"/>
        <v>0.47727240839074625</v>
      </c>
      <c r="F939" s="6">
        <f t="shared" ca="1" si="132"/>
        <v>149873.14083095716</v>
      </c>
      <c r="G939" s="6">
        <f t="shared" ca="1" si="133"/>
        <v>1337.0644985419763</v>
      </c>
      <c r="V939" s="53"/>
      <c r="W939" s="54"/>
      <c r="X939" s="65" t="s">
        <v>219</v>
      </c>
      <c r="Y939" s="65">
        <f t="shared" ca="1" si="134"/>
        <v>2</v>
      </c>
      <c r="Z939" s="3">
        <f t="shared" ca="1" si="135"/>
        <v>0.92379991105497716</v>
      </c>
      <c r="AA939" s="6">
        <f t="shared" ca="1" si="136"/>
        <v>34645.01405260789</v>
      </c>
      <c r="AB939" s="6">
        <f t="shared" ca="1" si="137"/>
        <v>1935.3207761345407</v>
      </c>
    </row>
    <row r="940" spans="1:28" x14ac:dyDescent="0.3">
      <c r="A940" s="53"/>
      <c r="B940" s="54"/>
      <c r="C940" s="65" t="s">
        <v>219</v>
      </c>
      <c r="D940" s="65">
        <f t="shared" ca="1" si="130"/>
        <v>4</v>
      </c>
      <c r="E940" s="3">
        <f t="shared" ca="1" si="131"/>
        <v>0.71832349737173984</v>
      </c>
      <c r="F940" s="6">
        <f t="shared" ca="1" si="132"/>
        <v>195022.41398291086</v>
      </c>
      <c r="G940" s="6">
        <f t="shared" ca="1" si="133"/>
        <v>987.76431792882738</v>
      </c>
      <c r="V940" s="53"/>
      <c r="W940" s="54"/>
      <c r="X940" s="65" t="s">
        <v>219</v>
      </c>
      <c r="Y940" s="65">
        <f t="shared" ca="1" si="134"/>
        <v>3</v>
      </c>
      <c r="Z940" s="3">
        <f t="shared" ca="1" si="135"/>
        <v>0.65560828365762602</v>
      </c>
      <c r="AA940" s="6">
        <f t="shared" ca="1" si="136"/>
        <v>51213.052060177768</v>
      </c>
      <c r="AB940" s="6">
        <f t="shared" ca="1" si="137"/>
        <v>1293.1794132242001</v>
      </c>
    </row>
    <row r="941" spans="1:28" x14ac:dyDescent="0.3">
      <c r="A941" s="53"/>
      <c r="B941" s="54"/>
      <c r="C941" s="65" t="s">
        <v>219</v>
      </c>
      <c r="D941" s="65">
        <f t="shared" ca="1" si="130"/>
        <v>2</v>
      </c>
      <c r="E941" s="3">
        <f t="shared" ca="1" si="131"/>
        <v>0.96195567816775174</v>
      </c>
      <c r="F941" s="6">
        <f t="shared" ca="1" si="132"/>
        <v>4994.9640774224808</v>
      </c>
      <c r="G941" s="6">
        <f t="shared" ca="1" si="133"/>
        <v>347.30268937338082</v>
      </c>
      <c r="V941" s="53"/>
      <c r="W941" s="54"/>
      <c r="X941" s="65" t="s">
        <v>219</v>
      </c>
      <c r="Y941" s="65">
        <f t="shared" ca="1" si="134"/>
        <v>4</v>
      </c>
      <c r="Z941" s="3">
        <f t="shared" ca="1" si="135"/>
        <v>0.52726915120953688</v>
      </c>
      <c r="AA941" s="6">
        <f t="shared" ca="1" si="136"/>
        <v>4597.9245942807893</v>
      </c>
      <c r="AB941" s="6">
        <f t="shared" ca="1" si="137"/>
        <v>91.290814656815428</v>
      </c>
    </row>
    <row r="942" spans="1:28" x14ac:dyDescent="0.3">
      <c r="A942" s="53"/>
      <c r="B942" s="54"/>
      <c r="C942" s="65" t="s">
        <v>219</v>
      </c>
      <c r="D942" s="65">
        <f t="shared" ca="1" si="130"/>
        <v>2</v>
      </c>
      <c r="E942" s="3">
        <f t="shared" ca="1" si="131"/>
        <v>1.5340148117105268E-2</v>
      </c>
      <c r="F942" s="6">
        <f t="shared" ca="1" si="132"/>
        <v>14165.136432127845</v>
      </c>
      <c r="G942" s="6">
        <f t="shared" ca="1" si="133"/>
        <v>1640.882048110991</v>
      </c>
      <c r="V942" s="53"/>
      <c r="W942" s="54"/>
      <c r="X942" s="65" t="s">
        <v>219</v>
      </c>
      <c r="Y942" s="65">
        <f t="shared" ca="1" si="134"/>
        <v>4</v>
      </c>
      <c r="Z942" s="3">
        <f t="shared" ca="1" si="135"/>
        <v>0.40456699026406895</v>
      </c>
      <c r="AA942" s="6">
        <f t="shared" ca="1" si="136"/>
        <v>65937.767276711573</v>
      </c>
      <c r="AB942" s="6">
        <f t="shared" ca="1" si="137"/>
        <v>1143.5843666694072</v>
      </c>
    </row>
    <row r="943" spans="1:28" x14ac:dyDescent="0.3">
      <c r="A943" s="53"/>
      <c r="B943" s="54"/>
      <c r="C943" s="65" t="s">
        <v>219</v>
      </c>
      <c r="D943" s="65">
        <f t="shared" ca="1" si="130"/>
        <v>4</v>
      </c>
      <c r="E943" s="3">
        <f t="shared" ca="1" si="131"/>
        <v>0.44528240169108446</v>
      </c>
      <c r="F943" s="6">
        <f t="shared" ca="1" si="132"/>
        <v>181633.56934540742</v>
      </c>
      <c r="G943" s="6">
        <f t="shared" ca="1" si="133"/>
        <v>788.26092377288728</v>
      </c>
      <c r="V943" s="53"/>
      <c r="W943" s="54"/>
      <c r="X943" s="65" t="s">
        <v>219</v>
      </c>
      <c r="Y943" s="65">
        <f t="shared" ca="1" si="134"/>
        <v>2</v>
      </c>
      <c r="Z943" s="3">
        <f t="shared" ca="1" si="135"/>
        <v>0.82592895879556294</v>
      </c>
      <c r="AA943" s="6">
        <f t="shared" ca="1" si="136"/>
        <v>158160.72206359435</v>
      </c>
      <c r="AB943" s="6">
        <f t="shared" ca="1" si="137"/>
        <v>943.78692383892007</v>
      </c>
    </row>
    <row r="944" spans="1:28" x14ac:dyDescent="0.3">
      <c r="A944" s="53"/>
      <c r="B944" s="54"/>
      <c r="C944" s="65" t="s">
        <v>219</v>
      </c>
      <c r="D944" s="65">
        <f t="shared" ca="1" si="130"/>
        <v>2</v>
      </c>
      <c r="E944" s="3">
        <f t="shared" ca="1" si="131"/>
        <v>0.94519110832355557</v>
      </c>
      <c r="F944" s="6">
        <f t="shared" ca="1" si="132"/>
        <v>19204.332066746832</v>
      </c>
      <c r="G944" s="6">
        <f t="shared" ca="1" si="133"/>
        <v>1754.8090359143005</v>
      </c>
      <c r="V944" s="53"/>
      <c r="W944" s="54"/>
      <c r="X944" s="65" t="s">
        <v>219</v>
      </c>
      <c r="Y944" s="65">
        <f t="shared" ca="1" si="134"/>
        <v>3</v>
      </c>
      <c r="Z944" s="3">
        <f t="shared" ca="1" si="135"/>
        <v>0.30624412382576294</v>
      </c>
      <c r="AA944" s="6">
        <f t="shared" ca="1" si="136"/>
        <v>95586.561994905409</v>
      </c>
      <c r="AB944" s="6">
        <f t="shared" ca="1" si="137"/>
        <v>1098.2211741087488</v>
      </c>
    </row>
    <row r="945" spans="1:28" x14ac:dyDescent="0.3">
      <c r="A945" s="53"/>
      <c r="B945" s="54"/>
      <c r="C945" s="65" t="s">
        <v>219</v>
      </c>
      <c r="D945" s="65">
        <f t="shared" ca="1" si="130"/>
        <v>3</v>
      </c>
      <c r="E945" s="3">
        <f t="shared" ca="1" si="131"/>
        <v>0.74850605941063653</v>
      </c>
      <c r="F945" s="6">
        <f t="shared" ca="1" si="132"/>
        <v>137792.92649701188</v>
      </c>
      <c r="G945" s="6">
        <f t="shared" ca="1" si="133"/>
        <v>1246.6354076835628</v>
      </c>
      <c r="V945" s="53"/>
      <c r="W945" s="54"/>
      <c r="X945" s="65" t="s">
        <v>219</v>
      </c>
      <c r="Y945" s="65">
        <f t="shared" ca="1" si="134"/>
        <v>2</v>
      </c>
      <c r="Z945" s="3">
        <f t="shared" ca="1" si="135"/>
        <v>0.65236244809233113</v>
      </c>
      <c r="AA945" s="6">
        <f t="shared" ca="1" si="136"/>
        <v>196108.51606712607</v>
      </c>
      <c r="AB945" s="6">
        <f t="shared" ca="1" si="137"/>
        <v>1889.1565804814898</v>
      </c>
    </row>
    <row r="946" spans="1:28" x14ac:dyDescent="0.3">
      <c r="A946" s="53"/>
      <c r="B946" s="54"/>
      <c r="C946" s="65" t="s">
        <v>219</v>
      </c>
      <c r="D946" s="65">
        <f t="shared" ca="1" si="130"/>
        <v>1</v>
      </c>
      <c r="E946" s="3">
        <f t="shared" ca="1" si="131"/>
        <v>0.75794017027548433</v>
      </c>
      <c r="F946" s="6">
        <f t="shared" ca="1" si="132"/>
        <v>49107.161021760025</v>
      </c>
      <c r="G946" s="6">
        <f t="shared" ca="1" si="133"/>
        <v>1799.6120419092385</v>
      </c>
      <c r="V946" s="53"/>
      <c r="W946" s="54"/>
      <c r="X946" s="65" t="s">
        <v>219</v>
      </c>
      <c r="Y946" s="65">
        <f t="shared" ca="1" si="134"/>
        <v>4</v>
      </c>
      <c r="Z946" s="3">
        <f t="shared" ca="1" si="135"/>
        <v>0.70662892167478497</v>
      </c>
      <c r="AA946" s="6">
        <f t="shared" ca="1" si="136"/>
        <v>130778.86647689676</v>
      </c>
      <c r="AB946" s="6">
        <f t="shared" ca="1" si="137"/>
        <v>844.32093281717596</v>
      </c>
    </row>
    <row r="947" spans="1:28" x14ac:dyDescent="0.3">
      <c r="A947" s="53"/>
      <c r="B947" s="54"/>
      <c r="C947" s="65" t="s">
        <v>219</v>
      </c>
      <c r="D947" s="65">
        <f t="shared" ca="1" si="130"/>
        <v>3</v>
      </c>
      <c r="E947" s="3">
        <f t="shared" ca="1" si="131"/>
        <v>0.3763801890001266</v>
      </c>
      <c r="F947" s="6">
        <f t="shared" ca="1" si="132"/>
        <v>188913.41211085915</v>
      </c>
      <c r="G947" s="6">
        <f t="shared" ca="1" si="133"/>
        <v>1180.1526792463599</v>
      </c>
      <c r="V947" s="53"/>
      <c r="W947" s="54"/>
      <c r="X947" s="65" t="s">
        <v>219</v>
      </c>
      <c r="Y947" s="65">
        <f t="shared" ca="1" si="134"/>
        <v>1</v>
      </c>
      <c r="Z947" s="3">
        <f t="shared" ca="1" si="135"/>
        <v>0.92285361670861032</v>
      </c>
      <c r="AA947" s="6">
        <f t="shared" ca="1" si="136"/>
        <v>23742.769528151621</v>
      </c>
      <c r="AB947" s="6">
        <f t="shared" ca="1" si="137"/>
        <v>194.39144939670604</v>
      </c>
    </row>
    <row r="948" spans="1:28" x14ac:dyDescent="0.3">
      <c r="A948" s="53"/>
      <c r="B948" s="54"/>
      <c r="C948" s="65" t="s">
        <v>219</v>
      </c>
      <c r="D948" s="65">
        <f t="shared" ca="1" si="130"/>
        <v>4</v>
      </c>
      <c r="E948" s="3">
        <f t="shared" ca="1" si="131"/>
        <v>0.58751220134228999</v>
      </c>
      <c r="F948" s="6">
        <f t="shared" ca="1" si="132"/>
        <v>75867.658150058865</v>
      </c>
      <c r="G948" s="6">
        <f t="shared" ca="1" si="133"/>
        <v>1281.0943293051073</v>
      </c>
      <c r="V948" s="53"/>
      <c r="W948" s="54"/>
      <c r="X948" s="65" t="s">
        <v>219</v>
      </c>
      <c r="Y948" s="65">
        <f t="shared" ca="1" si="134"/>
        <v>3</v>
      </c>
      <c r="Z948" s="3">
        <f t="shared" ca="1" si="135"/>
        <v>6.8035410276476194E-2</v>
      </c>
      <c r="AA948" s="6">
        <f t="shared" ca="1" si="136"/>
        <v>148794.6023810106</v>
      </c>
      <c r="AB948" s="6">
        <f t="shared" ca="1" si="137"/>
        <v>1120.3571214221104</v>
      </c>
    </row>
    <row r="949" spans="1:28" x14ac:dyDescent="0.3">
      <c r="A949" s="53"/>
      <c r="B949" s="54"/>
      <c r="C949" s="65" t="s">
        <v>219</v>
      </c>
      <c r="D949" s="65">
        <f t="shared" ca="1" si="130"/>
        <v>1</v>
      </c>
      <c r="E949" s="3">
        <f t="shared" ca="1" si="131"/>
        <v>0.85269154326119145</v>
      </c>
      <c r="F949" s="6">
        <f t="shared" ca="1" si="132"/>
        <v>103633.38199863359</v>
      </c>
      <c r="G949" s="6">
        <f t="shared" ca="1" si="133"/>
        <v>1852.2098801897826</v>
      </c>
      <c r="V949" s="53"/>
      <c r="W949" s="54"/>
      <c r="X949" s="65" t="s">
        <v>219</v>
      </c>
      <c r="Y949" s="65">
        <f t="shared" ca="1" si="134"/>
        <v>2</v>
      </c>
      <c r="Z949" s="3">
        <f t="shared" ca="1" si="135"/>
        <v>0.32983090316338581</v>
      </c>
      <c r="AA949" s="6">
        <f t="shared" ca="1" si="136"/>
        <v>39848.806312104614</v>
      </c>
      <c r="AB949" s="6">
        <f t="shared" ca="1" si="137"/>
        <v>627.07536551864428</v>
      </c>
    </row>
    <row r="950" spans="1:28" x14ac:dyDescent="0.3">
      <c r="A950" s="53"/>
      <c r="B950" s="54"/>
      <c r="C950" s="65" t="s">
        <v>219</v>
      </c>
      <c r="D950" s="65">
        <f t="shared" ca="1" si="130"/>
        <v>3</v>
      </c>
      <c r="E950" s="3">
        <f t="shared" ca="1" si="131"/>
        <v>0.76415472737440804</v>
      </c>
      <c r="F950" s="6">
        <f t="shared" ca="1" si="132"/>
        <v>21321.908673789116</v>
      </c>
      <c r="G950" s="6">
        <f t="shared" ca="1" si="133"/>
        <v>1318.0555566475357</v>
      </c>
      <c r="V950" s="53"/>
      <c r="W950" s="54"/>
      <c r="X950" s="65" t="s">
        <v>219</v>
      </c>
      <c r="Y950" s="65">
        <f t="shared" ca="1" si="134"/>
        <v>2</v>
      </c>
      <c r="Z950" s="3">
        <f t="shared" ca="1" si="135"/>
        <v>0.10431971491910585</v>
      </c>
      <c r="AA950" s="6">
        <f t="shared" ca="1" si="136"/>
        <v>90830.507873844661</v>
      </c>
      <c r="AB950" s="6">
        <f t="shared" ca="1" si="137"/>
        <v>1913.767380207423</v>
      </c>
    </row>
    <row r="951" spans="1:28" x14ac:dyDescent="0.3">
      <c r="A951" s="53"/>
      <c r="B951" s="54"/>
      <c r="C951" s="65" t="s">
        <v>219</v>
      </c>
      <c r="D951" s="65">
        <f t="shared" ca="1" si="130"/>
        <v>4</v>
      </c>
      <c r="E951" s="3">
        <f t="shared" ca="1" si="131"/>
        <v>0.27123600347289323</v>
      </c>
      <c r="F951" s="6">
        <f t="shared" ca="1" si="132"/>
        <v>11917.284124396432</v>
      </c>
      <c r="G951" s="6">
        <f t="shared" ca="1" si="133"/>
        <v>1034.8409764276196</v>
      </c>
      <c r="V951" s="53"/>
      <c r="W951" s="54"/>
      <c r="X951" s="65" t="s">
        <v>219</v>
      </c>
      <c r="Y951" s="65">
        <f t="shared" ca="1" si="134"/>
        <v>3</v>
      </c>
      <c r="Z951" s="3">
        <f t="shared" ca="1" si="135"/>
        <v>0.85208935225204119</v>
      </c>
      <c r="AA951" s="6">
        <f t="shared" ca="1" si="136"/>
        <v>24109.217632870772</v>
      </c>
      <c r="AB951" s="6">
        <f t="shared" ca="1" si="137"/>
        <v>1957.6078497870435</v>
      </c>
    </row>
    <row r="952" spans="1:28" x14ac:dyDescent="0.3">
      <c r="A952" s="53"/>
      <c r="B952" s="54"/>
      <c r="C952" s="65" t="s">
        <v>219</v>
      </c>
      <c r="D952" s="65">
        <f t="shared" ca="1" si="130"/>
        <v>3</v>
      </c>
      <c r="E952" s="3">
        <f t="shared" ca="1" si="131"/>
        <v>0.39113171386671197</v>
      </c>
      <c r="F952" s="6">
        <f t="shared" ca="1" si="132"/>
        <v>64138.71154343924</v>
      </c>
      <c r="G952" s="6">
        <f t="shared" ca="1" si="133"/>
        <v>1209.0414713194759</v>
      </c>
      <c r="V952" s="53"/>
      <c r="W952" s="54"/>
      <c r="X952" s="65" t="s">
        <v>219</v>
      </c>
      <c r="Y952" s="65">
        <f t="shared" ca="1" si="134"/>
        <v>1</v>
      </c>
      <c r="Z952" s="3">
        <f t="shared" ca="1" si="135"/>
        <v>0.80669696389537571</v>
      </c>
      <c r="AA952" s="6">
        <f t="shared" ca="1" si="136"/>
        <v>144423.97268746543</v>
      </c>
      <c r="AB952" s="6">
        <f t="shared" ca="1" si="137"/>
        <v>1529.1566525730361</v>
      </c>
    </row>
    <row r="953" spans="1:28" x14ac:dyDescent="0.3">
      <c r="A953" s="53"/>
      <c r="B953" s="54"/>
      <c r="C953" s="65" t="s">
        <v>219</v>
      </c>
      <c r="D953" s="65">
        <f t="shared" ca="1" si="130"/>
        <v>1</v>
      </c>
      <c r="E953" s="3">
        <f t="shared" ca="1" si="131"/>
        <v>0.96099146654309264</v>
      </c>
      <c r="F953" s="6">
        <f t="shared" ca="1" si="132"/>
        <v>25411.998065638032</v>
      </c>
      <c r="G953" s="6">
        <f t="shared" ca="1" si="133"/>
        <v>1917.8661576872028</v>
      </c>
      <c r="V953" s="53"/>
      <c r="W953" s="54"/>
      <c r="X953" s="65" t="s">
        <v>219</v>
      </c>
      <c r="Y953" s="65">
        <f t="shared" ca="1" si="134"/>
        <v>2</v>
      </c>
      <c r="Z953" s="3">
        <f t="shared" ca="1" si="135"/>
        <v>0.63589062379749028</v>
      </c>
      <c r="AA953" s="6">
        <f t="shared" ca="1" si="136"/>
        <v>183075.96049780434</v>
      </c>
      <c r="AB953" s="6">
        <f t="shared" ca="1" si="137"/>
        <v>597.87191951851094</v>
      </c>
    </row>
    <row r="954" spans="1:28" x14ac:dyDescent="0.3">
      <c r="A954" s="53"/>
      <c r="B954" s="54"/>
      <c r="C954" s="65" t="s">
        <v>219</v>
      </c>
      <c r="D954" s="65">
        <f t="shared" ca="1" si="130"/>
        <v>2</v>
      </c>
      <c r="E954" s="3">
        <f t="shared" ca="1" si="131"/>
        <v>0.9999151969696265</v>
      </c>
      <c r="F954" s="6">
        <f t="shared" ca="1" si="132"/>
        <v>59945.753491614174</v>
      </c>
      <c r="G954" s="6">
        <f t="shared" ca="1" si="133"/>
        <v>1128.2697311271634</v>
      </c>
      <c r="V954" s="53"/>
      <c r="W954" s="54"/>
      <c r="X954" s="65" t="s">
        <v>219</v>
      </c>
      <c r="Y954" s="65">
        <f t="shared" ca="1" si="134"/>
        <v>1</v>
      </c>
      <c r="Z954" s="3">
        <f t="shared" ca="1" si="135"/>
        <v>0.65038198439157724</v>
      </c>
      <c r="AA954" s="6">
        <f t="shared" ca="1" si="136"/>
        <v>24805.579617857366</v>
      </c>
      <c r="AB954" s="6">
        <f t="shared" ca="1" si="137"/>
        <v>196.63465987775973</v>
      </c>
    </row>
    <row r="955" spans="1:28" x14ac:dyDescent="0.3">
      <c r="A955" s="53"/>
      <c r="B955" s="54"/>
      <c r="C955" s="65" t="s">
        <v>219</v>
      </c>
      <c r="D955" s="65">
        <f t="shared" ca="1" si="130"/>
        <v>1</v>
      </c>
      <c r="E955" s="3">
        <f t="shared" ca="1" si="131"/>
        <v>0.78121931576500891</v>
      </c>
      <c r="F955" s="6">
        <f t="shared" ca="1" si="132"/>
        <v>183597.12915109791</v>
      </c>
      <c r="G955" s="6">
        <f t="shared" ca="1" si="133"/>
        <v>1249.5881458184494</v>
      </c>
      <c r="V955" s="53"/>
      <c r="W955" s="54"/>
      <c r="X955" s="65" t="s">
        <v>219</v>
      </c>
      <c r="Y955" s="65">
        <f t="shared" ca="1" si="134"/>
        <v>4</v>
      </c>
      <c r="Z955" s="3">
        <f t="shared" ca="1" si="135"/>
        <v>0.5014801491882912</v>
      </c>
      <c r="AA955" s="6">
        <f t="shared" ca="1" si="136"/>
        <v>116654.10271622361</v>
      </c>
      <c r="AB955" s="6">
        <f t="shared" ca="1" si="137"/>
        <v>61.99922102581845</v>
      </c>
    </row>
    <row r="956" spans="1:28" x14ac:dyDescent="0.3">
      <c r="A956" s="53"/>
      <c r="B956" s="54"/>
      <c r="C956" s="65" t="s">
        <v>219</v>
      </c>
      <c r="D956" s="65">
        <f t="shared" ca="1" si="130"/>
        <v>1</v>
      </c>
      <c r="E956" s="3">
        <f t="shared" ca="1" si="131"/>
        <v>0.34959525533827496</v>
      </c>
      <c r="F956" s="6">
        <f t="shared" ca="1" si="132"/>
        <v>62560.693364285646</v>
      </c>
      <c r="G956" s="6">
        <f t="shared" ca="1" si="133"/>
        <v>615.66228207887775</v>
      </c>
      <c r="V956" s="53"/>
      <c r="W956" s="54"/>
      <c r="X956" s="65" t="s">
        <v>219</v>
      </c>
      <c r="Y956" s="65">
        <f t="shared" ca="1" si="134"/>
        <v>1</v>
      </c>
      <c r="Z956" s="3">
        <f t="shared" ca="1" si="135"/>
        <v>0.95693378029105181</v>
      </c>
      <c r="AA956" s="6">
        <f t="shared" ca="1" si="136"/>
        <v>60223.866133835232</v>
      </c>
      <c r="AB956" s="6">
        <f t="shared" ca="1" si="137"/>
        <v>1803.7277971022672</v>
      </c>
    </row>
    <row r="957" spans="1:28" x14ac:dyDescent="0.3">
      <c r="A957" s="53"/>
      <c r="B957" s="54"/>
      <c r="C957" s="65" t="s">
        <v>219</v>
      </c>
      <c r="D957" s="65">
        <f t="shared" ca="1" si="130"/>
        <v>4</v>
      </c>
      <c r="E957" s="3">
        <f t="shared" ca="1" si="131"/>
        <v>0.77868584226840531</v>
      </c>
      <c r="F957" s="6">
        <f t="shared" ca="1" si="132"/>
        <v>8070.3500048707965</v>
      </c>
      <c r="G957" s="6">
        <f t="shared" ca="1" si="133"/>
        <v>474.22478056191665</v>
      </c>
      <c r="V957" s="53"/>
      <c r="W957" s="54"/>
      <c r="X957" s="65" t="s">
        <v>219</v>
      </c>
      <c r="Y957" s="65">
        <f t="shared" ca="1" si="134"/>
        <v>2</v>
      </c>
      <c r="Z957" s="3">
        <f t="shared" ca="1" si="135"/>
        <v>0.62558178365559969</v>
      </c>
      <c r="AA957" s="6">
        <f t="shared" ca="1" si="136"/>
        <v>64641.367020521437</v>
      </c>
      <c r="AB957" s="6">
        <f t="shared" ca="1" si="137"/>
        <v>597.16626529560108</v>
      </c>
    </row>
    <row r="958" spans="1:28" x14ac:dyDescent="0.3">
      <c r="A958" s="53"/>
      <c r="B958" s="54"/>
      <c r="C958" s="65" t="s">
        <v>219</v>
      </c>
      <c r="D958" s="65">
        <f t="shared" ca="1" si="130"/>
        <v>3</v>
      </c>
      <c r="E958" s="3">
        <f t="shared" ca="1" si="131"/>
        <v>0.3039627552260965</v>
      </c>
      <c r="F958" s="6">
        <f t="shared" ca="1" si="132"/>
        <v>124852.4719009835</v>
      </c>
      <c r="G958" s="6">
        <f t="shared" ca="1" si="133"/>
        <v>309.70469169136993</v>
      </c>
      <c r="V958" s="53"/>
      <c r="W958" s="54"/>
      <c r="X958" s="65" t="s">
        <v>219</v>
      </c>
      <c r="Y958" s="65">
        <f t="shared" ca="1" si="134"/>
        <v>3</v>
      </c>
      <c r="Z958" s="3">
        <f t="shared" ca="1" si="135"/>
        <v>0.80593177709217989</v>
      </c>
      <c r="AA958" s="6">
        <f t="shared" ca="1" si="136"/>
        <v>159596.34191818116</v>
      </c>
      <c r="AB958" s="6">
        <f t="shared" ca="1" si="137"/>
        <v>1247.300104764734</v>
      </c>
    </row>
    <row r="959" spans="1:28" x14ac:dyDescent="0.3">
      <c r="A959" s="53"/>
      <c r="B959" s="54"/>
      <c r="C959" s="65" t="s">
        <v>219</v>
      </c>
      <c r="D959" s="65">
        <f t="shared" ca="1" si="130"/>
        <v>2</v>
      </c>
      <c r="E959" s="3">
        <f t="shared" ca="1" si="131"/>
        <v>0.31503993575285416</v>
      </c>
      <c r="F959" s="6">
        <f t="shared" ca="1" si="132"/>
        <v>324.66165695572704</v>
      </c>
      <c r="G959" s="6">
        <f t="shared" ca="1" si="133"/>
        <v>505.80663177059091</v>
      </c>
      <c r="V959" s="53"/>
      <c r="W959" s="54"/>
      <c r="X959" s="65" t="s">
        <v>219</v>
      </c>
      <c r="Y959" s="65">
        <f t="shared" ca="1" si="134"/>
        <v>2</v>
      </c>
      <c r="Z959" s="3">
        <f t="shared" ca="1" si="135"/>
        <v>0.82161878893987883</v>
      </c>
      <c r="AA959" s="6">
        <f t="shared" ca="1" si="136"/>
        <v>142115.13244598487</v>
      </c>
      <c r="AB959" s="6">
        <f t="shared" ca="1" si="137"/>
        <v>70.257633392031721</v>
      </c>
    </row>
    <row r="960" spans="1:28" x14ac:dyDescent="0.3">
      <c r="A960" s="53"/>
      <c r="B960" s="54"/>
      <c r="C960" s="65" t="s">
        <v>242</v>
      </c>
      <c r="D960" s="65">
        <f t="shared" ca="1" si="130"/>
        <v>1</v>
      </c>
      <c r="E960" s="3">
        <f t="shared" ca="1" si="131"/>
        <v>0.21085200802091408</v>
      </c>
      <c r="F960" s="6">
        <f t="shared" ca="1" si="132"/>
        <v>91796.014972445599</v>
      </c>
      <c r="G960" s="6">
        <f t="shared" ca="1" si="133"/>
        <v>1094.6951130615212</v>
      </c>
      <c r="V960" s="53"/>
      <c r="W960" s="54"/>
      <c r="X960" s="65" t="s">
        <v>242</v>
      </c>
      <c r="Y960" s="65">
        <f t="shared" ca="1" si="134"/>
        <v>2</v>
      </c>
      <c r="Z960" s="3">
        <f t="shared" ca="1" si="135"/>
        <v>0.17556392964190959</v>
      </c>
      <c r="AA960" s="6">
        <f t="shared" ca="1" si="136"/>
        <v>74216.860569976983</v>
      </c>
      <c r="AB960" s="6">
        <f t="shared" ca="1" si="137"/>
        <v>1648.0977336562105</v>
      </c>
    </row>
    <row r="961" spans="1:28" x14ac:dyDescent="0.3">
      <c r="A961" s="53"/>
      <c r="B961" s="54"/>
      <c r="C961" s="65" t="s">
        <v>242</v>
      </c>
      <c r="D961" s="65">
        <f t="shared" ca="1" si="130"/>
        <v>3</v>
      </c>
      <c r="E961" s="3">
        <f t="shared" ca="1" si="131"/>
        <v>0.13283096591594057</v>
      </c>
      <c r="F961" s="6">
        <f t="shared" ca="1" si="132"/>
        <v>150719.76661159922</v>
      </c>
      <c r="G961" s="6">
        <f t="shared" ca="1" si="133"/>
        <v>1923.3384838783602</v>
      </c>
      <c r="V961" s="53"/>
      <c r="W961" s="54"/>
      <c r="X961" s="65" t="s">
        <v>242</v>
      </c>
      <c r="Y961" s="65">
        <f t="shared" ca="1" si="134"/>
        <v>2</v>
      </c>
      <c r="Z961" s="3">
        <f t="shared" ca="1" si="135"/>
        <v>0.71608639471300073</v>
      </c>
      <c r="AA961" s="6">
        <f t="shared" ca="1" si="136"/>
        <v>141297.4360526338</v>
      </c>
      <c r="AB961" s="6">
        <f t="shared" ca="1" si="137"/>
        <v>1576.6927336517963</v>
      </c>
    </row>
    <row r="962" spans="1:28" x14ac:dyDescent="0.3">
      <c r="A962" s="53"/>
      <c r="B962" s="54"/>
      <c r="C962" s="65" t="s">
        <v>242</v>
      </c>
      <c r="D962" s="65">
        <f t="shared" ca="1" si="130"/>
        <v>2</v>
      </c>
      <c r="E962" s="3">
        <f t="shared" ca="1" si="131"/>
        <v>3.3922584090538055E-2</v>
      </c>
      <c r="F962" s="6">
        <f t="shared" ca="1" si="132"/>
        <v>167512.42153977582</v>
      </c>
      <c r="G962" s="6">
        <f t="shared" ca="1" si="133"/>
        <v>933.24261360124433</v>
      </c>
      <c r="V962" s="53"/>
      <c r="W962" s="54"/>
      <c r="X962" s="65" t="s">
        <v>242</v>
      </c>
      <c r="Y962" s="65">
        <f t="shared" ca="1" si="134"/>
        <v>4</v>
      </c>
      <c r="Z962" s="3">
        <f t="shared" ca="1" si="135"/>
        <v>0.71621896414689801</v>
      </c>
      <c r="AA962" s="6">
        <f t="shared" ca="1" si="136"/>
        <v>39994.604367875989</v>
      </c>
      <c r="AB962" s="6">
        <f t="shared" ca="1" si="137"/>
        <v>1469.5789341291029</v>
      </c>
    </row>
    <row r="963" spans="1:28" x14ac:dyDescent="0.3">
      <c r="A963" s="53"/>
      <c r="B963" s="54"/>
      <c r="C963" s="65" t="s">
        <v>242</v>
      </c>
      <c r="D963" s="65">
        <f t="shared" ca="1" si="130"/>
        <v>3</v>
      </c>
      <c r="E963" s="3">
        <f t="shared" ca="1" si="131"/>
        <v>0.8536069766051505</v>
      </c>
      <c r="F963" s="6">
        <f t="shared" ca="1" si="132"/>
        <v>192052.01769589749</v>
      </c>
      <c r="G963" s="6">
        <f t="shared" ca="1" si="133"/>
        <v>1513.9624230064878</v>
      </c>
      <c r="V963" s="53"/>
      <c r="W963" s="54"/>
      <c r="X963" s="65" t="s">
        <v>242</v>
      </c>
      <c r="Y963" s="65">
        <f t="shared" ca="1" si="134"/>
        <v>3</v>
      </c>
      <c r="Z963" s="3">
        <f t="shared" ca="1" si="135"/>
        <v>0.85417251821561957</v>
      </c>
      <c r="AA963" s="6">
        <f t="shared" ca="1" si="136"/>
        <v>157038.93165977506</v>
      </c>
      <c r="AB963" s="6">
        <f t="shared" ca="1" si="137"/>
        <v>934.71105436230232</v>
      </c>
    </row>
    <row r="964" spans="1:28" x14ac:dyDescent="0.3">
      <c r="A964" s="53"/>
      <c r="B964" s="54"/>
      <c r="C964" s="65" t="s">
        <v>242</v>
      </c>
      <c r="D964" s="65">
        <f t="shared" ca="1" si="130"/>
        <v>2</v>
      </c>
      <c r="E964" s="3">
        <f t="shared" ca="1" si="131"/>
        <v>0.31570356333933969</v>
      </c>
      <c r="F964" s="6">
        <f t="shared" ca="1" si="132"/>
        <v>197223.7276760739</v>
      </c>
      <c r="G964" s="6">
        <f t="shared" ca="1" si="133"/>
        <v>1703.1414480375529</v>
      </c>
      <c r="V964" s="53"/>
      <c r="W964" s="54"/>
      <c r="X964" s="65" t="s">
        <v>242</v>
      </c>
      <c r="Y964" s="65">
        <f t="shared" ca="1" si="134"/>
        <v>3</v>
      </c>
      <c r="Z964" s="3">
        <f t="shared" ca="1" si="135"/>
        <v>0.20286387042349363</v>
      </c>
      <c r="AA964" s="6">
        <f t="shared" ca="1" si="136"/>
        <v>180835.94541401867</v>
      </c>
      <c r="AB964" s="6">
        <f t="shared" ca="1" si="137"/>
        <v>1465.1240653717039</v>
      </c>
    </row>
    <row r="965" spans="1:28" x14ac:dyDescent="0.3">
      <c r="A965" s="53"/>
      <c r="B965" s="54"/>
      <c r="C965" s="65" t="s">
        <v>242</v>
      </c>
      <c r="D965" s="65">
        <f t="shared" ca="1" si="130"/>
        <v>1</v>
      </c>
      <c r="E965" s="3">
        <f t="shared" ca="1" si="131"/>
        <v>0.22076469780743391</v>
      </c>
      <c r="F965" s="6">
        <f t="shared" ca="1" si="132"/>
        <v>72705.825232721574</v>
      </c>
      <c r="G965" s="6">
        <f t="shared" ca="1" si="133"/>
        <v>941.36283441281421</v>
      </c>
      <c r="V965" s="53"/>
      <c r="W965" s="54"/>
      <c r="X965" s="65" t="s">
        <v>242</v>
      </c>
      <c r="Y965" s="65">
        <f t="shared" ca="1" si="134"/>
        <v>3</v>
      </c>
      <c r="Z965" s="3">
        <f t="shared" ca="1" si="135"/>
        <v>0.25120064956925559</v>
      </c>
      <c r="AA965" s="6">
        <f t="shared" ca="1" si="136"/>
        <v>154089.61145478964</v>
      </c>
      <c r="AB965" s="6">
        <f t="shared" ca="1" si="137"/>
        <v>477.67851625565316</v>
      </c>
    </row>
    <row r="966" spans="1:28" x14ac:dyDescent="0.3">
      <c r="A966" s="53"/>
      <c r="B966" s="54"/>
      <c r="C966" s="65" t="s">
        <v>242</v>
      </c>
      <c r="D966" s="65">
        <f t="shared" ca="1" si="130"/>
        <v>4</v>
      </c>
      <c r="E966" s="3">
        <f t="shared" ca="1" si="131"/>
        <v>0.44407350143157709</v>
      </c>
      <c r="F966" s="6">
        <f t="shared" ca="1" si="132"/>
        <v>140817.94616978508</v>
      </c>
      <c r="G966" s="6">
        <f t="shared" ca="1" si="133"/>
        <v>24.352672739206049</v>
      </c>
      <c r="V966" s="53"/>
      <c r="W966" s="54"/>
      <c r="X966" s="65" t="s">
        <v>242</v>
      </c>
      <c r="Y966" s="65">
        <f t="shared" ca="1" si="134"/>
        <v>1</v>
      </c>
      <c r="Z966" s="3">
        <f t="shared" ca="1" si="135"/>
        <v>0.71219794957622329</v>
      </c>
      <c r="AA966" s="6">
        <f t="shared" ca="1" si="136"/>
        <v>162505.20696703548</v>
      </c>
      <c r="AB966" s="6">
        <f t="shared" ca="1" si="137"/>
        <v>909.36567285315186</v>
      </c>
    </row>
    <row r="967" spans="1:28" x14ac:dyDescent="0.3">
      <c r="A967" s="53"/>
      <c r="B967" s="54"/>
      <c r="C967" s="65" t="s">
        <v>242</v>
      </c>
      <c r="D967" s="65">
        <f t="shared" ca="1" si="130"/>
        <v>4</v>
      </c>
      <c r="E967" s="3">
        <f t="shared" ca="1" si="131"/>
        <v>0.79807356724712086</v>
      </c>
      <c r="F967" s="6">
        <f t="shared" ca="1" si="132"/>
        <v>71008.000123666599</v>
      </c>
      <c r="G967" s="6">
        <f t="shared" ca="1" si="133"/>
        <v>887.02551134702844</v>
      </c>
      <c r="V967" s="53"/>
      <c r="W967" s="54"/>
      <c r="X967" s="65" t="s">
        <v>242</v>
      </c>
      <c r="Y967" s="65">
        <f t="shared" ca="1" si="134"/>
        <v>3</v>
      </c>
      <c r="Z967" s="3">
        <f t="shared" ca="1" si="135"/>
        <v>0.14271643463856287</v>
      </c>
      <c r="AA967" s="6">
        <f t="shared" ca="1" si="136"/>
        <v>129737.24741291739</v>
      </c>
      <c r="AB967" s="6">
        <f t="shared" ca="1" si="137"/>
        <v>1428.7390568174824</v>
      </c>
    </row>
    <row r="968" spans="1:28" x14ac:dyDescent="0.3">
      <c r="A968" s="53"/>
      <c r="B968" s="54"/>
      <c r="C968" s="65" t="s">
        <v>242</v>
      </c>
      <c r="D968" s="65">
        <f t="shared" ca="1" si="130"/>
        <v>4</v>
      </c>
      <c r="E968" s="3">
        <f t="shared" ca="1" si="131"/>
        <v>1.6572329159300847E-2</v>
      </c>
      <c r="F968" s="6">
        <f t="shared" ca="1" si="132"/>
        <v>38181.4264060067</v>
      </c>
      <c r="G968" s="6">
        <f t="shared" ca="1" si="133"/>
        <v>101.64132113269898</v>
      </c>
      <c r="V968" s="53"/>
      <c r="W968" s="54"/>
      <c r="X968" s="65" t="s">
        <v>242</v>
      </c>
      <c r="Y968" s="65">
        <f t="shared" ca="1" si="134"/>
        <v>1</v>
      </c>
      <c r="Z968" s="3">
        <f t="shared" ca="1" si="135"/>
        <v>9.6664104421089081E-2</v>
      </c>
      <c r="AA968" s="6">
        <f t="shared" ca="1" si="136"/>
        <v>13266.72183121833</v>
      </c>
      <c r="AB968" s="6">
        <f t="shared" ca="1" si="137"/>
        <v>14.813686902888756</v>
      </c>
    </row>
    <row r="969" spans="1:28" x14ac:dyDescent="0.3">
      <c r="A969" s="53"/>
      <c r="B969" s="54"/>
      <c r="C969" s="65" t="s">
        <v>242</v>
      </c>
      <c r="D969" s="65">
        <f t="shared" ca="1" si="130"/>
        <v>1</v>
      </c>
      <c r="E969" s="3">
        <f t="shared" ca="1" si="131"/>
        <v>0.14264160489587974</v>
      </c>
      <c r="F969" s="6">
        <f t="shared" ca="1" si="132"/>
        <v>58655.415770819476</v>
      </c>
      <c r="G969" s="6">
        <f t="shared" ca="1" si="133"/>
        <v>124.99664359228046</v>
      </c>
      <c r="V969" s="53"/>
      <c r="W969" s="54"/>
      <c r="X969" s="65" t="s">
        <v>242</v>
      </c>
      <c r="Y969" s="65">
        <f t="shared" ca="1" si="134"/>
        <v>4</v>
      </c>
      <c r="Z969" s="3">
        <f t="shared" ca="1" si="135"/>
        <v>0.84494462207451448</v>
      </c>
      <c r="AA969" s="6">
        <f t="shared" ca="1" si="136"/>
        <v>143432.56405374568</v>
      </c>
      <c r="AB969" s="6">
        <f t="shared" ca="1" si="137"/>
        <v>324.16295989414243</v>
      </c>
    </row>
    <row r="970" spans="1:28" x14ac:dyDescent="0.3">
      <c r="A970" s="53"/>
      <c r="B970" s="54"/>
      <c r="C970" s="65" t="s">
        <v>242</v>
      </c>
      <c r="D970" s="65">
        <f t="shared" ca="1" si="130"/>
        <v>2</v>
      </c>
      <c r="E970" s="3">
        <f t="shared" ca="1" si="131"/>
        <v>0.62982153436108879</v>
      </c>
      <c r="F970" s="6">
        <f t="shared" ca="1" si="132"/>
        <v>129874.49119593715</v>
      </c>
      <c r="G970" s="6">
        <f t="shared" ca="1" si="133"/>
        <v>416.28072051901086</v>
      </c>
      <c r="V970" s="53"/>
      <c r="W970" s="54"/>
      <c r="X970" s="65" t="s">
        <v>242</v>
      </c>
      <c r="Y970" s="65">
        <f t="shared" ca="1" si="134"/>
        <v>4</v>
      </c>
      <c r="Z970" s="3">
        <f t="shared" ca="1" si="135"/>
        <v>0.90500663183040819</v>
      </c>
      <c r="AA970" s="6">
        <f t="shared" ca="1" si="136"/>
        <v>70810.865650260443</v>
      </c>
      <c r="AB970" s="6">
        <f t="shared" ca="1" si="137"/>
        <v>444.77603603904271</v>
      </c>
    </row>
    <row r="971" spans="1:28" x14ac:dyDescent="0.3">
      <c r="A971" s="53"/>
      <c r="B971" s="54"/>
      <c r="C971" s="65" t="s">
        <v>242</v>
      </c>
      <c r="D971" s="65">
        <f t="shared" ca="1" si="130"/>
        <v>3</v>
      </c>
      <c r="E971" s="3">
        <f t="shared" ca="1" si="131"/>
        <v>0.61400967296461295</v>
      </c>
      <c r="F971" s="6">
        <f t="shared" ca="1" si="132"/>
        <v>87684.798969431111</v>
      </c>
      <c r="G971" s="6">
        <f t="shared" ca="1" si="133"/>
        <v>419.61573779369621</v>
      </c>
      <c r="V971" s="53"/>
      <c r="W971" s="54"/>
      <c r="X971" s="65" t="s">
        <v>242</v>
      </c>
      <c r="Y971" s="65">
        <f t="shared" ca="1" si="134"/>
        <v>3</v>
      </c>
      <c r="Z971" s="3">
        <f t="shared" ca="1" si="135"/>
        <v>0.19771153476973125</v>
      </c>
      <c r="AA971" s="6">
        <f t="shared" ca="1" si="136"/>
        <v>24486.999179449143</v>
      </c>
      <c r="AB971" s="6">
        <f t="shared" ca="1" si="137"/>
        <v>479.03834331422513</v>
      </c>
    </row>
    <row r="972" spans="1:28" x14ac:dyDescent="0.3">
      <c r="A972" s="53"/>
      <c r="B972" s="54"/>
      <c r="C972" s="65" t="s">
        <v>242</v>
      </c>
      <c r="D972" s="65">
        <f t="shared" ca="1" si="130"/>
        <v>1</v>
      </c>
      <c r="E972" s="3">
        <f t="shared" ca="1" si="131"/>
        <v>0.83903861651334977</v>
      </c>
      <c r="F972" s="6">
        <f t="shared" ca="1" si="132"/>
        <v>191598.74647321599</v>
      </c>
      <c r="G972" s="6">
        <f t="shared" ca="1" si="133"/>
        <v>588.66781741922614</v>
      </c>
      <c r="V972" s="53"/>
      <c r="W972" s="54"/>
      <c r="X972" s="65" t="s">
        <v>242</v>
      </c>
      <c r="Y972" s="65">
        <f t="shared" ca="1" si="134"/>
        <v>4</v>
      </c>
      <c r="Z972" s="3">
        <f t="shared" ca="1" si="135"/>
        <v>0.58541846944442355</v>
      </c>
      <c r="AA972" s="6">
        <f t="shared" ca="1" si="136"/>
        <v>2437.9121476969522</v>
      </c>
      <c r="AB972" s="6">
        <f t="shared" ca="1" si="137"/>
        <v>933.56626272000051</v>
      </c>
    </row>
    <row r="973" spans="1:28" x14ac:dyDescent="0.3">
      <c r="A973" s="53"/>
      <c r="B973" s="54"/>
      <c r="C973" s="65" t="s">
        <v>242</v>
      </c>
      <c r="D973" s="65">
        <f t="shared" ref="D973:D1036" ca="1" si="138">INT(RAND()*4)+1</f>
        <v>2</v>
      </c>
      <c r="E973" s="3">
        <f t="shared" ref="E973:E1036" ca="1" si="139">RAND()</f>
        <v>0.19893581577507835</v>
      </c>
      <c r="F973" s="6">
        <f t="shared" ref="F973:F1036" ca="1" si="140">RAND()*200000</f>
        <v>14931.380219580426</v>
      </c>
      <c r="G973" s="6">
        <f t="shared" ref="G973:G1036" ca="1" si="141">RAND()*2000</f>
        <v>8.3881599233852633</v>
      </c>
      <c r="V973" s="53"/>
      <c r="W973" s="54"/>
      <c r="X973" s="65" t="s">
        <v>242</v>
      </c>
      <c r="Y973" s="65">
        <f t="shared" ref="Y973:Y1036" ca="1" si="142">INT(RAND()*4)+1</f>
        <v>1</v>
      </c>
      <c r="Z973" s="3">
        <f t="shared" ref="Z973:Z1036" ca="1" si="143">RAND()</f>
        <v>0.49737080245392284</v>
      </c>
      <c r="AA973" s="6">
        <f t="shared" ref="AA973:AA1036" ca="1" si="144">RAND()*200000</f>
        <v>181409.80863687134</v>
      </c>
      <c r="AB973" s="6">
        <f t="shared" ref="AB973:AB1036" ca="1" si="145">RAND()*2000</f>
        <v>1695.582069016237</v>
      </c>
    </row>
    <row r="974" spans="1:28" x14ac:dyDescent="0.3">
      <c r="A974" s="53"/>
      <c r="B974" s="54"/>
      <c r="C974" s="65" t="s">
        <v>242</v>
      </c>
      <c r="D974" s="65">
        <f t="shared" ca="1" si="138"/>
        <v>1</v>
      </c>
      <c r="E974" s="3">
        <f t="shared" ca="1" si="139"/>
        <v>0.72425353778541701</v>
      </c>
      <c r="F974" s="6">
        <f t="shared" ca="1" si="140"/>
        <v>132902.73546333829</v>
      </c>
      <c r="G974" s="6">
        <f t="shared" ca="1" si="141"/>
        <v>735.69490095883691</v>
      </c>
      <c r="V974" s="53"/>
      <c r="W974" s="54"/>
      <c r="X974" s="65" t="s">
        <v>242</v>
      </c>
      <c r="Y974" s="65">
        <f t="shared" ca="1" si="142"/>
        <v>3</v>
      </c>
      <c r="Z974" s="3">
        <f t="shared" ca="1" si="143"/>
        <v>0.77603728992402787</v>
      </c>
      <c r="AA974" s="6">
        <f t="shared" ca="1" si="144"/>
        <v>132372.89971446872</v>
      </c>
      <c r="AB974" s="6">
        <f t="shared" ca="1" si="145"/>
        <v>770.38191731409916</v>
      </c>
    </row>
    <row r="975" spans="1:28" x14ac:dyDescent="0.3">
      <c r="A975" s="53"/>
      <c r="B975" s="54"/>
      <c r="C975" s="65" t="s">
        <v>242</v>
      </c>
      <c r="D975" s="65">
        <f t="shared" ca="1" si="138"/>
        <v>1</v>
      </c>
      <c r="E975" s="3">
        <f t="shared" ca="1" si="139"/>
        <v>0.5509199829015865</v>
      </c>
      <c r="F975" s="6">
        <f t="shared" ca="1" si="140"/>
        <v>32431.877138151522</v>
      </c>
      <c r="G975" s="6">
        <f t="shared" ca="1" si="141"/>
        <v>1436.8306480587087</v>
      </c>
      <c r="V975" s="53"/>
      <c r="W975" s="54"/>
      <c r="X975" s="65" t="s">
        <v>242</v>
      </c>
      <c r="Y975" s="65">
        <f t="shared" ca="1" si="142"/>
        <v>3</v>
      </c>
      <c r="Z975" s="3">
        <f t="shared" ca="1" si="143"/>
        <v>0.65500201968546901</v>
      </c>
      <c r="AA975" s="6">
        <f t="shared" ca="1" si="144"/>
        <v>107627.84660138613</v>
      </c>
      <c r="AB975" s="6">
        <f t="shared" ca="1" si="145"/>
        <v>612.19263613871715</v>
      </c>
    </row>
    <row r="976" spans="1:28" x14ac:dyDescent="0.3">
      <c r="A976" s="53"/>
      <c r="B976" s="54"/>
      <c r="C976" s="65" t="s">
        <v>242</v>
      </c>
      <c r="D976" s="65">
        <f t="shared" ca="1" si="138"/>
        <v>3</v>
      </c>
      <c r="E976" s="3">
        <f t="shared" ca="1" si="139"/>
        <v>5.9426049471841491E-2</v>
      </c>
      <c r="F976" s="6">
        <f t="shared" ca="1" si="140"/>
        <v>56969.639102638546</v>
      </c>
      <c r="G976" s="6">
        <f t="shared" ca="1" si="141"/>
        <v>116.25636019615682</v>
      </c>
      <c r="V976" s="53"/>
      <c r="W976" s="54"/>
      <c r="X976" s="65" t="s">
        <v>242</v>
      </c>
      <c r="Y976" s="65">
        <f t="shared" ca="1" si="142"/>
        <v>1</v>
      </c>
      <c r="Z976" s="3">
        <f t="shared" ca="1" si="143"/>
        <v>0.10807389645014609</v>
      </c>
      <c r="AA976" s="6">
        <f t="shared" ca="1" si="144"/>
        <v>149216.01451554315</v>
      </c>
      <c r="AB976" s="6">
        <f t="shared" ca="1" si="145"/>
        <v>551.53296446035085</v>
      </c>
    </row>
    <row r="977" spans="1:28" x14ac:dyDescent="0.3">
      <c r="A977" s="53"/>
      <c r="B977" s="54"/>
      <c r="C977" s="65" t="s">
        <v>242</v>
      </c>
      <c r="D977" s="65">
        <f t="shared" ca="1" si="138"/>
        <v>2</v>
      </c>
      <c r="E977" s="3">
        <f t="shared" ca="1" si="139"/>
        <v>0.87145828732620667</v>
      </c>
      <c r="F977" s="6">
        <f t="shared" ca="1" si="140"/>
        <v>2414.0493956922082</v>
      </c>
      <c r="G977" s="6">
        <f t="shared" ca="1" si="141"/>
        <v>65.933804877483126</v>
      </c>
      <c r="V977" s="53"/>
      <c r="W977" s="54"/>
      <c r="X977" s="65" t="s">
        <v>242</v>
      </c>
      <c r="Y977" s="65">
        <f t="shared" ca="1" si="142"/>
        <v>4</v>
      </c>
      <c r="Z977" s="3">
        <f t="shared" ca="1" si="143"/>
        <v>0.21482906645072841</v>
      </c>
      <c r="AA977" s="6">
        <f t="shared" ca="1" si="144"/>
        <v>40996.837164193508</v>
      </c>
      <c r="AB977" s="6">
        <f t="shared" ca="1" si="145"/>
        <v>519.1360542835157</v>
      </c>
    </row>
    <row r="978" spans="1:28" x14ac:dyDescent="0.3">
      <c r="A978" s="53"/>
      <c r="B978" s="54"/>
      <c r="C978" s="65" t="s">
        <v>242</v>
      </c>
      <c r="D978" s="65">
        <f t="shared" ca="1" si="138"/>
        <v>1</v>
      </c>
      <c r="E978" s="3">
        <f t="shared" ca="1" si="139"/>
        <v>0.17242918644630501</v>
      </c>
      <c r="F978" s="6">
        <f t="shared" ca="1" si="140"/>
        <v>76962.593348075578</v>
      </c>
      <c r="G978" s="6">
        <f t="shared" ca="1" si="141"/>
        <v>415.33710967522296</v>
      </c>
      <c r="V978" s="53"/>
      <c r="W978" s="54"/>
      <c r="X978" s="65" t="s">
        <v>242</v>
      </c>
      <c r="Y978" s="65">
        <f t="shared" ca="1" si="142"/>
        <v>4</v>
      </c>
      <c r="Z978" s="3">
        <f t="shared" ca="1" si="143"/>
        <v>0.30010227931558764</v>
      </c>
      <c r="AA978" s="6">
        <f t="shared" ca="1" si="144"/>
        <v>163845.9554558997</v>
      </c>
      <c r="AB978" s="6">
        <f t="shared" ca="1" si="145"/>
        <v>510.80567768463504</v>
      </c>
    </row>
    <row r="979" spans="1:28" x14ac:dyDescent="0.3">
      <c r="A979" s="53"/>
      <c r="B979" s="54"/>
      <c r="C979" s="65" t="s">
        <v>242</v>
      </c>
      <c r="D979" s="65">
        <f t="shared" ca="1" si="138"/>
        <v>2</v>
      </c>
      <c r="E979" s="3">
        <f t="shared" ca="1" si="139"/>
        <v>0.84072781193016288</v>
      </c>
      <c r="F979" s="6">
        <f t="shared" ca="1" si="140"/>
        <v>13747.650518491671</v>
      </c>
      <c r="G979" s="6">
        <f t="shared" ca="1" si="141"/>
        <v>1669.1755931317527</v>
      </c>
      <c r="V979" s="53"/>
      <c r="W979" s="54"/>
      <c r="X979" s="65" t="s">
        <v>242</v>
      </c>
      <c r="Y979" s="65">
        <f t="shared" ca="1" si="142"/>
        <v>4</v>
      </c>
      <c r="Z979" s="3">
        <f t="shared" ca="1" si="143"/>
        <v>0.34333436703309206</v>
      </c>
      <c r="AA979" s="6">
        <f t="shared" ca="1" si="144"/>
        <v>1081.8611689826118</v>
      </c>
      <c r="AB979" s="6">
        <f t="shared" ca="1" si="145"/>
        <v>122.35604294138747</v>
      </c>
    </row>
    <row r="980" spans="1:28" x14ac:dyDescent="0.3">
      <c r="A980" s="53"/>
      <c r="B980" s="54"/>
      <c r="C980" s="65" t="s">
        <v>242</v>
      </c>
      <c r="D980" s="65">
        <f t="shared" ca="1" si="138"/>
        <v>1</v>
      </c>
      <c r="E980" s="3">
        <f t="shared" ca="1" si="139"/>
        <v>0.74056935715587668</v>
      </c>
      <c r="F980" s="6">
        <f t="shared" ca="1" si="140"/>
        <v>52799.973106013786</v>
      </c>
      <c r="G980" s="6">
        <f t="shared" ca="1" si="141"/>
        <v>1402.4185079377389</v>
      </c>
      <c r="V980" s="53"/>
      <c r="W980" s="54"/>
      <c r="X980" s="65" t="s">
        <v>242</v>
      </c>
      <c r="Y980" s="65">
        <f t="shared" ca="1" si="142"/>
        <v>2</v>
      </c>
      <c r="Z980" s="3">
        <f t="shared" ca="1" si="143"/>
        <v>0.68360956988621335</v>
      </c>
      <c r="AA980" s="6">
        <f t="shared" ca="1" si="144"/>
        <v>150261.82956537831</v>
      </c>
      <c r="AB980" s="6">
        <f t="shared" ca="1" si="145"/>
        <v>1812.2050870668006</v>
      </c>
    </row>
    <row r="981" spans="1:28" x14ac:dyDescent="0.3">
      <c r="A981" s="53"/>
      <c r="B981" s="54"/>
      <c r="C981" s="65" t="s">
        <v>242</v>
      </c>
      <c r="D981" s="65">
        <f t="shared" ca="1" si="138"/>
        <v>1</v>
      </c>
      <c r="E981" s="3">
        <f t="shared" ca="1" si="139"/>
        <v>0.54148230636424666</v>
      </c>
      <c r="F981" s="6">
        <f t="shared" ca="1" si="140"/>
        <v>89678.717223484884</v>
      </c>
      <c r="G981" s="6">
        <f t="shared" ca="1" si="141"/>
        <v>325.04152837176139</v>
      </c>
      <c r="V981" s="53"/>
      <c r="W981" s="54"/>
      <c r="X981" s="65" t="s">
        <v>242</v>
      </c>
      <c r="Y981" s="65">
        <f t="shared" ca="1" si="142"/>
        <v>3</v>
      </c>
      <c r="Z981" s="3">
        <f t="shared" ca="1" si="143"/>
        <v>0.95093898634459673</v>
      </c>
      <c r="AA981" s="6">
        <f t="shared" ca="1" si="144"/>
        <v>37440.752083199171</v>
      </c>
      <c r="AB981" s="6">
        <f t="shared" ca="1" si="145"/>
        <v>1256.2150503216803</v>
      </c>
    </row>
    <row r="982" spans="1:28" x14ac:dyDescent="0.3">
      <c r="A982" s="53"/>
      <c r="B982" s="54"/>
      <c r="C982" s="65" t="s">
        <v>242</v>
      </c>
      <c r="D982" s="65">
        <f t="shared" ca="1" si="138"/>
        <v>1</v>
      </c>
      <c r="E982" s="3">
        <f t="shared" ca="1" si="139"/>
        <v>6.3142318178604495E-2</v>
      </c>
      <c r="F982" s="6">
        <f t="shared" ca="1" si="140"/>
        <v>180039.643125823</v>
      </c>
      <c r="G982" s="6">
        <f t="shared" ca="1" si="141"/>
        <v>173.6218249396193</v>
      </c>
      <c r="V982" s="53"/>
      <c r="W982" s="54"/>
      <c r="X982" s="65" t="s">
        <v>242</v>
      </c>
      <c r="Y982" s="65">
        <f t="shared" ca="1" si="142"/>
        <v>2</v>
      </c>
      <c r="Z982" s="3">
        <f t="shared" ca="1" si="143"/>
        <v>0.87412084156396175</v>
      </c>
      <c r="AA982" s="6">
        <f t="shared" ca="1" si="144"/>
        <v>40248.913646297326</v>
      </c>
      <c r="AB982" s="6">
        <f t="shared" ca="1" si="145"/>
        <v>1046.0291210864989</v>
      </c>
    </row>
    <row r="983" spans="1:28" x14ac:dyDescent="0.3">
      <c r="A983" s="53"/>
      <c r="B983" s="54"/>
      <c r="C983" s="65" t="s">
        <v>242</v>
      </c>
      <c r="D983" s="65">
        <f t="shared" ca="1" si="138"/>
        <v>3</v>
      </c>
      <c r="E983" s="3">
        <f t="shared" ca="1" si="139"/>
        <v>0.8096267982992621</v>
      </c>
      <c r="F983" s="6">
        <f t="shared" ca="1" si="140"/>
        <v>16609.051171746181</v>
      </c>
      <c r="G983" s="6">
        <f t="shared" ca="1" si="141"/>
        <v>40.034608911850626</v>
      </c>
      <c r="V983" s="53"/>
      <c r="W983" s="54"/>
      <c r="X983" s="65" t="s">
        <v>242</v>
      </c>
      <c r="Y983" s="65">
        <f t="shared" ca="1" si="142"/>
        <v>2</v>
      </c>
      <c r="Z983" s="3">
        <f t="shared" ca="1" si="143"/>
        <v>0.77337369781695764</v>
      </c>
      <c r="AA983" s="6">
        <f t="shared" ca="1" si="144"/>
        <v>36781.075595243237</v>
      </c>
      <c r="AB983" s="6">
        <f t="shared" ca="1" si="145"/>
        <v>1153.3951259492928</v>
      </c>
    </row>
    <row r="984" spans="1:28" x14ac:dyDescent="0.3">
      <c r="A984" s="53"/>
      <c r="B984" s="54"/>
      <c r="C984" s="65" t="s">
        <v>242</v>
      </c>
      <c r="D984" s="65">
        <f t="shared" ca="1" si="138"/>
        <v>4</v>
      </c>
      <c r="E984" s="3">
        <f t="shared" ca="1" si="139"/>
        <v>0.62551509168313912</v>
      </c>
      <c r="F984" s="6">
        <f t="shared" ca="1" si="140"/>
        <v>576.88894295839782</v>
      </c>
      <c r="G984" s="6">
        <f t="shared" ca="1" si="141"/>
        <v>986.47473875026174</v>
      </c>
      <c r="V984" s="53"/>
      <c r="W984" s="54"/>
      <c r="X984" s="65" t="s">
        <v>242</v>
      </c>
      <c r="Y984" s="65">
        <f t="shared" ca="1" si="142"/>
        <v>4</v>
      </c>
      <c r="Z984" s="3">
        <f t="shared" ca="1" si="143"/>
        <v>0.94070529682384352</v>
      </c>
      <c r="AA984" s="6">
        <f t="shared" ca="1" si="144"/>
        <v>9611.3934853493847</v>
      </c>
      <c r="AB984" s="6">
        <f t="shared" ca="1" si="145"/>
        <v>71.257574008965378</v>
      </c>
    </row>
    <row r="985" spans="1:28" x14ac:dyDescent="0.3">
      <c r="A985" s="53"/>
      <c r="B985" s="54"/>
      <c r="C985" s="65" t="s">
        <v>242</v>
      </c>
      <c r="D985" s="65">
        <f t="shared" ca="1" si="138"/>
        <v>2</v>
      </c>
      <c r="E985" s="3">
        <f t="shared" ca="1" si="139"/>
        <v>0.27194287122823901</v>
      </c>
      <c r="F985" s="6">
        <f t="shared" ca="1" si="140"/>
        <v>196607.2723928536</v>
      </c>
      <c r="G985" s="6">
        <f t="shared" ca="1" si="141"/>
        <v>1701.3827478463541</v>
      </c>
      <c r="V985" s="53"/>
      <c r="W985" s="54"/>
      <c r="X985" s="65" t="s">
        <v>242</v>
      </c>
      <c r="Y985" s="65">
        <f t="shared" ca="1" si="142"/>
        <v>2</v>
      </c>
      <c r="Z985" s="3">
        <f t="shared" ca="1" si="143"/>
        <v>0.21910503693425365</v>
      </c>
      <c r="AA985" s="6">
        <f t="shared" ca="1" si="144"/>
        <v>41812.975393903849</v>
      </c>
      <c r="AB985" s="6">
        <f t="shared" ca="1" si="145"/>
        <v>1691.0419114078811</v>
      </c>
    </row>
    <row r="986" spans="1:28" x14ac:dyDescent="0.3">
      <c r="A986" s="53"/>
      <c r="B986" s="54"/>
      <c r="C986" s="65" t="s">
        <v>242</v>
      </c>
      <c r="D986" s="65">
        <f t="shared" ca="1" si="138"/>
        <v>2</v>
      </c>
      <c r="E986" s="3">
        <f t="shared" ca="1" si="139"/>
        <v>0.40366795788091125</v>
      </c>
      <c r="F986" s="6">
        <f t="shared" ca="1" si="140"/>
        <v>136413.25870470016</v>
      </c>
      <c r="G986" s="6">
        <f t="shared" ca="1" si="141"/>
        <v>324.95251862065857</v>
      </c>
      <c r="V986" s="53"/>
      <c r="W986" s="54"/>
      <c r="X986" s="65" t="s">
        <v>242</v>
      </c>
      <c r="Y986" s="65">
        <f t="shared" ca="1" si="142"/>
        <v>4</v>
      </c>
      <c r="Z986" s="3">
        <f t="shared" ca="1" si="143"/>
        <v>0.58728030315748792</v>
      </c>
      <c r="AA986" s="6">
        <f t="shared" ca="1" si="144"/>
        <v>28461.150832920513</v>
      </c>
      <c r="AB986" s="6">
        <f t="shared" ca="1" si="145"/>
        <v>692.67273528951876</v>
      </c>
    </row>
    <row r="987" spans="1:28" x14ac:dyDescent="0.3">
      <c r="A987" s="53"/>
      <c r="B987" s="54"/>
      <c r="C987" s="65" t="s">
        <v>242</v>
      </c>
      <c r="D987" s="65">
        <f t="shared" ca="1" si="138"/>
        <v>4</v>
      </c>
      <c r="E987" s="3">
        <f t="shared" ca="1" si="139"/>
        <v>0.74496878816049139</v>
      </c>
      <c r="F987" s="6">
        <f t="shared" ca="1" si="140"/>
        <v>81110.256917446663</v>
      </c>
      <c r="G987" s="6">
        <f t="shared" ca="1" si="141"/>
        <v>765.57410233149926</v>
      </c>
      <c r="V987" s="53"/>
      <c r="W987" s="54"/>
      <c r="X987" s="65" t="s">
        <v>242</v>
      </c>
      <c r="Y987" s="65">
        <f t="shared" ca="1" si="142"/>
        <v>1</v>
      </c>
      <c r="Z987" s="3">
        <f t="shared" ca="1" si="143"/>
        <v>0.4589326020612372</v>
      </c>
      <c r="AA987" s="6">
        <f t="shared" ca="1" si="144"/>
        <v>104672.1269275513</v>
      </c>
      <c r="AB987" s="6">
        <f t="shared" ca="1" si="145"/>
        <v>1718.2356484060808</v>
      </c>
    </row>
    <row r="988" spans="1:28" x14ac:dyDescent="0.3">
      <c r="A988" s="53"/>
      <c r="B988" s="54"/>
      <c r="C988" s="65" t="s">
        <v>242</v>
      </c>
      <c r="D988" s="65">
        <f t="shared" ca="1" si="138"/>
        <v>2</v>
      </c>
      <c r="E988" s="3">
        <f t="shared" ca="1" si="139"/>
        <v>0.37078953130618175</v>
      </c>
      <c r="F988" s="6">
        <f t="shared" ca="1" si="140"/>
        <v>13632.561236654417</v>
      </c>
      <c r="G988" s="6">
        <f t="shared" ca="1" si="141"/>
        <v>131.66097093620266</v>
      </c>
      <c r="V988" s="53"/>
      <c r="W988" s="54"/>
      <c r="X988" s="65" t="s">
        <v>242</v>
      </c>
      <c r="Y988" s="65">
        <f t="shared" ca="1" si="142"/>
        <v>1</v>
      </c>
      <c r="Z988" s="3">
        <f t="shared" ca="1" si="143"/>
        <v>0.67187695376748435</v>
      </c>
      <c r="AA988" s="6">
        <f t="shared" ca="1" si="144"/>
        <v>69039.997430263698</v>
      </c>
      <c r="AB988" s="6">
        <f t="shared" ca="1" si="145"/>
        <v>165.18147318266506</v>
      </c>
    </row>
    <row r="989" spans="1:28" x14ac:dyDescent="0.3">
      <c r="A989" s="53"/>
      <c r="B989" s="54"/>
      <c r="C989" s="65" t="s">
        <v>242</v>
      </c>
      <c r="D989" s="65">
        <f t="shared" ca="1" si="138"/>
        <v>4</v>
      </c>
      <c r="E989" s="3">
        <f t="shared" ca="1" si="139"/>
        <v>0.55903440905764212</v>
      </c>
      <c r="F989" s="6">
        <f t="shared" ca="1" si="140"/>
        <v>107254.07293477014</v>
      </c>
      <c r="G989" s="6">
        <f t="shared" ca="1" si="141"/>
        <v>523.39407968716102</v>
      </c>
      <c r="V989" s="53"/>
      <c r="W989" s="54"/>
      <c r="X989" s="65" t="s">
        <v>242</v>
      </c>
      <c r="Y989" s="65">
        <f t="shared" ca="1" si="142"/>
        <v>1</v>
      </c>
      <c r="Z989" s="3">
        <f t="shared" ca="1" si="143"/>
        <v>0.35110005309789916</v>
      </c>
      <c r="AA989" s="6">
        <f t="shared" ca="1" si="144"/>
        <v>100057.0477704885</v>
      </c>
      <c r="AB989" s="6">
        <f t="shared" ca="1" si="145"/>
        <v>969.57154598226532</v>
      </c>
    </row>
    <row r="990" spans="1:28" x14ac:dyDescent="0.3">
      <c r="A990" s="53"/>
      <c r="B990" s="54"/>
      <c r="C990" s="65" t="s">
        <v>242</v>
      </c>
      <c r="D990" s="65">
        <f t="shared" ca="1" si="138"/>
        <v>1</v>
      </c>
      <c r="E990" s="3">
        <f t="shared" ca="1" si="139"/>
        <v>0.37570731654112088</v>
      </c>
      <c r="F990" s="6">
        <f t="shared" ca="1" si="140"/>
        <v>186408.05323334789</v>
      </c>
      <c r="G990" s="6">
        <f t="shared" ca="1" si="141"/>
        <v>978.41644573147209</v>
      </c>
      <c r="V990" s="53"/>
      <c r="W990" s="54"/>
      <c r="X990" s="65" t="s">
        <v>242</v>
      </c>
      <c r="Y990" s="65">
        <f t="shared" ca="1" si="142"/>
        <v>4</v>
      </c>
      <c r="Z990" s="3">
        <f t="shared" ca="1" si="143"/>
        <v>0.84102552749557857</v>
      </c>
      <c r="AA990" s="6">
        <f t="shared" ca="1" si="144"/>
        <v>136062.80256927764</v>
      </c>
      <c r="AB990" s="6">
        <f t="shared" ca="1" si="145"/>
        <v>1591.9745941411302</v>
      </c>
    </row>
    <row r="991" spans="1:28" x14ac:dyDescent="0.3">
      <c r="A991" s="53"/>
      <c r="B991" s="54"/>
      <c r="C991" s="65" t="s">
        <v>242</v>
      </c>
      <c r="D991" s="65">
        <f t="shared" ca="1" si="138"/>
        <v>1</v>
      </c>
      <c r="E991" s="3">
        <f t="shared" ca="1" si="139"/>
        <v>0.69875084460196757</v>
      </c>
      <c r="F991" s="6">
        <f t="shared" ca="1" si="140"/>
        <v>145868.66606146246</v>
      </c>
      <c r="G991" s="6">
        <f t="shared" ca="1" si="141"/>
        <v>477.51345585666047</v>
      </c>
      <c r="V991" s="53"/>
      <c r="W991" s="54"/>
      <c r="X991" s="65" t="s">
        <v>242</v>
      </c>
      <c r="Y991" s="65">
        <f t="shared" ca="1" si="142"/>
        <v>2</v>
      </c>
      <c r="Z991" s="3">
        <f t="shared" ca="1" si="143"/>
        <v>0.25402046101461317</v>
      </c>
      <c r="AA991" s="6">
        <f t="shared" ca="1" si="144"/>
        <v>126700.24820967569</v>
      </c>
      <c r="AB991" s="6">
        <f t="shared" ca="1" si="145"/>
        <v>1783.5726382529042</v>
      </c>
    </row>
    <row r="992" spans="1:28" x14ac:dyDescent="0.3">
      <c r="A992" s="53"/>
      <c r="B992" s="54"/>
      <c r="C992" s="65" t="s">
        <v>242</v>
      </c>
      <c r="D992" s="65">
        <f t="shared" ca="1" si="138"/>
        <v>2</v>
      </c>
      <c r="E992" s="3">
        <f t="shared" ca="1" si="139"/>
        <v>0.23540691568908489</v>
      </c>
      <c r="F992" s="6">
        <f t="shared" ca="1" si="140"/>
        <v>52938.628246954831</v>
      </c>
      <c r="G992" s="6">
        <f t="shared" ca="1" si="141"/>
        <v>468.09238753536243</v>
      </c>
      <c r="V992" s="53"/>
      <c r="W992" s="54"/>
      <c r="X992" s="65" t="s">
        <v>242</v>
      </c>
      <c r="Y992" s="65">
        <f t="shared" ca="1" si="142"/>
        <v>1</v>
      </c>
      <c r="Z992" s="3">
        <f t="shared" ca="1" si="143"/>
        <v>0.75623325250971807</v>
      </c>
      <c r="AA992" s="6">
        <f t="shared" ca="1" si="144"/>
        <v>44164.248623990599</v>
      </c>
      <c r="AB992" s="6">
        <f t="shared" ca="1" si="145"/>
        <v>26.475300056040041</v>
      </c>
    </row>
    <row r="993" spans="1:28" x14ac:dyDescent="0.3">
      <c r="A993" s="53"/>
      <c r="B993" s="54"/>
      <c r="C993" s="65" t="s">
        <v>242</v>
      </c>
      <c r="D993" s="65">
        <f t="shared" ca="1" si="138"/>
        <v>1</v>
      </c>
      <c r="E993" s="3">
        <f t="shared" ca="1" si="139"/>
        <v>0.12569499242014148</v>
      </c>
      <c r="F993" s="6">
        <f t="shared" ca="1" si="140"/>
        <v>19256.394797733999</v>
      </c>
      <c r="G993" s="6">
        <f t="shared" ca="1" si="141"/>
        <v>801.6838454507282</v>
      </c>
      <c r="V993" s="53"/>
      <c r="W993" s="54"/>
      <c r="X993" s="65" t="s">
        <v>242</v>
      </c>
      <c r="Y993" s="65">
        <f t="shared" ca="1" si="142"/>
        <v>2</v>
      </c>
      <c r="Z993" s="3">
        <f t="shared" ca="1" si="143"/>
        <v>0.54568888379312819</v>
      </c>
      <c r="AA993" s="6">
        <f t="shared" ca="1" si="144"/>
        <v>61807.530912444083</v>
      </c>
      <c r="AB993" s="6">
        <f t="shared" ca="1" si="145"/>
        <v>794.38498486830269</v>
      </c>
    </row>
    <row r="994" spans="1:28" x14ac:dyDescent="0.3">
      <c r="A994" s="53"/>
      <c r="B994" s="54"/>
      <c r="C994" s="65" t="s">
        <v>242</v>
      </c>
      <c r="D994" s="65">
        <f t="shared" ca="1" si="138"/>
        <v>4</v>
      </c>
      <c r="E994" s="3">
        <f t="shared" ca="1" si="139"/>
        <v>0.55195184345556536</v>
      </c>
      <c r="F994" s="6">
        <f t="shared" ca="1" si="140"/>
        <v>37400.021486251215</v>
      </c>
      <c r="G994" s="6">
        <f t="shared" ca="1" si="141"/>
        <v>1737.6243454379728</v>
      </c>
      <c r="V994" s="53"/>
      <c r="W994" s="54"/>
      <c r="X994" s="65" t="s">
        <v>242</v>
      </c>
      <c r="Y994" s="65">
        <f t="shared" ca="1" si="142"/>
        <v>1</v>
      </c>
      <c r="Z994" s="3">
        <f t="shared" ca="1" si="143"/>
        <v>0.54995538610242212</v>
      </c>
      <c r="AA994" s="6">
        <f t="shared" ca="1" si="144"/>
        <v>23421.433888682252</v>
      </c>
      <c r="AB994" s="6">
        <f t="shared" ca="1" si="145"/>
        <v>144.22698491663334</v>
      </c>
    </row>
    <row r="995" spans="1:28" x14ac:dyDescent="0.3">
      <c r="A995" s="53"/>
      <c r="B995" s="54"/>
      <c r="C995" s="65" t="s">
        <v>242</v>
      </c>
      <c r="D995" s="65">
        <f t="shared" ca="1" si="138"/>
        <v>2</v>
      </c>
      <c r="E995" s="3">
        <f t="shared" ca="1" si="139"/>
        <v>0.13372938676595936</v>
      </c>
      <c r="F995" s="6">
        <f t="shared" ca="1" si="140"/>
        <v>184338.2950161722</v>
      </c>
      <c r="G995" s="6">
        <f t="shared" ca="1" si="141"/>
        <v>326.6022106021893</v>
      </c>
      <c r="V995" s="53"/>
      <c r="W995" s="54"/>
      <c r="X995" s="65" t="s">
        <v>242</v>
      </c>
      <c r="Y995" s="65">
        <f t="shared" ca="1" si="142"/>
        <v>2</v>
      </c>
      <c r="Z995" s="3">
        <f t="shared" ca="1" si="143"/>
        <v>0.60947039204282027</v>
      </c>
      <c r="AA995" s="6">
        <f t="shared" ca="1" si="144"/>
        <v>29708.639646330503</v>
      </c>
      <c r="AB995" s="6">
        <f t="shared" ca="1" si="145"/>
        <v>1512.2335098487868</v>
      </c>
    </row>
    <row r="996" spans="1:28" x14ac:dyDescent="0.3">
      <c r="A996" s="53"/>
      <c r="B996" s="54"/>
      <c r="C996" s="65" t="s">
        <v>242</v>
      </c>
      <c r="D996" s="65">
        <f t="shared" ca="1" si="138"/>
        <v>3</v>
      </c>
      <c r="E996" s="3">
        <f t="shared" ca="1" si="139"/>
        <v>0.56657949549468634</v>
      </c>
      <c r="F996" s="6">
        <f t="shared" ca="1" si="140"/>
        <v>8814.066096800243</v>
      </c>
      <c r="G996" s="6">
        <f t="shared" ca="1" si="141"/>
        <v>1380.6509301669814</v>
      </c>
      <c r="V996" s="53"/>
      <c r="W996" s="54"/>
      <c r="X996" s="65" t="s">
        <v>242</v>
      </c>
      <c r="Y996" s="65">
        <f t="shared" ca="1" si="142"/>
        <v>2</v>
      </c>
      <c r="Z996" s="3">
        <f t="shared" ca="1" si="143"/>
        <v>0.99031157541645642</v>
      </c>
      <c r="AA996" s="6">
        <f t="shared" ca="1" si="144"/>
        <v>26839.721188741718</v>
      </c>
      <c r="AB996" s="6">
        <f t="shared" ca="1" si="145"/>
        <v>569.08486485197193</v>
      </c>
    </row>
    <row r="997" spans="1:28" x14ac:dyDescent="0.3">
      <c r="A997" s="53"/>
      <c r="B997" s="54"/>
      <c r="C997" s="65" t="s">
        <v>242</v>
      </c>
      <c r="D997" s="65">
        <f t="shared" ca="1" si="138"/>
        <v>4</v>
      </c>
      <c r="E997" s="3">
        <f t="shared" ca="1" si="139"/>
        <v>0.59385772952555704</v>
      </c>
      <c r="F997" s="6">
        <f t="shared" ca="1" si="140"/>
        <v>59381.722312221653</v>
      </c>
      <c r="G997" s="6">
        <f t="shared" ca="1" si="141"/>
        <v>44.905925046512252</v>
      </c>
      <c r="V997" s="53"/>
      <c r="W997" s="54"/>
      <c r="X997" s="65" t="s">
        <v>242</v>
      </c>
      <c r="Y997" s="65">
        <f t="shared" ca="1" si="142"/>
        <v>1</v>
      </c>
      <c r="Z997" s="3">
        <f t="shared" ca="1" si="143"/>
        <v>0.40296284167623464</v>
      </c>
      <c r="AA997" s="6">
        <f t="shared" ca="1" si="144"/>
        <v>182256.94108547547</v>
      </c>
      <c r="AB997" s="6">
        <f t="shared" ca="1" si="145"/>
        <v>1564.2190974586138</v>
      </c>
    </row>
    <row r="998" spans="1:28" x14ac:dyDescent="0.3">
      <c r="A998" s="53"/>
      <c r="B998" s="54"/>
      <c r="C998" s="65" t="s">
        <v>242</v>
      </c>
      <c r="D998" s="65">
        <f t="shared" ca="1" si="138"/>
        <v>4</v>
      </c>
      <c r="E998" s="3">
        <f t="shared" ca="1" si="139"/>
        <v>0.43998103616633377</v>
      </c>
      <c r="F998" s="6">
        <f t="shared" ca="1" si="140"/>
        <v>120790.50740879768</v>
      </c>
      <c r="G998" s="6">
        <f t="shared" ca="1" si="141"/>
        <v>845.46695201546402</v>
      </c>
      <c r="V998" s="53"/>
      <c r="W998" s="54"/>
      <c r="X998" s="65" t="s">
        <v>242</v>
      </c>
      <c r="Y998" s="65">
        <f t="shared" ca="1" si="142"/>
        <v>1</v>
      </c>
      <c r="Z998" s="3">
        <f t="shared" ca="1" si="143"/>
        <v>0.87064120251664567</v>
      </c>
      <c r="AA998" s="6">
        <f t="shared" ca="1" si="144"/>
        <v>65921.776464513896</v>
      </c>
      <c r="AB998" s="6">
        <f t="shared" ca="1" si="145"/>
        <v>5.6693216317236228</v>
      </c>
    </row>
    <row r="999" spans="1:28" x14ac:dyDescent="0.3">
      <c r="A999" s="53"/>
      <c r="B999" s="54"/>
      <c r="C999" s="65" t="s">
        <v>242</v>
      </c>
      <c r="D999" s="65">
        <f t="shared" ca="1" si="138"/>
        <v>3</v>
      </c>
      <c r="E999" s="3">
        <f t="shared" ca="1" si="139"/>
        <v>0.44976807801272978</v>
      </c>
      <c r="F999" s="6">
        <f t="shared" ca="1" si="140"/>
        <v>166300.73120693729</v>
      </c>
      <c r="G999" s="6">
        <f t="shared" ca="1" si="141"/>
        <v>964.95851499761056</v>
      </c>
      <c r="V999" s="53"/>
      <c r="W999" s="54"/>
      <c r="X999" s="65" t="s">
        <v>242</v>
      </c>
      <c r="Y999" s="65">
        <f t="shared" ca="1" si="142"/>
        <v>2</v>
      </c>
      <c r="Z999" s="3">
        <f t="shared" ca="1" si="143"/>
        <v>0.52879151597897645</v>
      </c>
      <c r="AA999" s="6">
        <f t="shared" ca="1" si="144"/>
        <v>194458.12391173805</v>
      </c>
      <c r="AB999" s="6">
        <f t="shared" ca="1" si="145"/>
        <v>324.89994981117019</v>
      </c>
    </row>
    <row r="1000" spans="1:28" x14ac:dyDescent="0.3">
      <c r="A1000" s="53"/>
      <c r="B1000" s="54"/>
      <c r="C1000" s="65" t="s">
        <v>242</v>
      </c>
      <c r="D1000" s="65">
        <f t="shared" ca="1" si="138"/>
        <v>2</v>
      </c>
      <c r="E1000" s="3">
        <f t="shared" ca="1" si="139"/>
        <v>0.66439592017429294</v>
      </c>
      <c r="F1000" s="6">
        <f t="shared" ca="1" si="140"/>
        <v>126339.22510912897</v>
      </c>
      <c r="G1000" s="6">
        <f t="shared" ca="1" si="141"/>
        <v>168.12727801837269</v>
      </c>
      <c r="V1000" s="53"/>
      <c r="W1000" s="54"/>
      <c r="X1000" s="65" t="s">
        <v>242</v>
      </c>
      <c r="Y1000" s="65">
        <f t="shared" ca="1" si="142"/>
        <v>3</v>
      </c>
      <c r="Z1000" s="3">
        <f t="shared" ca="1" si="143"/>
        <v>0.5367888310306661</v>
      </c>
      <c r="AA1000" s="6">
        <f t="shared" ca="1" si="144"/>
        <v>62902.924641272519</v>
      </c>
      <c r="AB1000" s="6">
        <f t="shared" ca="1" si="145"/>
        <v>702.95225883005651</v>
      </c>
    </row>
    <row r="1001" spans="1:28" x14ac:dyDescent="0.3">
      <c r="A1001" s="53"/>
      <c r="B1001" s="54"/>
      <c r="C1001" s="65" t="s">
        <v>242</v>
      </c>
      <c r="D1001" s="65">
        <f t="shared" ca="1" si="138"/>
        <v>3</v>
      </c>
      <c r="E1001" s="3">
        <f t="shared" ca="1" si="139"/>
        <v>0.40650501254417082</v>
      </c>
      <c r="F1001" s="6">
        <f t="shared" ca="1" si="140"/>
        <v>182082.84650813055</v>
      </c>
      <c r="G1001" s="6">
        <f t="shared" ca="1" si="141"/>
        <v>958.64439193872488</v>
      </c>
      <c r="V1001" s="53"/>
      <c r="W1001" s="54"/>
      <c r="X1001" s="65" t="s">
        <v>242</v>
      </c>
      <c r="Y1001" s="65">
        <f t="shared" ca="1" si="142"/>
        <v>1</v>
      </c>
      <c r="Z1001" s="3">
        <f t="shared" ca="1" si="143"/>
        <v>0.31379614514572651</v>
      </c>
      <c r="AA1001" s="6">
        <f t="shared" ca="1" si="144"/>
        <v>131140.29104935713</v>
      </c>
      <c r="AB1001" s="6">
        <f t="shared" ca="1" si="145"/>
        <v>1557.0668426475343</v>
      </c>
    </row>
    <row r="1002" spans="1:28" x14ac:dyDescent="0.3">
      <c r="A1002" s="53"/>
      <c r="B1002" s="54"/>
      <c r="C1002" s="65" t="s">
        <v>242</v>
      </c>
      <c r="D1002" s="65">
        <f t="shared" ca="1" si="138"/>
        <v>2</v>
      </c>
      <c r="E1002" s="3">
        <f t="shared" ca="1" si="139"/>
        <v>0.3148891901673363</v>
      </c>
      <c r="F1002" s="6">
        <f t="shared" ca="1" si="140"/>
        <v>116849.98378605147</v>
      </c>
      <c r="G1002" s="6">
        <f t="shared" ca="1" si="141"/>
        <v>1184.8897294059441</v>
      </c>
      <c r="V1002" s="53"/>
      <c r="W1002" s="54"/>
      <c r="X1002" s="65" t="s">
        <v>242</v>
      </c>
      <c r="Y1002" s="65">
        <f t="shared" ca="1" si="142"/>
        <v>4</v>
      </c>
      <c r="Z1002" s="3">
        <f t="shared" ca="1" si="143"/>
        <v>0.35297204572349905</v>
      </c>
      <c r="AA1002" s="6">
        <f t="shared" ca="1" si="144"/>
        <v>196322.30154817848</v>
      </c>
      <c r="AB1002" s="6">
        <f t="shared" ca="1" si="145"/>
        <v>831.06017234042054</v>
      </c>
    </row>
    <row r="1003" spans="1:28" x14ac:dyDescent="0.3">
      <c r="A1003" s="53"/>
      <c r="B1003" s="54"/>
      <c r="C1003" s="65" t="s">
        <v>242</v>
      </c>
      <c r="D1003" s="65">
        <f t="shared" ca="1" si="138"/>
        <v>1</v>
      </c>
      <c r="E1003" s="3">
        <f t="shared" ca="1" si="139"/>
        <v>0.58041074380468138</v>
      </c>
      <c r="F1003" s="6">
        <f t="shared" ca="1" si="140"/>
        <v>195746.32796676469</v>
      </c>
      <c r="G1003" s="6">
        <f t="shared" ca="1" si="141"/>
        <v>1577.2230390443071</v>
      </c>
      <c r="V1003" s="53"/>
      <c r="W1003" s="54"/>
      <c r="X1003" s="65" t="s">
        <v>242</v>
      </c>
      <c r="Y1003" s="65">
        <f t="shared" ca="1" si="142"/>
        <v>1</v>
      </c>
      <c r="Z1003" s="3">
        <f t="shared" ca="1" si="143"/>
        <v>0.19161017491960497</v>
      </c>
      <c r="AA1003" s="6">
        <f t="shared" ca="1" si="144"/>
        <v>186583.30113953119</v>
      </c>
      <c r="AB1003" s="6">
        <f t="shared" ca="1" si="145"/>
        <v>247.53715549098399</v>
      </c>
    </row>
    <row r="1004" spans="1:28" x14ac:dyDescent="0.3">
      <c r="A1004" s="53"/>
      <c r="B1004" s="54"/>
      <c r="C1004" s="65" t="s">
        <v>242</v>
      </c>
      <c r="D1004" s="65">
        <f t="shared" ca="1" si="138"/>
        <v>3</v>
      </c>
      <c r="E1004" s="3">
        <f t="shared" ca="1" si="139"/>
        <v>0.6962181701698501</v>
      </c>
      <c r="F1004" s="6">
        <f t="shared" ca="1" si="140"/>
        <v>132817.54058930237</v>
      </c>
      <c r="G1004" s="6">
        <f t="shared" ca="1" si="141"/>
        <v>199.44459361725907</v>
      </c>
      <c r="V1004" s="53"/>
      <c r="W1004" s="54"/>
      <c r="X1004" s="65" t="s">
        <v>242</v>
      </c>
      <c r="Y1004" s="65">
        <f t="shared" ca="1" si="142"/>
        <v>2</v>
      </c>
      <c r="Z1004" s="3">
        <f t="shared" ca="1" si="143"/>
        <v>3.7741018630407686E-2</v>
      </c>
      <c r="AA1004" s="6">
        <f t="shared" ca="1" si="144"/>
        <v>74159.734439793334</v>
      </c>
      <c r="AB1004" s="6">
        <f t="shared" ca="1" si="145"/>
        <v>1443.1812394737367</v>
      </c>
    </row>
    <row r="1005" spans="1:28" x14ac:dyDescent="0.3">
      <c r="A1005" s="53"/>
      <c r="B1005" s="54"/>
      <c r="C1005" s="65" t="s">
        <v>242</v>
      </c>
      <c r="D1005" s="65">
        <f t="shared" ca="1" si="138"/>
        <v>4</v>
      </c>
      <c r="E1005" s="3">
        <f t="shared" ca="1" si="139"/>
        <v>0.24182514290311441</v>
      </c>
      <c r="F1005" s="6">
        <f t="shared" ca="1" si="140"/>
        <v>68802.906511448309</v>
      </c>
      <c r="G1005" s="6">
        <f t="shared" ca="1" si="141"/>
        <v>786.5785950580015</v>
      </c>
      <c r="V1005" s="53"/>
      <c r="W1005" s="54"/>
      <c r="X1005" s="65" t="s">
        <v>242</v>
      </c>
      <c r="Y1005" s="65">
        <f t="shared" ca="1" si="142"/>
        <v>3</v>
      </c>
      <c r="Z1005" s="3">
        <f t="shared" ca="1" si="143"/>
        <v>0.33195965453526022</v>
      </c>
      <c r="AA1005" s="6">
        <f t="shared" ca="1" si="144"/>
        <v>42381.795073927919</v>
      </c>
      <c r="AB1005" s="6">
        <f t="shared" ca="1" si="145"/>
        <v>1228.2867782800338</v>
      </c>
    </row>
    <row r="1006" spans="1:28" x14ac:dyDescent="0.3">
      <c r="A1006" s="53"/>
      <c r="B1006" s="54"/>
      <c r="C1006" s="65" t="s">
        <v>242</v>
      </c>
      <c r="D1006" s="65">
        <f t="shared" ca="1" si="138"/>
        <v>4</v>
      </c>
      <c r="E1006" s="3">
        <f t="shared" ca="1" si="139"/>
        <v>0.18399545563910413</v>
      </c>
      <c r="F1006" s="6">
        <f t="shared" ca="1" si="140"/>
        <v>144298.81175169584</v>
      </c>
      <c r="G1006" s="6">
        <f t="shared" ca="1" si="141"/>
        <v>1557.22441384853</v>
      </c>
      <c r="V1006" s="53"/>
      <c r="W1006" s="54"/>
      <c r="X1006" s="65" t="s">
        <v>242</v>
      </c>
      <c r="Y1006" s="65">
        <f t="shared" ca="1" si="142"/>
        <v>4</v>
      </c>
      <c r="Z1006" s="3">
        <f t="shared" ca="1" si="143"/>
        <v>0.10595565262708806</v>
      </c>
      <c r="AA1006" s="6">
        <f t="shared" ca="1" si="144"/>
        <v>28299.793676586683</v>
      </c>
      <c r="AB1006" s="6">
        <f t="shared" ca="1" si="145"/>
        <v>165.65509326375482</v>
      </c>
    </row>
    <row r="1007" spans="1:28" x14ac:dyDescent="0.3">
      <c r="A1007" s="53"/>
      <c r="B1007" s="54"/>
      <c r="C1007" s="65" t="s">
        <v>242</v>
      </c>
      <c r="D1007" s="65">
        <f t="shared" ca="1" si="138"/>
        <v>2</v>
      </c>
      <c r="E1007" s="3">
        <f t="shared" ca="1" si="139"/>
        <v>0.37081615700313597</v>
      </c>
      <c r="F1007" s="6">
        <f t="shared" ca="1" si="140"/>
        <v>156403.17097105985</v>
      </c>
      <c r="G1007" s="6">
        <f t="shared" ca="1" si="141"/>
        <v>1195.3238189780527</v>
      </c>
      <c r="V1007" s="53"/>
      <c r="W1007" s="54"/>
      <c r="X1007" s="65" t="s">
        <v>242</v>
      </c>
      <c r="Y1007" s="65">
        <f t="shared" ca="1" si="142"/>
        <v>3</v>
      </c>
      <c r="Z1007" s="3">
        <f t="shared" ca="1" si="143"/>
        <v>0.56186649106442099</v>
      </c>
      <c r="AA1007" s="6">
        <f t="shared" ca="1" si="144"/>
        <v>187599.58731686306</v>
      </c>
      <c r="AB1007" s="6">
        <f t="shared" ca="1" si="145"/>
        <v>896.06300076724119</v>
      </c>
    </row>
    <row r="1008" spans="1:28" x14ac:dyDescent="0.3">
      <c r="A1008" s="53"/>
      <c r="B1008" s="54"/>
      <c r="C1008" s="65" t="s">
        <v>242</v>
      </c>
      <c r="D1008" s="65">
        <f t="shared" ca="1" si="138"/>
        <v>2</v>
      </c>
      <c r="E1008" s="3">
        <f t="shared" ca="1" si="139"/>
        <v>0.98632705890892991</v>
      </c>
      <c r="F1008" s="6">
        <f t="shared" ca="1" si="140"/>
        <v>105121.68116154789</v>
      </c>
      <c r="G1008" s="6">
        <f t="shared" ca="1" si="141"/>
        <v>1090.3138493094095</v>
      </c>
      <c r="V1008" s="53"/>
      <c r="W1008" s="54"/>
      <c r="X1008" s="65" t="s">
        <v>242</v>
      </c>
      <c r="Y1008" s="65">
        <f t="shared" ca="1" si="142"/>
        <v>2</v>
      </c>
      <c r="Z1008" s="3">
        <f t="shared" ca="1" si="143"/>
        <v>0.58250411210387187</v>
      </c>
      <c r="AA1008" s="6">
        <f t="shared" ca="1" si="144"/>
        <v>161010.52930775683</v>
      </c>
      <c r="AB1008" s="6">
        <f t="shared" ca="1" si="145"/>
        <v>340.01896503255733</v>
      </c>
    </row>
    <row r="1009" spans="1:28" x14ac:dyDescent="0.3">
      <c r="A1009" s="53"/>
      <c r="B1009" s="54"/>
      <c r="C1009" s="65" t="s">
        <v>242</v>
      </c>
      <c r="D1009" s="65">
        <f t="shared" ca="1" si="138"/>
        <v>3</v>
      </c>
      <c r="E1009" s="3">
        <f t="shared" ca="1" si="139"/>
        <v>0.79768867058477122</v>
      </c>
      <c r="F1009" s="6">
        <f t="shared" ca="1" si="140"/>
        <v>145358.38271973375</v>
      </c>
      <c r="G1009" s="6">
        <f t="shared" ca="1" si="141"/>
        <v>1121.4529061296321</v>
      </c>
      <c r="V1009" s="53"/>
      <c r="W1009" s="54"/>
      <c r="X1009" s="65" t="s">
        <v>242</v>
      </c>
      <c r="Y1009" s="65">
        <f t="shared" ca="1" si="142"/>
        <v>2</v>
      </c>
      <c r="Z1009" s="3">
        <f t="shared" ca="1" si="143"/>
        <v>6.0906596654535239E-3</v>
      </c>
      <c r="AA1009" s="6">
        <f t="shared" ca="1" si="144"/>
        <v>118741.67825196848</v>
      </c>
      <c r="AB1009" s="6">
        <f t="shared" ca="1" si="145"/>
        <v>1934.2757987010586</v>
      </c>
    </row>
    <row r="1010" spans="1:28" x14ac:dyDescent="0.3">
      <c r="A1010" s="53"/>
      <c r="B1010" s="54"/>
      <c r="C1010" s="65" t="s">
        <v>242</v>
      </c>
      <c r="D1010" s="65">
        <f t="shared" ca="1" si="138"/>
        <v>4</v>
      </c>
      <c r="E1010" s="3">
        <f t="shared" ca="1" si="139"/>
        <v>0.16403546579082806</v>
      </c>
      <c r="F1010" s="6">
        <f t="shared" ca="1" si="140"/>
        <v>136854.62430959861</v>
      </c>
      <c r="G1010" s="6">
        <f t="shared" ca="1" si="141"/>
        <v>632.62580221933763</v>
      </c>
      <c r="V1010" s="53"/>
      <c r="W1010" s="54"/>
      <c r="X1010" s="65" t="s">
        <v>242</v>
      </c>
      <c r="Y1010" s="65">
        <f t="shared" ca="1" si="142"/>
        <v>3</v>
      </c>
      <c r="Z1010" s="3">
        <f t="shared" ca="1" si="143"/>
        <v>0.8152389242456225</v>
      </c>
      <c r="AA1010" s="6">
        <f t="shared" ca="1" si="144"/>
        <v>43156.472809728715</v>
      </c>
      <c r="AB1010" s="6">
        <f t="shared" ca="1" si="145"/>
        <v>1526.8269620212852</v>
      </c>
    </row>
    <row r="1011" spans="1:28" x14ac:dyDescent="0.3">
      <c r="A1011" s="53"/>
      <c r="B1011" s="54"/>
      <c r="C1011" s="65" t="s">
        <v>242</v>
      </c>
      <c r="D1011" s="65">
        <f t="shared" ca="1" si="138"/>
        <v>2</v>
      </c>
      <c r="E1011" s="3">
        <f t="shared" ca="1" si="139"/>
        <v>0.95295909022014547</v>
      </c>
      <c r="F1011" s="6">
        <f t="shared" ca="1" si="140"/>
        <v>138542.81472032971</v>
      </c>
      <c r="G1011" s="6">
        <f t="shared" ca="1" si="141"/>
        <v>670.65732950643758</v>
      </c>
      <c r="V1011" s="53"/>
      <c r="W1011" s="54"/>
      <c r="X1011" s="65" t="s">
        <v>242</v>
      </c>
      <c r="Y1011" s="65">
        <f t="shared" ca="1" si="142"/>
        <v>2</v>
      </c>
      <c r="Z1011" s="3">
        <f t="shared" ca="1" si="143"/>
        <v>0.9009969803446215</v>
      </c>
      <c r="AA1011" s="6">
        <f t="shared" ca="1" si="144"/>
        <v>87862.209891325067</v>
      </c>
      <c r="AB1011" s="6">
        <f t="shared" ca="1" si="145"/>
        <v>1134.5726778390933</v>
      </c>
    </row>
    <row r="1012" spans="1:28" x14ac:dyDescent="0.3">
      <c r="A1012" s="53"/>
      <c r="B1012" s="54"/>
      <c r="C1012" s="65" t="s">
        <v>242</v>
      </c>
      <c r="D1012" s="65">
        <f t="shared" ca="1" si="138"/>
        <v>4</v>
      </c>
      <c r="E1012" s="3">
        <f t="shared" ca="1" si="139"/>
        <v>0.66406776615812046</v>
      </c>
      <c r="F1012" s="6">
        <f t="shared" ca="1" si="140"/>
        <v>117754.19189869698</v>
      </c>
      <c r="G1012" s="6">
        <f t="shared" ca="1" si="141"/>
        <v>1099.4758501148842</v>
      </c>
      <c r="V1012" s="53"/>
      <c r="W1012" s="54"/>
      <c r="X1012" s="65" t="s">
        <v>242</v>
      </c>
      <c r="Y1012" s="65">
        <f t="shared" ca="1" si="142"/>
        <v>4</v>
      </c>
      <c r="Z1012" s="3">
        <f t="shared" ca="1" si="143"/>
        <v>0.33245310152019736</v>
      </c>
      <c r="AA1012" s="6">
        <f t="shared" ca="1" si="144"/>
        <v>57616.56651077405</v>
      </c>
      <c r="AB1012" s="6">
        <f t="shared" ca="1" si="145"/>
        <v>685.21135624709314</v>
      </c>
    </row>
    <row r="1013" spans="1:28" x14ac:dyDescent="0.3">
      <c r="A1013" s="53"/>
      <c r="B1013" s="54"/>
      <c r="C1013" s="65" t="s">
        <v>242</v>
      </c>
      <c r="D1013" s="65">
        <f t="shared" ca="1" si="138"/>
        <v>4</v>
      </c>
      <c r="E1013" s="3">
        <f t="shared" ca="1" si="139"/>
        <v>0.61226278614834495</v>
      </c>
      <c r="F1013" s="6">
        <f t="shared" ca="1" si="140"/>
        <v>103381.5123146877</v>
      </c>
      <c r="G1013" s="6">
        <f t="shared" ca="1" si="141"/>
        <v>861.23418376602308</v>
      </c>
      <c r="V1013" s="53"/>
      <c r="W1013" s="54"/>
      <c r="X1013" s="65" t="s">
        <v>242</v>
      </c>
      <c r="Y1013" s="65">
        <f t="shared" ca="1" si="142"/>
        <v>2</v>
      </c>
      <c r="Z1013" s="3">
        <f t="shared" ca="1" si="143"/>
        <v>0.17225128312977622</v>
      </c>
      <c r="AA1013" s="6">
        <f t="shared" ca="1" si="144"/>
        <v>168333.00409487382</v>
      </c>
      <c r="AB1013" s="6">
        <f t="shared" ca="1" si="145"/>
        <v>1581.8814172259697</v>
      </c>
    </row>
    <row r="1014" spans="1:28" x14ac:dyDescent="0.3">
      <c r="A1014" s="53"/>
      <c r="B1014" s="54"/>
      <c r="C1014" s="65" t="s">
        <v>242</v>
      </c>
      <c r="D1014" s="65">
        <f t="shared" ca="1" si="138"/>
        <v>3</v>
      </c>
      <c r="E1014" s="3">
        <f t="shared" ca="1" si="139"/>
        <v>0.18821174252481587</v>
      </c>
      <c r="F1014" s="6">
        <f t="shared" ca="1" si="140"/>
        <v>101371.18783221603</v>
      </c>
      <c r="G1014" s="6">
        <f t="shared" ca="1" si="141"/>
        <v>1777.9917835693741</v>
      </c>
      <c r="V1014" s="53"/>
      <c r="W1014" s="54"/>
      <c r="X1014" s="65" t="s">
        <v>242</v>
      </c>
      <c r="Y1014" s="65">
        <f t="shared" ca="1" si="142"/>
        <v>2</v>
      </c>
      <c r="Z1014" s="3">
        <f t="shared" ca="1" si="143"/>
        <v>0.96679797356627462</v>
      </c>
      <c r="AA1014" s="6">
        <f t="shared" ca="1" si="144"/>
        <v>116662.5549225983</v>
      </c>
      <c r="AB1014" s="6">
        <f t="shared" ca="1" si="145"/>
        <v>1253.2771456504336</v>
      </c>
    </row>
    <row r="1015" spans="1:28" x14ac:dyDescent="0.3">
      <c r="A1015" s="53"/>
      <c r="B1015" s="54"/>
      <c r="C1015" s="65" t="s">
        <v>242</v>
      </c>
      <c r="D1015" s="65">
        <f t="shared" ca="1" si="138"/>
        <v>1</v>
      </c>
      <c r="E1015" s="3">
        <f t="shared" ca="1" si="139"/>
        <v>0.28607064654813164</v>
      </c>
      <c r="F1015" s="6">
        <f t="shared" ca="1" si="140"/>
        <v>28811.596580075195</v>
      </c>
      <c r="G1015" s="6">
        <f t="shared" ca="1" si="141"/>
        <v>138.84544057674475</v>
      </c>
      <c r="V1015" s="53"/>
      <c r="W1015" s="54"/>
      <c r="X1015" s="65" t="s">
        <v>242</v>
      </c>
      <c r="Y1015" s="65">
        <f t="shared" ca="1" si="142"/>
        <v>4</v>
      </c>
      <c r="Z1015" s="3">
        <f t="shared" ca="1" si="143"/>
        <v>0.44995099557413565</v>
      </c>
      <c r="AA1015" s="6">
        <f t="shared" ca="1" si="144"/>
        <v>58163.527438685538</v>
      </c>
      <c r="AB1015" s="6">
        <f t="shared" ca="1" si="145"/>
        <v>1559.478425023789</v>
      </c>
    </row>
    <row r="1016" spans="1:28" x14ac:dyDescent="0.3">
      <c r="A1016" s="53"/>
      <c r="B1016" s="54"/>
      <c r="C1016" s="65" t="s">
        <v>242</v>
      </c>
      <c r="D1016" s="65">
        <f t="shared" ca="1" si="138"/>
        <v>3</v>
      </c>
      <c r="E1016" s="3">
        <f t="shared" ca="1" si="139"/>
        <v>0.15839635591790535</v>
      </c>
      <c r="F1016" s="6">
        <f t="shared" ca="1" si="140"/>
        <v>30115.340548388824</v>
      </c>
      <c r="G1016" s="6">
        <f t="shared" ca="1" si="141"/>
        <v>473.99818877841506</v>
      </c>
      <c r="V1016" s="53"/>
      <c r="W1016" s="54"/>
      <c r="X1016" s="65" t="s">
        <v>242</v>
      </c>
      <c r="Y1016" s="65">
        <f t="shared" ca="1" si="142"/>
        <v>4</v>
      </c>
      <c r="Z1016" s="3">
        <f t="shared" ca="1" si="143"/>
        <v>7.1267629972978641E-3</v>
      </c>
      <c r="AA1016" s="6">
        <f t="shared" ca="1" si="144"/>
        <v>59249.957687786802</v>
      </c>
      <c r="AB1016" s="6">
        <f t="shared" ca="1" si="145"/>
        <v>1108.216509213486</v>
      </c>
    </row>
    <row r="1017" spans="1:28" x14ac:dyDescent="0.3">
      <c r="A1017" s="53"/>
      <c r="B1017" s="54"/>
      <c r="C1017" s="65" t="s">
        <v>242</v>
      </c>
      <c r="D1017" s="65">
        <f t="shared" ca="1" si="138"/>
        <v>1</v>
      </c>
      <c r="E1017" s="3">
        <f t="shared" ca="1" si="139"/>
        <v>0.43948292807463796</v>
      </c>
      <c r="F1017" s="6">
        <f t="shared" ca="1" si="140"/>
        <v>119388.75476921737</v>
      </c>
      <c r="G1017" s="6">
        <f t="shared" ca="1" si="141"/>
        <v>1241.1562329721016</v>
      </c>
      <c r="V1017" s="53"/>
      <c r="W1017" s="54"/>
      <c r="X1017" s="65" t="s">
        <v>242</v>
      </c>
      <c r="Y1017" s="65">
        <f t="shared" ca="1" si="142"/>
        <v>3</v>
      </c>
      <c r="Z1017" s="3">
        <f t="shared" ca="1" si="143"/>
        <v>0.71855568947590442</v>
      </c>
      <c r="AA1017" s="6">
        <f t="shared" ca="1" si="144"/>
        <v>143114.60940502179</v>
      </c>
      <c r="AB1017" s="6">
        <f t="shared" ca="1" si="145"/>
        <v>1895.4821343541034</v>
      </c>
    </row>
    <row r="1018" spans="1:28" x14ac:dyDescent="0.3">
      <c r="A1018" s="53"/>
      <c r="B1018" s="54"/>
      <c r="C1018" s="65" t="s">
        <v>242</v>
      </c>
      <c r="D1018" s="65">
        <f t="shared" ca="1" si="138"/>
        <v>1</v>
      </c>
      <c r="E1018" s="3">
        <f t="shared" ca="1" si="139"/>
        <v>0.63930108968954791</v>
      </c>
      <c r="F1018" s="6">
        <f t="shared" ca="1" si="140"/>
        <v>37625.469690805803</v>
      </c>
      <c r="G1018" s="6">
        <f t="shared" ca="1" si="141"/>
        <v>912.63826117629594</v>
      </c>
      <c r="V1018" s="53"/>
      <c r="W1018" s="54"/>
      <c r="X1018" s="65" t="s">
        <v>242</v>
      </c>
      <c r="Y1018" s="65">
        <f t="shared" ca="1" si="142"/>
        <v>1</v>
      </c>
      <c r="Z1018" s="3">
        <f t="shared" ca="1" si="143"/>
        <v>0.44953339665659287</v>
      </c>
      <c r="AA1018" s="6">
        <f t="shared" ca="1" si="144"/>
        <v>49728.579887173655</v>
      </c>
      <c r="AB1018" s="6">
        <f t="shared" ca="1" si="145"/>
        <v>305.6084553526486</v>
      </c>
    </row>
    <row r="1019" spans="1:28" x14ac:dyDescent="0.3">
      <c r="A1019" s="53"/>
      <c r="B1019" s="54"/>
      <c r="C1019" s="65" t="s">
        <v>242</v>
      </c>
      <c r="D1019" s="65">
        <f t="shared" ca="1" si="138"/>
        <v>1</v>
      </c>
      <c r="E1019" s="3">
        <f t="shared" ca="1" si="139"/>
        <v>6.2279091941461973E-2</v>
      </c>
      <c r="F1019" s="6">
        <f t="shared" ca="1" si="140"/>
        <v>161602.76568970687</v>
      </c>
      <c r="G1019" s="6">
        <f t="shared" ca="1" si="141"/>
        <v>1003.2808038156516</v>
      </c>
      <c r="V1019" s="53"/>
      <c r="W1019" s="54"/>
      <c r="X1019" s="65" t="s">
        <v>242</v>
      </c>
      <c r="Y1019" s="65">
        <f t="shared" ca="1" si="142"/>
        <v>3</v>
      </c>
      <c r="Z1019" s="3">
        <f t="shared" ca="1" si="143"/>
        <v>0.97155077254888556</v>
      </c>
      <c r="AA1019" s="6">
        <f t="shared" ca="1" si="144"/>
        <v>57777.310067570434</v>
      </c>
      <c r="AB1019" s="6">
        <f t="shared" ca="1" si="145"/>
        <v>1399.6407565261025</v>
      </c>
    </row>
    <row r="1020" spans="1:28" x14ac:dyDescent="0.3">
      <c r="A1020" s="53"/>
      <c r="B1020" s="54"/>
      <c r="C1020" s="65" t="s">
        <v>219</v>
      </c>
      <c r="D1020" s="65">
        <f t="shared" ca="1" si="138"/>
        <v>4</v>
      </c>
      <c r="E1020" s="3">
        <f t="shared" ca="1" si="139"/>
        <v>0.66789262338287136</v>
      </c>
      <c r="F1020" s="6">
        <f t="shared" ca="1" si="140"/>
        <v>169671.86991926376</v>
      </c>
      <c r="G1020" s="6">
        <f t="shared" ca="1" si="141"/>
        <v>1222.2916597210738</v>
      </c>
      <c r="V1020" s="53"/>
      <c r="W1020" s="54"/>
      <c r="X1020" s="65" t="s">
        <v>219</v>
      </c>
      <c r="Y1020" s="65">
        <f t="shared" ca="1" si="142"/>
        <v>2</v>
      </c>
      <c r="Z1020" s="3">
        <f t="shared" ca="1" si="143"/>
        <v>0.20475470318087974</v>
      </c>
      <c r="AA1020" s="6">
        <f t="shared" ca="1" si="144"/>
        <v>16745.614022817688</v>
      </c>
      <c r="AB1020" s="6">
        <f t="shared" ca="1" si="145"/>
        <v>1676.3444091571364</v>
      </c>
    </row>
    <row r="1021" spans="1:28" x14ac:dyDescent="0.3">
      <c r="A1021" s="53"/>
      <c r="B1021" s="54"/>
      <c r="C1021" s="65" t="s">
        <v>219</v>
      </c>
      <c r="D1021" s="65">
        <f t="shared" ca="1" si="138"/>
        <v>2</v>
      </c>
      <c r="E1021" s="3">
        <f t="shared" ca="1" si="139"/>
        <v>0.31117457530487691</v>
      </c>
      <c r="F1021" s="6">
        <f t="shared" ca="1" si="140"/>
        <v>31327.491802207573</v>
      </c>
      <c r="G1021" s="6">
        <f t="shared" ca="1" si="141"/>
        <v>1242.731557515395</v>
      </c>
      <c r="V1021" s="53"/>
      <c r="W1021" s="54"/>
      <c r="X1021" s="65" t="s">
        <v>219</v>
      </c>
      <c r="Y1021" s="65">
        <f t="shared" ca="1" si="142"/>
        <v>3</v>
      </c>
      <c r="Z1021" s="3">
        <f t="shared" ca="1" si="143"/>
        <v>3.9066288593828546E-2</v>
      </c>
      <c r="AA1021" s="6">
        <f t="shared" ca="1" si="144"/>
        <v>64636.277450581358</v>
      </c>
      <c r="AB1021" s="6">
        <f t="shared" ca="1" si="145"/>
        <v>1007.3116935547001</v>
      </c>
    </row>
    <row r="1022" spans="1:28" x14ac:dyDescent="0.3">
      <c r="A1022" s="53"/>
      <c r="B1022" s="54"/>
      <c r="C1022" s="65" t="s">
        <v>219</v>
      </c>
      <c r="D1022" s="65">
        <f t="shared" ca="1" si="138"/>
        <v>4</v>
      </c>
      <c r="E1022" s="3">
        <f t="shared" ca="1" si="139"/>
        <v>0.28812329810708537</v>
      </c>
      <c r="F1022" s="6">
        <f t="shared" ca="1" si="140"/>
        <v>57127.825754089587</v>
      </c>
      <c r="G1022" s="6">
        <f t="shared" ca="1" si="141"/>
        <v>1815.7616724585741</v>
      </c>
      <c r="V1022" s="53"/>
      <c r="W1022" s="54"/>
      <c r="X1022" s="65" t="s">
        <v>219</v>
      </c>
      <c r="Y1022" s="65">
        <f t="shared" ca="1" si="142"/>
        <v>4</v>
      </c>
      <c r="Z1022" s="3">
        <f t="shared" ca="1" si="143"/>
        <v>0.93365536878245492</v>
      </c>
      <c r="AA1022" s="6">
        <f t="shared" ca="1" si="144"/>
        <v>38803.184416988821</v>
      </c>
      <c r="AB1022" s="6">
        <f t="shared" ca="1" si="145"/>
        <v>8.8772446871665522</v>
      </c>
    </row>
    <row r="1023" spans="1:28" x14ac:dyDescent="0.3">
      <c r="A1023" s="53"/>
      <c r="B1023" s="54"/>
      <c r="C1023" s="65" t="s">
        <v>231</v>
      </c>
      <c r="D1023" s="65">
        <f t="shared" ca="1" si="138"/>
        <v>4</v>
      </c>
      <c r="E1023" s="3">
        <f t="shared" ca="1" si="139"/>
        <v>0.21975347651586119</v>
      </c>
      <c r="F1023" s="6">
        <f t="shared" ca="1" si="140"/>
        <v>35719.632049625674</v>
      </c>
      <c r="G1023" s="6">
        <f t="shared" ca="1" si="141"/>
        <v>1151.1871397126351</v>
      </c>
      <c r="V1023" s="53"/>
      <c r="W1023" s="54"/>
      <c r="X1023" s="65" t="s">
        <v>231</v>
      </c>
      <c r="Y1023" s="65">
        <f t="shared" ca="1" si="142"/>
        <v>2</v>
      </c>
      <c r="Z1023" s="3">
        <f t="shared" ca="1" si="143"/>
        <v>0.11230065907851572</v>
      </c>
      <c r="AA1023" s="6">
        <f t="shared" ca="1" si="144"/>
        <v>110890.21336159777</v>
      </c>
      <c r="AB1023" s="6">
        <f t="shared" ca="1" si="145"/>
        <v>427.96343053982588</v>
      </c>
    </row>
    <row r="1024" spans="1:28" x14ac:dyDescent="0.3">
      <c r="A1024" s="53"/>
      <c r="B1024" s="54"/>
      <c r="C1024" s="65" t="s">
        <v>231</v>
      </c>
      <c r="D1024" s="65">
        <f t="shared" ca="1" si="138"/>
        <v>3</v>
      </c>
      <c r="E1024" s="3">
        <f t="shared" ca="1" si="139"/>
        <v>0.30995808957984738</v>
      </c>
      <c r="F1024" s="6">
        <f t="shared" ca="1" si="140"/>
        <v>60283.970444182298</v>
      </c>
      <c r="G1024" s="6">
        <f t="shared" ca="1" si="141"/>
        <v>227.16782165226655</v>
      </c>
      <c r="V1024" s="53"/>
      <c r="W1024" s="54"/>
      <c r="X1024" s="65" t="s">
        <v>231</v>
      </c>
      <c r="Y1024" s="65">
        <f t="shared" ca="1" si="142"/>
        <v>4</v>
      </c>
      <c r="Z1024" s="3">
        <f t="shared" ca="1" si="143"/>
        <v>0.28393897894851106</v>
      </c>
      <c r="AA1024" s="6">
        <f t="shared" ca="1" si="144"/>
        <v>15735.872537595542</v>
      </c>
      <c r="AB1024" s="6">
        <f t="shared" ca="1" si="145"/>
        <v>611.16637509786688</v>
      </c>
    </row>
    <row r="1025" spans="1:28" x14ac:dyDescent="0.3">
      <c r="A1025" s="53"/>
      <c r="B1025" s="54"/>
      <c r="C1025" s="65" t="s">
        <v>231</v>
      </c>
      <c r="D1025" s="65">
        <f t="shared" ca="1" si="138"/>
        <v>4</v>
      </c>
      <c r="E1025" s="3">
        <f t="shared" ca="1" si="139"/>
        <v>0.64549690057316766</v>
      </c>
      <c r="F1025" s="6">
        <f t="shared" ca="1" si="140"/>
        <v>199787.87434918905</v>
      </c>
      <c r="G1025" s="6">
        <f t="shared" ca="1" si="141"/>
        <v>1337.7115050394655</v>
      </c>
      <c r="V1025" s="53"/>
      <c r="W1025" s="54"/>
      <c r="X1025" s="65" t="s">
        <v>231</v>
      </c>
      <c r="Y1025" s="65">
        <f t="shared" ca="1" si="142"/>
        <v>4</v>
      </c>
      <c r="Z1025" s="3">
        <f t="shared" ca="1" si="143"/>
        <v>0.78103475700800906</v>
      </c>
      <c r="AA1025" s="6">
        <f t="shared" ca="1" si="144"/>
        <v>30907.545967204354</v>
      </c>
      <c r="AB1025" s="6">
        <f t="shared" ca="1" si="145"/>
        <v>1369.3765061538541</v>
      </c>
    </row>
    <row r="1026" spans="1:28" x14ac:dyDescent="0.3">
      <c r="A1026" s="53"/>
      <c r="B1026" s="54"/>
      <c r="C1026" s="65" t="s">
        <v>231</v>
      </c>
      <c r="D1026" s="65">
        <f t="shared" ca="1" si="138"/>
        <v>2</v>
      </c>
      <c r="E1026" s="3">
        <f t="shared" ca="1" si="139"/>
        <v>0.72302717350556667</v>
      </c>
      <c r="F1026" s="6">
        <f t="shared" ca="1" si="140"/>
        <v>177302.69754025573</v>
      </c>
      <c r="G1026" s="6">
        <f t="shared" ca="1" si="141"/>
        <v>533.8900967341491</v>
      </c>
      <c r="V1026" s="53"/>
      <c r="W1026" s="54"/>
      <c r="X1026" s="65" t="s">
        <v>231</v>
      </c>
      <c r="Y1026" s="65">
        <f t="shared" ca="1" si="142"/>
        <v>1</v>
      </c>
      <c r="Z1026" s="3">
        <f t="shared" ca="1" si="143"/>
        <v>0.83006264386800321</v>
      </c>
      <c r="AA1026" s="6">
        <f t="shared" ca="1" si="144"/>
        <v>140537.41257248278</v>
      </c>
      <c r="AB1026" s="6">
        <f t="shared" ca="1" si="145"/>
        <v>1022.1052948061069</v>
      </c>
    </row>
    <row r="1027" spans="1:28" x14ac:dyDescent="0.3">
      <c r="A1027" s="53"/>
      <c r="B1027" s="54"/>
      <c r="C1027" s="65" t="s">
        <v>231</v>
      </c>
      <c r="D1027" s="65">
        <f t="shared" ca="1" si="138"/>
        <v>2</v>
      </c>
      <c r="E1027" s="3">
        <f t="shared" ca="1" si="139"/>
        <v>0.10627907596484198</v>
      </c>
      <c r="F1027" s="6">
        <f t="shared" ca="1" si="140"/>
        <v>167495.08391633464</v>
      </c>
      <c r="G1027" s="6">
        <f t="shared" ca="1" si="141"/>
        <v>210.31742071622085</v>
      </c>
      <c r="V1027" s="53"/>
      <c r="W1027" s="54"/>
      <c r="X1027" s="65" t="s">
        <v>231</v>
      </c>
      <c r="Y1027" s="65">
        <f t="shared" ca="1" si="142"/>
        <v>3</v>
      </c>
      <c r="Z1027" s="3">
        <f t="shared" ca="1" si="143"/>
        <v>0.4695782934023921</v>
      </c>
      <c r="AA1027" s="6">
        <f t="shared" ca="1" si="144"/>
        <v>152564.19227220109</v>
      </c>
      <c r="AB1027" s="6">
        <f t="shared" ca="1" si="145"/>
        <v>1088.2565118386162</v>
      </c>
    </row>
    <row r="1028" spans="1:28" x14ac:dyDescent="0.3">
      <c r="A1028" s="53"/>
      <c r="B1028" s="54"/>
      <c r="C1028" s="65" t="s">
        <v>231</v>
      </c>
      <c r="D1028" s="65">
        <f t="shared" ca="1" si="138"/>
        <v>1</v>
      </c>
      <c r="E1028" s="3">
        <f t="shared" ca="1" si="139"/>
        <v>0.19005124758116565</v>
      </c>
      <c r="F1028" s="6">
        <f t="shared" ca="1" si="140"/>
        <v>179663.98965690235</v>
      </c>
      <c r="G1028" s="6">
        <f t="shared" ca="1" si="141"/>
        <v>1371.4536890875836</v>
      </c>
      <c r="V1028" s="53"/>
      <c r="W1028" s="54"/>
      <c r="X1028" s="65" t="s">
        <v>231</v>
      </c>
      <c r="Y1028" s="65">
        <f t="shared" ca="1" si="142"/>
        <v>4</v>
      </c>
      <c r="Z1028" s="3">
        <f t="shared" ca="1" si="143"/>
        <v>0.30548320899704229</v>
      </c>
      <c r="AA1028" s="6">
        <f t="shared" ca="1" si="144"/>
        <v>187447.19987503393</v>
      </c>
      <c r="AB1028" s="6">
        <f t="shared" ca="1" si="145"/>
        <v>1345.9380252586197</v>
      </c>
    </row>
    <row r="1029" spans="1:28" x14ac:dyDescent="0.3">
      <c r="A1029" s="53"/>
      <c r="B1029" s="54"/>
      <c r="C1029" s="65" t="s">
        <v>231</v>
      </c>
      <c r="D1029" s="65">
        <f t="shared" ca="1" si="138"/>
        <v>3</v>
      </c>
      <c r="E1029" s="3">
        <f t="shared" ca="1" si="139"/>
        <v>0.53184441775643043</v>
      </c>
      <c r="F1029" s="6">
        <f t="shared" ca="1" si="140"/>
        <v>136891.01370022495</v>
      </c>
      <c r="G1029" s="6">
        <f t="shared" ca="1" si="141"/>
        <v>1673.9097319821137</v>
      </c>
      <c r="V1029" s="53"/>
      <c r="W1029" s="54"/>
      <c r="X1029" s="65" t="s">
        <v>231</v>
      </c>
      <c r="Y1029" s="65">
        <f t="shared" ca="1" si="142"/>
        <v>4</v>
      </c>
      <c r="Z1029" s="3">
        <f t="shared" ca="1" si="143"/>
        <v>4.6905301175971581E-2</v>
      </c>
      <c r="AA1029" s="6">
        <f t="shared" ca="1" si="144"/>
        <v>24773.060470230601</v>
      </c>
      <c r="AB1029" s="6">
        <f t="shared" ca="1" si="145"/>
        <v>1740.1351674982704</v>
      </c>
    </row>
    <row r="1030" spans="1:28" x14ac:dyDescent="0.3">
      <c r="A1030" s="53"/>
      <c r="B1030" s="54"/>
      <c r="C1030" s="65" t="s">
        <v>231</v>
      </c>
      <c r="D1030" s="65">
        <f t="shared" ca="1" si="138"/>
        <v>3</v>
      </c>
      <c r="E1030" s="3">
        <f t="shared" ca="1" si="139"/>
        <v>0.79115428424682255</v>
      </c>
      <c r="F1030" s="6">
        <f t="shared" ca="1" si="140"/>
        <v>193441.67846286696</v>
      </c>
      <c r="G1030" s="6">
        <f t="shared" ca="1" si="141"/>
        <v>1008.037010697931</v>
      </c>
      <c r="V1030" s="53"/>
      <c r="W1030" s="54"/>
      <c r="X1030" s="65" t="s">
        <v>231</v>
      </c>
      <c r="Y1030" s="65">
        <f t="shared" ca="1" si="142"/>
        <v>2</v>
      </c>
      <c r="Z1030" s="3">
        <f t="shared" ca="1" si="143"/>
        <v>0.15028110768760572</v>
      </c>
      <c r="AA1030" s="6">
        <f t="shared" ca="1" si="144"/>
        <v>181809.61870201913</v>
      </c>
      <c r="AB1030" s="6">
        <f t="shared" ca="1" si="145"/>
        <v>239.11588417242524</v>
      </c>
    </row>
    <row r="1031" spans="1:28" x14ac:dyDescent="0.3">
      <c r="A1031" s="53"/>
      <c r="B1031" s="54"/>
      <c r="C1031" s="65" t="s">
        <v>231</v>
      </c>
      <c r="D1031" s="65">
        <f t="shared" ca="1" si="138"/>
        <v>2</v>
      </c>
      <c r="E1031" s="3">
        <f t="shared" ca="1" si="139"/>
        <v>0.99961285122016041</v>
      </c>
      <c r="F1031" s="6">
        <f t="shared" ca="1" si="140"/>
        <v>125526.35445502451</v>
      </c>
      <c r="G1031" s="6">
        <f t="shared" ca="1" si="141"/>
        <v>1987.9375243904835</v>
      </c>
      <c r="V1031" s="53"/>
      <c r="W1031" s="54"/>
      <c r="X1031" s="65" t="s">
        <v>231</v>
      </c>
      <c r="Y1031" s="65">
        <f t="shared" ca="1" si="142"/>
        <v>2</v>
      </c>
      <c r="Z1031" s="3">
        <f t="shared" ca="1" si="143"/>
        <v>0.21402271416152452</v>
      </c>
      <c r="AA1031" s="6">
        <f t="shared" ca="1" si="144"/>
        <v>37392.979515222891</v>
      </c>
      <c r="AB1031" s="6">
        <f t="shared" ca="1" si="145"/>
        <v>1132.9434734446238</v>
      </c>
    </row>
    <row r="1032" spans="1:28" x14ac:dyDescent="0.3">
      <c r="A1032" s="53"/>
      <c r="B1032" s="54"/>
      <c r="C1032" s="65" t="s">
        <v>231</v>
      </c>
      <c r="D1032" s="65">
        <f t="shared" ca="1" si="138"/>
        <v>3</v>
      </c>
      <c r="E1032" s="3">
        <f t="shared" ca="1" si="139"/>
        <v>7.3437878828573E-2</v>
      </c>
      <c r="F1032" s="6">
        <f t="shared" ca="1" si="140"/>
        <v>166634.74209108719</v>
      </c>
      <c r="G1032" s="6">
        <f t="shared" ca="1" si="141"/>
        <v>147.53038176353138</v>
      </c>
      <c r="V1032" s="53"/>
      <c r="W1032" s="54"/>
      <c r="X1032" s="65" t="s">
        <v>231</v>
      </c>
      <c r="Y1032" s="65">
        <f t="shared" ca="1" si="142"/>
        <v>4</v>
      </c>
      <c r="Z1032" s="3">
        <f t="shared" ca="1" si="143"/>
        <v>0.48073077157217825</v>
      </c>
      <c r="AA1032" s="6">
        <f t="shared" ca="1" si="144"/>
        <v>90215.864902166708</v>
      </c>
      <c r="AB1032" s="6">
        <f t="shared" ca="1" si="145"/>
        <v>97.958632795663632</v>
      </c>
    </row>
    <row r="1033" spans="1:28" x14ac:dyDescent="0.3">
      <c r="A1033" s="53"/>
      <c r="B1033" s="54"/>
      <c r="C1033" s="65" t="s">
        <v>231</v>
      </c>
      <c r="D1033" s="65">
        <f t="shared" ca="1" si="138"/>
        <v>3</v>
      </c>
      <c r="E1033" s="3">
        <f t="shared" ca="1" si="139"/>
        <v>0.44477729817862577</v>
      </c>
      <c r="F1033" s="6">
        <f t="shared" ca="1" si="140"/>
        <v>19313.556201506053</v>
      </c>
      <c r="G1033" s="6">
        <f t="shared" ca="1" si="141"/>
        <v>965.86463945238688</v>
      </c>
      <c r="V1033" s="53"/>
      <c r="W1033" s="54"/>
      <c r="X1033" s="65" t="s">
        <v>231</v>
      </c>
      <c r="Y1033" s="65">
        <f t="shared" ca="1" si="142"/>
        <v>1</v>
      </c>
      <c r="Z1033" s="3">
        <f t="shared" ca="1" si="143"/>
        <v>6.7107754376213413E-2</v>
      </c>
      <c r="AA1033" s="6">
        <f t="shared" ca="1" si="144"/>
        <v>114692.82948835361</v>
      </c>
      <c r="AB1033" s="6">
        <f t="shared" ca="1" si="145"/>
        <v>1193.9926442121689</v>
      </c>
    </row>
    <row r="1034" spans="1:28" x14ac:dyDescent="0.3">
      <c r="A1034" s="53"/>
      <c r="B1034" s="54"/>
      <c r="C1034" s="65" t="s">
        <v>231</v>
      </c>
      <c r="D1034" s="65">
        <f t="shared" ca="1" si="138"/>
        <v>4</v>
      </c>
      <c r="E1034" s="3">
        <f t="shared" ca="1" si="139"/>
        <v>0.11787132677298262</v>
      </c>
      <c r="F1034" s="6">
        <f t="shared" ca="1" si="140"/>
        <v>137270.64439694359</v>
      </c>
      <c r="G1034" s="6">
        <f t="shared" ca="1" si="141"/>
        <v>293.09130776424519</v>
      </c>
      <c r="V1034" s="53"/>
      <c r="W1034" s="54"/>
      <c r="X1034" s="65" t="s">
        <v>231</v>
      </c>
      <c r="Y1034" s="65">
        <f t="shared" ca="1" si="142"/>
        <v>3</v>
      </c>
      <c r="Z1034" s="3">
        <f t="shared" ca="1" si="143"/>
        <v>0.8541397476455953</v>
      </c>
      <c r="AA1034" s="6">
        <f t="shared" ca="1" si="144"/>
        <v>27791.670336752672</v>
      </c>
      <c r="AB1034" s="6">
        <f t="shared" ca="1" si="145"/>
        <v>310.20744125674946</v>
      </c>
    </row>
    <row r="1035" spans="1:28" x14ac:dyDescent="0.3">
      <c r="A1035" s="53"/>
      <c r="B1035" s="54"/>
      <c r="C1035" s="65" t="s">
        <v>231</v>
      </c>
      <c r="D1035" s="65">
        <f t="shared" ca="1" si="138"/>
        <v>2</v>
      </c>
      <c r="E1035" s="3">
        <f t="shared" ca="1" si="139"/>
        <v>0.7881136845146357</v>
      </c>
      <c r="F1035" s="6">
        <f t="shared" ca="1" si="140"/>
        <v>175283.15281789887</v>
      </c>
      <c r="G1035" s="6">
        <f t="shared" ca="1" si="141"/>
        <v>5.6646671597859743</v>
      </c>
      <c r="V1035" s="53"/>
      <c r="W1035" s="54"/>
      <c r="X1035" s="65" t="s">
        <v>231</v>
      </c>
      <c r="Y1035" s="65">
        <f t="shared" ca="1" si="142"/>
        <v>2</v>
      </c>
      <c r="Z1035" s="3">
        <f t="shared" ca="1" si="143"/>
        <v>0.24513376898779682</v>
      </c>
      <c r="AA1035" s="6">
        <f t="shared" ca="1" si="144"/>
        <v>17973.636503005098</v>
      </c>
      <c r="AB1035" s="6">
        <f t="shared" ca="1" si="145"/>
        <v>674.45514326771433</v>
      </c>
    </row>
    <row r="1036" spans="1:28" x14ac:dyDescent="0.3">
      <c r="A1036" s="53"/>
      <c r="B1036" s="54"/>
      <c r="C1036" s="65" t="s">
        <v>231</v>
      </c>
      <c r="D1036" s="65">
        <f t="shared" ca="1" si="138"/>
        <v>4</v>
      </c>
      <c r="E1036" s="3">
        <f t="shared" ca="1" si="139"/>
        <v>0.95383461247570922</v>
      </c>
      <c r="F1036" s="6">
        <f t="shared" ca="1" si="140"/>
        <v>112936.92335691983</v>
      </c>
      <c r="G1036" s="6">
        <f t="shared" ca="1" si="141"/>
        <v>973.41467487086561</v>
      </c>
      <c r="V1036" s="53"/>
      <c r="W1036" s="54"/>
      <c r="X1036" s="65" t="s">
        <v>231</v>
      </c>
      <c r="Y1036" s="65">
        <f t="shared" ca="1" si="142"/>
        <v>1</v>
      </c>
      <c r="Z1036" s="3">
        <f t="shared" ca="1" si="143"/>
        <v>0.37318744392149039</v>
      </c>
      <c r="AA1036" s="6">
        <f t="shared" ca="1" si="144"/>
        <v>98159.108782329116</v>
      </c>
      <c r="AB1036" s="6">
        <f t="shared" ca="1" si="145"/>
        <v>848.00404009388421</v>
      </c>
    </row>
    <row r="1037" spans="1:28" x14ac:dyDescent="0.3">
      <c r="A1037" s="53"/>
      <c r="B1037" s="54"/>
      <c r="C1037" s="65" t="s">
        <v>231</v>
      </c>
      <c r="D1037" s="65">
        <f t="shared" ref="D1037:D1100" ca="1" si="146">INT(RAND()*4)+1</f>
        <v>4</v>
      </c>
      <c r="E1037" s="3">
        <f t="shared" ref="E1037:E1100" ca="1" si="147">RAND()</f>
        <v>0.31149383296287869</v>
      </c>
      <c r="F1037" s="6">
        <f t="shared" ref="F1037:F1100" ca="1" si="148">RAND()*200000</f>
        <v>145134.50933894384</v>
      </c>
      <c r="G1037" s="6">
        <f t="shared" ref="G1037:G1100" ca="1" si="149">RAND()*2000</f>
        <v>412.32921614614185</v>
      </c>
      <c r="V1037" s="53"/>
      <c r="W1037" s="54"/>
      <c r="X1037" s="65" t="s">
        <v>231</v>
      </c>
      <c r="Y1037" s="65">
        <f t="shared" ref="Y1037:Y1100" ca="1" si="150">INT(RAND()*4)+1</f>
        <v>3</v>
      </c>
      <c r="Z1037" s="3">
        <f t="shared" ref="Z1037:Z1100" ca="1" si="151">RAND()</f>
        <v>0.82058493361822593</v>
      </c>
      <c r="AA1037" s="6">
        <f t="shared" ref="AA1037:AA1100" ca="1" si="152">RAND()*200000</f>
        <v>72429.21580611117</v>
      </c>
      <c r="AB1037" s="6">
        <f t="shared" ref="AB1037:AB1100" ca="1" si="153">RAND()*2000</f>
        <v>722.60764456910783</v>
      </c>
    </row>
    <row r="1038" spans="1:28" x14ac:dyDescent="0.3">
      <c r="A1038" s="53"/>
      <c r="B1038" s="54"/>
      <c r="C1038" s="65" t="s">
        <v>231</v>
      </c>
      <c r="D1038" s="65">
        <f t="shared" ca="1" si="146"/>
        <v>2</v>
      </c>
      <c r="E1038" s="3">
        <f t="shared" ca="1" si="147"/>
        <v>0.22604558832602595</v>
      </c>
      <c r="F1038" s="6">
        <f t="shared" ca="1" si="148"/>
        <v>2191.9018546012971</v>
      </c>
      <c r="G1038" s="6">
        <f t="shared" ca="1" si="149"/>
        <v>748.66805227144528</v>
      </c>
      <c r="V1038" s="53"/>
      <c r="W1038" s="54"/>
      <c r="X1038" s="65" t="s">
        <v>231</v>
      </c>
      <c r="Y1038" s="65">
        <f t="shared" ca="1" si="150"/>
        <v>4</v>
      </c>
      <c r="Z1038" s="3">
        <f t="shared" ca="1" si="151"/>
        <v>0.22786122525649677</v>
      </c>
      <c r="AA1038" s="6">
        <f t="shared" ca="1" si="152"/>
        <v>64816.141148454066</v>
      </c>
      <c r="AB1038" s="6">
        <f t="shared" ca="1" si="153"/>
        <v>816.98484281012202</v>
      </c>
    </row>
    <row r="1039" spans="1:28" x14ac:dyDescent="0.3">
      <c r="A1039" s="53"/>
      <c r="B1039" s="54"/>
      <c r="C1039" s="65" t="s">
        <v>231</v>
      </c>
      <c r="D1039" s="65">
        <f t="shared" ca="1" si="146"/>
        <v>4</v>
      </c>
      <c r="E1039" s="3">
        <f t="shared" ca="1" si="147"/>
        <v>0.1201589212214591</v>
      </c>
      <c r="F1039" s="6">
        <f t="shared" ca="1" si="148"/>
        <v>91263.739494756635</v>
      </c>
      <c r="G1039" s="6">
        <f t="shared" ca="1" si="149"/>
        <v>310.77858021589645</v>
      </c>
      <c r="V1039" s="53"/>
      <c r="W1039" s="54"/>
      <c r="X1039" s="65" t="s">
        <v>231</v>
      </c>
      <c r="Y1039" s="65">
        <f t="shared" ca="1" si="150"/>
        <v>3</v>
      </c>
      <c r="Z1039" s="3">
        <f t="shared" ca="1" si="151"/>
        <v>0.49433091326031708</v>
      </c>
      <c r="AA1039" s="6">
        <f t="shared" ca="1" si="152"/>
        <v>113426.72103733775</v>
      </c>
      <c r="AB1039" s="6">
        <f t="shared" ca="1" si="153"/>
        <v>1999.8466372512255</v>
      </c>
    </row>
    <row r="1040" spans="1:28" x14ac:dyDescent="0.3">
      <c r="A1040" s="53"/>
      <c r="B1040" s="54"/>
      <c r="C1040" s="65" t="s">
        <v>231</v>
      </c>
      <c r="D1040" s="65">
        <f t="shared" ca="1" si="146"/>
        <v>2</v>
      </c>
      <c r="E1040" s="3">
        <f t="shared" ca="1" si="147"/>
        <v>0.24899175653601568</v>
      </c>
      <c r="F1040" s="6">
        <f t="shared" ca="1" si="148"/>
        <v>187547.82451697113</v>
      </c>
      <c r="G1040" s="6">
        <f t="shared" ca="1" si="149"/>
        <v>879.15678973946012</v>
      </c>
      <c r="V1040" s="53"/>
      <c r="W1040" s="54"/>
      <c r="X1040" s="65" t="s">
        <v>231</v>
      </c>
      <c r="Y1040" s="65">
        <f t="shared" ca="1" si="150"/>
        <v>3</v>
      </c>
      <c r="Z1040" s="3">
        <f t="shared" ca="1" si="151"/>
        <v>0.64178592258588829</v>
      </c>
      <c r="AA1040" s="6">
        <f t="shared" ca="1" si="152"/>
        <v>174070.72235545851</v>
      </c>
      <c r="AB1040" s="6">
        <f t="shared" ca="1" si="153"/>
        <v>1398.8806117349084</v>
      </c>
    </row>
    <row r="1041" spans="1:28" x14ac:dyDescent="0.3">
      <c r="A1041" s="53"/>
      <c r="B1041" s="54"/>
      <c r="C1041" s="65" t="s">
        <v>231</v>
      </c>
      <c r="D1041" s="65">
        <f t="shared" ca="1" si="146"/>
        <v>3</v>
      </c>
      <c r="E1041" s="3">
        <f t="shared" ca="1" si="147"/>
        <v>8.7937690846838668E-2</v>
      </c>
      <c r="F1041" s="6">
        <f t="shared" ca="1" si="148"/>
        <v>34886.529836043235</v>
      </c>
      <c r="G1041" s="6">
        <f t="shared" ca="1" si="149"/>
        <v>1926.1997182017228</v>
      </c>
      <c r="V1041" s="53"/>
      <c r="W1041" s="54"/>
      <c r="X1041" s="65" t="s">
        <v>231</v>
      </c>
      <c r="Y1041" s="65">
        <f t="shared" ca="1" si="150"/>
        <v>2</v>
      </c>
      <c r="Z1041" s="3">
        <f t="shared" ca="1" si="151"/>
        <v>0.45984898696955645</v>
      </c>
      <c r="AA1041" s="6">
        <f t="shared" ca="1" si="152"/>
        <v>176042.39248710749</v>
      </c>
      <c r="AB1041" s="6">
        <f t="shared" ca="1" si="153"/>
        <v>276.56604620925538</v>
      </c>
    </row>
    <row r="1042" spans="1:28" x14ac:dyDescent="0.3">
      <c r="A1042" s="53"/>
      <c r="B1042" s="54"/>
      <c r="C1042" s="65" t="s">
        <v>231</v>
      </c>
      <c r="D1042" s="65">
        <f t="shared" ca="1" si="146"/>
        <v>2</v>
      </c>
      <c r="E1042" s="3">
        <f t="shared" ca="1" si="147"/>
        <v>0.91534649662479939</v>
      </c>
      <c r="F1042" s="6">
        <f t="shared" ca="1" si="148"/>
        <v>191391.18270343798</v>
      </c>
      <c r="G1042" s="6">
        <f t="shared" ca="1" si="149"/>
        <v>219.92452024579845</v>
      </c>
      <c r="V1042" s="53"/>
      <c r="W1042" s="54"/>
      <c r="X1042" s="65" t="s">
        <v>231</v>
      </c>
      <c r="Y1042" s="65">
        <f t="shared" ca="1" si="150"/>
        <v>3</v>
      </c>
      <c r="Z1042" s="3">
        <f t="shared" ca="1" si="151"/>
        <v>0.59939641690859702</v>
      </c>
      <c r="AA1042" s="6">
        <f t="shared" ca="1" si="152"/>
        <v>166769.63551359886</v>
      </c>
      <c r="AB1042" s="6">
        <f t="shared" ca="1" si="153"/>
        <v>1376.1211741328257</v>
      </c>
    </row>
    <row r="1043" spans="1:28" x14ac:dyDescent="0.3">
      <c r="A1043" s="53"/>
      <c r="B1043" s="54"/>
      <c r="C1043" s="65" t="s">
        <v>231</v>
      </c>
      <c r="D1043" s="65">
        <f t="shared" ca="1" si="146"/>
        <v>3</v>
      </c>
      <c r="E1043" s="3">
        <f t="shared" ca="1" si="147"/>
        <v>0.88795089923333614</v>
      </c>
      <c r="F1043" s="6">
        <f t="shared" ca="1" si="148"/>
        <v>99011.991895261235</v>
      </c>
      <c r="G1043" s="6">
        <f t="shared" ca="1" si="149"/>
        <v>925.49703728266275</v>
      </c>
      <c r="V1043" s="53"/>
      <c r="W1043" s="54"/>
      <c r="X1043" s="65" t="s">
        <v>231</v>
      </c>
      <c r="Y1043" s="65">
        <f t="shared" ca="1" si="150"/>
        <v>4</v>
      </c>
      <c r="Z1043" s="3">
        <f t="shared" ca="1" si="151"/>
        <v>0.94142768071097593</v>
      </c>
      <c r="AA1043" s="6">
        <f t="shared" ca="1" si="152"/>
        <v>20441.635789484146</v>
      </c>
      <c r="AB1043" s="6">
        <f t="shared" ca="1" si="153"/>
        <v>1528.1873705126302</v>
      </c>
    </row>
    <row r="1044" spans="1:28" x14ac:dyDescent="0.3">
      <c r="A1044" s="53"/>
      <c r="B1044" s="54"/>
      <c r="C1044" s="65" t="s">
        <v>231</v>
      </c>
      <c r="D1044" s="65">
        <f t="shared" ca="1" si="146"/>
        <v>4</v>
      </c>
      <c r="E1044" s="3">
        <f t="shared" ca="1" si="147"/>
        <v>0.19681134460863803</v>
      </c>
      <c r="F1044" s="6">
        <f t="shared" ca="1" si="148"/>
        <v>194778.88074853166</v>
      </c>
      <c r="G1044" s="6">
        <f t="shared" ca="1" si="149"/>
        <v>71.469079545772416</v>
      </c>
      <c r="V1044" s="53"/>
      <c r="W1044" s="54"/>
      <c r="X1044" s="65" t="s">
        <v>231</v>
      </c>
      <c r="Y1044" s="65">
        <f t="shared" ca="1" si="150"/>
        <v>1</v>
      </c>
      <c r="Z1044" s="3">
        <f t="shared" ca="1" si="151"/>
        <v>0.90324596209843111</v>
      </c>
      <c r="AA1044" s="6">
        <f t="shared" ca="1" si="152"/>
        <v>87432.838769115333</v>
      </c>
      <c r="AB1044" s="6">
        <f t="shared" ca="1" si="153"/>
        <v>402.98545617967972</v>
      </c>
    </row>
    <row r="1045" spans="1:28" x14ac:dyDescent="0.3">
      <c r="A1045" s="53"/>
      <c r="B1045" s="54"/>
      <c r="C1045" s="65" t="s">
        <v>231</v>
      </c>
      <c r="D1045" s="65">
        <f t="shared" ca="1" si="146"/>
        <v>1</v>
      </c>
      <c r="E1045" s="3">
        <f t="shared" ca="1" si="147"/>
        <v>0.62231394691115272</v>
      </c>
      <c r="F1045" s="6">
        <f t="shared" ca="1" si="148"/>
        <v>88676.801001746237</v>
      </c>
      <c r="G1045" s="6">
        <f t="shared" ca="1" si="149"/>
        <v>40.823454550498852</v>
      </c>
      <c r="V1045" s="53"/>
      <c r="W1045" s="54"/>
      <c r="X1045" s="65" t="s">
        <v>231</v>
      </c>
      <c r="Y1045" s="65">
        <f t="shared" ca="1" si="150"/>
        <v>4</v>
      </c>
      <c r="Z1045" s="3">
        <f t="shared" ca="1" si="151"/>
        <v>0.89599358232516824</v>
      </c>
      <c r="AA1045" s="6">
        <f t="shared" ca="1" si="152"/>
        <v>92100.805379952668</v>
      </c>
      <c r="AB1045" s="6">
        <f t="shared" ca="1" si="153"/>
        <v>1403.5651036699426</v>
      </c>
    </row>
    <row r="1046" spans="1:28" x14ac:dyDescent="0.3">
      <c r="A1046" s="53"/>
      <c r="B1046" s="54"/>
      <c r="C1046" s="65" t="s">
        <v>231</v>
      </c>
      <c r="D1046" s="65">
        <f t="shared" ca="1" si="146"/>
        <v>2</v>
      </c>
      <c r="E1046" s="3">
        <f t="shared" ca="1" si="147"/>
        <v>2.6967349231831639E-2</v>
      </c>
      <c r="F1046" s="6">
        <f t="shared" ca="1" si="148"/>
        <v>49715.104810042023</v>
      </c>
      <c r="G1046" s="6">
        <f t="shared" ca="1" si="149"/>
        <v>1917.5641469743014</v>
      </c>
      <c r="V1046" s="53"/>
      <c r="W1046" s="54"/>
      <c r="X1046" s="65" t="s">
        <v>231</v>
      </c>
      <c r="Y1046" s="65">
        <f t="shared" ca="1" si="150"/>
        <v>4</v>
      </c>
      <c r="Z1046" s="3">
        <f t="shared" ca="1" si="151"/>
        <v>0.73387439677361999</v>
      </c>
      <c r="AA1046" s="6">
        <f t="shared" ca="1" si="152"/>
        <v>123000.13012290018</v>
      </c>
      <c r="AB1046" s="6">
        <f t="shared" ca="1" si="153"/>
        <v>1718.5055203898241</v>
      </c>
    </row>
    <row r="1047" spans="1:28" x14ac:dyDescent="0.3">
      <c r="A1047" s="53"/>
      <c r="B1047" s="54"/>
      <c r="C1047" s="65" t="s">
        <v>231</v>
      </c>
      <c r="D1047" s="65">
        <f t="shared" ca="1" si="146"/>
        <v>3</v>
      </c>
      <c r="E1047" s="3">
        <f t="shared" ca="1" si="147"/>
        <v>0.17664634791947786</v>
      </c>
      <c r="F1047" s="6">
        <f t="shared" ca="1" si="148"/>
        <v>41117.168445623698</v>
      </c>
      <c r="G1047" s="6">
        <f t="shared" ca="1" si="149"/>
        <v>1343.8123906653254</v>
      </c>
      <c r="V1047" s="53"/>
      <c r="W1047" s="54"/>
      <c r="X1047" s="65" t="s">
        <v>231</v>
      </c>
      <c r="Y1047" s="65">
        <f t="shared" ca="1" si="150"/>
        <v>1</v>
      </c>
      <c r="Z1047" s="3">
        <f t="shared" ca="1" si="151"/>
        <v>0.53879072373145254</v>
      </c>
      <c r="AA1047" s="6">
        <f t="shared" ca="1" si="152"/>
        <v>6707.8977142190688</v>
      </c>
      <c r="AB1047" s="6">
        <f t="shared" ca="1" si="153"/>
        <v>1479.9616915226559</v>
      </c>
    </row>
    <row r="1048" spans="1:28" x14ac:dyDescent="0.3">
      <c r="A1048" s="53"/>
      <c r="B1048" s="54"/>
      <c r="C1048" s="65" t="s">
        <v>231</v>
      </c>
      <c r="D1048" s="65">
        <f t="shared" ca="1" si="146"/>
        <v>3</v>
      </c>
      <c r="E1048" s="3">
        <f t="shared" ca="1" si="147"/>
        <v>0.82907415894242242</v>
      </c>
      <c r="F1048" s="6">
        <f t="shared" ca="1" si="148"/>
        <v>114868.68968963782</v>
      </c>
      <c r="G1048" s="6">
        <f t="shared" ca="1" si="149"/>
        <v>1533.1448736896948</v>
      </c>
      <c r="V1048" s="53"/>
      <c r="W1048" s="54"/>
      <c r="X1048" s="65" t="s">
        <v>231</v>
      </c>
      <c r="Y1048" s="65">
        <f t="shared" ca="1" si="150"/>
        <v>1</v>
      </c>
      <c r="Z1048" s="3">
        <f t="shared" ca="1" si="151"/>
        <v>0.4782887193480867</v>
      </c>
      <c r="AA1048" s="6">
        <f t="shared" ca="1" si="152"/>
        <v>153034.25630704127</v>
      </c>
      <c r="AB1048" s="6">
        <f t="shared" ca="1" si="153"/>
        <v>1621.0148591232885</v>
      </c>
    </row>
    <row r="1049" spans="1:28" x14ac:dyDescent="0.3">
      <c r="A1049" s="53"/>
      <c r="B1049" s="54"/>
      <c r="C1049" s="65" t="s">
        <v>231</v>
      </c>
      <c r="D1049" s="65">
        <f t="shared" ca="1" si="146"/>
        <v>2</v>
      </c>
      <c r="E1049" s="3">
        <f t="shared" ca="1" si="147"/>
        <v>0.5779574042252339</v>
      </c>
      <c r="F1049" s="6">
        <f t="shared" ca="1" si="148"/>
        <v>44069.872045957381</v>
      </c>
      <c r="G1049" s="6">
        <f t="shared" ca="1" si="149"/>
        <v>1592.6927990825409</v>
      </c>
      <c r="V1049" s="53"/>
      <c r="W1049" s="54"/>
      <c r="X1049" s="65" t="s">
        <v>231</v>
      </c>
      <c r="Y1049" s="65">
        <f t="shared" ca="1" si="150"/>
        <v>3</v>
      </c>
      <c r="Z1049" s="3">
        <f t="shared" ca="1" si="151"/>
        <v>0.35206158833090395</v>
      </c>
      <c r="AA1049" s="6">
        <f t="shared" ca="1" si="152"/>
        <v>91773.911417076888</v>
      </c>
      <c r="AB1049" s="6">
        <f t="shared" ca="1" si="153"/>
        <v>955.55425272278205</v>
      </c>
    </row>
    <row r="1050" spans="1:28" x14ac:dyDescent="0.3">
      <c r="A1050" s="53"/>
      <c r="B1050" s="54"/>
      <c r="C1050" s="65" t="s">
        <v>231</v>
      </c>
      <c r="D1050" s="65">
        <f t="shared" ca="1" si="146"/>
        <v>4</v>
      </c>
      <c r="E1050" s="3">
        <f t="shared" ca="1" si="147"/>
        <v>0.13386341205215657</v>
      </c>
      <c r="F1050" s="6">
        <f t="shared" ca="1" si="148"/>
        <v>128754.76592842511</v>
      </c>
      <c r="G1050" s="6">
        <f t="shared" ca="1" si="149"/>
        <v>1137.110060723935</v>
      </c>
      <c r="V1050" s="53"/>
      <c r="W1050" s="54"/>
      <c r="X1050" s="65" t="s">
        <v>231</v>
      </c>
      <c r="Y1050" s="65">
        <f t="shared" ca="1" si="150"/>
        <v>3</v>
      </c>
      <c r="Z1050" s="3">
        <f t="shared" ca="1" si="151"/>
        <v>0.30089781509523195</v>
      </c>
      <c r="AA1050" s="6">
        <f t="shared" ca="1" si="152"/>
        <v>66779.745174892887</v>
      </c>
      <c r="AB1050" s="6">
        <f t="shared" ca="1" si="153"/>
        <v>451.53938047089224</v>
      </c>
    </row>
    <row r="1051" spans="1:28" x14ac:dyDescent="0.3">
      <c r="A1051" s="53"/>
      <c r="B1051" s="54"/>
      <c r="C1051" s="65" t="s">
        <v>231</v>
      </c>
      <c r="D1051" s="65">
        <f t="shared" ca="1" si="146"/>
        <v>3</v>
      </c>
      <c r="E1051" s="3">
        <f t="shared" ca="1" si="147"/>
        <v>6.5415935765603783E-2</v>
      </c>
      <c r="F1051" s="6">
        <f t="shared" ca="1" si="148"/>
        <v>129188.07082809045</v>
      </c>
      <c r="G1051" s="6">
        <f t="shared" ca="1" si="149"/>
        <v>1302.2415226022749</v>
      </c>
      <c r="V1051" s="53"/>
      <c r="W1051" s="54"/>
      <c r="X1051" s="65" t="s">
        <v>231</v>
      </c>
      <c r="Y1051" s="65">
        <f t="shared" ca="1" si="150"/>
        <v>1</v>
      </c>
      <c r="Z1051" s="3">
        <f t="shared" ca="1" si="151"/>
        <v>0.48978998325095047</v>
      </c>
      <c r="AA1051" s="6">
        <f t="shared" ca="1" si="152"/>
        <v>151349.51460221881</v>
      </c>
      <c r="AB1051" s="6">
        <f t="shared" ca="1" si="153"/>
        <v>403.94049325297618</v>
      </c>
    </row>
    <row r="1052" spans="1:28" x14ac:dyDescent="0.3">
      <c r="A1052" s="53"/>
      <c r="B1052" s="54"/>
      <c r="C1052" s="65" t="s">
        <v>231</v>
      </c>
      <c r="D1052" s="65">
        <f t="shared" ca="1" si="146"/>
        <v>3</v>
      </c>
      <c r="E1052" s="3">
        <f t="shared" ca="1" si="147"/>
        <v>0.66790041341459583</v>
      </c>
      <c r="F1052" s="6">
        <f t="shared" ca="1" si="148"/>
        <v>158532.3238673686</v>
      </c>
      <c r="G1052" s="6">
        <f t="shared" ca="1" si="149"/>
        <v>894.88509202343437</v>
      </c>
      <c r="V1052" s="53"/>
      <c r="W1052" s="54"/>
      <c r="X1052" s="65" t="s">
        <v>231</v>
      </c>
      <c r="Y1052" s="65">
        <f t="shared" ca="1" si="150"/>
        <v>1</v>
      </c>
      <c r="Z1052" s="3">
        <f t="shared" ca="1" si="151"/>
        <v>4.2156269308149086E-2</v>
      </c>
      <c r="AA1052" s="6">
        <f t="shared" ca="1" si="152"/>
        <v>184733.70639686187</v>
      </c>
      <c r="AB1052" s="6">
        <f t="shared" ca="1" si="153"/>
        <v>1654.9835177551684</v>
      </c>
    </row>
    <row r="1053" spans="1:28" x14ac:dyDescent="0.3">
      <c r="A1053" s="53"/>
      <c r="B1053" s="54"/>
      <c r="C1053" s="65" t="s">
        <v>231</v>
      </c>
      <c r="D1053" s="65">
        <f t="shared" ca="1" si="146"/>
        <v>3</v>
      </c>
      <c r="E1053" s="3">
        <f t="shared" ca="1" si="147"/>
        <v>0.30022523200458939</v>
      </c>
      <c r="F1053" s="6">
        <f t="shared" ca="1" si="148"/>
        <v>27039.13601386896</v>
      </c>
      <c r="G1053" s="6">
        <f t="shared" ca="1" si="149"/>
        <v>755.18059550161558</v>
      </c>
      <c r="V1053" s="53"/>
      <c r="W1053" s="54"/>
      <c r="X1053" s="65" t="s">
        <v>231</v>
      </c>
      <c r="Y1053" s="65">
        <f t="shared" ca="1" si="150"/>
        <v>1</v>
      </c>
      <c r="Z1053" s="3">
        <f t="shared" ca="1" si="151"/>
        <v>0.52569673575033027</v>
      </c>
      <c r="AA1053" s="6">
        <f t="shared" ca="1" si="152"/>
        <v>49872.068182386494</v>
      </c>
      <c r="AB1053" s="6">
        <f t="shared" ca="1" si="153"/>
        <v>1657.7400487873235</v>
      </c>
    </row>
    <row r="1054" spans="1:28" x14ac:dyDescent="0.3">
      <c r="A1054" s="53"/>
      <c r="B1054" s="54"/>
      <c r="C1054" s="65" t="s">
        <v>231</v>
      </c>
      <c r="D1054" s="65">
        <f t="shared" ca="1" si="146"/>
        <v>2</v>
      </c>
      <c r="E1054" s="3">
        <f t="shared" ca="1" si="147"/>
        <v>0.1843083822458822</v>
      </c>
      <c r="F1054" s="6">
        <f t="shared" ca="1" si="148"/>
        <v>56208.257923994999</v>
      </c>
      <c r="G1054" s="6">
        <f t="shared" ca="1" si="149"/>
        <v>1677.1269338510151</v>
      </c>
      <c r="V1054" s="53"/>
      <c r="W1054" s="54"/>
      <c r="X1054" s="65" t="s">
        <v>231</v>
      </c>
      <c r="Y1054" s="65">
        <f t="shared" ca="1" si="150"/>
        <v>1</v>
      </c>
      <c r="Z1054" s="3">
        <f t="shared" ca="1" si="151"/>
        <v>0.75728302330486419</v>
      </c>
      <c r="AA1054" s="6">
        <f t="shared" ca="1" si="152"/>
        <v>184621.42873104991</v>
      </c>
      <c r="AB1054" s="6">
        <f t="shared" ca="1" si="153"/>
        <v>1233.0081165599438</v>
      </c>
    </row>
    <row r="1055" spans="1:28" x14ac:dyDescent="0.3">
      <c r="A1055" s="53"/>
      <c r="B1055" s="54"/>
      <c r="C1055" s="65" t="s">
        <v>231</v>
      </c>
      <c r="D1055" s="65">
        <f t="shared" ca="1" si="146"/>
        <v>3</v>
      </c>
      <c r="E1055" s="3">
        <f t="shared" ca="1" si="147"/>
        <v>8.8684188348060022E-2</v>
      </c>
      <c r="F1055" s="6">
        <f t="shared" ca="1" si="148"/>
        <v>31946.621929295183</v>
      </c>
      <c r="G1055" s="6">
        <f t="shared" ca="1" si="149"/>
        <v>1310.6099921146294</v>
      </c>
      <c r="V1055" s="53"/>
      <c r="W1055" s="54"/>
      <c r="X1055" s="65" t="s">
        <v>231</v>
      </c>
      <c r="Y1055" s="65">
        <f t="shared" ca="1" si="150"/>
        <v>2</v>
      </c>
      <c r="Z1055" s="3">
        <f t="shared" ca="1" si="151"/>
        <v>0.96978745357058505</v>
      </c>
      <c r="AA1055" s="6">
        <f t="shared" ca="1" si="152"/>
        <v>186994.86457561699</v>
      </c>
      <c r="AB1055" s="6">
        <f t="shared" ca="1" si="153"/>
        <v>351.55418842412354</v>
      </c>
    </row>
    <row r="1056" spans="1:28" x14ac:dyDescent="0.3">
      <c r="A1056" s="53"/>
      <c r="B1056" s="54"/>
      <c r="C1056" s="65" t="s">
        <v>231</v>
      </c>
      <c r="D1056" s="65">
        <f t="shared" ca="1" si="146"/>
        <v>2</v>
      </c>
      <c r="E1056" s="3">
        <f t="shared" ca="1" si="147"/>
        <v>0.95753949779747805</v>
      </c>
      <c r="F1056" s="6">
        <f t="shared" ca="1" si="148"/>
        <v>97749.1666088208</v>
      </c>
      <c r="G1056" s="6">
        <f t="shared" ca="1" si="149"/>
        <v>66.60671994981216</v>
      </c>
      <c r="V1056" s="53"/>
      <c r="W1056" s="54"/>
      <c r="X1056" s="65" t="s">
        <v>231</v>
      </c>
      <c r="Y1056" s="65">
        <f t="shared" ca="1" si="150"/>
        <v>3</v>
      </c>
      <c r="Z1056" s="3">
        <f t="shared" ca="1" si="151"/>
        <v>0.67992007515339015</v>
      </c>
      <c r="AA1056" s="6">
        <f t="shared" ca="1" si="152"/>
        <v>47194.833576652549</v>
      </c>
      <c r="AB1056" s="6">
        <f t="shared" ca="1" si="153"/>
        <v>1704.5307851753946</v>
      </c>
    </row>
    <row r="1057" spans="1:28" x14ac:dyDescent="0.3">
      <c r="A1057" s="53"/>
      <c r="B1057" s="54"/>
      <c r="C1057" s="65" t="s">
        <v>231</v>
      </c>
      <c r="D1057" s="65">
        <f t="shared" ca="1" si="146"/>
        <v>3</v>
      </c>
      <c r="E1057" s="3">
        <f t="shared" ca="1" si="147"/>
        <v>0.5276687491557368</v>
      </c>
      <c r="F1057" s="6">
        <f t="shared" ca="1" si="148"/>
        <v>98380.339102971775</v>
      </c>
      <c r="G1057" s="6">
        <f t="shared" ca="1" si="149"/>
        <v>1754.4680254308294</v>
      </c>
      <c r="V1057" s="53"/>
      <c r="W1057" s="54"/>
      <c r="X1057" s="65" t="s">
        <v>231</v>
      </c>
      <c r="Y1057" s="65">
        <f t="shared" ca="1" si="150"/>
        <v>4</v>
      </c>
      <c r="Z1057" s="3">
        <f t="shared" ca="1" si="151"/>
        <v>0.43818134567758693</v>
      </c>
      <c r="AA1057" s="6">
        <f t="shared" ca="1" si="152"/>
        <v>47244.89865286454</v>
      </c>
      <c r="AB1057" s="6">
        <f t="shared" ca="1" si="153"/>
        <v>1121.2504236126649</v>
      </c>
    </row>
    <row r="1058" spans="1:28" x14ac:dyDescent="0.3">
      <c r="A1058" s="53"/>
      <c r="B1058" s="54"/>
      <c r="C1058" s="65" t="s">
        <v>231</v>
      </c>
      <c r="D1058" s="65">
        <f t="shared" ca="1" si="146"/>
        <v>1</v>
      </c>
      <c r="E1058" s="3">
        <f t="shared" ca="1" si="147"/>
        <v>0.61052205555293049</v>
      </c>
      <c r="F1058" s="6">
        <f t="shared" ca="1" si="148"/>
        <v>192828.80684591553</v>
      </c>
      <c r="G1058" s="6">
        <f t="shared" ca="1" si="149"/>
        <v>1913.1569095342727</v>
      </c>
      <c r="V1058" s="53"/>
      <c r="W1058" s="54"/>
      <c r="X1058" s="65" t="s">
        <v>231</v>
      </c>
      <c r="Y1058" s="65">
        <f t="shared" ca="1" si="150"/>
        <v>1</v>
      </c>
      <c r="Z1058" s="3">
        <f t="shared" ca="1" si="151"/>
        <v>0.48355926633409096</v>
      </c>
      <c r="AA1058" s="6">
        <f t="shared" ca="1" si="152"/>
        <v>85536.786362219049</v>
      </c>
      <c r="AB1058" s="6">
        <f t="shared" ca="1" si="153"/>
        <v>625.17180350063506</v>
      </c>
    </row>
    <row r="1059" spans="1:28" x14ac:dyDescent="0.3">
      <c r="A1059" s="53"/>
      <c r="B1059" s="54"/>
      <c r="C1059" s="65" t="s">
        <v>231</v>
      </c>
      <c r="D1059" s="65">
        <f t="shared" ca="1" si="146"/>
        <v>4</v>
      </c>
      <c r="E1059" s="3">
        <f t="shared" ca="1" si="147"/>
        <v>0.1255148097779718</v>
      </c>
      <c r="F1059" s="6">
        <f t="shared" ca="1" si="148"/>
        <v>44230.917194513597</v>
      </c>
      <c r="G1059" s="6">
        <f t="shared" ca="1" si="149"/>
        <v>11.450721923678131</v>
      </c>
      <c r="V1059" s="53"/>
      <c r="W1059" s="54"/>
      <c r="X1059" s="65" t="s">
        <v>231</v>
      </c>
      <c r="Y1059" s="65">
        <f t="shared" ca="1" si="150"/>
        <v>2</v>
      </c>
      <c r="Z1059" s="3">
        <f t="shared" ca="1" si="151"/>
        <v>0.83543257056547837</v>
      </c>
      <c r="AA1059" s="6">
        <f t="shared" ca="1" si="152"/>
        <v>154337.21248025462</v>
      </c>
      <c r="AB1059" s="6">
        <f t="shared" ca="1" si="153"/>
        <v>399.31770914653788</v>
      </c>
    </row>
    <row r="1060" spans="1:28" x14ac:dyDescent="0.3">
      <c r="A1060" s="53"/>
      <c r="B1060" s="54"/>
      <c r="C1060" s="65" t="s">
        <v>231</v>
      </c>
      <c r="D1060" s="65">
        <f t="shared" ca="1" si="146"/>
        <v>2</v>
      </c>
      <c r="E1060" s="3">
        <f t="shared" ca="1" si="147"/>
        <v>0.5289139600801267</v>
      </c>
      <c r="F1060" s="6">
        <f t="shared" ca="1" si="148"/>
        <v>134072.8730029843</v>
      </c>
      <c r="G1060" s="6">
        <f t="shared" ca="1" si="149"/>
        <v>971.64078188660267</v>
      </c>
      <c r="V1060" s="53"/>
      <c r="W1060" s="54"/>
      <c r="X1060" s="65" t="s">
        <v>231</v>
      </c>
      <c r="Y1060" s="65">
        <f t="shared" ca="1" si="150"/>
        <v>3</v>
      </c>
      <c r="Z1060" s="3">
        <f t="shared" ca="1" si="151"/>
        <v>7.0134228683577549E-2</v>
      </c>
      <c r="AA1060" s="6">
        <f t="shared" ca="1" si="152"/>
        <v>189643.19791289591</v>
      </c>
      <c r="AB1060" s="6">
        <f t="shared" ca="1" si="153"/>
        <v>382.5879513321575</v>
      </c>
    </row>
    <row r="1061" spans="1:28" x14ac:dyDescent="0.3">
      <c r="A1061" s="53"/>
      <c r="B1061" s="54"/>
      <c r="C1061" s="65" t="s">
        <v>231</v>
      </c>
      <c r="D1061" s="65">
        <f t="shared" ca="1" si="146"/>
        <v>3</v>
      </c>
      <c r="E1061" s="3">
        <f t="shared" ca="1" si="147"/>
        <v>0.36637896564283834</v>
      </c>
      <c r="F1061" s="6">
        <f t="shared" ca="1" si="148"/>
        <v>155508.26561853904</v>
      </c>
      <c r="G1061" s="6">
        <f t="shared" ca="1" si="149"/>
        <v>1617.6646867829106</v>
      </c>
      <c r="V1061" s="53"/>
      <c r="W1061" s="54"/>
      <c r="X1061" s="65" t="s">
        <v>231</v>
      </c>
      <c r="Y1061" s="65">
        <f t="shared" ca="1" si="150"/>
        <v>4</v>
      </c>
      <c r="Z1061" s="3">
        <f t="shared" ca="1" si="151"/>
        <v>0.5063858461551024</v>
      </c>
      <c r="AA1061" s="6">
        <f t="shared" ca="1" si="152"/>
        <v>137863.24675364635</v>
      </c>
      <c r="AB1061" s="6">
        <f t="shared" ca="1" si="153"/>
        <v>215.50022327805317</v>
      </c>
    </row>
    <row r="1062" spans="1:28" x14ac:dyDescent="0.3">
      <c r="A1062" s="53"/>
      <c r="B1062" s="54"/>
      <c r="C1062" s="65" t="s">
        <v>231</v>
      </c>
      <c r="D1062" s="65">
        <f t="shared" ca="1" si="146"/>
        <v>2</v>
      </c>
      <c r="E1062" s="3">
        <f t="shared" ca="1" si="147"/>
        <v>0.60177072616409344</v>
      </c>
      <c r="F1062" s="6">
        <f t="shared" ca="1" si="148"/>
        <v>199446.79481934101</v>
      </c>
      <c r="G1062" s="6">
        <f t="shared" ca="1" si="149"/>
        <v>220.57837046694684</v>
      </c>
      <c r="V1062" s="53"/>
      <c r="W1062" s="54"/>
      <c r="X1062" s="65" t="s">
        <v>231</v>
      </c>
      <c r="Y1062" s="65">
        <f t="shared" ca="1" si="150"/>
        <v>3</v>
      </c>
      <c r="Z1062" s="3">
        <f t="shared" ca="1" si="151"/>
        <v>0.12373994246299946</v>
      </c>
      <c r="AA1062" s="6">
        <f t="shared" ca="1" si="152"/>
        <v>130860.31511020413</v>
      </c>
      <c r="AB1062" s="6">
        <f t="shared" ca="1" si="153"/>
        <v>918.19587487342096</v>
      </c>
    </row>
    <row r="1063" spans="1:28" x14ac:dyDescent="0.3">
      <c r="A1063" s="53"/>
      <c r="B1063" s="54"/>
      <c r="C1063" s="65" t="s">
        <v>231</v>
      </c>
      <c r="D1063" s="65">
        <f t="shared" ca="1" si="146"/>
        <v>1</v>
      </c>
      <c r="E1063" s="3">
        <f t="shared" ca="1" si="147"/>
        <v>0.50227134868567769</v>
      </c>
      <c r="F1063" s="6">
        <f t="shared" ca="1" si="148"/>
        <v>132060.62410749274</v>
      </c>
      <c r="G1063" s="6">
        <f t="shared" ca="1" si="149"/>
        <v>1172.6634399825086</v>
      </c>
      <c r="V1063" s="53"/>
      <c r="W1063" s="54"/>
      <c r="X1063" s="65" t="s">
        <v>231</v>
      </c>
      <c r="Y1063" s="65">
        <f t="shared" ca="1" si="150"/>
        <v>4</v>
      </c>
      <c r="Z1063" s="3">
        <f t="shared" ca="1" si="151"/>
        <v>0.12466225226072236</v>
      </c>
      <c r="AA1063" s="6">
        <f t="shared" ca="1" si="152"/>
        <v>172466.09320437416</v>
      </c>
      <c r="AB1063" s="6">
        <f t="shared" ca="1" si="153"/>
        <v>1011.6729597146133</v>
      </c>
    </row>
    <row r="1064" spans="1:28" x14ac:dyDescent="0.3">
      <c r="A1064" s="53"/>
      <c r="B1064" s="54"/>
      <c r="C1064" s="65" t="s">
        <v>231</v>
      </c>
      <c r="D1064" s="65">
        <f t="shared" ca="1" si="146"/>
        <v>2</v>
      </c>
      <c r="E1064" s="3">
        <f t="shared" ca="1" si="147"/>
        <v>0.50161788472426816</v>
      </c>
      <c r="F1064" s="6">
        <f t="shared" ca="1" si="148"/>
        <v>120944.81621142905</v>
      </c>
      <c r="G1064" s="6">
        <f t="shared" ca="1" si="149"/>
        <v>1806.0931966443179</v>
      </c>
      <c r="V1064" s="53"/>
      <c r="W1064" s="54"/>
      <c r="X1064" s="65" t="s">
        <v>231</v>
      </c>
      <c r="Y1064" s="65">
        <f t="shared" ca="1" si="150"/>
        <v>1</v>
      </c>
      <c r="Z1064" s="3">
        <f t="shared" ca="1" si="151"/>
        <v>0.66973019746162499</v>
      </c>
      <c r="AA1064" s="6">
        <f t="shared" ca="1" si="152"/>
        <v>157290.27168638207</v>
      </c>
      <c r="AB1064" s="6">
        <f t="shared" ca="1" si="153"/>
        <v>1721.8642248924807</v>
      </c>
    </row>
    <row r="1065" spans="1:28" x14ac:dyDescent="0.3">
      <c r="A1065" s="53"/>
      <c r="B1065" s="54"/>
      <c r="C1065" s="65" t="s">
        <v>231</v>
      </c>
      <c r="D1065" s="65">
        <f t="shared" ca="1" si="146"/>
        <v>2</v>
      </c>
      <c r="E1065" s="3">
        <f t="shared" ca="1" si="147"/>
        <v>0.66136579568087417</v>
      </c>
      <c r="F1065" s="6">
        <f t="shared" ca="1" si="148"/>
        <v>51156.924065286868</v>
      </c>
      <c r="G1065" s="6">
        <f t="shared" ca="1" si="149"/>
        <v>464.97596535938482</v>
      </c>
      <c r="V1065" s="53"/>
      <c r="W1065" s="54"/>
      <c r="X1065" s="65" t="s">
        <v>231</v>
      </c>
      <c r="Y1065" s="65">
        <f t="shared" ca="1" si="150"/>
        <v>4</v>
      </c>
      <c r="Z1065" s="3">
        <f t="shared" ca="1" si="151"/>
        <v>0.33734094977356832</v>
      </c>
      <c r="AA1065" s="6">
        <f t="shared" ca="1" si="152"/>
        <v>176764.56873357637</v>
      </c>
      <c r="AB1065" s="6">
        <f t="shared" ca="1" si="153"/>
        <v>482.91207478734657</v>
      </c>
    </row>
    <row r="1066" spans="1:28" x14ac:dyDescent="0.3">
      <c r="A1066" s="53"/>
      <c r="B1066" s="54"/>
      <c r="C1066" s="65" t="s">
        <v>231</v>
      </c>
      <c r="D1066" s="65">
        <f t="shared" ca="1" si="146"/>
        <v>4</v>
      </c>
      <c r="E1066" s="3">
        <f t="shared" ca="1" si="147"/>
        <v>0.31650921228263607</v>
      </c>
      <c r="F1066" s="6">
        <f t="shared" ca="1" si="148"/>
        <v>8330.3635169475147</v>
      </c>
      <c r="G1066" s="6">
        <f t="shared" ca="1" si="149"/>
        <v>1831.288644379254</v>
      </c>
      <c r="V1066" s="53"/>
      <c r="W1066" s="54"/>
      <c r="X1066" s="65" t="s">
        <v>231</v>
      </c>
      <c r="Y1066" s="65">
        <f t="shared" ca="1" si="150"/>
        <v>4</v>
      </c>
      <c r="Z1066" s="3">
        <f t="shared" ca="1" si="151"/>
        <v>5.0544721856956687E-2</v>
      </c>
      <c r="AA1066" s="6">
        <f t="shared" ca="1" si="152"/>
        <v>2400.3712281147396</v>
      </c>
      <c r="AB1066" s="6">
        <f t="shared" ca="1" si="153"/>
        <v>454.80218782510764</v>
      </c>
    </row>
    <row r="1067" spans="1:28" x14ac:dyDescent="0.3">
      <c r="A1067" s="53"/>
      <c r="B1067" s="54"/>
      <c r="C1067" s="65" t="s">
        <v>231</v>
      </c>
      <c r="D1067" s="65">
        <f t="shared" ca="1" si="146"/>
        <v>4</v>
      </c>
      <c r="E1067" s="3">
        <f t="shared" ca="1" si="147"/>
        <v>0.78062248424051217</v>
      </c>
      <c r="F1067" s="6">
        <f t="shared" ca="1" si="148"/>
        <v>27778.592401216894</v>
      </c>
      <c r="G1067" s="6">
        <f t="shared" ca="1" si="149"/>
        <v>268.47163348856083</v>
      </c>
      <c r="V1067" s="53"/>
      <c r="W1067" s="54"/>
      <c r="X1067" s="65" t="s">
        <v>231</v>
      </c>
      <c r="Y1067" s="65">
        <f t="shared" ca="1" si="150"/>
        <v>3</v>
      </c>
      <c r="Z1067" s="3">
        <f t="shared" ca="1" si="151"/>
        <v>0.64311935401308584</v>
      </c>
      <c r="AA1067" s="6">
        <f t="shared" ca="1" si="152"/>
        <v>89453.203886367599</v>
      </c>
      <c r="AB1067" s="6">
        <f t="shared" ca="1" si="153"/>
        <v>286.81436248118496</v>
      </c>
    </row>
    <row r="1068" spans="1:28" x14ac:dyDescent="0.3">
      <c r="A1068" s="53"/>
      <c r="B1068" s="54"/>
      <c r="C1068" s="65" t="s">
        <v>231</v>
      </c>
      <c r="D1068" s="65">
        <f t="shared" ca="1" si="146"/>
        <v>4</v>
      </c>
      <c r="E1068" s="3">
        <f t="shared" ca="1" si="147"/>
        <v>0.8734167222882645</v>
      </c>
      <c r="F1068" s="6">
        <f t="shared" ca="1" si="148"/>
        <v>38054.407676298084</v>
      </c>
      <c r="G1068" s="6">
        <f t="shared" ca="1" si="149"/>
        <v>1362.0655353679374</v>
      </c>
      <c r="V1068" s="53"/>
      <c r="W1068" s="54"/>
      <c r="X1068" s="65" t="s">
        <v>231</v>
      </c>
      <c r="Y1068" s="65">
        <f t="shared" ca="1" si="150"/>
        <v>4</v>
      </c>
      <c r="Z1068" s="3">
        <f t="shared" ca="1" si="151"/>
        <v>0.32262430534626452</v>
      </c>
      <c r="AA1068" s="6">
        <f t="shared" ca="1" si="152"/>
        <v>179298.46560193581</v>
      </c>
      <c r="AB1068" s="6">
        <f t="shared" ca="1" si="153"/>
        <v>1744.657726831681</v>
      </c>
    </row>
    <row r="1069" spans="1:28" x14ac:dyDescent="0.3">
      <c r="A1069" s="53"/>
      <c r="B1069" s="54"/>
      <c r="C1069" s="65" t="s">
        <v>231</v>
      </c>
      <c r="D1069" s="65">
        <f t="shared" ca="1" si="146"/>
        <v>4</v>
      </c>
      <c r="E1069" s="3">
        <f t="shared" ca="1" si="147"/>
        <v>0.54259920061925193</v>
      </c>
      <c r="F1069" s="6">
        <f t="shared" ca="1" si="148"/>
        <v>98131.44671909108</v>
      </c>
      <c r="G1069" s="6">
        <f t="shared" ca="1" si="149"/>
        <v>1286.5090369516404</v>
      </c>
      <c r="V1069" s="53"/>
      <c r="W1069" s="54"/>
      <c r="X1069" s="65" t="s">
        <v>231</v>
      </c>
      <c r="Y1069" s="65">
        <f t="shared" ca="1" si="150"/>
        <v>1</v>
      </c>
      <c r="Z1069" s="3">
        <f t="shared" ca="1" si="151"/>
        <v>0.27008925662240857</v>
      </c>
      <c r="AA1069" s="6">
        <f t="shared" ca="1" si="152"/>
        <v>161696.63549770499</v>
      </c>
      <c r="AB1069" s="6">
        <f t="shared" ca="1" si="153"/>
        <v>1675.4576412892384</v>
      </c>
    </row>
    <row r="1070" spans="1:28" x14ac:dyDescent="0.3">
      <c r="A1070" s="53"/>
      <c r="B1070" s="54"/>
      <c r="C1070" s="65" t="s">
        <v>231</v>
      </c>
      <c r="D1070" s="65">
        <f t="shared" ca="1" si="146"/>
        <v>2</v>
      </c>
      <c r="E1070" s="3">
        <f t="shared" ca="1" si="147"/>
        <v>0.69480439687995454</v>
      </c>
      <c r="F1070" s="6">
        <f t="shared" ca="1" si="148"/>
        <v>134973.85139373853</v>
      </c>
      <c r="G1070" s="6">
        <f t="shared" ca="1" si="149"/>
        <v>301.65588909209993</v>
      </c>
      <c r="V1070" s="53"/>
      <c r="W1070" s="54"/>
      <c r="X1070" s="65" t="s">
        <v>231</v>
      </c>
      <c r="Y1070" s="65">
        <f t="shared" ca="1" si="150"/>
        <v>3</v>
      </c>
      <c r="Z1070" s="3">
        <f t="shared" ca="1" si="151"/>
        <v>0.52155528220953506</v>
      </c>
      <c r="AA1070" s="6">
        <f t="shared" ca="1" si="152"/>
        <v>99898.734171978635</v>
      </c>
      <c r="AB1070" s="6">
        <f t="shared" ca="1" si="153"/>
        <v>1590.1774823833414</v>
      </c>
    </row>
    <row r="1071" spans="1:28" x14ac:dyDescent="0.3">
      <c r="A1071" s="53"/>
      <c r="B1071" s="54"/>
      <c r="C1071" s="65" t="s">
        <v>231</v>
      </c>
      <c r="D1071" s="65">
        <f t="shared" ca="1" si="146"/>
        <v>1</v>
      </c>
      <c r="E1071" s="3">
        <f t="shared" ca="1" si="147"/>
        <v>0.74238559771598589</v>
      </c>
      <c r="F1071" s="6">
        <f t="shared" ca="1" si="148"/>
        <v>82256.943533861748</v>
      </c>
      <c r="G1071" s="6">
        <f t="shared" ca="1" si="149"/>
        <v>1664.7108992985006</v>
      </c>
      <c r="V1071" s="53"/>
      <c r="W1071" s="54"/>
      <c r="X1071" s="65" t="s">
        <v>231</v>
      </c>
      <c r="Y1071" s="65">
        <f t="shared" ca="1" si="150"/>
        <v>1</v>
      </c>
      <c r="Z1071" s="3">
        <f t="shared" ca="1" si="151"/>
        <v>0.25011289613922738</v>
      </c>
      <c r="AA1071" s="6">
        <f t="shared" ca="1" si="152"/>
        <v>84494.614863350056</v>
      </c>
      <c r="AB1071" s="6">
        <f t="shared" ca="1" si="153"/>
        <v>1800.3805847374713</v>
      </c>
    </row>
    <row r="1072" spans="1:28" x14ac:dyDescent="0.3">
      <c r="A1072" s="53"/>
      <c r="B1072" s="54"/>
      <c r="C1072" s="65" t="s">
        <v>231</v>
      </c>
      <c r="D1072" s="65">
        <f t="shared" ca="1" si="146"/>
        <v>1</v>
      </c>
      <c r="E1072" s="3">
        <f t="shared" ca="1" si="147"/>
        <v>0.16006500416380698</v>
      </c>
      <c r="F1072" s="6">
        <f t="shared" ca="1" si="148"/>
        <v>50539.978195163894</v>
      </c>
      <c r="G1072" s="6">
        <f t="shared" ca="1" si="149"/>
        <v>820.8640865184293</v>
      </c>
      <c r="V1072" s="53"/>
      <c r="W1072" s="54"/>
      <c r="X1072" s="65" t="s">
        <v>231</v>
      </c>
      <c r="Y1072" s="65">
        <f t="shared" ca="1" si="150"/>
        <v>2</v>
      </c>
      <c r="Z1072" s="3">
        <f t="shared" ca="1" si="151"/>
        <v>0.1536972720631149</v>
      </c>
      <c r="AA1072" s="6">
        <f t="shared" ca="1" si="152"/>
        <v>55306.15922930868</v>
      </c>
      <c r="AB1072" s="6">
        <f t="shared" ca="1" si="153"/>
        <v>598.43544498371705</v>
      </c>
    </row>
    <row r="1073" spans="1:28" x14ac:dyDescent="0.3">
      <c r="A1073" s="53"/>
      <c r="B1073" s="54"/>
      <c r="C1073" s="65" t="s">
        <v>231</v>
      </c>
      <c r="D1073" s="65">
        <f t="shared" ca="1" si="146"/>
        <v>4</v>
      </c>
      <c r="E1073" s="3">
        <f t="shared" ca="1" si="147"/>
        <v>0.56453943562636388</v>
      </c>
      <c r="F1073" s="6">
        <f t="shared" ca="1" si="148"/>
        <v>41305.954598920325</v>
      </c>
      <c r="G1073" s="6">
        <f t="shared" ca="1" si="149"/>
        <v>572.47331595575133</v>
      </c>
      <c r="V1073" s="53"/>
      <c r="W1073" s="54"/>
      <c r="X1073" s="65" t="s">
        <v>231</v>
      </c>
      <c r="Y1073" s="65">
        <f t="shared" ca="1" si="150"/>
        <v>3</v>
      </c>
      <c r="Z1073" s="3">
        <f t="shared" ca="1" si="151"/>
        <v>2.1801622695702516E-2</v>
      </c>
      <c r="AA1073" s="6">
        <f t="shared" ca="1" si="152"/>
        <v>28518.771519243048</v>
      </c>
      <c r="AB1073" s="6">
        <f t="shared" ca="1" si="153"/>
        <v>529.22188918040945</v>
      </c>
    </row>
    <row r="1074" spans="1:28" x14ac:dyDescent="0.3">
      <c r="A1074" s="53"/>
      <c r="B1074" s="54"/>
      <c r="C1074" s="65" t="s">
        <v>231</v>
      </c>
      <c r="D1074" s="65">
        <f t="shared" ca="1" si="146"/>
        <v>1</v>
      </c>
      <c r="E1074" s="3">
        <f t="shared" ca="1" si="147"/>
        <v>0.65287569132568091</v>
      </c>
      <c r="F1074" s="6">
        <f t="shared" ca="1" si="148"/>
        <v>89438.391105794653</v>
      </c>
      <c r="G1074" s="6">
        <f t="shared" ca="1" si="149"/>
        <v>680.75476068153694</v>
      </c>
      <c r="V1074" s="53"/>
      <c r="W1074" s="54"/>
      <c r="X1074" s="65" t="s">
        <v>231</v>
      </c>
      <c r="Y1074" s="65">
        <f t="shared" ca="1" si="150"/>
        <v>2</v>
      </c>
      <c r="Z1074" s="3">
        <f t="shared" ca="1" si="151"/>
        <v>0.97822681834227798</v>
      </c>
      <c r="AA1074" s="6">
        <f t="shared" ca="1" si="152"/>
        <v>39273.413293106649</v>
      </c>
      <c r="AB1074" s="6">
        <f t="shared" ca="1" si="153"/>
        <v>1960.9808619888488</v>
      </c>
    </row>
    <row r="1075" spans="1:28" x14ac:dyDescent="0.3">
      <c r="A1075" s="53"/>
      <c r="B1075" s="54"/>
      <c r="C1075" s="65" t="s">
        <v>231</v>
      </c>
      <c r="D1075" s="65">
        <f t="shared" ca="1" si="146"/>
        <v>1</v>
      </c>
      <c r="E1075" s="3">
        <f t="shared" ca="1" si="147"/>
        <v>0.20394282342415315</v>
      </c>
      <c r="F1075" s="6">
        <f t="shared" ca="1" si="148"/>
        <v>99928.709142781852</v>
      </c>
      <c r="G1075" s="6">
        <f t="shared" ca="1" si="149"/>
        <v>876.70172538758732</v>
      </c>
      <c r="V1075" s="53"/>
      <c r="W1075" s="54"/>
      <c r="X1075" s="65" t="s">
        <v>231</v>
      </c>
      <c r="Y1075" s="65">
        <f t="shared" ca="1" si="150"/>
        <v>2</v>
      </c>
      <c r="Z1075" s="3">
        <f t="shared" ca="1" si="151"/>
        <v>0.94063916015616567</v>
      </c>
      <c r="AA1075" s="6">
        <f t="shared" ca="1" si="152"/>
        <v>174440.25813037626</v>
      </c>
      <c r="AB1075" s="6">
        <f t="shared" ca="1" si="153"/>
        <v>629.88818481830572</v>
      </c>
    </row>
    <row r="1076" spans="1:28" x14ac:dyDescent="0.3">
      <c r="A1076" s="53"/>
      <c r="B1076" s="54"/>
      <c r="C1076" s="65" t="s">
        <v>231</v>
      </c>
      <c r="D1076" s="65">
        <f t="shared" ca="1" si="146"/>
        <v>4</v>
      </c>
      <c r="E1076" s="3">
        <f t="shared" ca="1" si="147"/>
        <v>0.94522480158925559</v>
      </c>
      <c r="F1076" s="6">
        <f t="shared" ca="1" si="148"/>
        <v>68225.983817237793</v>
      </c>
      <c r="G1076" s="6">
        <f t="shared" ca="1" si="149"/>
        <v>893.40823838155734</v>
      </c>
      <c r="V1076" s="53"/>
      <c r="W1076" s="54"/>
      <c r="X1076" s="65" t="s">
        <v>231</v>
      </c>
      <c r="Y1076" s="65">
        <f t="shared" ca="1" si="150"/>
        <v>3</v>
      </c>
      <c r="Z1076" s="3">
        <f t="shared" ca="1" si="151"/>
        <v>0.66284831636739883</v>
      </c>
      <c r="AA1076" s="6">
        <f t="shared" ca="1" si="152"/>
        <v>133207.54606059092</v>
      </c>
      <c r="AB1076" s="6">
        <f t="shared" ca="1" si="153"/>
        <v>318.92406239791217</v>
      </c>
    </row>
    <row r="1077" spans="1:28" x14ac:dyDescent="0.3">
      <c r="A1077" s="53"/>
      <c r="B1077" s="54"/>
      <c r="C1077" s="65" t="s">
        <v>231</v>
      </c>
      <c r="D1077" s="65">
        <f t="shared" ca="1" si="146"/>
        <v>1</v>
      </c>
      <c r="E1077" s="3">
        <f t="shared" ca="1" si="147"/>
        <v>4.7488349425791387E-2</v>
      </c>
      <c r="F1077" s="6">
        <f t="shared" ca="1" si="148"/>
        <v>167347.48040789316</v>
      </c>
      <c r="G1077" s="6">
        <f t="shared" ca="1" si="149"/>
        <v>1340.3874457157951</v>
      </c>
      <c r="V1077" s="53"/>
      <c r="W1077" s="54"/>
      <c r="X1077" s="65" t="s">
        <v>231</v>
      </c>
      <c r="Y1077" s="65">
        <f t="shared" ca="1" si="150"/>
        <v>4</v>
      </c>
      <c r="Z1077" s="3">
        <f t="shared" ca="1" si="151"/>
        <v>0.88663099009605961</v>
      </c>
      <c r="AA1077" s="6">
        <f t="shared" ca="1" si="152"/>
        <v>28280.062264609707</v>
      </c>
      <c r="AB1077" s="6">
        <f t="shared" ca="1" si="153"/>
        <v>364.82522358016632</v>
      </c>
    </row>
    <row r="1078" spans="1:28" x14ac:dyDescent="0.3">
      <c r="A1078" s="53"/>
      <c r="B1078" s="54"/>
      <c r="C1078" s="65" t="s">
        <v>231</v>
      </c>
      <c r="D1078" s="65">
        <f t="shared" ca="1" si="146"/>
        <v>2</v>
      </c>
      <c r="E1078" s="3">
        <f t="shared" ca="1" si="147"/>
        <v>0.90948399686637615</v>
      </c>
      <c r="F1078" s="6">
        <f t="shared" ca="1" si="148"/>
        <v>152968.96581711411</v>
      </c>
      <c r="G1078" s="6">
        <f t="shared" ca="1" si="149"/>
        <v>1113.0991340964558</v>
      </c>
      <c r="V1078" s="53"/>
      <c r="W1078" s="54"/>
      <c r="X1078" s="65" t="s">
        <v>231</v>
      </c>
      <c r="Y1078" s="65">
        <f t="shared" ca="1" si="150"/>
        <v>2</v>
      </c>
      <c r="Z1078" s="3">
        <f t="shared" ca="1" si="151"/>
        <v>7.0849265982521947E-2</v>
      </c>
      <c r="AA1078" s="6">
        <f t="shared" ca="1" si="152"/>
        <v>165797.4926877371</v>
      </c>
      <c r="AB1078" s="6">
        <f t="shared" ca="1" si="153"/>
        <v>1225.3972379332661</v>
      </c>
    </row>
    <row r="1079" spans="1:28" x14ac:dyDescent="0.3">
      <c r="A1079" s="53"/>
      <c r="B1079" s="54"/>
      <c r="C1079" s="65" t="s">
        <v>231</v>
      </c>
      <c r="D1079" s="65">
        <f t="shared" ca="1" si="146"/>
        <v>1</v>
      </c>
      <c r="E1079" s="3">
        <f t="shared" ca="1" si="147"/>
        <v>0.86671372374601907</v>
      </c>
      <c r="F1079" s="6">
        <f t="shared" ca="1" si="148"/>
        <v>58097.498147735081</v>
      </c>
      <c r="G1079" s="6">
        <f t="shared" ca="1" si="149"/>
        <v>978.27497025477305</v>
      </c>
      <c r="V1079" s="53"/>
      <c r="W1079" s="54"/>
      <c r="X1079" s="65" t="s">
        <v>231</v>
      </c>
      <c r="Y1079" s="65">
        <f t="shared" ca="1" si="150"/>
        <v>1</v>
      </c>
      <c r="Z1079" s="3">
        <f t="shared" ca="1" si="151"/>
        <v>0.41616921786557448</v>
      </c>
      <c r="AA1079" s="6">
        <f t="shared" ca="1" si="152"/>
        <v>12370.539007856385</v>
      </c>
      <c r="AB1079" s="6">
        <f t="shared" ca="1" si="153"/>
        <v>1146.9962687937698</v>
      </c>
    </row>
    <row r="1080" spans="1:28" x14ac:dyDescent="0.3">
      <c r="A1080" s="53"/>
      <c r="B1080" s="54"/>
      <c r="C1080" s="65" t="s">
        <v>231</v>
      </c>
      <c r="D1080" s="65">
        <f t="shared" ca="1" si="146"/>
        <v>1</v>
      </c>
      <c r="E1080" s="3">
        <f t="shared" ca="1" si="147"/>
        <v>0.8319425536352818</v>
      </c>
      <c r="F1080" s="6">
        <f t="shared" ca="1" si="148"/>
        <v>17908.218811706898</v>
      </c>
      <c r="G1080" s="6">
        <f t="shared" ca="1" si="149"/>
        <v>929.47305582927902</v>
      </c>
      <c r="V1080" s="53"/>
      <c r="W1080" s="54"/>
      <c r="X1080" s="65" t="s">
        <v>231</v>
      </c>
      <c r="Y1080" s="65">
        <f t="shared" ca="1" si="150"/>
        <v>2</v>
      </c>
      <c r="Z1080" s="3">
        <f t="shared" ca="1" si="151"/>
        <v>0.83331042088847562</v>
      </c>
      <c r="AA1080" s="6">
        <f t="shared" ca="1" si="152"/>
        <v>37985.99028418299</v>
      </c>
      <c r="AB1080" s="6">
        <f t="shared" ca="1" si="153"/>
        <v>1414.0447635247983</v>
      </c>
    </row>
    <row r="1081" spans="1:28" x14ac:dyDescent="0.3">
      <c r="A1081" s="53"/>
      <c r="B1081" s="54"/>
      <c r="C1081" s="65" t="s">
        <v>231</v>
      </c>
      <c r="D1081" s="65">
        <f t="shared" ca="1" si="146"/>
        <v>1</v>
      </c>
      <c r="E1081" s="3">
        <f t="shared" ca="1" si="147"/>
        <v>0.33304919074620665</v>
      </c>
      <c r="F1081" s="6">
        <f t="shared" ca="1" si="148"/>
        <v>159045.87077063895</v>
      </c>
      <c r="G1081" s="6">
        <f t="shared" ca="1" si="149"/>
        <v>1389.8305239402152</v>
      </c>
      <c r="V1081" s="53"/>
      <c r="W1081" s="54"/>
      <c r="X1081" s="65" t="s">
        <v>231</v>
      </c>
      <c r="Y1081" s="65">
        <f t="shared" ca="1" si="150"/>
        <v>2</v>
      </c>
      <c r="Z1081" s="3">
        <f t="shared" ca="1" si="151"/>
        <v>0.32382325078979823</v>
      </c>
      <c r="AA1081" s="6">
        <f t="shared" ca="1" si="152"/>
        <v>98132.550466031244</v>
      </c>
      <c r="AB1081" s="6">
        <f t="shared" ca="1" si="153"/>
        <v>811.86140009127917</v>
      </c>
    </row>
    <row r="1082" spans="1:28" x14ac:dyDescent="0.3">
      <c r="A1082" s="53"/>
      <c r="B1082" s="54"/>
      <c r="C1082" s="65" t="s">
        <v>231</v>
      </c>
      <c r="D1082" s="65">
        <f t="shared" ca="1" si="146"/>
        <v>4</v>
      </c>
      <c r="E1082" s="3">
        <f t="shared" ca="1" si="147"/>
        <v>0.43444851598381218</v>
      </c>
      <c r="F1082" s="6">
        <f t="shared" ca="1" si="148"/>
        <v>71781.061186238789</v>
      </c>
      <c r="G1082" s="6">
        <f t="shared" ca="1" si="149"/>
        <v>346.51686864245426</v>
      </c>
      <c r="V1082" s="53"/>
      <c r="W1082" s="54"/>
      <c r="X1082" s="65" t="s">
        <v>231</v>
      </c>
      <c r="Y1082" s="65">
        <f t="shared" ca="1" si="150"/>
        <v>4</v>
      </c>
      <c r="Z1082" s="3">
        <f t="shared" ca="1" si="151"/>
        <v>0.38553215405362451</v>
      </c>
      <c r="AA1082" s="6">
        <f t="shared" ca="1" si="152"/>
        <v>108065.10199556527</v>
      </c>
      <c r="AB1082" s="6">
        <f t="shared" ca="1" si="153"/>
        <v>1303.5869496043351</v>
      </c>
    </row>
    <row r="1083" spans="1:28" x14ac:dyDescent="0.3">
      <c r="A1083" s="53"/>
      <c r="B1083" s="54"/>
      <c r="C1083" s="65" t="s">
        <v>231</v>
      </c>
      <c r="D1083" s="65">
        <f t="shared" ca="1" si="146"/>
        <v>1</v>
      </c>
      <c r="E1083" s="3">
        <f t="shared" ca="1" si="147"/>
        <v>0.11896182651782572</v>
      </c>
      <c r="F1083" s="6">
        <f t="shared" ca="1" si="148"/>
        <v>159550.12589660019</v>
      </c>
      <c r="G1083" s="6">
        <f t="shared" ca="1" si="149"/>
        <v>799.59563607410098</v>
      </c>
      <c r="V1083" s="53"/>
      <c r="W1083" s="54"/>
      <c r="X1083" s="65" t="s">
        <v>231</v>
      </c>
      <c r="Y1083" s="65">
        <f t="shared" ca="1" si="150"/>
        <v>2</v>
      </c>
      <c r="Z1083" s="3">
        <f t="shared" ca="1" si="151"/>
        <v>2.8545245066605385E-2</v>
      </c>
      <c r="AA1083" s="6">
        <f t="shared" ca="1" si="152"/>
        <v>101503.98601461892</v>
      </c>
      <c r="AB1083" s="6">
        <f t="shared" ca="1" si="153"/>
        <v>1447.9434503670054</v>
      </c>
    </row>
    <row r="1084" spans="1:28" x14ac:dyDescent="0.3">
      <c r="A1084" s="53"/>
      <c r="B1084" s="54"/>
      <c r="C1084" s="65" t="s">
        <v>231</v>
      </c>
      <c r="D1084" s="65">
        <f t="shared" ca="1" si="146"/>
        <v>2</v>
      </c>
      <c r="E1084" s="3">
        <f t="shared" ca="1" si="147"/>
        <v>0.91161899130596047</v>
      </c>
      <c r="F1084" s="6">
        <f t="shared" ca="1" si="148"/>
        <v>101110.33238768057</v>
      </c>
      <c r="G1084" s="6">
        <f t="shared" ca="1" si="149"/>
        <v>1891.0399109586581</v>
      </c>
      <c r="V1084" s="53"/>
      <c r="W1084" s="54"/>
      <c r="X1084" s="65" t="s">
        <v>231</v>
      </c>
      <c r="Y1084" s="65">
        <f t="shared" ca="1" si="150"/>
        <v>1</v>
      </c>
      <c r="Z1084" s="3">
        <f t="shared" ca="1" si="151"/>
        <v>0.75794180065226813</v>
      </c>
      <c r="AA1084" s="6">
        <f t="shared" ca="1" si="152"/>
        <v>103665.9325224908</v>
      </c>
      <c r="AB1084" s="6">
        <f t="shared" ca="1" si="153"/>
        <v>1875.9986464354581</v>
      </c>
    </row>
    <row r="1085" spans="1:28" x14ac:dyDescent="0.3">
      <c r="A1085" s="53"/>
      <c r="B1085" s="54"/>
      <c r="C1085" s="65" t="s">
        <v>231</v>
      </c>
      <c r="D1085" s="65">
        <f t="shared" ca="1" si="146"/>
        <v>4</v>
      </c>
      <c r="E1085" s="3">
        <f t="shared" ca="1" si="147"/>
        <v>1.9003194775962351E-2</v>
      </c>
      <c r="F1085" s="6">
        <f t="shared" ca="1" si="148"/>
        <v>190363.82961282769</v>
      </c>
      <c r="G1085" s="6">
        <f t="shared" ca="1" si="149"/>
        <v>688.60036773893114</v>
      </c>
      <c r="V1085" s="53"/>
      <c r="W1085" s="54"/>
      <c r="X1085" s="65" t="s">
        <v>231</v>
      </c>
      <c r="Y1085" s="65">
        <f t="shared" ca="1" si="150"/>
        <v>1</v>
      </c>
      <c r="Z1085" s="3">
        <f t="shared" ca="1" si="151"/>
        <v>0.57887168097529729</v>
      </c>
      <c r="AA1085" s="6">
        <f t="shared" ca="1" si="152"/>
        <v>35713.79726291819</v>
      </c>
      <c r="AB1085" s="6">
        <f t="shared" ca="1" si="153"/>
        <v>1360.2919169953896</v>
      </c>
    </row>
    <row r="1086" spans="1:28" x14ac:dyDescent="0.3">
      <c r="A1086" s="53"/>
      <c r="B1086" s="54"/>
      <c r="C1086" s="65" t="s">
        <v>231</v>
      </c>
      <c r="D1086" s="65">
        <f t="shared" ca="1" si="146"/>
        <v>1</v>
      </c>
      <c r="E1086" s="3">
        <f t="shared" ca="1" si="147"/>
        <v>0.81911543080570681</v>
      </c>
      <c r="F1086" s="6">
        <f t="shared" ca="1" si="148"/>
        <v>33899.952651804655</v>
      </c>
      <c r="G1086" s="6">
        <f t="shared" ca="1" si="149"/>
        <v>1291.0197403374641</v>
      </c>
      <c r="V1086" s="53"/>
      <c r="W1086" s="54"/>
      <c r="X1086" s="65" t="s">
        <v>231</v>
      </c>
      <c r="Y1086" s="65">
        <f t="shared" ca="1" si="150"/>
        <v>1</v>
      </c>
      <c r="Z1086" s="3">
        <f t="shared" ca="1" si="151"/>
        <v>0.68361278568660611</v>
      </c>
      <c r="AA1086" s="6">
        <f t="shared" ca="1" si="152"/>
        <v>152970.63468552611</v>
      </c>
      <c r="AB1086" s="6">
        <f t="shared" ca="1" si="153"/>
        <v>1444.1525762141016</v>
      </c>
    </row>
    <row r="1087" spans="1:28" x14ac:dyDescent="0.3">
      <c r="A1087" s="53"/>
      <c r="B1087" s="54"/>
      <c r="C1087" s="65" t="s">
        <v>231</v>
      </c>
      <c r="D1087" s="65">
        <f t="shared" ca="1" si="146"/>
        <v>4</v>
      </c>
      <c r="E1087" s="3">
        <f t="shared" ca="1" si="147"/>
        <v>4.5249599869862767E-2</v>
      </c>
      <c r="F1087" s="6">
        <f t="shared" ca="1" si="148"/>
        <v>161567.47810782617</v>
      </c>
      <c r="G1087" s="6">
        <f t="shared" ca="1" si="149"/>
        <v>318.42113861814568</v>
      </c>
      <c r="V1087" s="53"/>
      <c r="W1087" s="54"/>
      <c r="X1087" s="65" t="s">
        <v>231</v>
      </c>
      <c r="Y1087" s="65">
        <f t="shared" ca="1" si="150"/>
        <v>3</v>
      </c>
      <c r="Z1087" s="3">
        <f t="shared" ca="1" si="151"/>
        <v>0.73450493624894819</v>
      </c>
      <c r="AA1087" s="6">
        <f t="shared" ca="1" si="152"/>
        <v>160054.62657943752</v>
      </c>
      <c r="AB1087" s="6">
        <f t="shared" ca="1" si="153"/>
        <v>772.68718066067345</v>
      </c>
    </row>
    <row r="1088" spans="1:28" x14ac:dyDescent="0.3">
      <c r="A1088" s="53"/>
      <c r="B1088" s="54"/>
      <c r="C1088" s="65" t="s">
        <v>231</v>
      </c>
      <c r="D1088" s="65">
        <f t="shared" ca="1" si="146"/>
        <v>4</v>
      </c>
      <c r="E1088" s="3">
        <f t="shared" ca="1" si="147"/>
        <v>0.14048643603298117</v>
      </c>
      <c r="F1088" s="6">
        <f t="shared" ca="1" si="148"/>
        <v>140786.09562796599</v>
      </c>
      <c r="G1088" s="6">
        <f t="shared" ca="1" si="149"/>
        <v>247.49615913229061</v>
      </c>
      <c r="V1088" s="53"/>
      <c r="W1088" s="54"/>
      <c r="X1088" s="65" t="s">
        <v>231</v>
      </c>
      <c r="Y1088" s="65">
        <f t="shared" ca="1" si="150"/>
        <v>2</v>
      </c>
      <c r="Z1088" s="3">
        <f t="shared" ca="1" si="151"/>
        <v>0.35100172323477197</v>
      </c>
      <c r="AA1088" s="6">
        <f t="shared" ca="1" si="152"/>
        <v>188872.71367419799</v>
      </c>
      <c r="AB1088" s="6">
        <f t="shared" ca="1" si="153"/>
        <v>327.56672508711415</v>
      </c>
    </row>
    <row r="1089" spans="1:28" x14ac:dyDescent="0.3">
      <c r="A1089" s="53"/>
      <c r="B1089" s="54"/>
      <c r="C1089" s="65" t="s">
        <v>231</v>
      </c>
      <c r="D1089" s="65">
        <f t="shared" ca="1" si="146"/>
        <v>1</v>
      </c>
      <c r="E1089" s="3">
        <f t="shared" ca="1" si="147"/>
        <v>0.2604256060035427</v>
      </c>
      <c r="F1089" s="6">
        <f t="shared" ca="1" si="148"/>
        <v>172132.03394540836</v>
      </c>
      <c r="G1089" s="6">
        <f t="shared" ca="1" si="149"/>
        <v>1071.5293219993978</v>
      </c>
      <c r="V1089" s="53"/>
      <c r="W1089" s="54"/>
      <c r="X1089" s="65" t="s">
        <v>231</v>
      </c>
      <c r="Y1089" s="65">
        <f t="shared" ca="1" si="150"/>
        <v>3</v>
      </c>
      <c r="Z1089" s="3">
        <f t="shared" ca="1" si="151"/>
        <v>0.38742796865292173</v>
      </c>
      <c r="AA1089" s="6">
        <f t="shared" ca="1" si="152"/>
        <v>65793.404494770308</v>
      </c>
      <c r="AB1089" s="6">
        <f t="shared" ca="1" si="153"/>
        <v>363.72550726972895</v>
      </c>
    </row>
    <row r="1090" spans="1:28" x14ac:dyDescent="0.3">
      <c r="A1090" s="53"/>
      <c r="B1090" s="54"/>
      <c r="C1090" s="65" t="s">
        <v>231</v>
      </c>
      <c r="D1090" s="65">
        <f t="shared" ca="1" si="146"/>
        <v>4</v>
      </c>
      <c r="E1090" s="3">
        <f t="shared" ca="1" si="147"/>
        <v>0.97599026378006837</v>
      </c>
      <c r="F1090" s="6">
        <f t="shared" ca="1" si="148"/>
        <v>93003.274207152266</v>
      </c>
      <c r="G1090" s="6">
        <f t="shared" ca="1" si="149"/>
        <v>971.45606511045401</v>
      </c>
      <c r="V1090" s="53"/>
      <c r="W1090" s="54"/>
      <c r="X1090" s="65" t="s">
        <v>231</v>
      </c>
      <c r="Y1090" s="65">
        <f t="shared" ca="1" si="150"/>
        <v>4</v>
      </c>
      <c r="Z1090" s="3">
        <f t="shared" ca="1" si="151"/>
        <v>0.83380536886364065</v>
      </c>
      <c r="AA1090" s="6">
        <f t="shared" ca="1" si="152"/>
        <v>63742.761013216033</v>
      </c>
      <c r="AB1090" s="6">
        <f t="shared" ca="1" si="153"/>
        <v>318.28780633900533</v>
      </c>
    </row>
    <row r="1091" spans="1:28" x14ac:dyDescent="0.3">
      <c r="A1091" s="53"/>
      <c r="B1091" s="54"/>
      <c r="C1091" s="65" t="s">
        <v>231</v>
      </c>
      <c r="D1091" s="65">
        <f t="shared" ca="1" si="146"/>
        <v>1</v>
      </c>
      <c r="E1091" s="3">
        <f t="shared" ca="1" si="147"/>
        <v>0.83936885464312838</v>
      </c>
      <c r="F1091" s="6">
        <f t="shared" ca="1" si="148"/>
        <v>17313.492259857856</v>
      </c>
      <c r="G1091" s="6">
        <f t="shared" ca="1" si="149"/>
        <v>1590.4607242705413</v>
      </c>
      <c r="V1091" s="53"/>
      <c r="W1091" s="54"/>
      <c r="X1091" s="65" t="s">
        <v>231</v>
      </c>
      <c r="Y1091" s="65">
        <f t="shared" ca="1" si="150"/>
        <v>1</v>
      </c>
      <c r="Z1091" s="3">
        <f t="shared" ca="1" si="151"/>
        <v>0.20672163957909617</v>
      </c>
      <c r="AA1091" s="6">
        <f t="shared" ca="1" si="152"/>
        <v>146722.07543659105</v>
      </c>
      <c r="AB1091" s="6">
        <f t="shared" ca="1" si="153"/>
        <v>1362.145851505551</v>
      </c>
    </row>
    <row r="1092" spans="1:28" x14ac:dyDescent="0.3">
      <c r="A1092" s="53"/>
      <c r="B1092" s="54"/>
      <c r="C1092" s="65" t="s">
        <v>231</v>
      </c>
      <c r="D1092" s="65">
        <f t="shared" ca="1" si="146"/>
        <v>1</v>
      </c>
      <c r="E1092" s="3">
        <f t="shared" ca="1" si="147"/>
        <v>1.2709544219025704E-2</v>
      </c>
      <c r="F1092" s="6">
        <f t="shared" ca="1" si="148"/>
        <v>148213.7445317721</v>
      </c>
      <c r="G1092" s="6">
        <f t="shared" ca="1" si="149"/>
        <v>806.77797025252482</v>
      </c>
      <c r="V1092" s="53"/>
      <c r="W1092" s="54"/>
      <c r="X1092" s="65" t="s">
        <v>231</v>
      </c>
      <c r="Y1092" s="65">
        <f t="shared" ca="1" si="150"/>
        <v>1</v>
      </c>
      <c r="Z1092" s="3">
        <f t="shared" ca="1" si="151"/>
        <v>0.72873180467558052</v>
      </c>
      <c r="AA1092" s="6">
        <f t="shared" ca="1" si="152"/>
        <v>190507.73820879241</v>
      </c>
      <c r="AB1092" s="6">
        <f t="shared" ca="1" si="153"/>
        <v>153.86468628578643</v>
      </c>
    </row>
    <row r="1093" spans="1:28" x14ac:dyDescent="0.3">
      <c r="A1093" s="53"/>
      <c r="B1093" s="54"/>
      <c r="C1093" s="65" t="s">
        <v>231</v>
      </c>
      <c r="D1093" s="65">
        <f t="shared" ca="1" si="146"/>
        <v>3</v>
      </c>
      <c r="E1093" s="3">
        <f t="shared" ca="1" si="147"/>
        <v>0.18693791233759993</v>
      </c>
      <c r="F1093" s="6">
        <f t="shared" ca="1" si="148"/>
        <v>75152.530680511947</v>
      </c>
      <c r="G1093" s="6">
        <f t="shared" ca="1" si="149"/>
        <v>669.74883960229079</v>
      </c>
      <c r="V1093" s="53"/>
      <c r="W1093" s="54"/>
      <c r="X1093" s="65" t="s">
        <v>231</v>
      </c>
      <c r="Y1093" s="65">
        <f t="shared" ca="1" si="150"/>
        <v>4</v>
      </c>
      <c r="Z1093" s="3">
        <f t="shared" ca="1" si="151"/>
        <v>0.24779448642107804</v>
      </c>
      <c r="AA1093" s="6">
        <f t="shared" ca="1" si="152"/>
        <v>193759.29532853505</v>
      </c>
      <c r="AB1093" s="6">
        <f t="shared" ca="1" si="153"/>
        <v>672.40091244861947</v>
      </c>
    </row>
    <row r="1094" spans="1:28" x14ac:dyDescent="0.3">
      <c r="A1094" s="53"/>
      <c r="B1094" s="54"/>
      <c r="C1094" s="65" t="s">
        <v>231</v>
      </c>
      <c r="D1094" s="65">
        <f t="shared" ca="1" si="146"/>
        <v>3</v>
      </c>
      <c r="E1094" s="3">
        <f t="shared" ca="1" si="147"/>
        <v>0.28221195714978065</v>
      </c>
      <c r="F1094" s="6">
        <f t="shared" ca="1" si="148"/>
        <v>167151.23072917314</v>
      </c>
      <c r="G1094" s="6">
        <f t="shared" ca="1" si="149"/>
        <v>969.26018703129068</v>
      </c>
      <c r="V1094" s="53"/>
      <c r="W1094" s="54"/>
      <c r="X1094" s="65" t="s">
        <v>231</v>
      </c>
      <c r="Y1094" s="65">
        <f t="shared" ca="1" si="150"/>
        <v>2</v>
      </c>
      <c r="Z1094" s="3">
        <f t="shared" ca="1" si="151"/>
        <v>0.43143055153963361</v>
      </c>
      <c r="AA1094" s="6">
        <f t="shared" ca="1" si="152"/>
        <v>182089.10969826893</v>
      </c>
      <c r="AB1094" s="6">
        <f t="shared" ca="1" si="153"/>
        <v>810.14890358624632</v>
      </c>
    </row>
    <row r="1095" spans="1:28" x14ac:dyDescent="0.3">
      <c r="A1095" s="53"/>
      <c r="B1095" s="54"/>
      <c r="C1095" s="65" t="s">
        <v>231</v>
      </c>
      <c r="D1095" s="65">
        <f t="shared" ca="1" si="146"/>
        <v>2</v>
      </c>
      <c r="E1095" s="3">
        <f t="shared" ca="1" si="147"/>
        <v>6.9751182286613034E-2</v>
      </c>
      <c r="F1095" s="6">
        <f t="shared" ca="1" si="148"/>
        <v>17251.956172840455</v>
      </c>
      <c r="G1095" s="6">
        <f t="shared" ca="1" si="149"/>
        <v>1415.3697777470832</v>
      </c>
      <c r="V1095" s="53"/>
      <c r="W1095" s="54"/>
      <c r="X1095" s="65" t="s">
        <v>231</v>
      </c>
      <c r="Y1095" s="65">
        <f t="shared" ca="1" si="150"/>
        <v>3</v>
      </c>
      <c r="Z1095" s="3">
        <f t="shared" ca="1" si="151"/>
        <v>0.45688077504135471</v>
      </c>
      <c r="AA1095" s="6">
        <f t="shared" ca="1" si="152"/>
        <v>176084.7717368569</v>
      </c>
      <c r="AB1095" s="6">
        <f t="shared" ca="1" si="153"/>
        <v>1148.9990272089103</v>
      </c>
    </row>
    <row r="1096" spans="1:28" x14ac:dyDescent="0.3">
      <c r="A1096" s="53"/>
      <c r="B1096" s="54"/>
      <c r="C1096" s="65" t="s">
        <v>231</v>
      </c>
      <c r="D1096" s="65">
        <f t="shared" ca="1" si="146"/>
        <v>3</v>
      </c>
      <c r="E1096" s="3">
        <f t="shared" ca="1" si="147"/>
        <v>0.54429194765415978</v>
      </c>
      <c r="F1096" s="6">
        <f t="shared" ca="1" si="148"/>
        <v>66090.949184602083</v>
      </c>
      <c r="G1096" s="6">
        <f t="shared" ca="1" si="149"/>
        <v>1574.3864793202279</v>
      </c>
      <c r="V1096" s="53"/>
      <c r="W1096" s="54"/>
      <c r="X1096" s="65" t="s">
        <v>231</v>
      </c>
      <c r="Y1096" s="65">
        <f t="shared" ca="1" si="150"/>
        <v>3</v>
      </c>
      <c r="Z1096" s="3">
        <f t="shared" ca="1" si="151"/>
        <v>0.57862648055899046</v>
      </c>
      <c r="AA1096" s="6">
        <f t="shared" ca="1" si="152"/>
        <v>31748.456393712844</v>
      </c>
      <c r="AB1096" s="6">
        <f t="shared" ca="1" si="153"/>
        <v>1929.5745068455465</v>
      </c>
    </row>
    <row r="1097" spans="1:28" x14ac:dyDescent="0.3">
      <c r="A1097" s="53"/>
      <c r="B1097" s="54"/>
      <c r="C1097" s="65" t="s">
        <v>231</v>
      </c>
      <c r="D1097" s="65">
        <f t="shared" ca="1" si="146"/>
        <v>1</v>
      </c>
      <c r="E1097" s="3">
        <f t="shared" ca="1" si="147"/>
        <v>0.52707591770291418</v>
      </c>
      <c r="F1097" s="6">
        <f t="shared" ca="1" si="148"/>
        <v>54902.085752561237</v>
      </c>
      <c r="G1097" s="6">
        <f t="shared" ca="1" si="149"/>
        <v>872.01207807138826</v>
      </c>
      <c r="V1097" s="53"/>
      <c r="W1097" s="54"/>
      <c r="X1097" s="65" t="s">
        <v>231</v>
      </c>
      <c r="Y1097" s="65">
        <f t="shared" ca="1" si="150"/>
        <v>4</v>
      </c>
      <c r="Z1097" s="3">
        <f t="shared" ca="1" si="151"/>
        <v>4.8839042030063062E-2</v>
      </c>
      <c r="AA1097" s="6">
        <f t="shared" ca="1" si="152"/>
        <v>12501.151960522839</v>
      </c>
      <c r="AB1097" s="6">
        <f t="shared" ca="1" si="153"/>
        <v>880.53846306862772</v>
      </c>
    </row>
    <row r="1098" spans="1:28" x14ac:dyDescent="0.3">
      <c r="A1098" s="53"/>
      <c r="B1098" s="54"/>
      <c r="C1098" s="65" t="s">
        <v>231</v>
      </c>
      <c r="D1098" s="65">
        <f t="shared" ca="1" si="146"/>
        <v>1</v>
      </c>
      <c r="E1098" s="3">
        <f t="shared" ca="1" si="147"/>
        <v>0.53047201198096261</v>
      </c>
      <c r="F1098" s="6">
        <f t="shared" ca="1" si="148"/>
        <v>116487.09562373596</v>
      </c>
      <c r="G1098" s="6">
        <f t="shared" ca="1" si="149"/>
        <v>945.95437331490166</v>
      </c>
      <c r="V1098" s="53"/>
      <c r="W1098" s="54"/>
      <c r="X1098" s="65" t="s">
        <v>231</v>
      </c>
      <c r="Y1098" s="65">
        <f t="shared" ca="1" si="150"/>
        <v>4</v>
      </c>
      <c r="Z1098" s="3">
        <f t="shared" ca="1" si="151"/>
        <v>0.39537906045086224</v>
      </c>
      <c r="AA1098" s="6">
        <f t="shared" ca="1" si="152"/>
        <v>121098.80296825775</v>
      </c>
      <c r="AB1098" s="6">
        <f t="shared" ca="1" si="153"/>
        <v>858.07697840245373</v>
      </c>
    </row>
    <row r="1099" spans="1:28" x14ac:dyDescent="0.3">
      <c r="A1099" s="53"/>
      <c r="B1099" s="54"/>
      <c r="C1099" s="65" t="s">
        <v>231</v>
      </c>
      <c r="D1099" s="65">
        <f t="shared" ca="1" si="146"/>
        <v>2</v>
      </c>
      <c r="E1099" s="3">
        <f t="shared" ca="1" si="147"/>
        <v>0.83234993789689704</v>
      </c>
      <c r="F1099" s="6">
        <f t="shared" ca="1" si="148"/>
        <v>31038.347519977029</v>
      </c>
      <c r="G1099" s="6">
        <f t="shared" ca="1" si="149"/>
        <v>1911.2043954020451</v>
      </c>
      <c r="V1099" s="53"/>
      <c r="W1099" s="54"/>
      <c r="X1099" s="65" t="s">
        <v>231</v>
      </c>
      <c r="Y1099" s="65">
        <f t="shared" ca="1" si="150"/>
        <v>3</v>
      </c>
      <c r="Z1099" s="3">
        <f t="shared" ca="1" si="151"/>
        <v>0.84842762701946306</v>
      </c>
      <c r="AA1099" s="6">
        <f t="shared" ca="1" si="152"/>
        <v>187079.29767063691</v>
      </c>
      <c r="AB1099" s="6">
        <f t="shared" ca="1" si="153"/>
        <v>315.53696448612988</v>
      </c>
    </row>
    <row r="1100" spans="1:28" x14ac:dyDescent="0.3">
      <c r="A1100" s="53"/>
      <c r="B1100" s="54"/>
      <c r="C1100" s="65" t="s">
        <v>231</v>
      </c>
      <c r="D1100" s="65">
        <f t="shared" ca="1" si="146"/>
        <v>3</v>
      </c>
      <c r="E1100" s="3">
        <f t="shared" ca="1" si="147"/>
        <v>0.15739254843506478</v>
      </c>
      <c r="F1100" s="6">
        <f t="shared" ca="1" si="148"/>
        <v>91248.231288269017</v>
      </c>
      <c r="G1100" s="6">
        <f t="shared" ca="1" si="149"/>
        <v>1935.1653725960252</v>
      </c>
      <c r="V1100" s="53"/>
      <c r="W1100" s="54"/>
      <c r="X1100" s="65" t="s">
        <v>231</v>
      </c>
      <c r="Y1100" s="65">
        <f t="shared" ca="1" si="150"/>
        <v>1</v>
      </c>
      <c r="Z1100" s="3">
        <f t="shared" ca="1" si="151"/>
        <v>0.8359222989404429</v>
      </c>
      <c r="AA1100" s="6">
        <f t="shared" ca="1" si="152"/>
        <v>163867.23402361586</v>
      </c>
      <c r="AB1100" s="6">
        <f t="shared" ca="1" si="153"/>
        <v>1856.4654652705165</v>
      </c>
    </row>
    <row r="1101" spans="1:28" x14ac:dyDescent="0.3">
      <c r="A1101" s="53"/>
      <c r="B1101" s="54"/>
      <c r="C1101" s="65" t="s">
        <v>231</v>
      </c>
      <c r="D1101" s="65">
        <f t="shared" ref="D1101:D1164" ca="1" si="154">INT(RAND()*4)+1</f>
        <v>2</v>
      </c>
      <c r="E1101" s="3">
        <f t="shared" ref="E1101:E1164" ca="1" si="155">RAND()</f>
        <v>0.1153812720443631</v>
      </c>
      <c r="F1101" s="6">
        <f t="shared" ref="F1101:F1164" ca="1" si="156">RAND()*200000</f>
        <v>11543.67433185417</v>
      </c>
      <c r="G1101" s="6">
        <f t="shared" ref="G1101:G1164" ca="1" si="157">RAND()*2000</f>
        <v>304.90689885214886</v>
      </c>
      <c r="V1101" s="53"/>
      <c r="W1101" s="54"/>
      <c r="X1101" s="65" t="s">
        <v>231</v>
      </c>
      <c r="Y1101" s="65">
        <f t="shared" ref="Y1101:Y1164" ca="1" si="158">INT(RAND()*4)+1</f>
        <v>2</v>
      </c>
      <c r="Z1101" s="3">
        <f t="shared" ref="Z1101:Z1164" ca="1" si="159">RAND()</f>
        <v>0.11114924974055429</v>
      </c>
      <c r="AA1101" s="6">
        <f t="shared" ref="AA1101:AA1164" ca="1" si="160">RAND()*200000</f>
        <v>7826.1885974599818</v>
      </c>
      <c r="AB1101" s="6">
        <f t="shared" ref="AB1101:AB1164" ca="1" si="161">RAND()*2000</f>
        <v>1746.5921894763062</v>
      </c>
    </row>
    <row r="1102" spans="1:28" x14ac:dyDescent="0.3">
      <c r="A1102" s="53"/>
      <c r="B1102" s="54"/>
      <c r="C1102" s="65" t="s">
        <v>231</v>
      </c>
      <c r="D1102" s="65">
        <f t="shared" ca="1" si="154"/>
        <v>2</v>
      </c>
      <c r="E1102" s="3">
        <f t="shared" ca="1" si="155"/>
        <v>0.25309585035275795</v>
      </c>
      <c r="F1102" s="6">
        <f t="shared" ca="1" si="156"/>
        <v>58168.454909639513</v>
      </c>
      <c r="G1102" s="6">
        <f t="shared" ca="1" si="157"/>
        <v>1590.5050553684989</v>
      </c>
      <c r="V1102" s="53"/>
      <c r="W1102" s="54"/>
      <c r="X1102" s="65" t="s">
        <v>231</v>
      </c>
      <c r="Y1102" s="65">
        <f t="shared" ca="1" si="158"/>
        <v>3</v>
      </c>
      <c r="Z1102" s="3">
        <f t="shared" ca="1" si="159"/>
        <v>0.27960583429768038</v>
      </c>
      <c r="AA1102" s="6">
        <f t="shared" ca="1" si="160"/>
        <v>42144.516237375319</v>
      </c>
      <c r="AB1102" s="6">
        <f t="shared" ca="1" si="161"/>
        <v>963.16191396201339</v>
      </c>
    </row>
    <row r="1103" spans="1:28" x14ac:dyDescent="0.3">
      <c r="A1103" s="53"/>
      <c r="B1103" s="54"/>
      <c r="C1103" s="65" t="s">
        <v>231</v>
      </c>
      <c r="D1103" s="65">
        <f t="shared" ca="1" si="154"/>
        <v>1</v>
      </c>
      <c r="E1103" s="3">
        <f t="shared" ca="1" si="155"/>
        <v>0.61977463445076442</v>
      </c>
      <c r="F1103" s="6">
        <f t="shared" ca="1" si="156"/>
        <v>145614.80869316522</v>
      </c>
      <c r="G1103" s="6">
        <f t="shared" ca="1" si="157"/>
        <v>794.1405028675988</v>
      </c>
      <c r="V1103" s="53"/>
      <c r="W1103" s="54"/>
      <c r="X1103" s="65" t="s">
        <v>231</v>
      </c>
      <c r="Y1103" s="65">
        <f t="shared" ca="1" si="158"/>
        <v>4</v>
      </c>
      <c r="Z1103" s="3">
        <f t="shared" ca="1" si="159"/>
        <v>0.50712874373568961</v>
      </c>
      <c r="AA1103" s="6">
        <f t="shared" ca="1" si="160"/>
        <v>97702.536532242972</v>
      </c>
      <c r="AB1103" s="6">
        <f t="shared" ca="1" si="161"/>
        <v>1987.655815625275</v>
      </c>
    </row>
    <row r="1104" spans="1:28" x14ac:dyDescent="0.3">
      <c r="A1104" s="53"/>
      <c r="B1104" s="54"/>
      <c r="C1104" s="65" t="s">
        <v>231</v>
      </c>
      <c r="D1104" s="65">
        <f t="shared" ca="1" si="154"/>
        <v>2</v>
      </c>
      <c r="E1104" s="3">
        <f t="shared" ca="1" si="155"/>
        <v>0.60540120780175899</v>
      </c>
      <c r="F1104" s="6">
        <f t="shared" ca="1" si="156"/>
        <v>107103.67813017934</v>
      </c>
      <c r="G1104" s="6">
        <f t="shared" ca="1" si="157"/>
        <v>388.60743338632051</v>
      </c>
      <c r="V1104" s="53"/>
      <c r="W1104" s="54"/>
      <c r="X1104" s="65" t="s">
        <v>231</v>
      </c>
      <c r="Y1104" s="65">
        <f t="shared" ca="1" si="158"/>
        <v>1</v>
      </c>
      <c r="Z1104" s="3">
        <f t="shared" ca="1" si="159"/>
        <v>0.80307460013178789</v>
      </c>
      <c r="AA1104" s="6">
        <f t="shared" ca="1" si="160"/>
        <v>2575.2752871384341</v>
      </c>
      <c r="AB1104" s="6">
        <f t="shared" ca="1" si="161"/>
        <v>1017.456884342659</v>
      </c>
    </row>
    <row r="1105" spans="1:28" x14ac:dyDescent="0.3">
      <c r="A1105" s="53"/>
      <c r="B1105" s="54"/>
      <c r="C1105" s="65" t="s">
        <v>231</v>
      </c>
      <c r="D1105" s="65">
        <f t="shared" ca="1" si="154"/>
        <v>2</v>
      </c>
      <c r="E1105" s="3">
        <f t="shared" ca="1" si="155"/>
        <v>0.53304898428386338</v>
      </c>
      <c r="F1105" s="6">
        <f t="shared" ca="1" si="156"/>
        <v>83223.681456301318</v>
      </c>
      <c r="G1105" s="6">
        <f t="shared" ca="1" si="157"/>
        <v>499.25922420468584</v>
      </c>
      <c r="V1105" s="53"/>
      <c r="W1105" s="54"/>
      <c r="X1105" s="65" t="s">
        <v>231</v>
      </c>
      <c r="Y1105" s="65">
        <f t="shared" ca="1" si="158"/>
        <v>3</v>
      </c>
      <c r="Z1105" s="3">
        <f t="shared" ca="1" si="159"/>
        <v>0.50392833472405929</v>
      </c>
      <c r="AA1105" s="6">
        <f t="shared" ca="1" si="160"/>
        <v>88330.780147075988</v>
      </c>
      <c r="AB1105" s="6">
        <f t="shared" ca="1" si="161"/>
        <v>1097.6372190092645</v>
      </c>
    </row>
    <row r="1106" spans="1:28" x14ac:dyDescent="0.3">
      <c r="A1106" s="53"/>
      <c r="B1106" s="54"/>
      <c r="C1106" s="65" t="s">
        <v>231</v>
      </c>
      <c r="D1106" s="65">
        <f t="shared" ca="1" si="154"/>
        <v>4</v>
      </c>
      <c r="E1106" s="3">
        <f t="shared" ca="1" si="155"/>
        <v>0.98763444391539934</v>
      </c>
      <c r="F1106" s="6">
        <f t="shared" ca="1" si="156"/>
        <v>195151.72033832665</v>
      </c>
      <c r="G1106" s="6">
        <f t="shared" ca="1" si="157"/>
        <v>408.78746217307048</v>
      </c>
      <c r="V1106" s="53"/>
      <c r="W1106" s="54"/>
      <c r="X1106" s="65" t="s">
        <v>231</v>
      </c>
      <c r="Y1106" s="65">
        <f t="shared" ca="1" si="158"/>
        <v>3</v>
      </c>
      <c r="Z1106" s="3">
        <f t="shared" ca="1" si="159"/>
        <v>0.6137687217800869</v>
      </c>
      <c r="AA1106" s="6">
        <f t="shared" ca="1" si="160"/>
        <v>43961.985718486707</v>
      </c>
      <c r="AB1106" s="6">
        <f t="shared" ca="1" si="161"/>
        <v>275.21447801803566</v>
      </c>
    </row>
    <row r="1107" spans="1:28" x14ac:dyDescent="0.3">
      <c r="A1107" s="53"/>
      <c r="B1107" s="54"/>
      <c r="C1107" s="65" t="s">
        <v>231</v>
      </c>
      <c r="D1107" s="65">
        <f t="shared" ca="1" si="154"/>
        <v>2</v>
      </c>
      <c r="E1107" s="3">
        <f t="shared" ca="1" si="155"/>
        <v>0.82854610920373295</v>
      </c>
      <c r="F1107" s="6">
        <f t="shared" ca="1" si="156"/>
        <v>197302.07938748586</v>
      </c>
      <c r="G1107" s="6">
        <f t="shared" ca="1" si="157"/>
        <v>1403.7325786431788</v>
      </c>
      <c r="V1107" s="53"/>
      <c r="W1107" s="54"/>
      <c r="X1107" s="65" t="s">
        <v>231</v>
      </c>
      <c r="Y1107" s="65">
        <f t="shared" ca="1" si="158"/>
        <v>4</v>
      </c>
      <c r="Z1107" s="3">
        <f t="shared" ca="1" si="159"/>
        <v>0.96232352347727079</v>
      </c>
      <c r="AA1107" s="6">
        <f t="shared" ca="1" si="160"/>
        <v>111697.59777687247</v>
      </c>
      <c r="AB1107" s="6">
        <f t="shared" ca="1" si="161"/>
        <v>1481.4183924175563</v>
      </c>
    </row>
    <row r="1108" spans="1:28" x14ac:dyDescent="0.3">
      <c r="A1108" s="53"/>
      <c r="B1108" s="54"/>
      <c r="C1108" s="65" t="s">
        <v>231</v>
      </c>
      <c r="D1108" s="65">
        <f t="shared" ca="1" si="154"/>
        <v>3</v>
      </c>
      <c r="E1108" s="3">
        <f t="shared" ca="1" si="155"/>
        <v>0.85319150287753487</v>
      </c>
      <c r="F1108" s="6">
        <f t="shared" ca="1" si="156"/>
        <v>99774.634288859292</v>
      </c>
      <c r="G1108" s="6">
        <f t="shared" ca="1" si="157"/>
        <v>422.15110686813182</v>
      </c>
      <c r="V1108" s="53"/>
      <c r="W1108" s="54"/>
      <c r="X1108" s="65" t="s">
        <v>231</v>
      </c>
      <c r="Y1108" s="65">
        <f t="shared" ca="1" si="158"/>
        <v>1</v>
      </c>
      <c r="Z1108" s="3">
        <f t="shared" ca="1" si="159"/>
        <v>0.46699473765511046</v>
      </c>
      <c r="AA1108" s="6">
        <f t="shared" ca="1" si="160"/>
        <v>61949.321219533667</v>
      </c>
      <c r="AB1108" s="6">
        <f t="shared" ca="1" si="161"/>
        <v>1566.4857361678542</v>
      </c>
    </row>
    <row r="1109" spans="1:28" x14ac:dyDescent="0.3">
      <c r="A1109" s="53"/>
      <c r="B1109" s="54"/>
      <c r="C1109" s="65" t="s">
        <v>231</v>
      </c>
      <c r="D1109" s="65">
        <f t="shared" ca="1" si="154"/>
        <v>4</v>
      </c>
      <c r="E1109" s="3">
        <f t="shared" ca="1" si="155"/>
        <v>0.92523823110499193</v>
      </c>
      <c r="F1109" s="6">
        <f t="shared" ca="1" si="156"/>
        <v>183030.00163067368</v>
      </c>
      <c r="G1109" s="6">
        <f t="shared" ca="1" si="157"/>
        <v>1463.0067711569493</v>
      </c>
      <c r="V1109" s="53"/>
      <c r="W1109" s="54"/>
      <c r="X1109" s="65" t="s">
        <v>231</v>
      </c>
      <c r="Y1109" s="65">
        <f t="shared" ca="1" si="158"/>
        <v>3</v>
      </c>
      <c r="Z1109" s="3">
        <f t="shared" ca="1" si="159"/>
        <v>0.99718027515295671</v>
      </c>
      <c r="AA1109" s="6">
        <f t="shared" ca="1" si="160"/>
        <v>20096.101203201622</v>
      </c>
      <c r="AB1109" s="6">
        <f t="shared" ca="1" si="161"/>
        <v>112.67411138615758</v>
      </c>
    </row>
    <row r="1110" spans="1:28" x14ac:dyDescent="0.3">
      <c r="A1110" s="53"/>
      <c r="B1110" s="54"/>
      <c r="C1110" s="65" t="s">
        <v>231</v>
      </c>
      <c r="D1110" s="65">
        <f t="shared" ca="1" si="154"/>
        <v>3</v>
      </c>
      <c r="E1110" s="3">
        <f t="shared" ca="1" si="155"/>
        <v>0.45189545701834555</v>
      </c>
      <c r="F1110" s="6">
        <f t="shared" ca="1" si="156"/>
        <v>108972.50919090232</v>
      </c>
      <c r="G1110" s="6">
        <f t="shared" ca="1" si="157"/>
        <v>1294.4172937983235</v>
      </c>
      <c r="V1110" s="53"/>
      <c r="W1110" s="54"/>
      <c r="X1110" s="65" t="s">
        <v>231</v>
      </c>
      <c r="Y1110" s="65">
        <f t="shared" ca="1" si="158"/>
        <v>1</v>
      </c>
      <c r="Z1110" s="3">
        <f t="shared" ca="1" si="159"/>
        <v>0.62430736075801119</v>
      </c>
      <c r="AA1110" s="6">
        <f t="shared" ca="1" si="160"/>
        <v>95636.321825815074</v>
      </c>
      <c r="AB1110" s="6">
        <f t="shared" ca="1" si="161"/>
        <v>1068.3015923651099</v>
      </c>
    </row>
    <row r="1111" spans="1:28" x14ac:dyDescent="0.3">
      <c r="A1111" s="53"/>
      <c r="B1111" s="54"/>
      <c r="C1111" s="65" t="s">
        <v>231</v>
      </c>
      <c r="D1111" s="65">
        <f t="shared" ca="1" si="154"/>
        <v>2</v>
      </c>
      <c r="E1111" s="3">
        <f t="shared" ca="1" si="155"/>
        <v>0.78698127465794843</v>
      </c>
      <c r="F1111" s="6">
        <f t="shared" ca="1" si="156"/>
        <v>181822.40286781744</v>
      </c>
      <c r="G1111" s="6">
        <f t="shared" ca="1" si="157"/>
        <v>1090.3534362480609</v>
      </c>
      <c r="V1111" s="53"/>
      <c r="W1111" s="54"/>
      <c r="X1111" s="65" t="s">
        <v>231</v>
      </c>
      <c r="Y1111" s="65">
        <f t="shared" ca="1" si="158"/>
        <v>2</v>
      </c>
      <c r="Z1111" s="3">
        <f t="shared" ca="1" si="159"/>
        <v>0.5589505510451932</v>
      </c>
      <c r="AA1111" s="6">
        <f t="shared" ca="1" si="160"/>
        <v>188993.98381141582</v>
      </c>
      <c r="AB1111" s="6">
        <f t="shared" ca="1" si="161"/>
        <v>692.18980351418645</v>
      </c>
    </row>
    <row r="1112" spans="1:28" x14ac:dyDescent="0.3">
      <c r="A1112" s="53"/>
      <c r="B1112" s="54"/>
      <c r="C1112" s="65" t="s">
        <v>231</v>
      </c>
      <c r="D1112" s="65">
        <f t="shared" ca="1" si="154"/>
        <v>4</v>
      </c>
      <c r="E1112" s="3">
        <f t="shared" ca="1" si="155"/>
        <v>0.84127751640166515</v>
      </c>
      <c r="F1112" s="6">
        <f t="shared" ca="1" si="156"/>
        <v>58277.648560818539</v>
      </c>
      <c r="G1112" s="6">
        <f t="shared" ca="1" si="157"/>
        <v>1426.7525884886052</v>
      </c>
      <c r="V1112" s="53"/>
      <c r="W1112" s="54"/>
      <c r="X1112" s="65" t="s">
        <v>231</v>
      </c>
      <c r="Y1112" s="65">
        <f t="shared" ca="1" si="158"/>
        <v>2</v>
      </c>
      <c r="Z1112" s="3">
        <f t="shared" ca="1" si="159"/>
        <v>0.6481350573590835</v>
      </c>
      <c r="AA1112" s="6">
        <f t="shared" ca="1" si="160"/>
        <v>38688.089624714747</v>
      </c>
      <c r="AB1112" s="6">
        <f t="shared" ca="1" si="161"/>
        <v>1852.7413041514899</v>
      </c>
    </row>
    <row r="1113" spans="1:28" x14ac:dyDescent="0.3">
      <c r="A1113" s="53"/>
      <c r="B1113" s="54"/>
      <c r="C1113" s="65" t="s">
        <v>231</v>
      </c>
      <c r="D1113" s="65">
        <f t="shared" ca="1" si="154"/>
        <v>3</v>
      </c>
      <c r="E1113" s="3">
        <f t="shared" ca="1" si="155"/>
        <v>0.46798513961127264</v>
      </c>
      <c r="F1113" s="6">
        <f t="shared" ca="1" si="156"/>
        <v>163884.65495449345</v>
      </c>
      <c r="G1113" s="6">
        <f t="shared" ca="1" si="157"/>
        <v>141.76839826123788</v>
      </c>
      <c r="V1113" s="53"/>
      <c r="W1113" s="54"/>
      <c r="X1113" s="65" t="s">
        <v>231</v>
      </c>
      <c r="Y1113" s="65">
        <f t="shared" ca="1" si="158"/>
        <v>1</v>
      </c>
      <c r="Z1113" s="3">
        <f t="shared" ca="1" si="159"/>
        <v>0.94292163762470416</v>
      </c>
      <c r="AA1113" s="6">
        <f t="shared" ca="1" si="160"/>
        <v>103790.61089775998</v>
      </c>
      <c r="AB1113" s="6">
        <f t="shared" ca="1" si="161"/>
        <v>1002.5681272577178</v>
      </c>
    </row>
    <row r="1114" spans="1:28" x14ac:dyDescent="0.3">
      <c r="A1114" s="53"/>
      <c r="B1114" s="54"/>
      <c r="C1114" s="65" t="s">
        <v>231</v>
      </c>
      <c r="D1114" s="65">
        <f t="shared" ca="1" si="154"/>
        <v>2</v>
      </c>
      <c r="E1114" s="3">
        <f t="shared" ca="1" si="155"/>
        <v>1.8089520415188631E-2</v>
      </c>
      <c r="F1114" s="6">
        <f t="shared" ca="1" si="156"/>
        <v>193500.32584378292</v>
      </c>
      <c r="G1114" s="6">
        <f t="shared" ca="1" si="157"/>
        <v>1695.3728966249173</v>
      </c>
      <c r="V1114" s="53"/>
      <c r="W1114" s="54"/>
      <c r="X1114" s="65" t="s">
        <v>231</v>
      </c>
      <c r="Y1114" s="65">
        <f t="shared" ca="1" si="158"/>
        <v>4</v>
      </c>
      <c r="Z1114" s="3">
        <f t="shared" ca="1" si="159"/>
        <v>0.85459086714485388</v>
      </c>
      <c r="AA1114" s="6">
        <f t="shared" ca="1" si="160"/>
        <v>134660.34225021725</v>
      </c>
      <c r="AB1114" s="6">
        <f t="shared" ca="1" si="161"/>
        <v>1508.7701259943576</v>
      </c>
    </row>
    <row r="1115" spans="1:28" x14ac:dyDescent="0.3">
      <c r="A1115" s="53"/>
      <c r="B1115" s="54"/>
      <c r="C1115" s="65" t="s">
        <v>231</v>
      </c>
      <c r="D1115" s="65">
        <f t="shared" ca="1" si="154"/>
        <v>3</v>
      </c>
      <c r="E1115" s="3">
        <f t="shared" ca="1" si="155"/>
        <v>0.34028246860538935</v>
      </c>
      <c r="F1115" s="6">
        <f t="shared" ca="1" si="156"/>
        <v>15084.229860472864</v>
      </c>
      <c r="G1115" s="6">
        <f t="shared" ca="1" si="157"/>
        <v>368.56383780171399</v>
      </c>
      <c r="V1115" s="53"/>
      <c r="W1115" s="54"/>
      <c r="X1115" s="65" t="s">
        <v>231</v>
      </c>
      <c r="Y1115" s="65">
        <f t="shared" ca="1" si="158"/>
        <v>4</v>
      </c>
      <c r="Z1115" s="3">
        <f t="shared" ca="1" si="159"/>
        <v>0.56161159219757484</v>
      </c>
      <c r="AA1115" s="6">
        <f t="shared" ca="1" si="160"/>
        <v>159274.73546527571</v>
      </c>
      <c r="AB1115" s="6">
        <f t="shared" ca="1" si="161"/>
        <v>1113.0027864293502</v>
      </c>
    </row>
    <row r="1116" spans="1:28" x14ac:dyDescent="0.3">
      <c r="A1116" s="53"/>
      <c r="B1116" s="54"/>
      <c r="C1116" s="65" t="s">
        <v>231</v>
      </c>
      <c r="D1116" s="65">
        <f t="shared" ca="1" si="154"/>
        <v>2</v>
      </c>
      <c r="E1116" s="3">
        <f t="shared" ca="1" si="155"/>
        <v>0.50327954892888627</v>
      </c>
      <c r="F1116" s="6">
        <f t="shared" ca="1" si="156"/>
        <v>50939.80023755884</v>
      </c>
      <c r="G1116" s="6">
        <f t="shared" ca="1" si="157"/>
        <v>1988.0666929913609</v>
      </c>
      <c r="V1116" s="53"/>
      <c r="W1116" s="54"/>
      <c r="X1116" s="65" t="s">
        <v>231</v>
      </c>
      <c r="Y1116" s="65">
        <f t="shared" ca="1" si="158"/>
        <v>2</v>
      </c>
      <c r="Z1116" s="3">
        <f t="shared" ca="1" si="159"/>
        <v>7.4027544153240865E-2</v>
      </c>
      <c r="AA1116" s="6">
        <f t="shared" ca="1" si="160"/>
        <v>93655.787960345129</v>
      </c>
      <c r="AB1116" s="6">
        <f t="shared" ca="1" si="161"/>
        <v>1523.8025525510191</v>
      </c>
    </row>
    <row r="1117" spans="1:28" x14ac:dyDescent="0.3">
      <c r="A1117" s="53"/>
      <c r="B1117" s="54"/>
      <c r="C1117" s="65" t="s">
        <v>231</v>
      </c>
      <c r="D1117" s="65">
        <f t="shared" ca="1" si="154"/>
        <v>1</v>
      </c>
      <c r="E1117" s="3">
        <f t="shared" ca="1" si="155"/>
        <v>0.80583467833205213</v>
      </c>
      <c r="F1117" s="6">
        <f t="shared" ca="1" si="156"/>
        <v>77853.731144653968</v>
      </c>
      <c r="G1117" s="6">
        <f t="shared" ca="1" si="157"/>
        <v>510.31184976592294</v>
      </c>
      <c r="V1117" s="53"/>
      <c r="W1117" s="54"/>
      <c r="X1117" s="65" t="s">
        <v>231</v>
      </c>
      <c r="Y1117" s="65">
        <f t="shared" ca="1" si="158"/>
        <v>3</v>
      </c>
      <c r="Z1117" s="3">
        <f t="shared" ca="1" si="159"/>
        <v>0.71803538991223081</v>
      </c>
      <c r="AA1117" s="6">
        <f t="shared" ca="1" si="160"/>
        <v>88843.026790722535</v>
      </c>
      <c r="AB1117" s="6">
        <f t="shared" ca="1" si="161"/>
        <v>289.26008076255715</v>
      </c>
    </row>
    <row r="1118" spans="1:28" x14ac:dyDescent="0.3">
      <c r="A1118" s="53"/>
      <c r="B1118" s="54"/>
      <c r="C1118" s="65" t="s">
        <v>231</v>
      </c>
      <c r="D1118" s="65">
        <f t="shared" ca="1" si="154"/>
        <v>4</v>
      </c>
      <c r="E1118" s="3">
        <f t="shared" ca="1" si="155"/>
        <v>0.77501763346942576</v>
      </c>
      <c r="F1118" s="6">
        <f t="shared" ca="1" si="156"/>
        <v>45649.418891802321</v>
      </c>
      <c r="G1118" s="6">
        <f t="shared" ca="1" si="157"/>
        <v>314.98717799969245</v>
      </c>
      <c r="V1118" s="53"/>
      <c r="W1118" s="54"/>
      <c r="X1118" s="65" t="s">
        <v>231</v>
      </c>
      <c r="Y1118" s="65">
        <f t="shared" ca="1" si="158"/>
        <v>3</v>
      </c>
      <c r="Z1118" s="3">
        <f t="shared" ca="1" si="159"/>
        <v>0.53521966026536349</v>
      </c>
      <c r="AA1118" s="6">
        <f t="shared" ca="1" si="160"/>
        <v>53551.195259440057</v>
      </c>
      <c r="AB1118" s="6">
        <f t="shared" ca="1" si="161"/>
        <v>870.05716379896671</v>
      </c>
    </row>
    <row r="1119" spans="1:28" x14ac:dyDescent="0.3">
      <c r="A1119" s="53"/>
      <c r="B1119" s="54"/>
      <c r="C1119" s="65" t="s">
        <v>231</v>
      </c>
      <c r="D1119" s="65">
        <f t="shared" ca="1" si="154"/>
        <v>3</v>
      </c>
      <c r="E1119" s="3">
        <f t="shared" ca="1" si="155"/>
        <v>0.92909905444124929</v>
      </c>
      <c r="F1119" s="6">
        <f t="shared" ca="1" si="156"/>
        <v>139419.27499298751</v>
      </c>
      <c r="G1119" s="6">
        <f t="shared" ca="1" si="157"/>
        <v>120.51813633225028</v>
      </c>
      <c r="V1119" s="53"/>
      <c r="W1119" s="54"/>
      <c r="X1119" s="65" t="s">
        <v>231</v>
      </c>
      <c r="Y1119" s="65">
        <f t="shared" ca="1" si="158"/>
        <v>1</v>
      </c>
      <c r="Z1119" s="3">
        <f t="shared" ca="1" si="159"/>
        <v>0.3067986663516199</v>
      </c>
      <c r="AA1119" s="6">
        <f t="shared" ca="1" si="160"/>
        <v>87788.521701212521</v>
      </c>
      <c r="AB1119" s="6">
        <f t="shared" ca="1" si="161"/>
        <v>748.87007828423748</v>
      </c>
    </row>
    <row r="1120" spans="1:28" x14ac:dyDescent="0.3">
      <c r="A1120" s="53"/>
      <c r="B1120" s="54"/>
      <c r="C1120" s="65" t="s">
        <v>231</v>
      </c>
      <c r="D1120" s="65">
        <f t="shared" ca="1" si="154"/>
        <v>2</v>
      </c>
      <c r="E1120" s="3">
        <f t="shared" ca="1" si="155"/>
        <v>0.62468232041257998</v>
      </c>
      <c r="F1120" s="6">
        <f t="shared" ca="1" si="156"/>
        <v>106840.8935790774</v>
      </c>
      <c r="G1120" s="6">
        <f t="shared" ca="1" si="157"/>
        <v>1014.3658413688286</v>
      </c>
      <c r="V1120" s="53"/>
      <c r="W1120" s="54"/>
      <c r="X1120" s="65" t="s">
        <v>231</v>
      </c>
      <c r="Y1120" s="65">
        <f t="shared" ca="1" si="158"/>
        <v>2</v>
      </c>
      <c r="Z1120" s="3">
        <f t="shared" ca="1" si="159"/>
        <v>0.39111913308406021</v>
      </c>
      <c r="AA1120" s="6">
        <f t="shared" ca="1" si="160"/>
        <v>120782.10625214914</v>
      </c>
      <c r="AB1120" s="6">
        <f t="shared" ca="1" si="161"/>
        <v>1453.7137344552712</v>
      </c>
    </row>
    <row r="1121" spans="1:28" x14ac:dyDescent="0.3">
      <c r="A1121" s="53"/>
      <c r="B1121" s="54"/>
      <c r="C1121" s="65" t="s">
        <v>231</v>
      </c>
      <c r="D1121" s="65">
        <f t="shared" ca="1" si="154"/>
        <v>3</v>
      </c>
      <c r="E1121" s="3">
        <f t="shared" ca="1" si="155"/>
        <v>0.80597098229639952</v>
      </c>
      <c r="F1121" s="6">
        <f t="shared" ca="1" si="156"/>
        <v>198623.66098443538</v>
      </c>
      <c r="G1121" s="6">
        <f t="shared" ca="1" si="157"/>
        <v>1099.1406123721626</v>
      </c>
      <c r="V1121" s="53"/>
      <c r="W1121" s="54"/>
      <c r="X1121" s="65" t="s">
        <v>231</v>
      </c>
      <c r="Y1121" s="65">
        <f t="shared" ca="1" si="158"/>
        <v>3</v>
      </c>
      <c r="Z1121" s="3">
        <f t="shared" ca="1" si="159"/>
        <v>0.27037726835659848</v>
      </c>
      <c r="AA1121" s="6">
        <f t="shared" ca="1" si="160"/>
        <v>12941.299101973747</v>
      </c>
      <c r="AB1121" s="6">
        <f t="shared" ca="1" si="161"/>
        <v>1471.0773835351515</v>
      </c>
    </row>
    <row r="1122" spans="1:28" x14ac:dyDescent="0.3">
      <c r="A1122" s="53"/>
      <c r="B1122" s="54"/>
      <c r="C1122" s="65" t="s">
        <v>231</v>
      </c>
      <c r="D1122" s="65">
        <f t="shared" ca="1" si="154"/>
        <v>3</v>
      </c>
      <c r="E1122" s="3">
        <f t="shared" ca="1" si="155"/>
        <v>0.82330594595447781</v>
      </c>
      <c r="F1122" s="6">
        <f t="shared" ca="1" si="156"/>
        <v>9898.3722222964589</v>
      </c>
      <c r="G1122" s="6">
        <f t="shared" ca="1" si="157"/>
        <v>421.17993216299385</v>
      </c>
      <c r="V1122" s="53"/>
      <c r="W1122" s="54"/>
      <c r="X1122" s="65" t="s">
        <v>231</v>
      </c>
      <c r="Y1122" s="65">
        <f t="shared" ca="1" si="158"/>
        <v>2</v>
      </c>
      <c r="Z1122" s="3">
        <f t="shared" ca="1" si="159"/>
        <v>0.85010582413049185</v>
      </c>
      <c r="AA1122" s="6">
        <f t="shared" ca="1" si="160"/>
        <v>149093.11477097706</v>
      </c>
      <c r="AB1122" s="6">
        <f t="shared" ca="1" si="161"/>
        <v>958.63201059587095</v>
      </c>
    </row>
    <row r="1123" spans="1:28" x14ac:dyDescent="0.3">
      <c r="A1123" s="53"/>
      <c r="B1123" s="54"/>
      <c r="C1123" s="65" t="s">
        <v>231</v>
      </c>
      <c r="D1123" s="65">
        <f t="shared" ca="1" si="154"/>
        <v>2</v>
      </c>
      <c r="E1123" s="3">
        <f t="shared" ca="1" si="155"/>
        <v>0.92509204497179509</v>
      </c>
      <c r="F1123" s="6">
        <f t="shared" ca="1" si="156"/>
        <v>39604.579635124646</v>
      </c>
      <c r="G1123" s="6">
        <f t="shared" ca="1" si="157"/>
        <v>354.39112904359149</v>
      </c>
      <c r="V1123" s="53"/>
      <c r="W1123" s="54"/>
      <c r="X1123" s="65" t="s">
        <v>231</v>
      </c>
      <c r="Y1123" s="65">
        <f t="shared" ca="1" si="158"/>
        <v>4</v>
      </c>
      <c r="Z1123" s="3">
        <f t="shared" ca="1" si="159"/>
        <v>0.49224599963959259</v>
      </c>
      <c r="AA1123" s="6">
        <f t="shared" ca="1" si="160"/>
        <v>93832.872008871913</v>
      </c>
      <c r="AB1123" s="6">
        <f t="shared" ca="1" si="161"/>
        <v>113.00540175531748</v>
      </c>
    </row>
    <row r="1124" spans="1:28" x14ac:dyDescent="0.3">
      <c r="A1124" s="53"/>
      <c r="B1124" s="54"/>
      <c r="C1124" s="65" t="s">
        <v>231</v>
      </c>
      <c r="D1124" s="65">
        <f t="shared" ca="1" si="154"/>
        <v>4</v>
      </c>
      <c r="E1124" s="3">
        <f t="shared" ca="1" si="155"/>
        <v>3.433604965155701E-2</v>
      </c>
      <c r="F1124" s="6">
        <f t="shared" ca="1" si="156"/>
        <v>64605.253884458616</v>
      </c>
      <c r="G1124" s="6">
        <f t="shared" ca="1" si="157"/>
        <v>1187.4049224496518</v>
      </c>
      <c r="V1124" s="53"/>
      <c r="W1124" s="54"/>
      <c r="X1124" s="65" t="s">
        <v>231</v>
      </c>
      <c r="Y1124" s="65">
        <f t="shared" ca="1" si="158"/>
        <v>4</v>
      </c>
      <c r="Z1124" s="3">
        <f t="shared" ca="1" si="159"/>
        <v>3.365941619781998E-2</v>
      </c>
      <c r="AA1124" s="6">
        <f t="shared" ca="1" si="160"/>
        <v>95332.688781662277</v>
      </c>
      <c r="AB1124" s="6">
        <f t="shared" ca="1" si="161"/>
        <v>1903.9476983620393</v>
      </c>
    </row>
    <row r="1125" spans="1:28" x14ac:dyDescent="0.3">
      <c r="A1125" s="53"/>
      <c r="B1125" s="54"/>
      <c r="C1125" s="65" t="s">
        <v>231</v>
      </c>
      <c r="D1125" s="65">
        <f t="shared" ca="1" si="154"/>
        <v>1</v>
      </c>
      <c r="E1125" s="3">
        <f t="shared" ca="1" si="155"/>
        <v>0.96570201071907991</v>
      </c>
      <c r="F1125" s="6">
        <f t="shared" ca="1" si="156"/>
        <v>145809.38739866868</v>
      </c>
      <c r="G1125" s="6">
        <f t="shared" ca="1" si="157"/>
        <v>921.27312571835535</v>
      </c>
      <c r="V1125" s="53"/>
      <c r="W1125" s="54"/>
      <c r="X1125" s="65" t="s">
        <v>231</v>
      </c>
      <c r="Y1125" s="65">
        <f t="shared" ca="1" si="158"/>
        <v>1</v>
      </c>
      <c r="Z1125" s="3">
        <f t="shared" ca="1" si="159"/>
        <v>0.93164892814336031</v>
      </c>
      <c r="AA1125" s="6">
        <f t="shared" ca="1" si="160"/>
        <v>68396.757502839508</v>
      </c>
      <c r="AB1125" s="6">
        <f t="shared" ca="1" si="161"/>
        <v>770.86824613124281</v>
      </c>
    </row>
    <row r="1126" spans="1:28" x14ac:dyDescent="0.3">
      <c r="A1126" s="53"/>
      <c r="B1126" s="54"/>
      <c r="C1126" s="65" t="s">
        <v>231</v>
      </c>
      <c r="D1126" s="65">
        <f t="shared" ca="1" si="154"/>
        <v>1</v>
      </c>
      <c r="E1126" s="3">
        <f t="shared" ca="1" si="155"/>
        <v>4.5235129709544908E-2</v>
      </c>
      <c r="F1126" s="6">
        <f t="shared" ca="1" si="156"/>
        <v>18506.026009602185</v>
      </c>
      <c r="G1126" s="6">
        <f t="shared" ca="1" si="157"/>
        <v>1481.7604030353928</v>
      </c>
      <c r="V1126" s="53"/>
      <c r="W1126" s="54"/>
      <c r="X1126" s="65" t="s">
        <v>231</v>
      </c>
      <c r="Y1126" s="65">
        <f t="shared" ca="1" si="158"/>
        <v>3</v>
      </c>
      <c r="Z1126" s="3">
        <f t="shared" ca="1" si="159"/>
        <v>0.35915489255520072</v>
      </c>
      <c r="AA1126" s="6">
        <f t="shared" ca="1" si="160"/>
        <v>144955.53604252869</v>
      </c>
      <c r="AB1126" s="6">
        <f t="shared" ca="1" si="161"/>
        <v>892.43051619454093</v>
      </c>
    </row>
    <row r="1127" spans="1:28" x14ac:dyDescent="0.3">
      <c r="A1127" s="53"/>
      <c r="B1127" s="54"/>
      <c r="C1127" s="65" t="s">
        <v>231</v>
      </c>
      <c r="D1127" s="65">
        <f t="shared" ca="1" si="154"/>
        <v>1</v>
      </c>
      <c r="E1127" s="3">
        <f t="shared" ca="1" si="155"/>
        <v>0.10834928235146357</v>
      </c>
      <c r="F1127" s="6">
        <f t="shared" ca="1" si="156"/>
        <v>48512.756297890599</v>
      </c>
      <c r="G1127" s="6">
        <f t="shared" ca="1" si="157"/>
        <v>1060.4164300888353</v>
      </c>
      <c r="V1127" s="53"/>
      <c r="W1127" s="54"/>
      <c r="X1127" s="65" t="s">
        <v>231</v>
      </c>
      <c r="Y1127" s="65">
        <f t="shared" ca="1" si="158"/>
        <v>3</v>
      </c>
      <c r="Z1127" s="3">
        <f t="shared" ca="1" si="159"/>
        <v>0.16448758351311543</v>
      </c>
      <c r="AA1127" s="6">
        <f t="shared" ca="1" si="160"/>
        <v>162343.4683110686</v>
      </c>
      <c r="AB1127" s="6">
        <f t="shared" ca="1" si="161"/>
        <v>260.99105101580466</v>
      </c>
    </row>
    <row r="1128" spans="1:28" x14ac:dyDescent="0.3">
      <c r="A1128" s="53"/>
      <c r="B1128" s="54"/>
      <c r="C1128" s="65" t="s">
        <v>231</v>
      </c>
      <c r="D1128" s="65">
        <f t="shared" ca="1" si="154"/>
        <v>4</v>
      </c>
      <c r="E1128" s="3">
        <f t="shared" ca="1" si="155"/>
        <v>0.32718828031329739</v>
      </c>
      <c r="F1128" s="6">
        <f t="shared" ca="1" si="156"/>
        <v>130216.07896452316</v>
      </c>
      <c r="G1128" s="6">
        <f t="shared" ca="1" si="157"/>
        <v>982.18455983589934</v>
      </c>
      <c r="V1128" s="53"/>
      <c r="W1128" s="54"/>
      <c r="X1128" s="65" t="s">
        <v>231</v>
      </c>
      <c r="Y1128" s="65">
        <f t="shared" ca="1" si="158"/>
        <v>1</v>
      </c>
      <c r="Z1128" s="3">
        <f t="shared" ca="1" si="159"/>
        <v>0.87441656709946958</v>
      </c>
      <c r="AA1128" s="6">
        <f t="shared" ca="1" si="160"/>
        <v>137736.97275918431</v>
      </c>
      <c r="AB1128" s="6">
        <f t="shared" ca="1" si="161"/>
        <v>1894.2930502625477</v>
      </c>
    </row>
    <row r="1129" spans="1:28" x14ac:dyDescent="0.3">
      <c r="A1129" s="53"/>
      <c r="B1129" s="54"/>
      <c r="C1129" s="65" t="s">
        <v>231</v>
      </c>
      <c r="D1129" s="65">
        <f t="shared" ca="1" si="154"/>
        <v>2</v>
      </c>
      <c r="E1129" s="3">
        <f t="shared" ca="1" si="155"/>
        <v>0.59161174441542275</v>
      </c>
      <c r="F1129" s="6">
        <f t="shared" ca="1" si="156"/>
        <v>139137.0422879518</v>
      </c>
      <c r="G1129" s="6">
        <f t="shared" ca="1" si="157"/>
        <v>196.71471708970211</v>
      </c>
      <c r="V1129" s="53"/>
      <c r="W1129" s="54"/>
      <c r="X1129" s="65" t="s">
        <v>231</v>
      </c>
      <c r="Y1129" s="65">
        <f t="shared" ca="1" si="158"/>
        <v>2</v>
      </c>
      <c r="Z1129" s="3">
        <f t="shared" ca="1" si="159"/>
        <v>0.41653559632490311</v>
      </c>
      <c r="AA1129" s="6">
        <f t="shared" ca="1" si="160"/>
        <v>173135.52172726439</v>
      </c>
      <c r="AB1129" s="6">
        <f t="shared" ca="1" si="161"/>
        <v>1106.0968524641278</v>
      </c>
    </row>
    <row r="1130" spans="1:28" x14ac:dyDescent="0.3">
      <c r="A1130" s="53"/>
      <c r="B1130" s="54"/>
      <c r="C1130" s="65" t="s">
        <v>231</v>
      </c>
      <c r="D1130" s="65">
        <f t="shared" ca="1" si="154"/>
        <v>4</v>
      </c>
      <c r="E1130" s="3">
        <f t="shared" ca="1" si="155"/>
        <v>0.1769049190136166</v>
      </c>
      <c r="F1130" s="6">
        <f t="shared" ca="1" si="156"/>
        <v>185357.11598408289</v>
      </c>
      <c r="G1130" s="6">
        <f t="shared" ca="1" si="157"/>
        <v>1625.6708211360926</v>
      </c>
      <c r="V1130" s="53"/>
      <c r="W1130" s="54"/>
      <c r="X1130" s="65" t="s">
        <v>231</v>
      </c>
      <c r="Y1130" s="65">
        <f t="shared" ca="1" si="158"/>
        <v>2</v>
      </c>
      <c r="Z1130" s="3">
        <f t="shared" ca="1" si="159"/>
        <v>4.9399019837622626E-2</v>
      </c>
      <c r="AA1130" s="6">
        <f t="shared" ca="1" si="160"/>
        <v>94568.825613108638</v>
      </c>
      <c r="AB1130" s="6">
        <f t="shared" ca="1" si="161"/>
        <v>278.28499048290524</v>
      </c>
    </row>
    <row r="1131" spans="1:28" x14ac:dyDescent="0.3">
      <c r="A1131" s="53"/>
      <c r="B1131" s="54"/>
      <c r="C1131" s="65" t="s">
        <v>231</v>
      </c>
      <c r="D1131" s="65">
        <f t="shared" ca="1" si="154"/>
        <v>2</v>
      </c>
      <c r="E1131" s="3">
        <f t="shared" ca="1" si="155"/>
        <v>0.4190252034885229</v>
      </c>
      <c r="F1131" s="6">
        <f t="shared" ca="1" si="156"/>
        <v>193029.79539885913</v>
      </c>
      <c r="G1131" s="6">
        <f t="shared" ca="1" si="157"/>
        <v>1311.2399203162836</v>
      </c>
      <c r="V1131" s="53"/>
      <c r="W1131" s="54"/>
      <c r="X1131" s="65" t="s">
        <v>231</v>
      </c>
      <c r="Y1131" s="65">
        <f t="shared" ca="1" si="158"/>
        <v>4</v>
      </c>
      <c r="Z1131" s="3">
        <f t="shared" ca="1" si="159"/>
        <v>0.45648567329112211</v>
      </c>
      <c r="AA1131" s="6">
        <f t="shared" ca="1" si="160"/>
        <v>100689.6397039131</v>
      </c>
      <c r="AB1131" s="6">
        <f t="shared" ca="1" si="161"/>
        <v>406.97509074235063</v>
      </c>
    </row>
    <row r="1132" spans="1:28" x14ac:dyDescent="0.3">
      <c r="A1132" s="53"/>
      <c r="B1132" s="54"/>
      <c r="C1132" s="65" t="s">
        <v>231</v>
      </c>
      <c r="D1132" s="65">
        <f t="shared" ca="1" si="154"/>
        <v>3</v>
      </c>
      <c r="E1132" s="3">
        <f t="shared" ca="1" si="155"/>
        <v>0.21620267666744419</v>
      </c>
      <c r="F1132" s="6">
        <f t="shared" ca="1" si="156"/>
        <v>59585.682581156259</v>
      </c>
      <c r="G1132" s="6">
        <f t="shared" ca="1" si="157"/>
        <v>1625.1000512555104</v>
      </c>
      <c r="V1132" s="53"/>
      <c r="W1132" s="54"/>
      <c r="X1132" s="65" t="s">
        <v>231</v>
      </c>
      <c r="Y1132" s="65">
        <f t="shared" ca="1" si="158"/>
        <v>4</v>
      </c>
      <c r="Z1132" s="3">
        <f t="shared" ca="1" si="159"/>
        <v>0.15675628941128295</v>
      </c>
      <c r="AA1132" s="6">
        <f t="shared" ca="1" si="160"/>
        <v>64991.148981278515</v>
      </c>
      <c r="AB1132" s="6">
        <f t="shared" ca="1" si="161"/>
        <v>1919.5730346460009</v>
      </c>
    </row>
    <row r="1133" spans="1:28" x14ac:dyDescent="0.3">
      <c r="A1133" s="53"/>
      <c r="B1133" s="54"/>
      <c r="C1133" s="65" t="s">
        <v>231</v>
      </c>
      <c r="D1133" s="65">
        <f t="shared" ca="1" si="154"/>
        <v>2</v>
      </c>
      <c r="E1133" s="3">
        <f t="shared" ca="1" si="155"/>
        <v>2.0358114128818272E-2</v>
      </c>
      <c r="F1133" s="6">
        <f t="shared" ca="1" si="156"/>
        <v>164006.89393800462</v>
      </c>
      <c r="G1133" s="6">
        <f t="shared" ca="1" si="157"/>
        <v>473.58936109869609</v>
      </c>
      <c r="V1133" s="53"/>
      <c r="W1133" s="54"/>
      <c r="X1133" s="65" t="s">
        <v>231</v>
      </c>
      <c r="Y1133" s="65">
        <f t="shared" ca="1" si="158"/>
        <v>2</v>
      </c>
      <c r="Z1133" s="3">
        <f t="shared" ca="1" si="159"/>
        <v>0.50469846656556072</v>
      </c>
      <c r="AA1133" s="6">
        <f t="shared" ca="1" si="160"/>
        <v>183416.58299479767</v>
      </c>
      <c r="AB1133" s="6">
        <f t="shared" ca="1" si="161"/>
        <v>1654.3061644437012</v>
      </c>
    </row>
    <row r="1134" spans="1:28" x14ac:dyDescent="0.3">
      <c r="A1134" s="53"/>
      <c r="B1134" s="54"/>
      <c r="C1134" s="65" t="s">
        <v>231</v>
      </c>
      <c r="D1134" s="65">
        <f t="shared" ca="1" si="154"/>
        <v>4</v>
      </c>
      <c r="E1134" s="3">
        <f t="shared" ca="1" si="155"/>
        <v>0.62135454111345045</v>
      </c>
      <c r="F1134" s="6">
        <f t="shared" ca="1" si="156"/>
        <v>48651.68767663226</v>
      </c>
      <c r="G1134" s="6">
        <f t="shared" ca="1" si="157"/>
        <v>1834.5193713401979</v>
      </c>
      <c r="V1134" s="53"/>
      <c r="W1134" s="54"/>
      <c r="X1134" s="65" t="s">
        <v>231</v>
      </c>
      <c r="Y1134" s="65">
        <f t="shared" ca="1" si="158"/>
        <v>3</v>
      </c>
      <c r="Z1134" s="3">
        <f t="shared" ca="1" si="159"/>
        <v>0.15961241279901361</v>
      </c>
      <c r="AA1134" s="6">
        <f t="shared" ca="1" si="160"/>
        <v>43314.021621439359</v>
      </c>
      <c r="AB1134" s="6">
        <f t="shared" ca="1" si="161"/>
        <v>1051.00520488748</v>
      </c>
    </row>
    <row r="1135" spans="1:28" x14ac:dyDescent="0.3">
      <c r="A1135" s="53"/>
      <c r="B1135" s="54"/>
      <c r="C1135" s="65" t="s">
        <v>231</v>
      </c>
      <c r="D1135" s="65">
        <f t="shared" ca="1" si="154"/>
        <v>4</v>
      </c>
      <c r="E1135" s="3">
        <f t="shared" ca="1" si="155"/>
        <v>0.46321503171712453</v>
      </c>
      <c r="F1135" s="6">
        <f t="shared" ca="1" si="156"/>
        <v>52084.444366468793</v>
      </c>
      <c r="G1135" s="6">
        <f t="shared" ca="1" si="157"/>
        <v>1020.1536651178238</v>
      </c>
      <c r="V1135" s="53"/>
      <c r="W1135" s="54"/>
      <c r="X1135" s="65" t="s">
        <v>231</v>
      </c>
      <c r="Y1135" s="65">
        <f t="shared" ca="1" si="158"/>
        <v>4</v>
      </c>
      <c r="Z1135" s="3">
        <f t="shared" ca="1" si="159"/>
        <v>0.96570357717262001</v>
      </c>
      <c r="AA1135" s="6">
        <f t="shared" ca="1" si="160"/>
        <v>71349.113123153773</v>
      </c>
      <c r="AB1135" s="6">
        <f t="shared" ca="1" si="161"/>
        <v>590.75708479766195</v>
      </c>
    </row>
    <row r="1136" spans="1:28" x14ac:dyDescent="0.3">
      <c r="A1136" s="53"/>
      <c r="B1136" s="54"/>
      <c r="C1136" s="65" t="s">
        <v>231</v>
      </c>
      <c r="D1136" s="65">
        <f t="shared" ca="1" si="154"/>
        <v>4</v>
      </c>
      <c r="E1136" s="3">
        <f t="shared" ca="1" si="155"/>
        <v>0.35438054580019462</v>
      </c>
      <c r="F1136" s="6">
        <f t="shared" ca="1" si="156"/>
        <v>122566.47059673074</v>
      </c>
      <c r="G1136" s="6">
        <f t="shared" ca="1" si="157"/>
        <v>1021.8241229971668</v>
      </c>
      <c r="V1136" s="53"/>
      <c r="W1136" s="54"/>
      <c r="X1136" s="65" t="s">
        <v>231</v>
      </c>
      <c r="Y1136" s="65">
        <f t="shared" ca="1" si="158"/>
        <v>4</v>
      </c>
      <c r="Z1136" s="3">
        <f t="shared" ca="1" si="159"/>
        <v>0.59990801546890693</v>
      </c>
      <c r="AA1136" s="6">
        <f t="shared" ca="1" si="160"/>
        <v>156773.40269454912</v>
      </c>
      <c r="AB1136" s="6">
        <f t="shared" ca="1" si="161"/>
        <v>395.98866343298613</v>
      </c>
    </row>
    <row r="1137" spans="1:28" x14ac:dyDescent="0.3">
      <c r="A1137" s="53"/>
      <c r="B1137" s="54"/>
      <c r="C1137" s="65" t="s">
        <v>231</v>
      </c>
      <c r="D1137" s="65">
        <f t="shared" ca="1" si="154"/>
        <v>4</v>
      </c>
      <c r="E1137" s="3">
        <f t="shared" ca="1" si="155"/>
        <v>0.72311216013706259</v>
      </c>
      <c r="F1137" s="6">
        <f t="shared" ca="1" si="156"/>
        <v>132297.63718372656</v>
      </c>
      <c r="G1137" s="6">
        <f t="shared" ca="1" si="157"/>
        <v>783.84287317661494</v>
      </c>
      <c r="V1137" s="53"/>
      <c r="W1137" s="54"/>
      <c r="X1137" s="65" t="s">
        <v>231</v>
      </c>
      <c r="Y1137" s="65">
        <f t="shared" ca="1" si="158"/>
        <v>3</v>
      </c>
      <c r="Z1137" s="3">
        <f t="shared" ca="1" si="159"/>
        <v>7.4026579474613885E-2</v>
      </c>
      <c r="AA1137" s="6">
        <f t="shared" ca="1" si="160"/>
        <v>2235.4794738307814</v>
      </c>
      <c r="AB1137" s="6">
        <f t="shared" ca="1" si="161"/>
        <v>1735.8733425258667</v>
      </c>
    </row>
    <row r="1138" spans="1:28" x14ac:dyDescent="0.3">
      <c r="A1138" s="53"/>
      <c r="B1138" s="54"/>
      <c r="C1138" s="65" t="s">
        <v>231</v>
      </c>
      <c r="D1138" s="65">
        <f t="shared" ca="1" si="154"/>
        <v>1</v>
      </c>
      <c r="E1138" s="3">
        <f t="shared" ca="1" si="155"/>
        <v>9.0299755006094218E-2</v>
      </c>
      <c r="F1138" s="6">
        <f t="shared" ca="1" si="156"/>
        <v>83334.425426961141</v>
      </c>
      <c r="G1138" s="6">
        <f t="shared" ca="1" si="157"/>
        <v>1139.8780866471905</v>
      </c>
      <c r="V1138" s="53"/>
      <c r="W1138" s="54"/>
      <c r="X1138" s="65" t="s">
        <v>231</v>
      </c>
      <c r="Y1138" s="65">
        <f t="shared" ca="1" si="158"/>
        <v>1</v>
      </c>
      <c r="Z1138" s="3">
        <f t="shared" ca="1" si="159"/>
        <v>8.4480815171764534E-2</v>
      </c>
      <c r="AA1138" s="6">
        <f t="shared" ca="1" si="160"/>
        <v>89345.14415601948</v>
      </c>
      <c r="AB1138" s="6">
        <f t="shared" ca="1" si="161"/>
        <v>1807.7224776341873</v>
      </c>
    </row>
    <row r="1139" spans="1:28" x14ac:dyDescent="0.3">
      <c r="A1139" s="53"/>
      <c r="B1139" s="54"/>
      <c r="C1139" s="65" t="s">
        <v>231</v>
      </c>
      <c r="D1139" s="65">
        <f t="shared" ca="1" si="154"/>
        <v>1</v>
      </c>
      <c r="E1139" s="3">
        <f t="shared" ca="1" si="155"/>
        <v>0.51036153113144678</v>
      </c>
      <c r="F1139" s="6">
        <f t="shared" ca="1" si="156"/>
        <v>134946.70274669328</v>
      </c>
      <c r="G1139" s="6">
        <f t="shared" ca="1" si="157"/>
        <v>1247.3621717561068</v>
      </c>
      <c r="V1139" s="53"/>
      <c r="W1139" s="54"/>
      <c r="X1139" s="65" t="s">
        <v>231</v>
      </c>
      <c r="Y1139" s="65">
        <f t="shared" ca="1" si="158"/>
        <v>4</v>
      </c>
      <c r="Z1139" s="3">
        <f t="shared" ca="1" si="159"/>
        <v>0.41941900697962409</v>
      </c>
      <c r="AA1139" s="6">
        <f t="shared" ca="1" si="160"/>
        <v>77504.625934284195</v>
      </c>
      <c r="AB1139" s="6">
        <f t="shared" ca="1" si="161"/>
        <v>1670.1711120774407</v>
      </c>
    </row>
    <row r="1140" spans="1:28" x14ac:dyDescent="0.3">
      <c r="A1140" s="53"/>
      <c r="B1140" s="54"/>
      <c r="C1140" s="65" t="s">
        <v>231</v>
      </c>
      <c r="D1140" s="65">
        <f t="shared" ca="1" si="154"/>
        <v>3</v>
      </c>
      <c r="E1140" s="3">
        <f t="shared" ca="1" si="155"/>
        <v>0.21355347648555889</v>
      </c>
      <c r="F1140" s="6">
        <f t="shared" ca="1" si="156"/>
        <v>38321.711684934591</v>
      </c>
      <c r="G1140" s="6">
        <f t="shared" ca="1" si="157"/>
        <v>1453.3826069581655</v>
      </c>
      <c r="V1140" s="53"/>
      <c r="W1140" s="54"/>
      <c r="X1140" s="65" t="s">
        <v>231</v>
      </c>
      <c r="Y1140" s="65">
        <f t="shared" ca="1" si="158"/>
        <v>3</v>
      </c>
      <c r="Z1140" s="3">
        <f t="shared" ca="1" si="159"/>
        <v>0.2435420705770015</v>
      </c>
      <c r="AA1140" s="6">
        <f t="shared" ca="1" si="160"/>
        <v>78756.603144658584</v>
      </c>
      <c r="AB1140" s="6">
        <f t="shared" ca="1" si="161"/>
        <v>1236.4904581399392</v>
      </c>
    </row>
    <row r="1141" spans="1:28" x14ac:dyDescent="0.3">
      <c r="A1141" s="53"/>
      <c r="B1141" s="54"/>
      <c r="C1141" s="65" t="s">
        <v>231</v>
      </c>
      <c r="D1141" s="65">
        <f t="shared" ca="1" si="154"/>
        <v>3</v>
      </c>
      <c r="E1141" s="3">
        <f t="shared" ca="1" si="155"/>
        <v>0.59966238860929055</v>
      </c>
      <c r="F1141" s="6">
        <f t="shared" ca="1" si="156"/>
        <v>167776.7557747406</v>
      </c>
      <c r="G1141" s="6">
        <f t="shared" ca="1" si="157"/>
        <v>781.87273252726584</v>
      </c>
      <c r="V1141" s="53"/>
      <c r="W1141" s="54"/>
      <c r="X1141" s="65" t="s">
        <v>231</v>
      </c>
      <c r="Y1141" s="65">
        <f t="shared" ca="1" si="158"/>
        <v>4</v>
      </c>
      <c r="Z1141" s="3">
        <f t="shared" ca="1" si="159"/>
        <v>0.45505599917808925</v>
      </c>
      <c r="AA1141" s="6">
        <f t="shared" ca="1" si="160"/>
        <v>115158.75737195782</v>
      </c>
      <c r="AB1141" s="6">
        <f t="shared" ca="1" si="161"/>
        <v>1206.3333230717753</v>
      </c>
    </row>
    <row r="1142" spans="1:28" x14ac:dyDescent="0.3">
      <c r="A1142" s="53"/>
      <c r="B1142" s="54"/>
      <c r="C1142" s="65" t="s">
        <v>231</v>
      </c>
      <c r="D1142" s="65">
        <f t="shared" ca="1" si="154"/>
        <v>1</v>
      </c>
      <c r="E1142" s="3">
        <f t="shared" ca="1" si="155"/>
        <v>5.7166859547593596E-2</v>
      </c>
      <c r="F1142" s="6">
        <f t="shared" ca="1" si="156"/>
        <v>120301.27792280538</v>
      </c>
      <c r="G1142" s="6">
        <f t="shared" ca="1" si="157"/>
        <v>437.49781224653583</v>
      </c>
      <c r="V1142" s="53"/>
      <c r="W1142" s="54"/>
      <c r="X1142" s="65" t="s">
        <v>231</v>
      </c>
      <c r="Y1142" s="65">
        <f t="shared" ca="1" si="158"/>
        <v>3</v>
      </c>
      <c r="Z1142" s="3">
        <f t="shared" ca="1" si="159"/>
        <v>0.81073910504775792</v>
      </c>
      <c r="AA1142" s="6">
        <f t="shared" ca="1" si="160"/>
        <v>150945.62402434478</v>
      </c>
      <c r="AB1142" s="6">
        <f t="shared" ca="1" si="161"/>
        <v>1071.5168478016597</v>
      </c>
    </row>
    <row r="1143" spans="1:28" x14ac:dyDescent="0.3">
      <c r="A1143" s="53"/>
      <c r="B1143" s="54"/>
      <c r="C1143" s="65" t="s">
        <v>231</v>
      </c>
      <c r="D1143" s="65">
        <f t="shared" ca="1" si="154"/>
        <v>4</v>
      </c>
      <c r="E1143" s="3">
        <f t="shared" ca="1" si="155"/>
        <v>3.6835072458031193E-2</v>
      </c>
      <c r="F1143" s="6">
        <f t="shared" ca="1" si="156"/>
        <v>166833.11636730688</v>
      </c>
      <c r="G1143" s="6">
        <f t="shared" ca="1" si="157"/>
        <v>252.45307353991819</v>
      </c>
      <c r="V1143" s="53"/>
      <c r="W1143" s="54"/>
      <c r="X1143" s="65" t="s">
        <v>231</v>
      </c>
      <c r="Y1143" s="65">
        <f t="shared" ca="1" si="158"/>
        <v>1</v>
      </c>
      <c r="Z1143" s="3">
        <f t="shared" ca="1" si="159"/>
        <v>0.29686475407248192</v>
      </c>
      <c r="AA1143" s="6">
        <f t="shared" ca="1" si="160"/>
        <v>115372.31747388467</v>
      </c>
      <c r="AB1143" s="6">
        <f t="shared" ca="1" si="161"/>
        <v>356.86226568919466</v>
      </c>
    </row>
    <row r="1144" spans="1:28" x14ac:dyDescent="0.3">
      <c r="A1144" s="53"/>
      <c r="B1144" s="54"/>
      <c r="C1144" s="65" t="s">
        <v>231</v>
      </c>
      <c r="D1144" s="65">
        <f t="shared" ca="1" si="154"/>
        <v>2</v>
      </c>
      <c r="E1144" s="3">
        <f t="shared" ca="1" si="155"/>
        <v>0.98510706639695578</v>
      </c>
      <c r="F1144" s="6">
        <f t="shared" ca="1" si="156"/>
        <v>53396.165995311007</v>
      </c>
      <c r="G1144" s="6">
        <f t="shared" ca="1" si="157"/>
        <v>590.59905734537961</v>
      </c>
      <c r="V1144" s="53"/>
      <c r="W1144" s="54"/>
      <c r="X1144" s="65" t="s">
        <v>231</v>
      </c>
      <c r="Y1144" s="65">
        <f t="shared" ca="1" si="158"/>
        <v>4</v>
      </c>
      <c r="Z1144" s="3">
        <f t="shared" ca="1" si="159"/>
        <v>0.14282949982438575</v>
      </c>
      <c r="AA1144" s="6">
        <f t="shared" ca="1" si="160"/>
        <v>156641.56264233415</v>
      </c>
      <c r="AB1144" s="6">
        <f t="shared" ca="1" si="161"/>
        <v>822.68512862139914</v>
      </c>
    </row>
    <row r="1145" spans="1:28" x14ac:dyDescent="0.3">
      <c r="A1145" s="53"/>
      <c r="B1145" s="54"/>
      <c r="C1145" s="65" t="s">
        <v>231</v>
      </c>
      <c r="D1145" s="65">
        <f t="shared" ca="1" si="154"/>
        <v>4</v>
      </c>
      <c r="E1145" s="3">
        <f t="shared" ca="1" si="155"/>
        <v>0.84833673423924216</v>
      </c>
      <c r="F1145" s="6">
        <f t="shared" ca="1" si="156"/>
        <v>155492.22316677627</v>
      </c>
      <c r="G1145" s="6">
        <f t="shared" ca="1" si="157"/>
        <v>1200.8482290841234</v>
      </c>
      <c r="V1145" s="53"/>
      <c r="W1145" s="54"/>
      <c r="X1145" s="65" t="s">
        <v>231</v>
      </c>
      <c r="Y1145" s="65">
        <f t="shared" ca="1" si="158"/>
        <v>4</v>
      </c>
      <c r="Z1145" s="3">
        <f t="shared" ca="1" si="159"/>
        <v>0.80787022122814567</v>
      </c>
      <c r="AA1145" s="6">
        <f t="shared" ca="1" si="160"/>
        <v>48369.516865790538</v>
      </c>
      <c r="AB1145" s="6">
        <f t="shared" ca="1" si="161"/>
        <v>1918.3379980016168</v>
      </c>
    </row>
    <row r="1146" spans="1:28" x14ac:dyDescent="0.3">
      <c r="A1146" s="53"/>
      <c r="B1146" s="54"/>
      <c r="C1146" s="65" t="s">
        <v>231</v>
      </c>
      <c r="D1146" s="65">
        <f t="shared" ca="1" si="154"/>
        <v>2</v>
      </c>
      <c r="E1146" s="3">
        <f t="shared" ca="1" si="155"/>
        <v>0.60135302630885745</v>
      </c>
      <c r="F1146" s="6">
        <f t="shared" ca="1" si="156"/>
        <v>73767.93345777817</v>
      </c>
      <c r="G1146" s="6">
        <f t="shared" ca="1" si="157"/>
        <v>915.62798319810486</v>
      </c>
      <c r="V1146" s="53"/>
      <c r="W1146" s="54"/>
      <c r="X1146" s="65" t="s">
        <v>231</v>
      </c>
      <c r="Y1146" s="65">
        <f t="shared" ca="1" si="158"/>
        <v>2</v>
      </c>
      <c r="Z1146" s="3">
        <f t="shared" ca="1" si="159"/>
        <v>0.22695619805272149</v>
      </c>
      <c r="AA1146" s="6">
        <f t="shared" ca="1" si="160"/>
        <v>188150.05673021945</v>
      </c>
      <c r="AB1146" s="6">
        <f t="shared" ca="1" si="161"/>
        <v>1207.636692906761</v>
      </c>
    </row>
    <row r="1147" spans="1:28" x14ac:dyDescent="0.3">
      <c r="A1147" s="53"/>
      <c r="B1147" s="54"/>
      <c r="C1147" s="65" t="s">
        <v>231</v>
      </c>
      <c r="D1147" s="65">
        <f t="shared" ca="1" si="154"/>
        <v>2</v>
      </c>
      <c r="E1147" s="3">
        <f t="shared" ca="1" si="155"/>
        <v>0.84259535067527036</v>
      </c>
      <c r="F1147" s="6">
        <f t="shared" ca="1" si="156"/>
        <v>61124.310103700278</v>
      </c>
      <c r="G1147" s="6">
        <f t="shared" ca="1" si="157"/>
        <v>1012.356923069756</v>
      </c>
      <c r="V1147" s="53"/>
      <c r="W1147" s="54"/>
      <c r="X1147" s="65" t="s">
        <v>231</v>
      </c>
      <c r="Y1147" s="65">
        <f t="shared" ca="1" si="158"/>
        <v>1</v>
      </c>
      <c r="Z1147" s="3">
        <f t="shared" ca="1" si="159"/>
        <v>3.1766796469499314E-2</v>
      </c>
      <c r="AA1147" s="6">
        <f t="shared" ca="1" si="160"/>
        <v>60941.430520906193</v>
      </c>
      <c r="AB1147" s="6">
        <f t="shared" ca="1" si="161"/>
        <v>198.87371617994188</v>
      </c>
    </row>
    <row r="1148" spans="1:28" x14ac:dyDescent="0.3">
      <c r="A1148" s="53"/>
      <c r="B1148" s="54"/>
      <c r="C1148" s="65" t="s">
        <v>231</v>
      </c>
      <c r="D1148" s="65">
        <f t="shared" ca="1" si="154"/>
        <v>3</v>
      </c>
      <c r="E1148" s="3">
        <f t="shared" ca="1" si="155"/>
        <v>0.51904510933235848</v>
      </c>
      <c r="F1148" s="6">
        <f t="shared" ca="1" si="156"/>
        <v>15403.299027851825</v>
      </c>
      <c r="G1148" s="6">
        <f t="shared" ca="1" si="157"/>
        <v>1347.9129108674556</v>
      </c>
      <c r="V1148" s="53"/>
      <c r="W1148" s="54"/>
      <c r="X1148" s="65" t="s">
        <v>231</v>
      </c>
      <c r="Y1148" s="65">
        <f t="shared" ca="1" si="158"/>
        <v>1</v>
      </c>
      <c r="Z1148" s="3">
        <f t="shared" ca="1" si="159"/>
        <v>0.85257910718133256</v>
      </c>
      <c r="AA1148" s="6">
        <f t="shared" ca="1" si="160"/>
        <v>41507.267459826136</v>
      </c>
      <c r="AB1148" s="6">
        <f t="shared" ca="1" si="161"/>
        <v>1785.0528413045249</v>
      </c>
    </row>
    <row r="1149" spans="1:28" x14ac:dyDescent="0.3">
      <c r="A1149" s="53"/>
      <c r="B1149" s="54"/>
      <c r="C1149" s="65" t="s">
        <v>231</v>
      </c>
      <c r="D1149" s="65">
        <f t="shared" ca="1" si="154"/>
        <v>4</v>
      </c>
      <c r="E1149" s="3">
        <f t="shared" ca="1" si="155"/>
        <v>0.58450204133869998</v>
      </c>
      <c r="F1149" s="6">
        <f t="shared" ca="1" si="156"/>
        <v>167140.98404837592</v>
      </c>
      <c r="G1149" s="6">
        <f t="shared" ca="1" si="157"/>
        <v>1939.7192599273567</v>
      </c>
      <c r="V1149" s="53"/>
      <c r="W1149" s="54"/>
      <c r="X1149" s="65" t="s">
        <v>231</v>
      </c>
      <c r="Y1149" s="65">
        <f t="shared" ca="1" si="158"/>
        <v>1</v>
      </c>
      <c r="Z1149" s="3">
        <f t="shared" ca="1" si="159"/>
        <v>0.25386203562709875</v>
      </c>
      <c r="AA1149" s="6">
        <f t="shared" ca="1" si="160"/>
        <v>162487.70969081379</v>
      </c>
      <c r="AB1149" s="6">
        <f t="shared" ca="1" si="161"/>
        <v>1029.4886914181775</v>
      </c>
    </row>
    <row r="1150" spans="1:28" x14ac:dyDescent="0.3">
      <c r="A1150" s="53"/>
      <c r="B1150" s="54"/>
      <c r="C1150" s="65" t="s">
        <v>231</v>
      </c>
      <c r="D1150" s="65">
        <f t="shared" ca="1" si="154"/>
        <v>3</v>
      </c>
      <c r="E1150" s="3">
        <f t="shared" ca="1" si="155"/>
        <v>5.7775875688458433E-2</v>
      </c>
      <c r="F1150" s="6">
        <f t="shared" ca="1" si="156"/>
        <v>80416.132878743607</v>
      </c>
      <c r="G1150" s="6">
        <f t="shared" ca="1" si="157"/>
        <v>1100.3202410226329</v>
      </c>
      <c r="V1150" s="53"/>
      <c r="W1150" s="54"/>
      <c r="X1150" s="65" t="s">
        <v>231</v>
      </c>
      <c r="Y1150" s="65">
        <f t="shared" ca="1" si="158"/>
        <v>4</v>
      </c>
      <c r="Z1150" s="3">
        <f t="shared" ca="1" si="159"/>
        <v>0.20685628223540364</v>
      </c>
      <c r="AA1150" s="6">
        <f t="shared" ca="1" si="160"/>
        <v>143462.87060756257</v>
      </c>
      <c r="AB1150" s="6">
        <f t="shared" ca="1" si="161"/>
        <v>454.78670477511616</v>
      </c>
    </row>
    <row r="1151" spans="1:28" x14ac:dyDescent="0.3">
      <c r="A1151" s="53"/>
      <c r="B1151" s="54"/>
      <c r="C1151" s="65" t="s">
        <v>231</v>
      </c>
      <c r="D1151" s="65">
        <f t="shared" ca="1" si="154"/>
        <v>2</v>
      </c>
      <c r="E1151" s="3">
        <f t="shared" ca="1" si="155"/>
        <v>0.34458133790095369</v>
      </c>
      <c r="F1151" s="6">
        <f t="shared" ca="1" si="156"/>
        <v>1357.73561869732</v>
      </c>
      <c r="G1151" s="6">
        <f t="shared" ca="1" si="157"/>
        <v>1619.6400799500259</v>
      </c>
      <c r="V1151" s="53"/>
      <c r="W1151" s="54"/>
      <c r="X1151" s="65" t="s">
        <v>231</v>
      </c>
      <c r="Y1151" s="65">
        <f t="shared" ca="1" si="158"/>
        <v>1</v>
      </c>
      <c r="Z1151" s="3">
        <f t="shared" ca="1" si="159"/>
        <v>0.45390382319005862</v>
      </c>
      <c r="AA1151" s="6">
        <f t="shared" ca="1" si="160"/>
        <v>3960.091738489391</v>
      </c>
      <c r="AB1151" s="6">
        <f t="shared" ca="1" si="161"/>
        <v>611.23827961539655</v>
      </c>
    </row>
    <row r="1152" spans="1:28" x14ac:dyDescent="0.3">
      <c r="A1152" s="53"/>
      <c r="B1152" s="54"/>
      <c r="C1152" s="65" t="s">
        <v>231</v>
      </c>
      <c r="D1152" s="65">
        <f t="shared" ca="1" si="154"/>
        <v>4</v>
      </c>
      <c r="E1152" s="3">
        <f t="shared" ca="1" si="155"/>
        <v>0.68888936285881852</v>
      </c>
      <c r="F1152" s="6">
        <f t="shared" ca="1" si="156"/>
        <v>129683.37269348167</v>
      </c>
      <c r="G1152" s="6">
        <f t="shared" ca="1" si="157"/>
        <v>950.06590513483275</v>
      </c>
      <c r="V1152" s="53"/>
      <c r="W1152" s="54"/>
      <c r="X1152" s="65" t="s">
        <v>231</v>
      </c>
      <c r="Y1152" s="65">
        <f t="shared" ca="1" si="158"/>
        <v>2</v>
      </c>
      <c r="Z1152" s="3">
        <f t="shared" ca="1" si="159"/>
        <v>0.1429816419202582</v>
      </c>
      <c r="AA1152" s="6">
        <f t="shared" ca="1" si="160"/>
        <v>176295.29863670512</v>
      </c>
      <c r="AB1152" s="6">
        <f t="shared" ca="1" si="161"/>
        <v>1402.7382357250051</v>
      </c>
    </row>
    <row r="1153" spans="1:28" x14ac:dyDescent="0.3">
      <c r="A1153" s="53"/>
      <c r="B1153" s="54"/>
      <c r="C1153" s="65" t="s">
        <v>231</v>
      </c>
      <c r="D1153" s="65">
        <f t="shared" ca="1" si="154"/>
        <v>4</v>
      </c>
      <c r="E1153" s="3">
        <f t="shared" ca="1" si="155"/>
        <v>0.22219104885131236</v>
      </c>
      <c r="F1153" s="6">
        <f t="shared" ca="1" si="156"/>
        <v>6022.2524161273714</v>
      </c>
      <c r="G1153" s="6">
        <f t="shared" ca="1" si="157"/>
        <v>746.73156981886996</v>
      </c>
      <c r="V1153" s="53"/>
      <c r="W1153" s="54"/>
      <c r="X1153" s="65" t="s">
        <v>231</v>
      </c>
      <c r="Y1153" s="65">
        <f t="shared" ca="1" si="158"/>
        <v>4</v>
      </c>
      <c r="Z1153" s="3">
        <f t="shared" ca="1" si="159"/>
        <v>0.26722380098151821</v>
      </c>
      <c r="AA1153" s="6">
        <f t="shared" ca="1" si="160"/>
        <v>128843.87415801946</v>
      </c>
      <c r="AB1153" s="6">
        <f t="shared" ca="1" si="161"/>
        <v>1937.0683052105928</v>
      </c>
    </row>
    <row r="1154" spans="1:28" x14ac:dyDescent="0.3">
      <c r="A1154" s="53"/>
      <c r="B1154" s="54"/>
      <c r="C1154" s="65" t="s">
        <v>231</v>
      </c>
      <c r="D1154" s="65">
        <f t="shared" ca="1" si="154"/>
        <v>1</v>
      </c>
      <c r="E1154" s="3">
        <f t="shared" ca="1" si="155"/>
        <v>0.62903969424714468</v>
      </c>
      <c r="F1154" s="6">
        <f t="shared" ca="1" si="156"/>
        <v>2373.6948985361382</v>
      </c>
      <c r="G1154" s="6">
        <f t="shared" ca="1" si="157"/>
        <v>8.3118277086171588</v>
      </c>
      <c r="V1154" s="53"/>
      <c r="W1154" s="54"/>
      <c r="X1154" s="65" t="s">
        <v>231</v>
      </c>
      <c r="Y1154" s="65">
        <f t="shared" ca="1" si="158"/>
        <v>4</v>
      </c>
      <c r="Z1154" s="3">
        <f t="shared" ca="1" si="159"/>
        <v>0.92843899993755363</v>
      </c>
      <c r="AA1154" s="6">
        <f t="shared" ca="1" si="160"/>
        <v>102927.97858206673</v>
      </c>
      <c r="AB1154" s="6">
        <f t="shared" ca="1" si="161"/>
        <v>329.32027790033237</v>
      </c>
    </row>
    <row r="1155" spans="1:28" x14ac:dyDescent="0.3">
      <c r="A1155" s="53"/>
      <c r="B1155" s="54"/>
      <c r="C1155" s="65" t="s">
        <v>231</v>
      </c>
      <c r="D1155" s="65">
        <f t="shared" ca="1" si="154"/>
        <v>1</v>
      </c>
      <c r="E1155" s="3">
        <f t="shared" ca="1" si="155"/>
        <v>0.2644201731680188</v>
      </c>
      <c r="F1155" s="6">
        <f t="shared" ca="1" si="156"/>
        <v>33093.552617789457</v>
      </c>
      <c r="G1155" s="6">
        <f t="shared" ca="1" si="157"/>
        <v>594.77195393582667</v>
      </c>
      <c r="V1155" s="53"/>
      <c r="W1155" s="54"/>
      <c r="X1155" s="65" t="s">
        <v>231</v>
      </c>
      <c r="Y1155" s="65">
        <f t="shared" ca="1" si="158"/>
        <v>2</v>
      </c>
      <c r="Z1155" s="3">
        <f t="shared" ca="1" si="159"/>
        <v>0.47881443401427015</v>
      </c>
      <c r="AA1155" s="6">
        <f t="shared" ca="1" si="160"/>
        <v>109643.06870124361</v>
      </c>
      <c r="AB1155" s="6">
        <f t="shared" ca="1" si="161"/>
        <v>1880.0062498274647</v>
      </c>
    </row>
    <row r="1156" spans="1:28" x14ac:dyDescent="0.3">
      <c r="A1156" s="53"/>
      <c r="B1156" s="54"/>
      <c r="C1156" s="65" t="s">
        <v>231</v>
      </c>
      <c r="D1156" s="65">
        <f t="shared" ca="1" si="154"/>
        <v>3</v>
      </c>
      <c r="E1156" s="3">
        <f t="shared" ca="1" si="155"/>
        <v>0.92204662240728374</v>
      </c>
      <c r="F1156" s="6">
        <f t="shared" ca="1" si="156"/>
        <v>186520.484770029</v>
      </c>
      <c r="G1156" s="6">
        <f t="shared" ca="1" si="157"/>
        <v>46.870542450731193</v>
      </c>
      <c r="V1156" s="53"/>
      <c r="W1156" s="54"/>
      <c r="X1156" s="65" t="s">
        <v>231</v>
      </c>
      <c r="Y1156" s="65">
        <f t="shared" ca="1" si="158"/>
        <v>3</v>
      </c>
      <c r="Z1156" s="3">
        <f t="shared" ca="1" si="159"/>
        <v>0.82917672218909688</v>
      </c>
      <c r="AA1156" s="6">
        <f t="shared" ca="1" si="160"/>
        <v>21159.769903489356</v>
      </c>
      <c r="AB1156" s="6">
        <f t="shared" ca="1" si="161"/>
        <v>1369.0285585018705</v>
      </c>
    </row>
    <row r="1157" spans="1:28" x14ac:dyDescent="0.3">
      <c r="A1157" s="53"/>
      <c r="B1157" s="54"/>
      <c r="C1157" s="65" t="s">
        <v>231</v>
      </c>
      <c r="D1157" s="65">
        <f t="shared" ca="1" si="154"/>
        <v>3</v>
      </c>
      <c r="E1157" s="3">
        <f t="shared" ca="1" si="155"/>
        <v>0.11081978238709322</v>
      </c>
      <c r="F1157" s="6">
        <f t="shared" ca="1" si="156"/>
        <v>8314.875231227581</v>
      </c>
      <c r="G1157" s="6">
        <f t="shared" ca="1" si="157"/>
        <v>664.85555049904724</v>
      </c>
      <c r="V1157" s="53"/>
      <c r="W1157" s="54"/>
      <c r="X1157" s="65" t="s">
        <v>231</v>
      </c>
      <c r="Y1157" s="65">
        <f t="shared" ca="1" si="158"/>
        <v>3</v>
      </c>
      <c r="Z1157" s="3">
        <f t="shared" ca="1" si="159"/>
        <v>0.79522028505219722</v>
      </c>
      <c r="AA1157" s="6">
        <f t="shared" ca="1" si="160"/>
        <v>53971.70306453378</v>
      </c>
      <c r="AB1157" s="6">
        <f t="shared" ca="1" si="161"/>
        <v>1945.7247167837743</v>
      </c>
    </row>
    <row r="1158" spans="1:28" x14ac:dyDescent="0.3">
      <c r="A1158" s="53"/>
      <c r="B1158" s="54"/>
      <c r="C1158" s="65" t="s">
        <v>231</v>
      </c>
      <c r="D1158" s="65">
        <f t="shared" ca="1" si="154"/>
        <v>1</v>
      </c>
      <c r="E1158" s="3">
        <f t="shared" ca="1" si="155"/>
        <v>0.43634319582063108</v>
      </c>
      <c r="F1158" s="6">
        <f t="shared" ca="1" si="156"/>
        <v>54961.519675659212</v>
      </c>
      <c r="G1158" s="6">
        <f t="shared" ca="1" si="157"/>
        <v>121.98378198777871</v>
      </c>
      <c r="V1158" s="53"/>
      <c r="W1158" s="54"/>
      <c r="X1158" s="65" t="s">
        <v>231</v>
      </c>
      <c r="Y1158" s="65">
        <f t="shared" ca="1" si="158"/>
        <v>4</v>
      </c>
      <c r="Z1158" s="3">
        <f t="shared" ca="1" si="159"/>
        <v>0.36635865963928538</v>
      </c>
      <c r="AA1158" s="6">
        <f t="shared" ca="1" si="160"/>
        <v>141506.17560634122</v>
      </c>
      <c r="AB1158" s="6">
        <f t="shared" ca="1" si="161"/>
        <v>837.90667422514889</v>
      </c>
    </row>
    <row r="1159" spans="1:28" x14ac:dyDescent="0.3">
      <c r="A1159" s="53"/>
      <c r="B1159" s="54"/>
      <c r="C1159" s="65" t="s">
        <v>231</v>
      </c>
      <c r="D1159" s="65">
        <f t="shared" ca="1" si="154"/>
        <v>1</v>
      </c>
      <c r="E1159" s="3">
        <f t="shared" ca="1" si="155"/>
        <v>0.47891060809261299</v>
      </c>
      <c r="F1159" s="6">
        <f t="shared" ca="1" si="156"/>
        <v>19125.039950931823</v>
      </c>
      <c r="G1159" s="6">
        <f t="shared" ca="1" si="157"/>
        <v>808.04853974029163</v>
      </c>
      <c r="V1159" s="53"/>
      <c r="W1159" s="54"/>
      <c r="X1159" s="65" t="s">
        <v>231</v>
      </c>
      <c r="Y1159" s="65">
        <f t="shared" ca="1" si="158"/>
        <v>4</v>
      </c>
      <c r="Z1159" s="3">
        <f t="shared" ca="1" si="159"/>
        <v>0.68755474439411968</v>
      </c>
      <c r="AA1159" s="6">
        <f t="shared" ca="1" si="160"/>
        <v>191826.44104244874</v>
      </c>
      <c r="AB1159" s="6">
        <f t="shared" ca="1" si="161"/>
        <v>272.88129424141226</v>
      </c>
    </row>
    <row r="1160" spans="1:28" x14ac:dyDescent="0.3">
      <c r="A1160" s="53"/>
      <c r="B1160" s="54"/>
      <c r="C1160" s="65" t="s">
        <v>231</v>
      </c>
      <c r="D1160" s="65">
        <f t="shared" ca="1" si="154"/>
        <v>1</v>
      </c>
      <c r="E1160" s="3">
        <f t="shared" ca="1" si="155"/>
        <v>0.35996744182055074</v>
      </c>
      <c r="F1160" s="6">
        <f t="shared" ca="1" si="156"/>
        <v>78181.574899446437</v>
      </c>
      <c r="G1160" s="6">
        <f t="shared" ca="1" si="157"/>
        <v>31.488415027050245</v>
      </c>
      <c r="V1160" s="53"/>
      <c r="W1160" s="54"/>
      <c r="X1160" s="65" t="s">
        <v>231</v>
      </c>
      <c r="Y1160" s="65">
        <f t="shared" ca="1" si="158"/>
        <v>2</v>
      </c>
      <c r="Z1160" s="3">
        <f t="shared" ca="1" si="159"/>
        <v>0.56355919151562572</v>
      </c>
      <c r="AA1160" s="6">
        <f t="shared" ca="1" si="160"/>
        <v>173713.14544459255</v>
      </c>
      <c r="AB1160" s="6">
        <f t="shared" ca="1" si="161"/>
        <v>588.42036115932444</v>
      </c>
    </row>
    <row r="1161" spans="1:28" x14ac:dyDescent="0.3">
      <c r="A1161" s="53"/>
      <c r="B1161" s="54"/>
      <c r="C1161" s="65" t="s">
        <v>231</v>
      </c>
      <c r="D1161" s="65">
        <f t="shared" ca="1" si="154"/>
        <v>3</v>
      </c>
      <c r="E1161" s="3">
        <f t="shared" ca="1" si="155"/>
        <v>0.39749840657116464</v>
      </c>
      <c r="F1161" s="6">
        <f t="shared" ca="1" si="156"/>
        <v>38719.376777772952</v>
      </c>
      <c r="G1161" s="6">
        <f t="shared" ca="1" si="157"/>
        <v>311.47062489352328</v>
      </c>
      <c r="V1161" s="53"/>
      <c r="W1161" s="54"/>
      <c r="X1161" s="65" t="s">
        <v>231</v>
      </c>
      <c r="Y1161" s="65">
        <f t="shared" ca="1" si="158"/>
        <v>3</v>
      </c>
      <c r="Z1161" s="3">
        <f t="shared" ca="1" si="159"/>
        <v>4.7076510839734298E-2</v>
      </c>
      <c r="AA1161" s="6">
        <f t="shared" ca="1" si="160"/>
        <v>76845.652747035652</v>
      </c>
      <c r="AB1161" s="6">
        <f t="shared" ca="1" si="161"/>
        <v>67.58412407015868</v>
      </c>
    </row>
    <row r="1162" spans="1:28" x14ac:dyDescent="0.3">
      <c r="A1162" s="53"/>
      <c r="B1162" s="54"/>
      <c r="C1162" s="65" t="s">
        <v>231</v>
      </c>
      <c r="D1162" s="65">
        <f t="shared" ca="1" si="154"/>
        <v>3</v>
      </c>
      <c r="E1162" s="3">
        <f t="shared" ca="1" si="155"/>
        <v>0.16935404875375326</v>
      </c>
      <c r="F1162" s="6">
        <f t="shared" ca="1" si="156"/>
        <v>87206.402858657195</v>
      </c>
      <c r="G1162" s="6">
        <f t="shared" ca="1" si="157"/>
        <v>1939.9155047624822</v>
      </c>
      <c r="V1162" s="53"/>
      <c r="W1162" s="54"/>
      <c r="X1162" s="65" t="s">
        <v>231</v>
      </c>
      <c r="Y1162" s="65">
        <f t="shared" ca="1" si="158"/>
        <v>1</v>
      </c>
      <c r="Z1162" s="3">
        <f t="shared" ca="1" si="159"/>
        <v>0.11703214646716109</v>
      </c>
      <c r="AA1162" s="6">
        <f t="shared" ca="1" si="160"/>
        <v>118179.09235400641</v>
      </c>
      <c r="AB1162" s="6">
        <f t="shared" ca="1" si="161"/>
        <v>1602.9488106577078</v>
      </c>
    </row>
    <row r="1163" spans="1:28" x14ac:dyDescent="0.3">
      <c r="A1163" s="53"/>
      <c r="B1163" s="54"/>
      <c r="C1163" s="65" t="s">
        <v>231</v>
      </c>
      <c r="D1163" s="65">
        <f t="shared" ca="1" si="154"/>
        <v>1</v>
      </c>
      <c r="E1163" s="3">
        <f t="shared" ca="1" si="155"/>
        <v>1.0953762018029445E-2</v>
      </c>
      <c r="F1163" s="6">
        <f t="shared" ca="1" si="156"/>
        <v>163559.49033512146</v>
      </c>
      <c r="G1163" s="6">
        <f t="shared" ca="1" si="157"/>
        <v>1141.0122373816757</v>
      </c>
      <c r="V1163" s="53"/>
      <c r="W1163" s="54"/>
      <c r="X1163" s="65" t="s">
        <v>231</v>
      </c>
      <c r="Y1163" s="65">
        <f t="shared" ca="1" si="158"/>
        <v>2</v>
      </c>
      <c r="Z1163" s="3">
        <f t="shared" ca="1" si="159"/>
        <v>0.40982523831134121</v>
      </c>
      <c r="AA1163" s="6">
        <f t="shared" ca="1" si="160"/>
        <v>37141.973802235741</v>
      </c>
      <c r="AB1163" s="6">
        <f t="shared" ca="1" si="161"/>
        <v>1605.0296830806515</v>
      </c>
    </row>
    <row r="1164" spans="1:28" x14ac:dyDescent="0.3">
      <c r="A1164" s="53"/>
      <c r="B1164" s="54"/>
      <c r="C1164" s="65" t="s">
        <v>231</v>
      </c>
      <c r="D1164" s="65">
        <f t="shared" ca="1" si="154"/>
        <v>1</v>
      </c>
      <c r="E1164" s="3">
        <f t="shared" ca="1" si="155"/>
        <v>0.3628449345293705</v>
      </c>
      <c r="F1164" s="6">
        <f t="shared" ca="1" si="156"/>
        <v>150902.36383465983</v>
      </c>
      <c r="G1164" s="6">
        <f t="shared" ca="1" si="157"/>
        <v>1379.4272301234262</v>
      </c>
      <c r="V1164" s="53"/>
      <c r="W1164" s="54"/>
      <c r="X1164" s="65" t="s">
        <v>231</v>
      </c>
      <c r="Y1164" s="65">
        <f t="shared" ca="1" si="158"/>
        <v>4</v>
      </c>
      <c r="Z1164" s="3">
        <f t="shared" ca="1" si="159"/>
        <v>0.25593357004676776</v>
      </c>
      <c r="AA1164" s="6">
        <f t="shared" ca="1" si="160"/>
        <v>122974.95689252313</v>
      </c>
      <c r="AB1164" s="6">
        <f t="shared" ca="1" si="161"/>
        <v>645.36429910280549</v>
      </c>
    </row>
    <row r="1165" spans="1:28" x14ac:dyDescent="0.3">
      <c r="A1165" s="53"/>
      <c r="B1165" s="54"/>
      <c r="C1165" s="65" t="s">
        <v>231</v>
      </c>
      <c r="D1165" s="65">
        <f t="shared" ref="D1165:D1228" ca="1" si="162">INT(RAND()*4)+1</f>
        <v>4</v>
      </c>
      <c r="E1165" s="3">
        <f t="shared" ref="E1165:E1228" ca="1" si="163">RAND()</f>
        <v>6.8522166187027445E-2</v>
      </c>
      <c r="F1165" s="6">
        <f t="shared" ref="F1165:F1228" ca="1" si="164">RAND()*200000</f>
        <v>106909.9232909112</v>
      </c>
      <c r="G1165" s="6">
        <f t="shared" ref="G1165:G1228" ca="1" si="165">RAND()*2000</f>
        <v>1801.0513684730063</v>
      </c>
      <c r="V1165" s="53"/>
      <c r="W1165" s="54"/>
      <c r="X1165" s="65" t="s">
        <v>231</v>
      </c>
      <c r="Y1165" s="65">
        <f t="shared" ref="Y1165:Y1228" ca="1" si="166">INT(RAND()*4)+1</f>
        <v>3</v>
      </c>
      <c r="Z1165" s="3">
        <f t="shared" ref="Z1165:Z1228" ca="1" si="167">RAND()</f>
        <v>0.80952727364184152</v>
      </c>
      <c r="AA1165" s="6">
        <f t="shared" ref="AA1165:AA1228" ca="1" si="168">RAND()*200000</f>
        <v>143787.9720935206</v>
      </c>
      <c r="AB1165" s="6">
        <f t="shared" ref="AB1165:AB1228" ca="1" si="169">RAND()*2000</f>
        <v>1555.9328001310821</v>
      </c>
    </row>
    <row r="1166" spans="1:28" x14ac:dyDescent="0.3">
      <c r="A1166" s="53"/>
      <c r="B1166" s="54"/>
      <c r="C1166" s="65" t="s">
        <v>231</v>
      </c>
      <c r="D1166" s="65">
        <f t="shared" ca="1" si="162"/>
        <v>1</v>
      </c>
      <c r="E1166" s="3">
        <f t="shared" ca="1" si="163"/>
        <v>0.13281569949634231</v>
      </c>
      <c r="F1166" s="6">
        <f t="shared" ca="1" si="164"/>
        <v>175690.47500668408</v>
      </c>
      <c r="G1166" s="6">
        <f t="shared" ca="1" si="165"/>
        <v>85.889363635948342</v>
      </c>
      <c r="V1166" s="53"/>
      <c r="W1166" s="54"/>
      <c r="X1166" s="65" t="s">
        <v>231</v>
      </c>
      <c r="Y1166" s="65">
        <f t="shared" ca="1" si="166"/>
        <v>4</v>
      </c>
      <c r="Z1166" s="3">
        <f t="shared" ca="1" si="167"/>
        <v>0.46477017781374841</v>
      </c>
      <c r="AA1166" s="6">
        <f t="shared" ca="1" si="168"/>
        <v>10804.926296097306</v>
      </c>
      <c r="AB1166" s="6">
        <f t="shared" ca="1" si="169"/>
        <v>46.643750749530085</v>
      </c>
    </row>
    <row r="1167" spans="1:28" x14ac:dyDescent="0.3">
      <c r="A1167" s="53"/>
      <c r="B1167" s="54"/>
      <c r="C1167" s="65" t="s">
        <v>231</v>
      </c>
      <c r="D1167" s="65">
        <f t="shared" ca="1" si="162"/>
        <v>2</v>
      </c>
      <c r="E1167" s="3">
        <f t="shared" ca="1" si="163"/>
        <v>0.28666689270740153</v>
      </c>
      <c r="F1167" s="6">
        <f t="shared" ca="1" si="164"/>
        <v>126213.60158163162</v>
      </c>
      <c r="G1167" s="6">
        <f t="shared" ca="1" si="165"/>
        <v>281.63047131340926</v>
      </c>
      <c r="V1167" s="53"/>
      <c r="W1167" s="54"/>
      <c r="X1167" s="65" t="s">
        <v>231</v>
      </c>
      <c r="Y1167" s="65">
        <f t="shared" ca="1" si="166"/>
        <v>1</v>
      </c>
      <c r="Z1167" s="3">
        <f t="shared" ca="1" si="167"/>
        <v>0.45418579779370061</v>
      </c>
      <c r="AA1167" s="6">
        <f t="shared" ca="1" si="168"/>
        <v>147847.51801485682</v>
      </c>
      <c r="AB1167" s="6">
        <f t="shared" ca="1" si="169"/>
        <v>394.22271195306371</v>
      </c>
    </row>
    <row r="1168" spans="1:28" x14ac:dyDescent="0.3">
      <c r="A1168" s="53"/>
      <c r="B1168" s="54"/>
      <c r="C1168" s="65" t="s">
        <v>231</v>
      </c>
      <c r="D1168" s="65">
        <f t="shared" ca="1" si="162"/>
        <v>4</v>
      </c>
      <c r="E1168" s="3">
        <f t="shared" ca="1" si="163"/>
        <v>0.9475514015157116</v>
      </c>
      <c r="F1168" s="6">
        <f t="shared" ca="1" si="164"/>
        <v>123818.25728895787</v>
      </c>
      <c r="G1168" s="6">
        <f t="shared" ca="1" si="165"/>
        <v>145.05750063605595</v>
      </c>
      <c r="V1168" s="53"/>
      <c r="W1168" s="54"/>
      <c r="X1168" s="65" t="s">
        <v>231</v>
      </c>
      <c r="Y1168" s="65">
        <f t="shared" ca="1" si="166"/>
        <v>4</v>
      </c>
      <c r="Z1168" s="3">
        <f t="shared" ca="1" si="167"/>
        <v>0.85477546547099292</v>
      </c>
      <c r="AA1168" s="6">
        <f t="shared" ca="1" si="168"/>
        <v>25616.655538237464</v>
      </c>
      <c r="AB1168" s="6">
        <f t="shared" ca="1" si="169"/>
        <v>1897.7668394324924</v>
      </c>
    </row>
    <row r="1169" spans="1:28" x14ac:dyDescent="0.3">
      <c r="A1169" s="53"/>
      <c r="B1169" s="54"/>
      <c r="C1169" s="65" t="s">
        <v>231</v>
      </c>
      <c r="D1169" s="65">
        <f t="shared" ca="1" si="162"/>
        <v>4</v>
      </c>
      <c r="E1169" s="3">
        <f t="shared" ca="1" si="163"/>
        <v>0.26393562369045609</v>
      </c>
      <c r="F1169" s="6">
        <f t="shared" ca="1" si="164"/>
        <v>14028.972428510133</v>
      </c>
      <c r="G1169" s="6">
        <f t="shared" ca="1" si="165"/>
        <v>652.39272589167376</v>
      </c>
      <c r="V1169" s="53"/>
      <c r="W1169" s="54"/>
      <c r="X1169" s="65" t="s">
        <v>231</v>
      </c>
      <c r="Y1169" s="65">
        <f t="shared" ca="1" si="166"/>
        <v>3</v>
      </c>
      <c r="Z1169" s="3">
        <f t="shared" ca="1" si="167"/>
        <v>0.40651271062415162</v>
      </c>
      <c r="AA1169" s="6">
        <f t="shared" ca="1" si="168"/>
        <v>46632.24646465369</v>
      </c>
      <c r="AB1169" s="6">
        <f t="shared" ca="1" si="169"/>
        <v>678.80221492750798</v>
      </c>
    </row>
    <row r="1170" spans="1:28" x14ac:dyDescent="0.3">
      <c r="A1170" s="53"/>
      <c r="B1170" s="54"/>
      <c r="C1170" s="65" t="s">
        <v>231</v>
      </c>
      <c r="D1170" s="65">
        <f t="shared" ca="1" si="162"/>
        <v>1</v>
      </c>
      <c r="E1170" s="3">
        <f t="shared" ca="1" si="163"/>
        <v>0.38917949995873635</v>
      </c>
      <c r="F1170" s="6">
        <f t="shared" ca="1" si="164"/>
        <v>83166.080976305355</v>
      </c>
      <c r="G1170" s="6">
        <f t="shared" ca="1" si="165"/>
        <v>1752.345574399402</v>
      </c>
      <c r="V1170" s="53"/>
      <c r="W1170" s="54"/>
      <c r="X1170" s="65" t="s">
        <v>231</v>
      </c>
      <c r="Y1170" s="65">
        <f t="shared" ca="1" si="166"/>
        <v>1</v>
      </c>
      <c r="Z1170" s="3">
        <f t="shared" ca="1" si="167"/>
        <v>0.75165361918789997</v>
      </c>
      <c r="AA1170" s="6">
        <f t="shared" ca="1" si="168"/>
        <v>105438.5550055885</v>
      </c>
      <c r="AB1170" s="6">
        <f t="shared" ca="1" si="169"/>
        <v>1858.6855816248874</v>
      </c>
    </row>
    <row r="1171" spans="1:28" x14ac:dyDescent="0.3">
      <c r="A1171" s="53"/>
      <c r="B1171" s="54"/>
      <c r="C1171" s="65" t="s">
        <v>231</v>
      </c>
      <c r="D1171" s="65">
        <f t="shared" ca="1" si="162"/>
        <v>4</v>
      </c>
      <c r="E1171" s="3">
        <f t="shared" ca="1" si="163"/>
        <v>0.20333945134095155</v>
      </c>
      <c r="F1171" s="6">
        <f t="shared" ca="1" si="164"/>
        <v>64811.364103301574</v>
      </c>
      <c r="G1171" s="6">
        <f t="shared" ca="1" si="165"/>
        <v>1770.8016265983297</v>
      </c>
      <c r="V1171" s="53"/>
      <c r="W1171" s="54"/>
      <c r="X1171" s="65" t="s">
        <v>231</v>
      </c>
      <c r="Y1171" s="65">
        <f t="shared" ca="1" si="166"/>
        <v>4</v>
      </c>
      <c r="Z1171" s="3">
        <f t="shared" ca="1" si="167"/>
        <v>0.71879801981868074</v>
      </c>
      <c r="AA1171" s="6">
        <f t="shared" ca="1" si="168"/>
        <v>162117.15359486526</v>
      </c>
      <c r="AB1171" s="6">
        <f t="shared" ca="1" si="169"/>
        <v>701.96267160166713</v>
      </c>
    </row>
    <row r="1172" spans="1:28" x14ac:dyDescent="0.3">
      <c r="A1172" s="53"/>
      <c r="B1172" s="54"/>
      <c r="C1172" s="65" t="s">
        <v>219</v>
      </c>
      <c r="D1172" s="65">
        <f t="shared" ca="1" si="162"/>
        <v>1</v>
      </c>
      <c r="E1172" s="3">
        <f t="shared" ca="1" si="163"/>
        <v>0.95434022482173342</v>
      </c>
      <c r="F1172" s="6">
        <f t="shared" ca="1" si="164"/>
        <v>170039.43974517231</v>
      </c>
      <c r="G1172" s="6">
        <f t="shared" ca="1" si="165"/>
        <v>1399.0792207455218</v>
      </c>
      <c r="V1172" s="53"/>
      <c r="W1172" s="54"/>
      <c r="X1172" s="65" t="s">
        <v>219</v>
      </c>
      <c r="Y1172" s="65">
        <f t="shared" ca="1" si="166"/>
        <v>2</v>
      </c>
      <c r="Z1172" s="3">
        <f t="shared" ca="1" si="167"/>
        <v>0.13233165499791322</v>
      </c>
      <c r="AA1172" s="6">
        <f t="shared" ca="1" si="168"/>
        <v>155342.22543918656</v>
      </c>
      <c r="AB1172" s="6">
        <f t="shared" ca="1" si="169"/>
        <v>1621.9021017435978</v>
      </c>
    </row>
    <row r="1173" spans="1:28" x14ac:dyDescent="0.3">
      <c r="A1173" s="53"/>
      <c r="B1173" s="54"/>
      <c r="C1173" s="65" t="s">
        <v>219</v>
      </c>
      <c r="D1173" s="65">
        <f t="shared" ca="1" si="162"/>
        <v>2</v>
      </c>
      <c r="E1173" s="3">
        <f t="shared" ca="1" si="163"/>
        <v>0.6272900728210421</v>
      </c>
      <c r="F1173" s="6">
        <f t="shared" ca="1" si="164"/>
        <v>179653.2206329391</v>
      </c>
      <c r="G1173" s="6">
        <f t="shared" ca="1" si="165"/>
        <v>237.42592019540209</v>
      </c>
      <c r="V1173" s="53"/>
      <c r="W1173" s="54"/>
      <c r="X1173" s="65" t="s">
        <v>219</v>
      </c>
      <c r="Y1173" s="65">
        <f t="shared" ca="1" si="166"/>
        <v>1</v>
      </c>
      <c r="Z1173" s="3">
        <f t="shared" ca="1" si="167"/>
        <v>0.42839460555358</v>
      </c>
      <c r="AA1173" s="6">
        <f t="shared" ca="1" si="168"/>
        <v>168965.4429866953</v>
      </c>
      <c r="AB1173" s="6">
        <f t="shared" ca="1" si="169"/>
        <v>870.20871144992157</v>
      </c>
    </row>
    <row r="1174" spans="1:28" x14ac:dyDescent="0.3">
      <c r="A1174" s="53"/>
      <c r="B1174" s="54"/>
      <c r="C1174" s="65" t="s">
        <v>219</v>
      </c>
      <c r="D1174" s="65">
        <f t="shared" ca="1" si="162"/>
        <v>3</v>
      </c>
      <c r="E1174" s="3">
        <f t="shared" ca="1" si="163"/>
        <v>0.80892259823183665</v>
      </c>
      <c r="F1174" s="6">
        <f t="shared" ca="1" si="164"/>
        <v>174142.60606650336</v>
      </c>
      <c r="G1174" s="6">
        <f t="shared" ca="1" si="165"/>
        <v>357.57065514855645</v>
      </c>
      <c r="V1174" s="53"/>
      <c r="W1174" s="54"/>
      <c r="X1174" s="65" t="s">
        <v>219</v>
      </c>
      <c r="Y1174" s="65">
        <f t="shared" ca="1" si="166"/>
        <v>2</v>
      </c>
      <c r="Z1174" s="3">
        <f t="shared" ca="1" si="167"/>
        <v>0.61867907101257713</v>
      </c>
      <c r="AA1174" s="6">
        <f t="shared" ca="1" si="168"/>
        <v>26389.430391055481</v>
      </c>
      <c r="AB1174" s="6">
        <f t="shared" ca="1" si="169"/>
        <v>449.61673499801179</v>
      </c>
    </row>
    <row r="1175" spans="1:28" x14ac:dyDescent="0.3">
      <c r="A1175" s="53"/>
      <c r="B1175" s="54"/>
      <c r="C1175" s="65" t="s">
        <v>219</v>
      </c>
      <c r="D1175" s="65">
        <f t="shared" ca="1" si="162"/>
        <v>3</v>
      </c>
      <c r="E1175" s="3">
        <f t="shared" ca="1" si="163"/>
        <v>0.12086515515971874</v>
      </c>
      <c r="F1175" s="6">
        <f t="shared" ca="1" si="164"/>
        <v>179262.53324323421</v>
      </c>
      <c r="G1175" s="6">
        <f t="shared" ca="1" si="165"/>
        <v>1804.1216408030489</v>
      </c>
      <c r="V1175" s="53"/>
      <c r="W1175" s="54"/>
      <c r="X1175" s="65" t="s">
        <v>219</v>
      </c>
      <c r="Y1175" s="65">
        <f t="shared" ca="1" si="166"/>
        <v>2</v>
      </c>
      <c r="Z1175" s="3">
        <f t="shared" ca="1" si="167"/>
        <v>0.42161695908981955</v>
      </c>
      <c r="AA1175" s="6">
        <f t="shared" ca="1" si="168"/>
        <v>165851.22466488671</v>
      </c>
      <c r="AB1175" s="6">
        <f t="shared" ca="1" si="169"/>
        <v>1727.2207678729119</v>
      </c>
    </row>
    <row r="1176" spans="1:28" x14ac:dyDescent="0.3">
      <c r="A1176" s="53"/>
      <c r="B1176" s="54"/>
      <c r="C1176" s="65" t="s">
        <v>219</v>
      </c>
      <c r="D1176" s="65">
        <f t="shared" ca="1" si="162"/>
        <v>1</v>
      </c>
      <c r="E1176" s="3">
        <f t="shared" ca="1" si="163"/>
        <v>0.89518781623964228</v>
      </c>
      <c r="F1176" s="6">
        <f t="shared" ca="1" si="164"/>
        <v>174012.51383662783</v>
      </c>
      <c r="G1176" s="6">
        <f t="shared" ca="1" si="165"/>
        <v>1419.4363270666943</v>
      </c>
      <c r="V1176" s="53"/>
      <c r="W1176" s="54"/>
      <c r="X1176" s="65" t="s">
        <v>219</v>
      </c>
      <c r="Y1176" s="65">
        <f t="shared" ca="1" si="166"/>
        <v>3</v>
      </c>
      <c r="Z1176" s="3">
        <f t="shared" ca="1" si="167"/>
        <v>0.42814223605979429</v>
      </c>
      <c r="AA1176" s="6">
        <f t="shared" ca="1" si="168"/>
        <v>198511.03413611394</v>
      </c>
      <c r="AB1176" s="6">
        <f t="shared" ca="1" si="169"/>
        <v>178.66194393177358</v>
      </c>
    </row>
    <row r="1177" spans="1:28" x14ac:dyDescent="0.3">
      <c r="A1177" s="53"/>
      <c r="B1177" s="54"/>
      <c r="C1177" s="65" t="s">
        <v>219</v>
      </c>
      <c r="D1177" s="65">
        <f t="shared" ca="1" si="162"/>
        <v>3</v>
      </c>
      <c r="E1177" s="3">
        <f t="shared" ca="1" si="163"/>
        <v>0.61897647651596588</v>
      </c>
      <c r="F1177" s="6">
        <f t="shared" ca="1" si="164"/>
        <v>137632.20171947638</v>
      </c>
      <c r="G1177" s="6">
        <f t="shared" ca="1" si="165"/>
        <v>1947.1036137432195</v>
      </c>
      <c r="V1177" s="53"/>
      <c r="W1177" s="54"/>
      <c r="X1177" s="65" t="s">
        <v>219</v>
      </c>
      <c r="Y1177" s="65">
        <f t="shared" ca="1" si="166"/>
        <v>4</v>
      </c>
      <c r="Z1177" s="3">
        <f t="shared" ca="1" si="167"/>
        <v>0.31477980287076368</v>
      </c>
      <c r="AA1177" s="6">
        <f t="shared" ca="1" si="168"/>
        <v>183819.32671341786</v>
      </c>
      <c r="AB1177" s="6">
        <f t="shared" ca="1" si="169"/>
        <v>1103.627888782552</v>
      </c>
    </row>
    <row r="1178" spans="1:28" x14ac:dyDescent="0.3">
      <c r="A1178" s="53"/>
      <c r="B1178" s="54"/>
      <c r="C1178" s="65" t="s">
        <v>219</v>
      </c>
      <c r="D1178" s="65">
        <f t="shared" ca="1" si="162"/>
        <v>4</v>
      </c>
      <c r="E1178" s="3">
        <f t="shared" ca="1" si="163"/>
        <v>0.93525580163148048</v>
      </c>
      <c r="F1178" s="6">
        <f t="shared" ca="1" si="164"/>
        <v>77812.570215392057</v>
      </c>
      <c r="G1178" s="6">
        <f t="shared" ca="1" si="165"/>
        <v>1556.3625101708128</v>
      </c>
      <c r="V1178" s="53"/>
      <c r="W1178" s="54"/>
      <c r="X1178" s="65" t="s">
        <v>219</v>
      </c>
      <c r="Y1178" s="65">
        <f t="shared" ca="1" si="166"/>
        <v>1</v>
      </c>
      <c r="Z1178" s="3">
        <f t="shared" ca="1" si="167"/>
        <v>0.26850879188255483</v>
      </c>
      <c r="AA1178" s="6">
        <f t="shared" ca="1" si="168"/>
        <v>146064.27484538942</v>
      </c>
      <c r="AB1178" s="6">
        <f t="shared" ca="1" si="169"/>
        <v>1840.7352602513038</v>
      </c>
    </row>
    <row r="1179" spans="1:28" x14ac:dyDescent="0.3">
      <c r="A1179" s="53"/>
      <c r="B1179" s="54"/>
      <c r="C1179" s="65" t="s">
        <v>219</v>
      </c>
      <c r="D1179" s="65">
        <f t="shared" ca="1" si="162"/>
        <v>1</v>
      </c>
      <c r="E1179" s="3">
        <f t="shared" ca="1" si="163"/>
        <v>0.53727263547562321</v>
      </c>
      <c r="F1179" s="6">
        <f t="shared" ca="1" si="164"/>
        <v>93748.200405789845</v>
      </c>
      <c r="G1179" s="6">
        <f t="shared" ca="1" si="165"/>
        <v>559.33447345818684</v>
      </c>
      <c r="V1179" s="53"/>
      <c r="W1179" s="54"/>
      <c r="X1179" s="65" t="s">
        <v>219</v>
      </c>
      <c r="Y1179" s="65">
        <f t="shared" ca="1" si="166"/>
        <v>4</v>
      </c>
      <c r="Z1179" s="3">
        <f t="shared" ca="1" si="167"/>
        <v>0.26544059099709161</v>
      </c>
      <c r="AA1179" s="6">
        <f t="shared" ca="1" si="168"/>
        <v>121117.31498471748</v>
      </c>
      <c r="AB1179" s="6">
        <f t="shared" ca="1" si="169"/>
        <v>902.57976214525161</v>
      </c>
    </row>
    <row r="1180" spans="1:28" x14ac:dyDescent="0.3">
      <c r="A1180" s="53"/>
      <c r="B1180" s="54"/>
      <c r="C1180" s="65" t="s">
        <v>219</v>
      </c>
      <c r="D1180" s="65">
        <f t="shared" ca="1" si="162"/>
        <v>3</v>
      </c>
      <c r="E1180" s="3">
        <f t="shared" ca="1" si="163"/>
        <v>0.67414432874663399</v>
      </c>
      <c r="F1180" s="6">
        <f t="shared" ca="1" si="164"/>
        <v>142361.88582920769</v>
      </c>
      <c r="G1180" s="6">
        <f t="shared" ca="1" si="165"/>
        <v>665.25947286152461</v>
      </c>
      <c r="V1180" s="53"/>
      <c r="W1180" s="54"/>
      <c r="X1180" s="65" t="s">
        <v>219</v>
      </c>
      <c r="Y1180" s="65">
        <f t="shared" ca="1" si="166"/>
        <v>1</v>
      </c>
      <c r="Z1180" s="3">
        <f t="shared" ca="1" si="167"/>
        <v>0.4491705226675955</v>
      </c>
      <c r="AA1180" s="6">
        <f t="shared" ca="1" si="168"/>
        <v>23193.721677240832</v>
      </c>
      <c r="AB1180" s="6">
        <f t="shared" ca="1" si="169"/>
        <v>232.85022932713551</v>
      </c>
    </row>
    <row r="1181" spans="1:28" x14ac:dyDescent="0.3">
      <c r="A1181" s="53"/>
      <c r="B1181" s="54"/>
      <c r="C1181" s="65" t="s">
        <v>219</v>
      </c>
      <c r="D1181" s="65">
        <f t="shared" ca="1" si="162"/>
        <v>1</v>
      </c>
      <c r="E1181" s="3">
        <f t="shared" ca="1" si="163"/>
        <v>0.31135038636309464</v>
      </c>
      <c r="F1181" s="6">
        <f t="shared" ca="1" si="164"/>
        <v>95573.680393706891</v>
      </c>
      <c r="G1181" s="6">
        <f t="shared" ca="1" si="165"/>
        <v>1565.917666601461</v>
      </c>
      <c r="V1181" s="53"/>
      <c r="W1181" s="54"/>
      <c r="X1181" s="65" t="s">
        <v>219</v>
      </c>
      <c r="Y1181" s="65">
        <f t="shared" ca="1" si="166"/>
        <v>3</v>
      </c>
      <c r="Z1181" s="3">
        <f t="shared" ca="1" si="167"/>
        <v>5.2818808827975405E-2</v>
      </c>
      <c r="AA1181" s="6">
        <f t="shared" ca="1" si="168"/>
        <v>5055.6695844490296</v>
      </c>
      <c r="AB1181" s="6">
        <f t="shared" ca="1" si="169"/>
        <v>1390.9958628183826</v>
      </c>
    </row>
    <row r="1182" spans="1:28" x14ac:dyDescent="0.3">
      <c r="A1182" s="53"/>
      <c r="B1182" s="54"/>
      <c r="C1182" s="65" t="s">
        <v>219</v>
      </c>
      <c r="D1182" s="65">
        <f t="shared" ca="1" si="162"/>
        <v>3</v>
      </c>
      <c r="E1182" s="3">
        <f t="shared" ca="1" si="163"/>
        <v>0.30657406054970049</v>
      </c>
      <c r="F1182" s="6">
        <f t="shared" ca="1" si="164"/>
        <v>155043.21619668073</v>
      </c>
      <c r="G1182" s="6">
        <f t="shared" ca="1" si="165"/>
        <v>464.55372863039912</v>
      </c>
      <c r="V1182" s="53"/>
      <c r="W1182" s="54"/>
      <c r="X1182" s="65" t="s">
        <v>219</v>
      </c>
      <c r="Y1182" s="65">
        <f t="shared" ca="1" si="166"/>
        <v>2</v>
      </c>
      <c r="Z1182" s="3">
        <f t="shared" ca="1" si="167"/>
        <v>0.66503187681942688</v>
      </c>
      <c r="AA1182" s="6">
        <f t="shared" ca="1" si="168"/>
        <v>43489.001576585797</v>
      </c>
      <c r="AB1182" s="6">
        <f t="shared" ca="1" si="169"/>
        <v>768.64877313595593</v>
      </c>
    </row>
    <row r="1183" spans="1:28" x14ac:dyDescent="0.3">
      <c r="A1183" s="53"/>
      <c r="B1183" s="54"/>
      <c r="C1183" s="65" t="s">
        <v>219</v>
      </c>
      <c r="D1183" s="65">
        <f t="shared" ca="1" si="162"/>
        <v>4</v>
      </c>
      <c r="E1183" s="3">
        <f t="shared" ca="1" si="163"/>
        <v>1.7715967772942709E-2</v>
      </c>
      <c r="F1183" s="6">
        <f t="shared" ca="1" si="164"/>
        <v>130618.42338192232</v>
      </c>
      <c r="G1183" s="6">
        <f t="shared" ca="1" si="165"/>
        <v>272.17059881093797</v>
      </c>
      <c r="V1183" s="53"/>
      <c r="W1183" s="54"/>
      <c r="X1183" s="65" t="s">
        <v>219</v>
      </c>
      <c r="Y1183" s="65">
        <f t="shared" ca="1" si="166"/>
        <v>1</v>
      </c>
      <c r="Z1183" s="3">
        <f t="shared" ca="1" si="167"/>
        <v>0.71395942692797842</v>
      </c>
      <c r="AA1183" s="6">
        <f t="shared" ca="1" si="168"/>
        <v>108634.61268281791</v>
      </c>
      <c r="AB1183" s="6">
        <f t="shared" ca="1" si="169"/>
        <v>1061.6317217344063</v>
      </c>
    </row>
    <row r="1184" spans="1:28" x14ac:dyDescent="0.3">
      <c r="A1184" s="53"/>
      <c r="B1184" s="54"/>
      <c r="C1184" s="65" t="s">
        <v>219</v>
      </c>
      <c r="D1184" s="65">
        <f t="shared" ca="1" si="162"/>
        <v>4</v>
      </c>
      <c r="E1184" s="3">
        <f t="shared" ca="1" si="163"/>
        <v>0.91326751954238305</v>
      </c>
      <c r="F1184" s="6">
        <f t="shared" ca="1" si="164"/>
        <v>151052.53480269064</v>
      </c>
      <c r="G1184" s="6">
        <f t="shared" ca="1" si="165"/>
        <v>1501.20496347312</v>
      </c>
      <c r="V1184" s="53"/>
      <c r="W1184" s="54"/>
      <c r="X1184" s="65" t="s">
        <v>219</v>
      </c>
      <c r="Y1184" s="65">
        <f t="shared" ca="1" si="166"/>
        <v>2</v>
      </c>
      <c r="Z1184" s="3">
        <f t="shared" ca="1" si="167"/>
        <v>0.89635674486909001</v>
      </c>
      <c r="AA1184" s="6">
        <f t="shared" ca="1" si="168"/>
        <v>65600.415173752874</v>
      </c>
      <c r="AB1184" s="6">
        <f t="shared" ca="1" si="169"/>
        <v>261.4560762363476</v>
      </c>
    </row>
    <row r="1185" spans="1:28" x14ac:dyDescent="0.3">
      <c r="A1185" s="53"/>
      <c r="B1185" s="54"/>
      <c r="C1185" s="65" t="s">
        <v>219</v>
      </c>
      <c r="D1185" s="65">
        <f t="shared" ca="1" si="162"/>
        <v>2</v>
      </c>
      <c r="E1185" s="3">
        <f t="shared" ca="1" si="163"/>
        <v>0.81280096466054075</v>
      </c>
      <c r="F1185" s="6">
        <f t="shared" ca="1" si="164"/>
        <v>74028.622981235734</v>
      </c>
      <c r="G1185" s="6">
        <f t="shared" ca="1" si="165"/>
        <v>1730.6236526398234</v>
      </c>
      <c r="V1185" s="53"/>
      <c r="W1185" s="54"/>
      <c r="X1185" s="65" t="s">
        <v>219</v>
      </c>
      <c r="Y1185" s="65">
        <f t="shared" ca="1" si="166"/>
        <v>4</v>
      </c>
      <c r="Z1185" s="3">
        <f t="shared" ca="1" si="167"/>
        <v>0.20757723319810517</v>
      </c>
      <c r="AA1185" s="6">
        <f t="shared" ca="1" si="168"/>
        <v>94256.647786790854</v>
      </c>
      <c r="AB1185" s="6">
        <f t="shared" ca="1" si="169"/>
        <v>369.79763206396154</v>
      </c>
    </row>
    <row r="1186" spans="1:28" x14ac:dyDescent="0.3">
      <c r="A1186" s="53"/>
      <c r="B1186" s="54"/>
      <c r="C1186" s="65" t="s">
        <v>219</v>
      </c>
      <c r="D1186" s="65">
        <f t="shared" ca="1" si="162"/>
        <v>4</v>
      </c>
      <c r="E1186" s="3">
        <f t="shared" ca="1" si="163"/>
        <v>0.26850249015328487</v>
      </c>
      <c r="F1186" s="6">
        <f t="shared" ca="1" si="164"/>
        <v>74854.231153527144</v>
      </c>
      <c r="G1186" s="6">
        <f t="shared" ca="1" si="165"/>
        <v>305.88103805774278</v>
      </c>
      <c r="V1186" s="53"/>
      <c r="W1186" s="54"/>
      <c r="X1186" s="65" t="s">
        <v>219</v>
      </c>
      <c r="Y1186" s="65">
        <f t="shared" ca="1" si="166"/>
        <v>4</v>
      </c>
      <c r="Z1186" s="3">
        <f t="shared" ca="1" si="167"/>
        <v>0.34402084402787481</v>
      </c>
      <c r="AA1186" s="6">
        <f t="shared" ca="1" si="168"/>
        <v>89042.101921252412</v>
      </c>
      <c r="AB1186" s="6">
        <f t="shared" ca="1" si="169"/>
        <v>424.68136705571368</v>
      </c>
    </row>
    <row r="1187" spans="1:28" x14ac:dyDescent="0.3">
      <c r="A1187" s="53"/>
      <c r="B1187" s="54"/>
      <c r="C1187" s="65" t="s">
        <v>219</v>
      </c>
      <c r="D1187" s="65">
        <f t="shared" ca="1" si="162"/>
        <v>4</v>
      </c>
      <c r="E1187" s="3">
        <f t="shared" ca="1" si="163"/>
        <v>0.66218756600614515</v>
      </c>
      <c r="F1187" s="6">
        <f t="shared" ca="1" si="164"/>
        <v>129288.10504564761</v>
      </c>
      <c r="G1187" s="6">
        <f t="shared" ca="1" si="165"/>
        <v>433.76765817938411</v>
      </c>
      <c r="V1187" s="53"/>
      <c r="W1187" s="54"/>
      <c r="X1187" s="65" t="s">
        <v>219</v>
      </c>
      <c r="Y1187" s="65">
        <f t="shared" ca="1" si="166"/>
        <v>3</v>
      </c>
      <c r="Z1187" s="3">
        <f t="shared" ca="1" si="167"/>
        <v>8.8004678018431592E-2</v>
      </c>
      <c r="AA1187" s="6">
        <f t="shared" ca="1" si="168"/>
        <v>69233.069709229239</v>
      </c>
      <c r="AB1187" s="6">
        <f t="shared" ca="1" si="169"/>
        <v>755.47644252153702</v>
      </c>
    </row>
    <row r="1188" spans="1:28" x14ac:dyDescent="0.3">
      <c r="A1188" s="53"/>
      <c r="B1188" s="54"/>
      <c r="C1188" s="65" t="s">
        <v>219</v>
      </c>
      <c r="D1188" s="65">
        <f t="shared" ca="1" si="162"/>
        <v>1</v>
      </c>
      <c r="E1188" s="3">
        <f t="shared" ca="1" si="163"/>
        <v>0.74607606778159608</v>
      </c>
      <c r="F1188" s="6">
        <f t="shared" ca="1" si="164"/>
        <v>13702.659108265492</v>
      </c>
      <c r="G1188" s="6">
        <f t="shared" ca="1" si="165"/>
        <v>1227.8333114943205</v>
      </c>
      <c r="V1188" s="53"/>
      <c r="W1188" s="54"/>
      <c r="X1188" s="65" t="s">
        <v>219</v>
      </c>
      <c r="Y1188" s="65">
        <f t="shared" ca="1" si="166"/>
        <v>4</v>
      </c>
      <c r="Z1188" s="3">
        <f t="shared" ca="1" si="167"/>
        <v>0.81693764309748085</v>
      </c>
      <c r="AA1188" s="6">
        <f t="shared" ca="1" si="168"/>
        <v>96975.201355473997</v>
      </c>
      <c r="AB1188" s="6">
        <f t="shared" ca="1" si="169"/>
        <v>568.02533006566216</v>
      </c>
    </row>
    <row r="1189" spans="1:28" x14ac:dyDescent="0.3">
      <c r="A1189" s="53"/>
      <c r="B1189" s="54"/>
      <c r="C1189" s="65" t="s">
        <v>219</v>
      </c>
      <c r="D1189" s="65">
        <f t="shared" ca="1" si="162"/>
        <v>4</v>
      </c>
      <c r="E1189" s="3">
        <f t="shared" ca="1" si="163"/>
        <v>4.1222484533919634E-2</v>
      </c>
      <c r="F1189" s="6">
        <f t="shared" ca="1" si="164"/>
        <v>197938.33120495678</v>
      </c>
      <c r="G1189" s="6">
        <f t="shared" ca="1" si="165"/>
        <v>1236.2921390269241</v>
      </c>
      <c r="V1189" s="53"/>
      <c r="W1189" s="54"/>
      <c r="X1189" s="65" t="s">
        <v>219</v>
      </c>
      <c r="Y1189" s="65">
        <f t="shared" ca="1" si="166"/>
        <v>1</v>
      </c>
      <c r="Z1189" s="3">
        <f t="shared" ca="1" si="167"/>
        <v>0.74483334638980991</v>
      </c>
      <c r="AA1189" s="6">
        <f t="shared" ca="1" si="168"/>
        <v>74012.848760295776</v>
      </c>
      <c r="AB1189" s="6">
        <f t="shared" ca="1" si="169"/>
        <v>1851.0548249299748</v>
      </c>
    </row>
    <row r="1190" spans="1:28" x14ac:dyDescent="0.3">
      <c r="A1190" s="53"/>
      <c r="B1190" s="54"/>
      <c r="C1190" s="65" t="s">
        <v>219</v>
      </c>
      <c r="D1190" s="65">
        <f t="shared" ca="1" si="162"/>
        <v>3</v>
      </c>
      <c r="E1190" s="3">
        <f t="shared" ca="1" si="163"/>
        <v>0.20931143129544461</v>
      </c>
      <c r="F1190" s="6">
        <f t="shared" ca="1" si="164"/>
        <v>19896.111365083136</v>
      </c>
      <c r="G1190" s="6">
        <f t="shared" ca="1" si="165"/>
        <v>1457.7266609971689</v>
      </c>
      <c r="V1190" s="53"/>
      <c r="W1190" s="54"/>
      <c r="X1190" s="65" t="s">
        <v>219</v>
      </c>
      <c r="Y1190" s="65">
        <f t="shared" ca="1" si="166"/>
        <v>1</v>
      </c>
      <c r="Z1190" s="3">
        <f t="shared" ca="1" si="167"/>
        <v>0.96114768430176922</v>
      </c>
      <c r="AA1190" s="6">
        <f t="shared" ca="1" si="168"/>
        <v>115332.00659750967</v>
      </c>
      <c r="AB1190" s="6">
        <f t="shared" ca="1" si="169"/>
        <v>272.17114324944714</v>
      </c>
    </row>
    <row r="1191" spans="1:28" x14ac:dyDescent="0.3">
      <c r="A1191" s="53"/>
      <c r="B1191" s="54"/>
      <c r="C1191" s="65" t="s">
        <v>219</v>
      </c>
      <c r="D1191" s="65">
        <f t="shared" ca="1" si="162"/>
        <v>1</v>
      </c>
      <c r="E1191" s="3">
        <f t="shared" ca="1" si="163"/>
        <v>0.72752501492727528</v>
      </c>
      <c r="F1191" s="6">
        <f t="shared" ca="1" si="164"/>
        <v>76075.966807628603</v>
      </c>
      <c r="G1191" s="6">
        <f t="shared" ca="1" si="165"/>
        <v>935.58654817108834</v>
      </c>
      <c r="V1191" s="53"/>
      <c r="W1191" s="54"/>
      <c r="X1191" s="65" t="s">
        <v>219</v>
      </c>
      <c r="Y1191" s="65">
        <f t="shared" ca="1" si="166"/>
        <v>3</v>
      </c>
      <c r="Z1191" s="3">
        <f t="shared" ca="1" si="167"/>
        <v>0.89689067408880518</v>
      </c>
      <c r="AA1191" s="6">
        <f t="shared" ca="1" si="168"/>
        <v>198795.58082906643</v>
      </c>
      <c r="AB1191" s="6">
        <f t="shared" ca="1" si="169"/>
        <v>1247.0678526643289</v>
      </c>
    </row>
    <row r="1192" spans="1:28" x14ac:dyDescent="0.3">
      <c r="A1192" s="53"/>
      <c r="B1192" s="54"/>
      <c r="C1192" s="65" t="s">
        <v>242</v>
      </c>
      <c r="D1192" s="65">
        <f t="shared" ca="1" si="162"/>
        <v>4</v>
      </c>
      <c r="E1192" s="3">
        <f t="shared" ca="1" si="163"/>
        <v>0.80121087885606057</v>
      </c>
      <c r="F1192" s="6">
        <f t="shared" ca="1" si="164"/>
        <v>130892.79392734056</v>
      </c>
      <c r="G1192" s="6">
        <f t="shared" ca="1" si="165"/>
        <v>452.9668068529096</v>
      </c>
      <c r="V1192" s="53"/>
      <c r="W1192" s="54"/>
      <c r="X1192" s="65" t="s">
        <v>242</v>
      </c>
      <c r="Y1192" s="65">
        <f t="shared" ca="1" si="166"/>
        <v>2</v>
      </c>
      <c r="Z1192" s="3">
        <f t="shared" ca="1" si="167"/>
        <v>0.78394825061017748</v>
      </c>
      <c r="AA1192" s="6">
        <f t="shared" ca="1" si="168"/>
        <v>175123.57597354948</v>
      </c>
      <c r="AB1192" s="6">
        <f t="shared" ca="1" si="169"/>
        <v>439.5012690662594</v>
      </c>
    </row>
    <row r="1193" spans="1:28" x14ac:dyDescent="0.3">
      <c r="A1193" s="53"/>
      <c r="B1193" s="54"/>
      <c r="C1193" s="65" t="s">
        <v>219</v>
      </c>
      <c r="D1193" s="65">
        <f t="shared" ca="1" si="162"/>
        <v>2</v>
      </c>
      <c r="E1193" s="3">
        <f t="shared" ca="1" si="163"/>
        <v>8.1765461058842193E-2</v>
      </c>
      <c r="F1193" s="6">
        <f t="shared" ca="1" si="164"/>
        <v>44663.831526989939</v>
      </c>
      <c r="G1193" s="6">
        <f t="shared" ca="1" si="165"/>
        <v>1889.3787394448627</v>
      </c>
      <c r="V1193" s="53"/>
      <c r="W1193" s="54"/>
      <c r="X1193" s="65" t="s">
        <v>219</v>
      </c>
      <c r="Y1193" s="65">
        <f t="shared" ca="1" si="166"/>
        <v>1</v>
      </c>
      <c r="Z1193" s="3">
        <f t="shared" ca="1" si="167"/>
        <v>0.51951500971510378</v>
      </c>
      <c r="AA1193" s="6">
        <f t="shared" ca="1" si="168"/>
        <v>113134.63914965614</v>
      </c>
      <c r="AB1193" s="6">
        <f t="shared" ca="1" si="169"/>
        <v>310.90776881956583</v>
      </c>
    </row>
    <row r="1194" spans="1:28" x14ac:dyDescent="0.3">
      <c r="A1194" s="53"/>
      <c r="B1194" s="54"/>
      <c r="C1194" s="65" t="s">
        <v>242</v>
      </c>
      <c r="D1194" s="65">
        <f t="shared" ca="1" si="162"/>
        <v>2</v>
      </c>
      <c r="E1194" s="3">
        <f t="shared" ca="1" si="163"/>
        <v>0.49071011268359233</v>
      </c>
      <c r="F1194" s="6">
        <f t="shared" ca="1" si="164"/>
        <v>186584.88781415735</v>
      </c>
      <c r="G1194" s="6">
        <f t="shared" ca="1" si="165"/>
        <v>592.15821793192094</v>
      </c>
      <c r="V1194" s="53"/>
      <c r="W1194" s="54"/>
      <c r="X1194" s="65" t="s">
        <v>242</v>
      </c>
      <c r="Y1194" s="65">
        <f t="shared" ca="1" si="166"/>
        <v>3</v>
      </c>
      <c r="Z1194" s="3">
        <f t="shared" ca="1" si="167"/>
        <v>0.16004230806592423</v>
      </c>
      <c r="AA1194" s="6">
        <f t="shared" ca="1" si="168"/>
        <v>199485.68149828393</v>
      </c>
      <c r="AB1194" s="6">
        <f t="shared" ca="1" si="169"/>
        <v>1218.8689314975766</v>
      </c>
    </row>
    <row r="1195" spans="1:28" x14ac:dyDescent="0.3">
      <c r="A1195" s="53"/>
      <c r="B1195" s="54"/>
      <c r="C1195" s="65" t="s">
        <v>219</v>
      </c>
      <c r="D1195" s="65">
        <f t="shared" ca="1" si="162"/>
        <v>3</v>
      </c>
      <c r="E1195" s="3">
        <f t="shared" ca="1" si="163"/>
        <v>0.16676351526400734</v>
      </c>
      <c r="F1195" s="6">
        <f t="shared" ca="1" si="164"/>
        <v>158857.92247275478</v>
      </c>
      <c r="G1195" s="6">
        <f t="shared" ca="1" si="165"/>
        <v>503.23303456514259</v>
      </c>
      <c r="V1195" s="53"/>
      <c r="W1195" s="54"/>
      <c r="X1195" s="65" t="s">
        <v>219</v>
      </c>
      <c r="Y1195" s="65">
        <f t="shared" ca="1" si="166"/>
        <v>1</v>
      </c>
      <c r="Z1195" s="3">
        <f t="shared" ca="1" si="167"/>
        <v>0.55904362174015243</v>
      </c>
      <c r="AA1195" s="6">
        <f t="shared" ca="1" si="168"/>
        <v>175030.87425385925</v>
      </c>
      <c r="AB1195" s="6">
        <f t="shared" ca="1" si="169"/>
        <v>1925.0431351577856</v>
      </c>
    </row>
    <row r="1196" spans="1:28" x14ac:dyDescent="0.3">
      <c r="A1196" s="53"/>
      <c r="B1196" s="54"/>
      <c r="C1196" s="65" t="s">
        <v>219</v>
      </c>
      <c r="D1196" s="65">
        <f t="shared" ca="1" si="162"/>
        <v>2</v>
      </c>
      <c r="E1196" s="3">
        <f t="shared" ca="1" si="163"/>
        <v>0.95922356805306863</v>
      </c>
      <c r="F1196" s="6">
        <f t="shared" ca="1" si="164"/>
        <v>124088.77086912881</v>
      </c>
      <c r="G1196" s="6">
        <f t="shared" ca="1" si="165"/>
        <v>1034.6600378873068</v>
      </c>
      <c r="V1196" s="53"/>
      <c r="W1196" s="54"/>
      <c r="X1196" s="65" t="s">
        <v>219</v>
      </c>
      <c r="Y1196" s="65">
        <f t="shared" ca="1" si="166"/>
        <v>2</v>
      </c>
      <c r="Z1196" s="3">
        <f t="shared" ca="1" si="167"/>
        <v>0.98749982260050606</v>
      </c>
      <c r="AA1196" s="6">
        <f t="shared" ca="1" si="168"/>
        <v>163305.05276839386</v>
      </c>
      <c r="AB1196" s="6">
        <f t="shared" ca="1" si="169"/>
        <v>436.67306959738374</v>
      </c>
    </row>
    <row r="1197" spans="1:28" x14ac:dyDescent="0.3">
      <c r="A1197" s="53"/>
      <c r="B1197" s="54"/>
      <c r="C1197" s="65" t="s">
        <v>219</v>
      </c>
      <c r="D1197" s="65">
        <f t="shared" ca="1" si="162"/>
        <v>3</v>
      </c>
      <c r="E1197" s="3">
        <f t="shared" ca="1" si="163"/>
        <v>0.48069148471461498</v>
      </c>
      <c r="F1197" s="6">
        <f t="shared" ca="1" si="164"/>
        <v>152000.25718033072</v>
      </c>
      <c r="G1197" s="6">
        <f t="shared" ca="1" si="165"/>
        <v>1512.678814645727</v>
      </c>
      <c r="V1197" s="53"/>
      <c r="W1197" s="54"/>
      <c r="X1197" s="65" t="s">
        <v>219</v>
      </c>
      <c r="Y1197" s="65">
        <f t="shared" ca="1" si="166"/>
        <v>2</v>
      </c>
      <c r="Z1197" s="3">
        <f t="shared" ca="1" si="167"/>
        <v>0.37744915124658218</v>
      </c>
      <c r="AA1197" s="6">
        <f t="shared" ca="1" si="168"/>
        <v>94108.187898008604</v>
      </c>
      <c r="AB1197" s="6">
        <f t="shared" ca="1" si="169"/>
        <v>1737.0898333297523</v>
      </c>
    </row>
    <row r="1198" spans="1:28" x14ac:dyDescent="0.3">
      <c r="A1198" s="53"/>
      <c r="B1198" s="54"/>
      <c r="C1198" s="65" t="s">
        <v>219</v>
      </c>
      <c r="D1198" s="65">
        <f t="shared" ca="1" si="162"/>
        <v>1</v>
      </c>
      <c r="E1198" s="3">
        <f t="shared" ca="1" si="163"/>
        <v>0.67319258590009556</v>
      </c>
      <c r="F1198" s="6">
        <f t="shared" ca="1" si="164"/>
        <v>116885.73549450148</v>
      </c>
      <c r="G1198" s="6">
        <f t="shared" ca="1" si="165"/>
        <v>1290.744553111655</v>
      </c>
      <c r="V1198" s="53"/>
      <c r="W1198" s="54"/>
      <c r="X1198" s="65" t="s">
        <v>219</v>
      </c>
      <c r="Y1198" s="65">
        <f t="shared" ca="1" si="166"/>
        <v>3</v>
      </c>
      <c r="Z1198" s="3">
        <f t="shared" ca="1" si="167"/>
        <v>0.92037695382093221</v>
      </c>
      <c r="AA1198" s="6">
        <f t="shared" ca="1" si="168"/>
        <v>95949.111654913402</v>
      </c>
      <c r="AB1198" s="6">
        <f t="shared" ca="1" si="169"/>
        <v>683.88333431021817</v>
      </c>
    </row>
    <row r="1199" spans="1:28" x14ac:dyDescent="0.3">
      <c r="A1199" s="53"/>
      <c r="B1199" s="54"/>
      <c r="C1199" s="65" t="s">
        <v>219</v>
      </c>
      <c r="D1199" s="65">
        <f t="shared" ca="1" si="162"/>
        <v>1</v>
      </c>
      <c r="E1199" s="3">
        <f t="shared" ca="1" si="163"/>
        <v>0.60672383872888991</v>
      </c>
      <c r="F1199" s="6">
        <f t="shared" ca="1" si="164"/>
        <v>1130.0493045600435</v>
      </c>
      <c r="G1199" s="6">
        <f t="shared" ca="1" si="165"/>
        <v>435.05187856542494</v>
      </c>
      <c r="V1199" s="53"/>
      <c r="W1199" s="54"/>
      <c r="X1199" s="65" t="s">
        <v>219</v>
      </c>
      <c r="Y1199" s="65">
        <f t="shared" ca="1" si="166"/>
        <v>3</v>
      </c>
      <c r="Z1199" s="3">
        <f t="shared" ca="1" si="167"/>
        <v>0.86214026456117232</v>
      </c>
      <c r="AA1199" s="6">
        <f t="shared" ca="1" si="168"/>
        <v>128148.36045459576</v>
      </c>
      <c r="AB1199" s="6">
        <f t="shared" ca="1" si="169"/>
        <v>1747.0775891764301</v>
      </c>
    </row>
    <row r="1200" spans="1:28" x14ac:dyDescent="0.3">
      <c r="A1200" s="53"/>
      <c r="B1200" s="54"/>
      <c r="C1200" s="65" t="s">
        <v>219</v>
      </c>
      <c r="D1200" s="65">
        <f t="shared" ca="1" si="162"/>
        <v>1</v>
      </c>
      <c r="E1200" s="3">
        <f t="shared" ca="1" si="163"/>
        <v>0.34345557677070138</v>
      </c>
      <c r="F1200" s="6">
        <f t="shared" ca="1" si="164"/>
        <v>28117.575930963958</v>
      </c>
      <c r="G1200" s="6">
        <f t="shared" ca="1" si="165"/>
        <v>366.87909633233431</v>
      </c>
      <c r="V1200" s="53"/>
      <c r="W1200" s="54"/>
      <c r="X1200" s="65" t="s">
        <v>219</v>
      </c>
      <c r="Y1200" s="65">
        <f t="shared" ca="1" si="166"/>
        <v>4</v>
      </c>
      <c r="Z1200" s="3">
        <f t="shared" ca="1" si="167"/>
        <v>0.49203117390342466</v>
      </c>
      <c r="AA1200" s="6">
        <f t="shared" ca="1" si="168"/>
        <v>116321.67201606349</v>
      </c>
      <c r="AB1200" s="6">
        <f t="shared" ca="1" si="169"/>
        <v>1359.9469188329558</v>
      </c>
    </row>
    <row r="1201" spans="1:28" x14ac:dyDescent="0.3">
      <c r="A1201" s="53"/>
      <c r="B1201" s="54"/>
      <c r="C1201" s="65" t="s">
        <v>219</v>
      </c>
      <c r="D1201" s="65">
        <f t="shared" ca="1" si="162"/>
        <v>1</v>
      </c>
      <c r="E1201" s="3">
        <f t="shared" ca="1" si="163"/>
        <v>0.19800618647479928</v>
      </c>
      <c r="F1201" s="6">
        <f t="shared" ca="1" si="164"/>
        <v>125331.97643992948</v>
      </c>
      <c r="G1201" s="6">
        <f t="shared" ca="1" si="165"/>
        <v>1245.286207947089</v>
      </c>
      <c r="V1201" s="53"/>
      <c r="W1201" s="54"/>
      <c r="X1201" s="65" t="s">
        <v>219</v>
      </c>
      <c r="Y1201" s="65">
        <f t="shared" ca="1" si="166"/>
        <v>4</v>
      </c>
      <c r="Z1201" s="3">
        <f t="shared" ca="1" si="167"/>
        <v>0.88607357616256066</v>
      </c>
      <c r="AA1201" s="6">
        <f t="shared" ca="1" si="168"/>
        <v>5758.0743648500966</v>
      </c>
      <c r="AB1201" s="6">
        <f t="shared" ca="1" si="169"/>
        <v>992.47791178285797</v>
      </c>
    </row>
    <row r="1202" spans="1:28" x14ac:dyDescent="0.3">
      <c r="A1202" s="53"/>
      <c r="B1202" s="54"/>
      <c r="C1202" s="65" t="s">
        <v>219</v>
      </c>
      <c r="D1202" s="65">
        <f t="shared" ca="1" si="162"/>
        <v>4</v>
      </c>
      <c r="E1202" s="3">
        <f t="shared" ca="1" si="163"/>
        <v>0.62922184162932748</v>
      </c>
      <c r="F1202" s="6">
        <f t="shared" ca="1" si="164"/>
        <v>106995.93549238169</v>
      </c>
      <c r="G1202" s="6">
        <f t="shared" ca="1" si="165"/>
        <v>261.65485639294104</v>
      </c>
      <c r="V1202" s="53"/>
      <c r="W1202" s="54"/>
      <c r="X1202" s="65" t="s">
        <v>219</v>
      </c>
      <c r="Y1202" s="65">
        <f t="shared" ca="1" si="166"/>
        <v>2</v>
      </c>
      <c r="Z1202" s="3">
        <f t="shared" ca="1" si="167"/>
        <v>4.6048262864326284E-2</v>
      </c>
      <c r="AA1202" s="6">
        <f t="shared" ca="1" si="168"/>
        <v>171154.84955456966</v>
      </c>
      <c r="AB1202" s="6">
        <f t="shared" ca="1" si="169"/>
        <v>1504.9983237538756</v>
      </c>
    </row>
    <row r="1203" spans="1:28" x14ac:dyDescent="0.3">
      <c r="A1203" s="53"/>
      <c r="B1203" s="54"/>
      <c r="C1203" s="65" t="s">
        <v>219</v>
      </c>
      <c r="D1203" s="65">
        <f t="shared" ca="1" si="162"/>
        <v>3</v>
      </c>
      <c r="E1203" s="3">
        <f t="shared" ca="1" si="163"/>
        <v>4.9967771102066738E-2</v>
      </c>
      <c r="F1203" s="6">
        <f t="shared" ca="1" si="164"/>
        <v>44788.200263343424</v>
      </c>
      <c r="G1203" s="6">
        <f t="shared" ca="1" si="165"/>
        <v>872.61820814469672</v>
      </c>
      <c r="V1203" s="53"/>
      <c r="W1203" s="54"/>
      <c r="X1203" s="65" t="s">
        <v>219</v>
      </c>
      <c r="Y1203" s="65">
        <f t="shared" ca="1" si="166"/>
        <v>3</v>
      </c>
      <c r="Z1203" s="3">
        <f t="shared" ca="1" si="167"/>
        <v>0.23092636065216854</v>
      </c>
      <c r="AA1203" s="6">
        <f t="shared" ca="1" si="168"/>
        <v>110385.80175469063</v>
      </c>
      <c r="AB1203" s="6">
        <f t="shared" ca="1" si="169"/>
        <v>1255.2145775917418</v>
      </c>
    </row>
    <row r="1204" spans="1:28" x14ac:dyDescent="0.3">
      <c r="A1204" s="53"/>
      <c r="B1204" s="54"/>
      <c r="C1204" s="65" t="s">
        <v>219</v>
      </c>
      <c r="D1204" s="65">
        <f t="shared" ca="1" si="162"/>
        <v>2</v>
      </c>
      <c r="E1204" s="3">
        <f t="shared" ca="1" si="163"/>
        <v>0.25294707624033796</v>
      </c>
      <c r="F1204" s="6">
        <f t="shared" ca="1" si="164"/>
        <v>52773.47966741972</v>
      </c>
      <c r="G1204" s="6">
        <f t="shared" ca="1" si="165"/>
        <v>743.3412469126539</v>
      </c>
      <c r="V1204" s="53"/>
      <c r="W1204" s="54"/>
      <c r="X1204" s="65" t="s">
        <v>219</v>
      </c>
      <c r="Y1204" s="65">
        <f t="shared" ca="1" si="166"/>
        <v>3</v>
      </c>
      <c r="Z1204" s="3">
        <f t="shared" ca="1" si="167"/>
        <v>0.67150498563089767</v>
      </c>
      <c r="AA1204" s="6">
        <f t="shared" ca="1" si="168"/>
        <v>133021.29076994039</v>
      </c>
      <c r="AB1204" s="6">
        <f t="shared" ca="1" si="169"/>
        <v>1687.8853947930618</v>
      </c>
    </row>
    <row r="1205" spans="1:28" x14ac:dyDescent="0.3">
      <c r="A1205" s="53"/>
      <c r="B1205" s="54"/>
      <c r="C1205" s="65" t="s">
        <v>219</v>
      </c>
      <c r="D1205" s="65">
        <f t="shared" ca="1" si="162"/>
        <v>1</v>
      </c>
      <c r="E1205" s="3">
        <f t="shared" ca="1" si="163"/>
        <v>0.70889286322589962</v>
      </c>
      <c r="F1205" s="6">
        <f t="shared" ca="1" si="164"/>
        <v>111317.59118219817</v>
      </c>
      <c r="G1205" s="6">
        <f t="shared" ca="1" si="165"/>
        <v>85.56957917480878</v>
      </c>
      <c r="V1205" s="53"/>
      <c r="W1205" s="54"/>
      <c r="X1205" s="65" t="s">
        <v>219</v>
      </c>
      <c r="Y1205" s="65">
        <f t="shared" ca="1" si="166"/>
        <v>2</v>
      </c>
      <c r="Z1205" s="3">
        <f t="shared" ca="1" si="167"/>
        <v>0.24933877967236473</v>
      </c>
      <c r="AA1205" s="6">
        <f t="shared" ca="1" si="168"/>
        <v>101873.49828378909</v>
      </c>
      <c r="AB1205" s="6">
        <f t="shared" ca="1" si="169"/>
        <v>145.52734398749467</v>
      </c>
    </row>
    <row r="1206" spans="1:28" x14ac:dyDescent="0.3">
      <c r="A1206" s="53"/>
      <c r="B1206" s="54"/>
      <c r="C1206" s="65" t="s">
        <v>219</v>
      </c>
      <c r="D1206" s="65">
        <f t="shared" ca="1" si="162"/>
        <v>3</v>
      </c>
      <c r="E1206" s="3">
        <f t="shared" ca="1" si="163"/>
        <v>0.17475292676766319</v>
      </c>
      <c r="F1206" s="6">
        <f t="shared" ca="1" si="164"/>
        <v>159014.92038227528</v>
      </c>
      <c r="G1206" s="6">
        <f t="shared" ca="1" si="165"/>
        <v>1308.9981150891435</v>
      </c>
      <c r="V1206" s="53"/>
      <c r="W1206" s="54"/>
      <c r="X1206" s="65" t="s">
        <v>219</v>
      </c>
      <c r="Y1206" s="65">
        <f t="shared" ca="1" si="166"/>
        <v>1</v>
      </c>
      <c r="Z1206" s="3">
        <f t="shared" ca="1" si="167"/>
        <v>0.26041902154940744</v>
      </c>
      <c r="AA1206" s="6">
        <f t="shared" ca="1" si="168"/>
        <v>113631.73186331465</v>
      </c>
      <c r="AB1206" s="6">
        <f t="shared" ca="1" si="169"/>
        <v>1920.2246117138477</v>
      </c>
    </row>
    <row r="1207" spans="1:28" x14ac:dyDescent="0.3">
      <c r="A1207" s="53"/>
      <c r="B1207" s="54"/>
      <c r="C1207" s="65" t="s">
        <v>219</v>
      </c>
      <c r="D1207" s="65">
        <f t="shared" ca="1" si="162"/>
        <v>2</v>
      </c>
      <c r="E1207" s="3">
        <f t="shared" ca="1" si="163"/>
        <v>0.13478332145235428</v>
      </c>
      <c r="F1207" s="6">
        <f t="shared" ca="1" si="164"/>
        <v>113714.05975249315</v>
      </c>
      <c r="G1207" s="6">
        <f t="shared" ca="1" si="165"/>
        <v>80.90280417724793</v>
      </c>
      <c r="V1207" s="53"/>
      <c r="W1207" s="54"/>
      <c r="X1207" s="65" t="s">
        <v>219</v>
      </c>
      <c r="Y1207" s="65">
        <f t="shared" ca="1" si="166"/>
        <v>3</v>
      </c>
      <c r="Z1207" s="3">
        <f t="shared" ca="1" si="167"/>
        <v>0.12030710807798706</v>
      </c>
      <c r="AA1207" s="6">
        <f t="shared" ca="1" si="168"/>
        <v>107693.77406549682</v>
      </c>
      <c r="AB1207" s="6">
        <f t="shared" ca="1" si="169"/>
        <v>1299.0843944210931</v>
      </c>
    </row>
    <row r="1208" spans="1:28" x14ac:dyDescent="0.3">
      <c r="A1208" s="53"/>
      <c r="B1208" s="54"/>
      <c r="C1208" s="65" t="s">
        <v>219</v>
      </c>
      <c r="D1208" s="65">
        <f t="shared" ca="1" si="162"/>
        <v>1</v>
      </c>
      <c r="E1208" s="3">
        <f t="shared" ca="1" si="163"/>
        <v>0.69504528132272347</v>
      </c>
      <c r="F1208" s="6">
        <f t="shared" ca="1" si="164"/>
        <v>30899.252281175828</v>
      </c>
      <c r="G1208" s="6">
        <f t="shared" ca="1" si="165"/>
        <v>877.15321919658231</v>
      </c>
      <c r="V1208" s="53"/>
      <c r="W1208" s="54"/>
      <c r="X1208" s="65" t="s">
        <v>219</v>
      </c>
      <c r="Y1208" s="65">
        <f t="shared" ca="1" si="166"/>
        <v>2</v>
      </c>
      <c r="Z1208" s="3">
        <f t="shared" ca="1" si="167"/>
        <v>0.20908466185183405</v>
      </c>
      <c r="AA1208" s="6">
        <f t="shared" ca="1" si="168"/>
        <v>29085.711554255166</v>
      </c>
      <c r="AB1208" s="6">
        <f t="shared" ca="1" si="169"/>
        <v>1487.671952223169</v>
      </c>
    </row>
    <row r="1209" spans="1:28" x14ac:dyDescent="0.3">
      <c r="A1209" s="53"/>
      <c r="B1209" s="54"/>
      <c r="C1209" s="65" t="s">
        <v>219</v>
      </c>
      <c r="D1209" s="65">
        <f t="shared" ca="1" si="162"/>
        <v>3</v>
      </c>
      <c r="E1209" s="3">
        <f t="shared" ca="1" si="163"/>
        <v>0.3784230789690739</v>
      </c>
      <c r="F1209" s="6">
        <f t="shared" ca="1" si="164"/>
        <v>51744.49815835811</v>
      </c>
      <c r="G1209" s="6">
        <f t="shared" ca="1" si="165"/>
        <v>460.00037888264387</v>
      </c>
      <c r="V1209" s="53"/>
      <c r="W1209" s="54"/>
      <c r="X1209" s="65" t="s">
        <v>219</v>
      </c>
      <c r="Y1209" s="65">
        <f t="shared" ca="1" si="166"/>
        <v>2</v>
      </c>
      <c r="Z1209" s="3">
        <f t="shared" ca="1" si="167"/>
        <v>0.46185823280285909</v>
      </c>
      <c r="AA1209" s="6">
        <f t="shared" ca="1" si="168"/>
        <v>65094.62177002414</v>
      </c>
      <c r="AB1209" s="6">
        <f t="shared" ca="1" si="169"/>
        <v>1761.1998100511132</v>
      </c>
    </row>
    <row r="1210" spans="1:28" x14ac:dyDescent="0.3">
      <c r="A1210" s="53"/>
      <c r="B1210" s="54"/>
      <c r="C1210" s="65" t="s">
        <v>219</v>
      </c>
      <c r="D1210" s="65">
        <f t="shared" ca="1" si="162"/>
        <v>4</v>
      </c>
      <c r="E1210" s="3">
        <f t="shared" ca="1" si="163"/>
        <v>0.394463444258495</v>
      </c>
      <c r="F1210" s="6">
        <f t="shared" ca="1" si="164"/>
        <v>84836.819816440417</v>
      </c>
      <c r="G1210" s="6">
        <f t="shared" ca="1" si="165"/>
        <v>461.06226606922229</v>
      </c>
      <c r="V1210" s="53"/>
      <c r="W1210" s="54"/>
      <c r="X1210" s="65" t="s">
        <v>219</v>
      </c>
      <c r="Y1210" s="65">
        <f t="shared" ca="1" si="166"/>
        <v>3</v>
      </c>
      <c r="Z1210" s="3">
        <f t="shared" ca="1" si="167"/>
        <v>0.27670238912167988</v>
      </c>
      <c r="AA1210" s="6">
        <f t="shared" ca="1" si="168"/>
        <v>166871.25110599695</v>
      </c>
      <c r="AB1210" s="6">
        <f t="shared" ca="1" si="169"/>
        <v>527.46050325655688</v>
      </c>
    </row>
    <row r="1211" spans="1:28" x14ac:dyDescent="0.3">
      <c r="A1211" s="53"/>
      <c r="B1211" s="54"/>
      <c r="C1211" s="65" t="s">
        <v>219</v>
      </c>
      <c r="D1211" s="65">
        <f t="shared" ca="1" si="162"/>
        <v>1</v>
      </c>
      <c r="E1211" s="3">
        <f t="shared" ca="1" si="163"/>
        <v>0.65910242526315099</v>
      </c>
      <c r="F1211" s="6">
        <f t="shared" ca="1" si="164"/>
        <v>86159.934413996059</v>
      </c>
      <c r="G1211" s="6">
        <f t="shared" ca="1" si="165"/>
        <v>80.3974115706243</v>
      </c>
      <c r="V1211" s="53"/>
      <c r="W1211" s="54"/>
      <c r="X1211" s="65" t="s">
        <v>219</v>
      </c>
      <c r="Y1211" s="65">
        <f t="shared" ca="1" si="166"/>
        <v>2</v>
      </c>
      <c r="Z1211" s="3">
        <f t="shared" ca="1" si="167"/>
        <v>0.95196756415000872</v>
      </c>
      <c r="AA1211" s="6">
        <f t="shared" ca="1" si="168"/>
        <v>126499.01681251024</v>
      </c>
      <c r="AB1211" s="6">
        <f t="shared" ca="1" si="169"/>
        <v>1563.2004677955058</v>
      </c>
    </row>
    <row r="1212" spans="1:28" x14ac:dyDescent="0.3">
      <c r="A1212" s="53"/>
      <c r="B1212" s="54"/>
      <c r="C1212" s="65" t="s">
        <v>219</v>
      </c>
      <c r="D1212" s="65">
        <f t="shared" ca="1" si="162"/>
        <v>1</v>
      </c>
      <c r="E1212" s="3">
        <f t="shared" ca="1" si="163"/>
        <v>0.59433971125686791</v>
      </c>
      <c r="F1212" s="6">
        <f t="shared" ca="1" si="164"/>
        <v>54423.19125212152</v>
      </c>
      <c r="G1212" s="6">
        <f t="shared" ca="1" si="165"/>
        <v>1310.1767570908205</v>
      </c>
      <c r="V1212" s="53"/>
      <c r="W1212" s="54"/>
      <c r="X1212" s="65" t="s">
        <v>219</v>
      </c>
      <c r="Y1212" s="65">
        <f t="shared" ca="1" si="166"/>
        <v>1</v>
      </c>
      <c r="Z1212" s="3">
        <f t="shared" ca="1" si="167"/>
        <v>0.82118780208338282</v>
      </c>
      <c r="AA1212" s="6">
        <f t="shared" ca="1" si="168"/>
        <v>82033.258141955317</v>
      </c>
      <c r="AB1212" s="6">
        <f t="shared" ca="1" si="169"/>
        <v>1674.6757237355109</v>
      </c>
    </row>
    <row r="1213" spans="1:28" x14ac:dyDescent="0.3">
      <c r="A1213" s="53"/>
      <c r="B1213" s="54"/>
      <c r="C1213" s="65" t="s">
        <v>219</v>
      </c>
      <c r="D1213" s="65">
        <f t="shared" ca="1" si="162"/>
        <v>3</v>
      </c>
      <c r="E1213" s="3">
        <f t="shared" ca="1" si="163"/>
        <v>0.98995647205308535</v>
      </c>
      <c r="F1213" s="6">
        <f t="shared" ca="1" si="164"/>
        <v>88318.029850827661</v>
      </c>
      <c r="G1213" s="6">
        <f t="shared" ca="1" si="165"/>
        <v>1745.0539080712663</v>
      </c>
      <c r="V1213" s="53"/>
      <c r="W1213" s="54"/>
      <c r="X1213" s="65" t="s">
        <v>219</v>
      </c>
      <c r="Y1213" s="65">
        <f t="shared" ca="1" si="166"/>
        <v>3</v>
      </c>
      <c r="Z1213" s="3">
        <f t="shared" ca="1" si="167"/>
        <v>8.2306567226980043E-2</v>
      </c>
      <c r="AA1213" s="6">
        <f t="shared" ca="1" si="168"/>
        <v>63118.586722667882</v>
      </c>
      <c r="AB1213" s="6">
        <f t="shared" ca="1" si="169"/>
        <v>1563.0191799662432</v>
      </c>
    </row>
    <row r="1214" spans="1:28" x14ac:dyDescent="0.3">
      <c r="A1214" s="53"/>
      <c r="B1214" s="54"/>
      <c r="C1214" s="65" t="s">
        <v>219</v>
      </c>
      <c r="D1214" s="65">
        <f t="shared" ca="1" si="162"/>
        <v>1</v>
      </c>
      <c r="E1214" s="3">
        <f t="shared" ca="1" si="163"/>
        <v>0.97766323860789006</v>
      </c>
      <c r="F1214" s="6">
        <f t="shared" ca="1" si="164"/>
        <v>131602.66872013672</v>
      </c>
      <c r="G1214" s="6">
        <f t="shared" ca="1" si="165"/>
        <v>463.96848937516745</v>
      </c>
      <c r="V1214" s="53"/>
      <c r="W1214" s="54"/>
      <c r="X1214" s="65" t="s">
        <v>219</v>
      </c>
      <c r="Y1214" s="65">
        <f t="shared" ca="1" si="166"/>
        <v>3</v>
      </c>
      <c r="Z1214" s="3">
        <f t="shared" ca="1" si="167"/>
        <v>0.72910593814383862</v>
      </c>
      <c r="AA1214" s="6">
        <f t="shared" ca="1" si="168"/>
        <v>182903.81169869629</v>
      </c>
      <c r="AB1214" s="6">
        <f t="shared" ca="1" si="169"/>
        <v>1356.5618145664753</v>
      </c>
    </row>
    <row r="1215" spans="1:28" x14ac:dyDescent="0.3">
      <c r="A1215" s="53"/>
      <c r="B1215" s="54"/>
      <c r="C1215" s="65" t="s">
        <v>219</v>
      </c>
      <c r="D1215" s="65">
        <f t="shared" ca="1" si="162"/>
        <v>4</v>
      </c>
      <c r="E1215" s="3">
        <f t="shared" ca="1" si="163"/>
        <v>0.14280868638212751</v>
      </c>
      <c r="F1215" s="6">
        <f t="shared" ca="1" si="164"/>
        <v>133888.78328888732</v>
      </c>
      <c r="G1215" s="6">
        <f t="shared" ca="1" si="165"/>
        <v>1646.4767986424533</v>
      </c>
      <c r="V1215" s="53"/>
      <c r="W1215" s="54"/>
      <c r="X1215" s="65" t="s">
        <v>219</v>
      </c>
      <c r="Y1215" s="65">
        <f t="shared" ca="1" si="166"/>
        <v>2</v>
      </c>
      <c r="Z1215" s="3">
        <f t="shared" ca="1" si="167"/>
        <v>0.53123155737977712</v>
      </c>
      <c r="AA1215" s="6">
        <f t="shared" ca="1" si="168"/>
        <v>87711.206924648039</v>
      </c>
      <c r="AB1215" s="6">
        <f t="shared" ca="1" si="169"/>
        <v>1003.2909617134152</v>
      </c>
    </row>
    <row r="1216" spans="1:28" x14ac:dyDescent="0.3">
      <c r="A1216" s="53"/>
      <c r="B1216" s="54"/>
      <c r="C1216" s="65" t="s">
        <v>219</v>
      </c>
      <c r="D1216" s="65">
        <f t="shared" ca="1" si="162"/>
        <v>3</v>
      </c>
      <c r="E1216" s="3">
        <f t="shared" ca="1" si="163"/>
        <v>0.48939411978341274</v>
      </c>
      <c r="F1216" s="6">
        <f t="shared" ca="1" si="164"/>
        <v>187659.04074291349</v>
      </c>
      <c r="G1216" s="6">
        <f t="shared" ca="1" si="165"/>
        <v>627.21352394915721</v>
      </c>
      <c r="V1216" s="53"/>
      <c r="W1216" s="54"/>
      <c r="X1216" s="65" t="s">
        <v>219</v>
      </c>
      <c r="Y1216" s="65">
        <f t="shared" ca="1" si="166"/>
        <v>3</v>
      </c>
      <c r="Z1216" s="3">
        <f t="shared" ca="1" si="167"/>
        <v>0.49946789027413718</v>
      </c>
      <c r="AA1216" s="6">
        <f t="shared" ca="1" si="168"/>
        <v>158653.03314096527</v>
      </c>
      <c r="AB1216" s="6">
        <f t="shared" ca="1" si="169"/>
        <v>1736.222763188458</v>
      </c>
    </row>
    <row r="1217" spans="1:28" x14ac:dyDescent="0.3">
      <c r="A1217" s="53"/>
      <c r="B1217" s="54"/>
      <c r="C1217" s="65" t="s">
        <v>242</v>
      </c>
      <c r="D1217" s="65">
        <f t="shared" ca="1" si="162"/>
        <v>2</v>
      </c>
      <c r="E1217" s="3">
        <f t="shared" ca="1" si="163"/>
        <v>0.78328783783234612</v>
      </c>
      <c r="F1217" s="6">
        <f t="shared" ca="1" si="164"/>
        <v>195884.94450444868</v>
      </c>
      <c r="G1217" s="6">
        <f t="shared" ca="1" si="165"/>
        <v>82.751511474039589</v>
      </c>
      <c r="V1217" s="53"/>
      <c r="W1217" s="54"/>
      <c r="X1217" s="65" t="s">
        <v>242</v>
      </c>
      <c r="Y1217" s="65">
        <f t="shared" ca="1" si="166"/>
        <v>2</v>
      </c>
      <c r="Z1217" s="3">
        <f t="shared" ca="1" si="167"/>
        <v>0.11278648967670424</v>
      </c>
      <c r="AA1217" s="6">
        <f t="shared" ca="1" si="168"/>
        <v>113792.07827197095</v>
      </c>
      <c r="AB1217" s="6">
        <f t="shared" ca="1" si="169"/>
        <v>1476.1193675030731</v>
      </c>
    </row>
    <row r="1218" spans="1:28" x14ac:dyDescent="0.3">
      <c r="A1218" s="53"/>
      <c r="B1218" s="54"/>
      <c r="C1218" s="65" t="s">
        <v>219</v>
      </c>
      <c r="D1218" s="65">
        <f t="shared" ca="1" si="162"/>
        <v>1</v>
      </c>
      <c r="E1218" s="3">
        <f t="shared" ca="1" si="163"/>
        <v>0.66661455132951375</v>
      </c>
      <c r="F1218" s="6">
        <f t="shared" ca="1" si="164"/>
        <v>35574.209979019746</v>
      </c>
      <c r="G1218" s="6">
        <f t="shared" ca="1" si="165"/>
        <v>1701.6276346284253</v>
      </c>
      <c r="V1218" s="53"/>
      <c r="W1218" s="54"/>
      <c r="X1218" s="65" t="s">
        <v>219</v>
      </c>
      <c r="Y1218" s="65">
        <f t="shared" ca="1" si="166"/>
        <v>3</v>
      </c>
      <c r="Z1218" s="3">
        <f t="shared" ca="1" si="167"/>
        <v>0.56711150746666183</v>
      </c>
      <c r="AA1218" s="6">
        <f t="shared" ca="1" si="168"/>
        <v>181080.13631334566</v>
      </c>
      <c r="AB1218" s="6">
        <f t="shared" ca="1" si="169"/>
        <v>1250.6513912859316</v>
      </c>
    </row>
    <row r="1219" spans="1:28" x14ac:dyDescent="0.3">
      <c r="A1219" s="53"/>
      <c r="B1219" s="54"/>
      <c r="C1219" s="65" t="s">
        <v>219</v>
      </c>
      <c r="D1219" s="65">
        <f t="shared" ca="1" si="162"/>
        <v>2</v>
      </c>
      <c r="E1219" s="3">
        <f t="shared" ca="1" si="163"/>
        <v>0.70395874586271334</v>
      </c>
      <c r="F1219" s="6">
        <f t="shared" ca="1" si="164"/>
        <v>122147.08939432944</v>
      </c>
      <c r="G1219" s="6">
        <f t="shared" ca="1" si="165"/>
        <v>1059.2179506009961</v>
      </c>
      <c r="V1219" s="53"/>
      <c r="W1219" s="54"/>
      <c r="X1219" s="65" t="s">
        <v>219</v>
      </c>
      <c r="Y1219" s="65">
        <f t="shared" ca="1" si="166"/>
        <v>2</v>
      </c>
      <c r="Z1219" s="3">
        <f t="shared" ca="1" si="167"/>
        <v>0.19366644160623336</v>
      </c>
      <c r="AA1219" s="6">
        <f t="shared" ca="1" si="168"/>
        <v>136114.28564023032</v>
      </c>
      <c r="AB1219" s="6">
        <f t="shared" ca="1" si="169"/>
        <v>1101.2909754567543</v>
      </c>
    </row>
    <row r="1220" spans="1:28" x14ac:dyDescent="0.3">
      <c r="A1220" s="53"/>
      <c r="B1220" s="54"/>
      <c r="C1220" s="65" t="s">
        <v>219</v>
      </c>
      <c r="D1220" s="65">
        <f t="shared" ca="1" si="162"/>
        <v>1</v>
      </c>
      <c r="E1220" s="3">
        <f t="shared" ca="1" si="163"/>
        <v>0.37809685487478828</v>
      </c>
      <c r="F1220" s="6">
        <f t="shared" ca="1" si="164"/>
        <v>94897.514813246176</v>
      </c>
      <c r="G1220" s="6">
        <f t="shared" ca="1" si="165"/>
        <v>1697.7629765898798</v>
      </c>
      <c r="V1220" s="53"/>
      <c r="W1220" s="54"/>
      <c r="X1220" s="65" t="s">
        <v>219</v>
      </c>
      <c r="Y1220" s="65">
        <f t="shared" ca="1" si="166"/>
        <v>4</v>
      </c>
      <c r="Z1220" s="3">
        <f t="shared" ca="1" si="167"/>
        <v>0.83744849623000239</v>
      </c>
      <c r="AA1220" s="6">
        <f t="shared" ca="1" si="168"/>
        <v>152839.57072909112</v>
      </c>
      <c r="AB1220" s="6">
        <f t="shared" ca="1" si="169"/>
        <v>1965.356924775532</v>
      </c>
    </row>
    <row r="1221" spans="1:28" x14ac:dyDescent="0.3">
      <c r="A1221" s="53"/>
      <c r="B1221" s="54"/>
      <c r="C1221" s="65" t="s">
        <v>219</v>
      </c>
      <c r="D1221" s="65">
        <f t="shared" ca="1" si="162"/>
        <v>2</v>
      </c>
      <c r="E1221" s="3">
        <f t="shared" ca="1" si="163"/>
        <v>1.3159758470310479E-2</v>
      </c>
      <c r="F1221" s="6">
        <f t="shared" ca="1" si="164"/>
        <v>39704.532953500602</v>
      </c>
      <c r="G1221" s="6">
        <f t="shared" ca="1" si="165"/>
        <v>573.84225926559964</v>
      </c>
      <c r="V1221" s="53"/>
      <c r="W1221" s="54"/>
      <c r="X1221" s="65" t="s">
        <v>219</v>
      </c>
      <c r="Y1221" s="65">
        <f t="shared" ca="1" si="166"/>
        <v>4</v>
      </c>
      <c r="Z1221" s="3">
        <f t="shared" ca="1" si="167"/>
        <v>3.7623194814813021E-2</v>
      </c>
      <c r="AA1221" s="6">
        <f t="shared" ca="1" si="168"/>
        <v>1581.8570567759593</v>
      </c>
      <c r="AB1221" s="6">
        <f t="shared" ca="1" si="169"/>
        <v>796.80266731422125</v>
      </c>
    </row>
    <row r="1222" spans="1:28" x14ac:dyDescent="0.3">
      <c r="A1222" s="53"/>
      <c r="B1222" s="54"/>
      <c r="C1222" s="65" t="s">
        <v>219</v>
      </c>
      <c r="D1222" s="65">
        <f t="shared" ca="1" si="162"/>
        <v>4</v>
      </c>
      <c r="E1222" s="3">
        <f t="shared" ca="1" si="163"/>
        <v>0.11190237048114726</v>
      </c>
      <c r="F1222" s="6">
        <f t="shared" ca="1" si="164"/>
        <v>131918.07412915304</v>
      </c>
      <c r="G1222" s="6">
        <f t="shared" ca="1" si="165"/>
        <v>988.1514908121693</v>
      </c>
      <c r="V1222" s="53"/>
      <c r="W1222" s="54"/>
      <c r="X1222" s="65" t="s">
        <v>219</v>
      </c>
      <c r="Y1222" s="65">
        <f t="shared" ca="1" si="166"/>
        <v>4</v>
      </c>
      <c r="Z1222" s="3">
        <f t="shared" ca="1" si="167"/>
        <v>0.97452825009281685</v>
      </c>
      <c r="AA1222" s="6">
        <f t="shared" ca="1" si="168"/>
        <v>163124.50687297227</v>
      </c>
      <c r="AB1222" s="6">
        <f t="shared" ca="1" si="169"/>
        <v>1353.2265876744195</v>
      </c>
    </row>
    <row r="1223" spans="1:28" x14ac:dyDescent="0.3">
      <c r="A1223" s="53"/>
      <c r="B1223" s="54"/>
      <c r="C1223" s="65" t="s">
        <v>242</v>
      </c>
      <c r="D1223" s="65">
        <f t="shared" ca="1" si="162"/>
        <v>2</v>
      </c>
      <c r="E1223" s="3">
        <f t="shared" ca="1" si="163"/>
        <v>0.4033754049457966</v>
      </c>
      <c r="F1223" s="6">
        <f t="shared" ca="1" si="164"/>
        <v>147114.47445373712</v>
      </c>
      <c r="G1223" s="6">
        <f t="shared" ca="1" si="165"/>
        <v>849.49378195843497</v>
      </c>
      <c r="V1223" s="53"/>
      <c r="W1223" s="54"/>
      <c r="X1223" s="65" t="s">
        <v>242</v>
      </c>
      <c r="Y1223" s="65">
        <f t="shared" ca="1" si="166"/>
        <v>4</v>
      </c>
      <c r="Z1223" s="3">
        <f t="shared" ca="1" si="167"/>
        <v>0.15499151078712825</v>
      </c>
      <c r="AA1223" s="6">
        <f t="shared" ca="1" si="168"/>
        <v>104991.58631940042</v>
      </c>
      <c r="AB1223" s="6">
        <f t="shared" ca="1" si="169"/>
        <v>896.23269285656295</v>
      </c>
    </row>
    <row r="1224" spans="1:28" x14ac:dyDescent="0.3">
      <c r="A1224" s="53"/>
      <c r="B1224" s="54"/>
      <c r="C1224" s="65" t="s">
        <v>242</v>
      </c>
      <c r="D1224" s="65">
        <f t="shared" ca="1" si="162"/>
        <v>1</v>
      </c>
      <c r="E1224" s="3">
        <f t="shared" ca="1" si="163"/>
        <v>9.9328727631286196E-2</v>
      </c>
      <c r="F1224" s="6">
        <f t="shared" ca="1" si="164"/>
        <v>177571.29384560662</v>
      </c>
      <c r="G1224" s="6">
        <f t="shared" ca="1" si="165"/>
        <v>1928.1541425744219</v>
      </c>
      <c r="V1224" s="53"/>
      <c r="W1224" s="54"/>
      <c r="X1224" s="65" t="s">
        <v>242</v>
      </c>
      <c r="Y1224" s="65">
        <f t="shared" ca="1" si="166"/>
        <v>2</v>
      </c>
      <c r="Z1224" s="3">
        <f t="shared" ca="1" si="167"/>
        <v>0.62899620205851925</v>
      </c>
      <c r="AA1224" s="6">
        <f t="shared" ca="1" si="168"/>
        <v>9591.8832961128246</v>
      </c>
      <c r="AB1224" s="6">
        <f t="shared" ca="1" si="169"/>
        <v>1511.9511662155599</v>
      </c>
    </row>
    <row r="1225" spans="1:28" x14ac:dyDescent="0.3">
      <c r="A1225" s="53"/>
      <c r="B1225" s="54"/>
      <c r="C1225" s="65" t="s">
        <v>219</v>
      </c>
      <c r="D1225" s="65">
        <f t="shared" ca="1" si="162"/>
        <v>1</v>
      </c>
      <c r="E1225" s="3">
        <f t="shared" ca="1" si="163"/>
        <v>0.30556287845352403</v>
      </c>
      <c r="F1225" s="6">
        <f t="shared" ca="1" si="164"/>
        <v>59358.408563810808</v>
      </c>
      <c r="G1225" s="6">
        <f t="shared" ca="1" si="165"/>
        <v>1106.3162813542294</v>
      </c>
      <c r="V1225" s="53"/>
      <c r="W1225" s="54"/>
      <c r="X1225" s="65" t="s">
        <v>219</v>
      </c>
      <c r="Y1225" s="65">
        <f t="shared" ca="1" si="166"/>
        <v>4</v>
      </c>
      <c r="Z1225" s="3">
        <f t="shared" ca="1" si="167"/>
        <v>0.76810147382468019</v>
      </c>
      <c r="AA1225" s="6">
        <f t="shared" ca="1" si="168"/>
        <v>71035.866039719825</v>
      </c>
      <c r="AB1225" s="6">
        <f t="shared" ca="1" si="169"/>
        <v>1896.3337120176732</v>
      </c>
    </row>
    <row r="1226" spans="1:28" x14ac:dyDescent="0.3">
      <c r="A1226" s="53"/>
      <c r="B1226" s="54"/>
      <c r="C1226" s="65" t="s">
        <v>219</v>
      </c>
      <c r="D1226" s="65">
        <f t="shared" ca="1" si="162"/>
        <v>2</v>
      </c>
      <c r="E1226" s="3">
        <f t="shared" ca="1" si="163"/>
        <v>0.14802787476296109</v>
      </c>
      <c r="F1226" s="6">
        <f t="shared" ca="1" si="164"/>
        <v>180128.63643760426</v>
      </c>
      <c r="G1226" s="6">
        <f t="shared" ca="1" si="165"/>
        <v>701.4497318217883</v>
      </c>
      <c r="V1226" s="53"/>
      <c r="W1226" s="54"/>
      <c r="X1226" s="65" t="s">
        <v>219</v>
      </c>
      <c r="Y1226" s="65">
        <f t="shared" ca="1" si="166"/>
        <v>1</v>
      </c>
      <c r="Z1226" s="3">
        <f t="shared" ca="1" si="167"/>
        <v>0.2611709081061101</v>
      </c>
      <c r="AA1226" s="6">
        <f t="shared" ca="1" si="168"/>
        <v>196548.45678766211</v>
      </c>
      <c r="AB1226" s="6">
        <f t="shared" ca="1" si="169"/>
        <v>406.99560089934118</v>
      </c>
    </row>
    <row r="1227" spans="1:28" x14ac:dyDescent="0.3">
      <c r="A1227" s="53"/>
      <c r="B1227" s="54"/>
      <c r="C1227" s="65" t="s">
        <v>219</v>
      </c>
      <c r="D1227" s="65">
        <f t="shared" ca="1" si="162"/>
        <v>4</v>
      </c>
      <c r="E1227" s="3">
        <f t="shared" ca="1" si="163"/>
        <v>0.17250504755299056</v>
      </c>
      <c r="F1227" s="6">
        <f t="shared" ca="1" si="164"/>
        <v>181574.38205227931</v>
      </c>
      <c r="G1227" s="6">
        <f t="shared" ca="1" si="165"/>
        <v>1378.6196702438526</v>
      </c>
      <c r="V1227" s="53"/>
      <c r="W1227" s="54"/>
      <c r="X1227" s="65" t="s">
        <v>219</v>
      </c>
      <c r="Y1227" s="65">
        <f t="shared" ca="1" si="166"/>
        <v>4</v>
      </c>
      <c r="Z1227" s="3">
        <f t="shared" ca="1" si="167"/>
        <v>0.79371074631852034</v>
      </c>
      <c r="AA1227" s="6">
        <f t="shared" ca="1" si="168"/>
        <v>198192.58666424718</v>
      </c>
      <c r="AB1227" s="6">
        <f t="shared" ca="1" si="169"/>
        <v>264.82357659613331</v>
      </c>
    </row>
    <row r="1228" spans="1:28" x14ac:dyDescent="0.3">
      <c r="A1228" s="53"/>
      <c r="B1228" s="54"/>
      <c r="C1228" s="65" t="s">
        <v>219</v>
      </c>
      <c r="D1228" s="65">
        <f t="shared" ca="1" si="162"/>
        <v>4</v>
      </c>
      <c r="E1228" s="3">
        <f t="shared" ca="1" si="163"/>
        <v>0.71314626798947578</v>
      </c>
      <c r="F1228" s="6">
        <f t="shared" ca="1" si="164"/>
        <v>74440.617584027626</v>
      </c>
      <c r="G1228" s="6">
        <f t="shared" ca="1" si="165"/>
        <v>346.01775252348887</v>
      </c>
      <c r="V1228" s="53"/>
      <c r="W1228" s="54"/>
      <c r="X1228" s="65" t="s">
        <v>219</v>
      </c>
      <c r="Y1228" s="65">
        <f t="shared" ca="1" si="166"/>
        <v>2</v>
      </c>
      <c r="Z1228" s="3">
        <f t="shared" ca="1" si="167"/>
        <v>0.78830416495021027</v>
      </c>
      <c r="AA1228" s="6">
        <f t="shared" ca="1" si="168"/>
        <v>31943.224148231518</v>
      </c>
      <c r="AB1228" s="6">
        <f t="shared" ca="1" si="169"/>
        <v>1426.1828253181395</v>
      </c>
    </row>
    <row r="1229" spans="1:28" x14ac:dyDescent="0.3">
      <c r="A1229" s="53"/>
      <c r="B1229" s="54"/>
      <c r="C1229" s="65" t="s">
        <v>219</v>
      </c>
      <c r="D1229" s="65">
        <f t="shared" ref="D1229:D1270" ca="1" si="170">INT(RAND()*4)+1</f>
        <v>3</v>
      </c>
      <c r="E1229" s="3">
        <f t="shared" ref="E1229:E1270" ca="1" si="171">RAND()</f>
        <v>3.3922550055481948E-2</v>
      </c>
      <c r="F1229" s="6">
        <f t="shared" ref="F1229:F1270" ca="1" si="172">RAND()*200000</f>
        <v>73842.026408621008</v>
      </c>
      <c r="G1229" s="6">
        <f t="shared" ref="G1229:G1270" ca="1" si="173">RAND()*2000</f>
        <v>1193.6341445834598</v>
      </c>
      <c r="V1229" s="53"/>
      <c r="W1229" s="54"/>
      <c r="X1229" s="65" t="s">
        <v>219</v>
      </c>
      <c r="Y1229" s="65">
        <f t="shared" ref="Y1229:Y1270" ca="1" si="174">INT(RAND()*4)+1</f>
        <v>3</v>
      </c>
      <c r="Z1229" s="3">
        <f t="shared" ref="Z1229:Z1270" ca="1" si="175">RAND()</f>
        <v>0.71988525672557846</v>
      </c>
      <c r="AA1229" s="6">
        <f t="shared" ref="AA1229:AA1270" ca="1" si="176">RAND()*200000</f>
        <v>14057.371597949397</v>
      </c>
      <c r="AB1229" s="6">
        <f t="shared" ref="AB1229:AB1270" ca="1" si="177">RAND()*2000</f>
        <v>1261.6122186823163</v>
      </c>
    </row>
    <row r="1230" spans="1:28" x14ac:dyDescent="0.3">
      <c r="A1230" s="53"/>
      <c r="B1230" s="54"/>
      <c r="C1230" s="65" t="s">
        <v>219</v>
      </c>
      <c r="D1230" s="65">
        <f t="shared" ca="1" si="170"/>
        <v>1</v>
      </c>
      <c r="E1230" s="3">
        <f t="shared" ca="1" si="171"/>
        <v>0.11139359112076108</v>
      </c>
      <c r="F1230" s="6">
        <f t="shared" ca="1" si="172"/>
        <v>145218.13875893972</v>
      </c>
      <c r="G1230" s="6">
        <f t="shared" ca="1" si="173"/>
        <v>1155.9170233590819</v>
      </c>
      <c r="V1230" s="53"/>
      <c r="W1230" s="54"/>
      <c r="X1230" s="65" t="s">
        <v>219</v>
      </c>
      <c r="Y1230" s="65">
        <f t="shared" ca="1" si="174"/>
        <v>4</v>
      </c>
      <c r="Z1230" s="3">
        <f t="shared" ca="1" si="175"/>
        <v>0.42749338953253913</v>
      </c>
      <c r="AA1230" s="6">
        <f t="shared" ca="1" si="176"/>
        <v>25163.979874201537</v>
      </c>
      <c r="AB1230" s="6">
        <f t="shared" ca="1" si="177"/>
        <v>1385.3525042624954</v>
      </c>
    </row>
    <row r="1231" spans="1:28" x14ac:dyDescent="0.3">
      <c r="A1231" s="53"/>
      <c r="B1231" s="54"/>
      <c r="C1231" s="65" t="s">
        <v>219</v>
      </c>
      <c r="D1231" s="65">
        <f t="shared" ca="1" si="170"/>
        <v>2</v>
      </c>
      <c r="E1231" s="3">
        <f t="shared" ca="1" si="171"/>
        <v>0.47774970926721028</v>
      </c>
      <c r="F1231" s="6">
        <f t="shared" ca="1" si="172"/>
        <v>158965.23869152597</v>
      </c>
      <c r="G1231" s="6">
        <f t="shared" ca="1" si="173"/>
        <v>1659.5824503684487</v>
      </c>
      <c r="V1231" s="53"/>
      <c r="W1231" s="54"/>
      <c r="X1231" s="65" t="s">
        <v>219</v>
      </c>
      <c r="Y1231" s="65">
        <f t="shared" ca="1" si="174"/>
        <v>1</v>
      </c>
      <c r="Z1231" s="3">
        <f t="shared" ca="1" si="175"/>
        <v>0.76187403033102363</v>
      </c>
      <c r="AA1231" s="6">
        <f t="shared" ca="1" si="176"/>
        <v>61162.881171357731</v>
      </c>
      <c r="AB1231" s="6">
        <f t="shared" ca="1" si="177"/>
        <v>40.047755804847981</v>
      </c>
    </row>
    <row r="1232" spans="1:28" x14ac:dyDescent="0.3">
      <c r="A1232" s="53"/>
      <c r="B1232" s="54"/>
      <c r="C1232" s="65" t="s">
        <v>219</v>
      </c>
      <c r="D1232" s="65">
        <f t="shared" ca="1" si="170"/>
        <v>3</v>
      </c>
      <c r="E1232" s="3">
        <f t="shared" ca="1" si="171"/>
        <v>0.17701467957289785</v>
      </c>
      <c r="F1232" s="6">
        <f t="shared" ca="1" si="172"/>
        <v>150398.66984023873</v>
      </c>
      <c r="G1232" s="6">
        <f t="shared" ca="1" si="173"/>
        <v>1204.3221821136237</v>
      </c>
      <c r="V1232" s="53"/>
      <c r="W1232" s="54"/>
      <c r="X1232" s="65" t="s">
        <v>219</v>
      </c>
      <c r="Y1232" s="65">
        <f t="shared" ca="1" si="174"/>
        <v>4</v>
      </c>
      <c r="Z1232" s="3">
        <f t="shared" ca="1" si="175"/>
        <v>0.74783076185516906</v>
      </c>
      <c r="AA1232" s="6">
        <f t="shared" ca="1" si="176"/>
        <v>115610.18955750954</v>
      </c>
      <c r="AB1232" s="6">
        <f t="shared" ca="1" si="177"/>
        <v>1284.3060639452897</v>
      </c>
    </row>
    <row r="1233" spans="1:28" x14ac:dyDescent="0.3">
      <c r="A1233" s="53"/>
      <c r="B1233" s="54"/>
      <c r="C1233" s="65" t="s">
        <v>219</v>
      </c>
      <c r="D1233" s="65">
        <f t="shared" ca="1" si="170"/>
        <v>3</v>
      </c>
      <c r="E1233" s="3">
        <f t="shared" ca="1" si="171"/>
        <v>0.51070229488654806</v>
      </c>
      <c r="F1233" s="6">
        <f t="shared" ca="1" si="172"/>
        <v>166449.94752772074</v>
      </c>
      <c r="G1233" s="6">
        <f t="shared" ca="1" si="173"/>
        <v>485.99418095408419</v>
      </c>
      <c r="V1233" s="53"/>
      <c r="W1233" s="54"/>
      <c r="X1233" s="65" t="s">
        <v>219</v>
      </c>
      <c r="Y1233" s="65">
        <f t="shared" ca="1" si="174"/>
        <v>1</v>
      </c>
      <c r="Z1233" s="3">
        <f t="shared" ca="1" si="175"/>
        <v>0.34159562335657512</v>
      </c>
      <c r="AA1233" s="6">
        <f t="shared" ca="1" si="176"/>
        <v>164501.2588548263</v>
      </c>
      <c r="AB1233" s="6">
        <f t="shared" ca="1" si="177"/>
        <v>950.13650681425247</v>
      </c>
    </row>
    <row r="1234" spans="1:28" x14ac:dyDescent="0.3">
      <c r="A1234" s="53"/>
      <c r="B1234" s="54"/>
      <c r="C1234" s="65" t="s">
        <v>219</v>
      </c>
      <c r="D1234" s="65">
        <f t="shared" ca="1" si="170"/>
        <v>2</v>
      </c>
      <c r="E1234" s="3">
        <f t="shared" ca="1" si="171"/>
        <v>0.89213653453634922</v>
      </c>
      <c r="F1234" s="6">
        <f t="shared" ca="1" si="172"/>
        <v>156410.02556527962</v>
      </c>
      <c r="G1234" s="6">
        <f t="shared" ca="1" si="173"/>
        <v>409.11658671662241</v>
      </c>
      <c r="V1234" s="53"/>
      <c r="W1234" s="54"/>
      <c r="X1234" s="65" t="s">
        <v>219</v>
      </c>
      <c r="Y1234" s="65">
        <f t="shared" ca="1" si="174"/>
        <v>4</v>
      </c>
      <c r="Z1234" s="3">
        <f t="shared" ca="1" si="175"/>
        <v>0.3752480301817559</v>
      </c>
      <c r="AA1234" s="6">
        <f t="shared" ca="1" si="176"/>
        <v>149649.9544562299</v>
      </c>
      <c r="AB1234" s="6">
        <f t="shared" ca="1" si="177"/>
        <v>1467.1586270071743</v>
      </c>
    </row>
    <row r="1235" spans="1:28" x14ac:dyDescent="0.3">
      <c r="A1235" s="53"/>
      <c r="B1235" s="54"/>
      <c r="C1235" s="65" t="s">
        <v>219</v>
      </c>
      <c r="D1235" s="65">
        <f t="shared" ca="1" si="170"/>
        <v>3</v>
      </c>
      <c r="E1235" s="3">
        <f t="shared" ca="1" si="171"/>
        <v>0.51188020150086588</v>
      </c>
      <c r="F1235" s="6">
        <f t="shared" ca="1" si="172"/>
        <v>137816.38046965422</v>
      </c>
      <c r="G1235" s="6">
        <f t="shared" ca="1" si="173"/>
        <v>1705.891270045081</v>
      </c>
      <c r="V1235" s="53"/>
      <c r="W1235" s="54"/>
      <c r="X1235" s="65" t="s">
        <v>219</v>
      </c>
      <c r="Y1235" s="65">
        <f t="shared" ca="1" si="174"/>
        <v>4</v>
      </c>
      <c r="Z1235" s="3">
        <f t="shared" ca="1" si="175"/>
        <v>1.1447446436739339E-2</v>
      </c>
      <c r="AA1235" s="6">
        <f t="shared" ca="1" si="176"/>
        <v>98888.485321706685</v>
      </c>
      <c r="AB1235" s="6">
        <f t="shared" ca="1" si="177"/>
        <v>496.64702847497199</v>
      </c>
    </row>
    <row r="1236" spans="1:28" x14ac:dyDescent="0.3">
      <c r="A1236" s="53"/>
      <c r="B1236" s="54"/>
      <c r="C1236" s="65" t="s">
        <v>219</v>
      </c>
      <c r="D1236" s="65">
        <f t="shared" ca="1" si="170"/>
        <v>4</v>
      </c>
      <c r="E1236" s="3">
        <f t="shared" ca="1" si="171"/>
        <v>0.85624594749826166</v>
      </c>
      <c r="F1236" s="6">
        <f t="shared" ca="1" si="172"/>
        <v>56062.143617473928</v>
      </c>
      <c r="G1236" s="6">
        <f t="shared" ca="1" si="173"/>
        <v>1551.6563894061026</v>
      </c>
      <c r="V1236" s="53"/>
      <c r="W1236" s="54"/>
      <c r="X1236" s="65" t="s">
        <v>219</v>
      </c>
      <c r="Y1236" s="65">
        <f t="shared" ca="1" si="174"/>
        <v>1</v>
      </c>
      <c r="Z1236" s="3">
        <f t="shared" ca="1" si="175"/>
        <v>0.3241309840239055</v>
      </c>
      <c r="AA1236" s="6">
        <f t="shared" ca="1" si="176"/>
        <v>125607.98267468643</v>
      </c>
      <c r="AB1236" s="6">
        <f t="shared" ca="1" si="177"/>
        <v>1380.2294699122774</v>
      </c>
    </row>
    <row r="1237" spans="1:28" x14ac:dyDescent="0.3">
      <c r="A1237" s="53"/>
      <c r="B1237" s="54"/>
      <c r="C1237" s="65" t="s">
        <v>219</v>
      </c>
      <c r="D1237" s="65">
        <f t="shared" ca="1" si="170"/>
        <v>2</v>
      </c>
      <c r="E1237" s="3">
        <f t="shared" ca="1" si="171"/>
        <v>0.61803549703982785</v>
      </c>
      <c r="F1237" s="6">
        <f t="shared" ca="1" si="172"/>
        <v>153747.83262078781</v>
      </c>
      <c r="G1237" s="6">
        <f t="shared" ca="1" si="173"/>
        <v>1506.9900252252046</v>
      </c>
      <c r="V1237" s="53"/>
      <c r="W1237" s="54"/>
      <c r="X1237" s="65" t="s">
        <v>219</v>
      </c>
      <c r="Y1237" s="65">
        <f t="shared" ca="1" si="174"/>
        <v>1</v>
      </c>
      <c r="Z1237" s="3">
        <f t="shared" ca="1" si="175"/>
        <v>0.33918039478226025</v>
      </c>
      <c r="AA1237" s="6">
        <f t="shared" ca="1" si="176"/>
        <v>109821.94459593378</v>
      </c>
      <c r="AB1237" s="6">
        <f t="shared" ca="1" si="177"/>
        <v>487.29503990033686</v>
      </c>
    </row>
    <row r="1238" spans="1:28" x14ac:dyDescent="0.3">
      <c r="A1238" s="53"/>
      <c r="B1238" s="54"/>
      <c r="C1238" s="65" t="s">
        <v>219</v>
      </c>
      <c r="D1238" s="65">
        <f t="shared" ca="1" si="170"/>
        <v>3</v>
      </c>
      <c r="E1238" s="3">
        <f t="shared" ca="1" si="171"/>
        <v>0.12480050877262339</v>
      </c>
      <c r="F1238" s="6">
        <f t="shared" ca="1" si="172"/>
        <v>155273.56217170635</v>
      </c>
      <c r="G1238" s="6">
        <f t="shared" ca="1" si="173"/>
        <v>1599.5310342691898</v>
      </c>
      <c r="V1238" s="53"/>
      <c r="W1238" s="54"/>
      <c r="X1238" s="65" t="s">
        <v>219</v>
      </c>
      <c r="Y1238" s="65">
        <f t="shared" ca="1" si="174"/>
        <v>2</v>
      </c>
      <c r="Z1238" s="3">
        <f t="shared" ca="1" si="175"/>
        <v>8.8053950876078035E-3</v>
      </c>
      <c r="AA1238" s="6">
        <f t="shared" ca="1" si="176"/>
        <v>107370.96150437804</v>
      </c>
      <c r="AB1238" s="6">
        <f t="shared" ca="1" si="177"/>
        <v>663.05070146914886</v>
      </c>
    </row>
    <row r="1239" spans="1:28" x14ac:dyDescent="0.3">
      <c r="A1239" s="53"/>
      <c r="B1239" s="54"/>
      <c r="C1239" s="65" t="s">
        <v>219</v>
      </c>
      <c r="D1239" s="65">
        <f t="shared" ca="1" si="170"/>
        <v>2</v>
      </c>
      <c r="E1239" s="3">
        <f t="shared" ca="1" si="171"/>
        <v>0.63067846174440556</v>
      </c>
      <c r="F1239" s="6">
        <f t="shared" ca="1" si="172"/>
        <v>53611.044049440905</v>
      </c>
      <c r="G1239" s="6">
        <f t="shared" ca="1" si="173"/>
        <v>1919.5593414480866</v>
      </c>
      <c r="V1239" s="53"/>
      <c r="W1239" s="54"/>
      <c r="X1239" s="65" t="s">
        <v>219</v>
      </c>
      <c r="Y1239" s="65">
        <f t="shared" ca="1" si="174"/>
        <v>1</v>
      </c>
      <c r="Z1239" s="3">
        <f t="shared" ca="1" si="175"/>
        <v>0.31175941961690201</v>
      </c>
      <c r="AA1239" s="6">
        <f t="shared" ca="1" si="176"/>
        <v>135850.45682468504</v>
      </c>
      <c r="AB1239" s="6">
        <f t="shared" ca="1" si="177"/>
        <v>337.8955292695569</v>
      </c>
    </row>
    <row r="1240" spans="1:28" x14ac:dyDescent="0.3">
      <c r="A1240" s="53"/>
      <c r="B1240" s="54"/>
      <c r="C1240" s="65" t="s">
        <v>219</v>
      </c>
      <c r="D1240" s="65">
        <f t="shared" ca="1" si="170"/>
        <v>4</v>
      </c>
      <c r="E1240" s="3">
        <f t="shared" ca="1" si="171"/>
        <v>0.97059436031754498</v>
      </c>
      <c r="F1240" s="6">
        <f t="shared" ca="1" si="172"/>
        <v>148558.5485755234</v>
      </c>
      <c r="G1240" s="6">
        <f t="shared" ca="1" si="173"/>
        <v>1069.3050423870961</v>
      </c>
      <c r="V1240" s="53"/>
      <c r="W1240" s="54"/>
      <c r="X1240" s="65" t="s">
        <v>219</v>
      </c>
      <c r="Y1240" s="65">
        <f t="shared" ca="1" si="174"/>
        <v>3</v>
      </c>
      <c r="Z1240" s="3">
        <f t="shared" ca="1" si="175"/>
        <v>0.54694210678122157</v>
      </c>
      <c r="AA1240" s="6">
        <f t="shared" ca="1" si="176"/>
        <v>168753.92323337248</v>
      </c>
      <c r="AB1240" s="6">
        <f t="shared" ca="1" si="177"/>
        <v>472.29737748033563</v>
      </c>
    </row>
    <row r="1241" spans="1:28" x14ac:dyDescent="0.3">
      <c r="A1241" s="53"/>
      <c r="B1241" s="54"/>
      <c r="C1241" s="65" t="s">
        <v>219</v>
      </c>
      <c r="D1241" s="65">
        <f t="shared" ca="1" si="170"/>
        <v>2</v>
      </c>
      <c r="E1241" s="3">
        <f t="shared" ca="1" si="171"/>
        <v>0.47472443591123259</v>
      </c>
      <c r="F1241" s="6">
        <f t="shared" ca="1" si="172"/>
        <v>98016.282703622855</v>
      </c>
      <c r="G1241" s="6">
        <f t="shared" ca="1" si="173"/>
        <v>13.159540074052289</v>
      </c>
      <c r="V1241" s="53"/>
      <c r="W1241" s="54"/>
      <c r="X1241" s="65" t="s">
        <v>219</v>
      </c>
      <c r="Y1241" s="65">
        <f t="shared" ca="1" si="174"/>
        <v>1</v>
      </c>
      <c r="Z1241" s="3">
        <f t="shared" ca="1" si="175"/>
        <v>0.16725024287063306</v>
      </c>
      <c r="AA1241" s="6">
        <f t="shared" ca="1" si="176"/>
        <v>4276.447637697278</v>
      </c>
      <c r="AB1241" s="6">
        <f t="shared" ca="1" si="177"/>
        <v>169.72896965144236</v>
      </c>
    </row>
    <row r="1242" spans="1:28" x14ac:dyDescent="0.3">
      <c r="A1242" s="53"/>
      <c r="B1242" s="54"/>
      <c r="C1242" s="65" t="s">
        <v>219</v>
      </c>
      <c r="D1242" s="65">
        <f t="shared" ca="1" si="170"/>
        <v>1</v>
      </c>
      <c r="E1242" s="3">
        <f t="shared" ca="1" si="171"/>
        <v>0.74893322136894958</v>
      </c>
      <c r="F1242" s="6">
        <f t="shared" ca="1" si="172"/>
        <v>117709.80657429787</v>
      </c>
      <c r="G1242" s="6">
        <f t="shared" ca="1" si="173"/>
        <v>1685.0637416241825</v>
      </c>
      <c r="V1242" s="53"/>
      <c r="W1242" s="54"/>
      <c r="X1242" s="65" t="s">
        <v>219</v>
      </c>
      <c r="Y1242" s="65">
        <f t="shared" ca="1" si="174"/>
        <v>3</v>
      </c>
      <c r="Z1242" s="3">
        <f t="shared" ca="1" si="175"/>
        <v>0.41695260468901973</v>
      </c>
      <c r="AA1242" s="6">
        <f t="shared" ca="1" si="176"/>
        <v>35113.258103775661</v>
      </c>
      <c r="AB1242" s="6">
        <f t="shared" ca="1" si="177"/>
        <v>948.96493402435317</v>
      </c>
    </row>
    <row r="1243" spans="1:28" x14ac:dyDescent="0.3">
      <c r="A1243" s="53"/>
      <c r="B1243" s="54"/>
      <c r="C1243" s="65" t="s">
        <v>219</v>
      </c>
      <c r="D1243" s="65">
        <f t="shared" ca="1" si="170"/>
        <v>4</v>
      </c>
      <c r="E1243" s="3">
        <f t="shared" ca="1" si="171"/>
        <v>0.83747748324439608</v>
      </c>
      <c r="F1243" s="6">
        <f t="shared" ca="1" si="172"/>
        <v>139177.4110442659</v>
      </c>
      <c r="G1243" s="6">
        <f t="shared" ca="1" si="173"/>
        <v>522.66654348412317</v>
      </c>
      <c r="V1243" s="53"/>
      <c r="W1243" s="54"/>
      <c r="X1243" s="65" t="s">
        <v>219</v>
      </c>
      <c r="Y1243" s="65">
        <f t="shared" ca="1" si="174"/>
        <v>3</v>
      </c>
      <c r="Z1243" s="3">
        <f t="shared" ca="1" si="175"/>
        <v>0.38631998114726318</v>
      </c>
      <c r="AA1243" s="6">
        <f t="shared" ca="1" si="176"/>
        <v>3318.037982372246</v>
      </c>
      <c r="AB1243" s="6">
        <f t="shared" ca="1" si="177"/>
        <v>140.33040463535195</v>
      </c>
    </row>
    <row r="1244" spans="1:28" x14ac:dyDescent="0.3">
      <c r="A1244" s="53"/>
      <c r="B1244" s="54"/>
      <c r="C1244" s="65" t="s">
        <v>219</v>
      </c>
      <c r="D1244" s="65">
        <f t="shared" ca="1" si="170"/>
        <v>1</v>
      </c>
      <c r="E1244" s="3">
        <f t="shared" ca="1" si="171"/>
        <v>0.55732557925904724</v>
      </c>
      <c r="F1244" s="6">
        <f t="shared" ca="1" si="172"/>
        <v>22154.291468273233</v>
      </c>
      <c r="G1244" s="6">
        <f t="shared" ca="1" si="173"/>
        <v>542.8957029613382</v>
      </c>
      <c r="V1244" s="53"/>
      <c r="W1244" s="54"/>
      <c r="X1244" s="65" t="s">
        <v>219</v>
      </c>
      <c r="Y1244" s="65">
        <f t="shared" ca="1" si="174"/>
        <v>1</v>
      </c>
      <c r="Z1244" s="3">
        <f t="shared" ca="1" si="175"/>
        <v>0.79885566659653939</v>
      </c>
      <c r="AA1244" s="6">
        <f t="shared" ca="1" si="176"/>
        <v>102836.00853250318</v>
      </c>
      <c r="AB1244" s="6">
        <f t="shared" ca="1" si="177"/>
        <v>1806.0444257168958</v>
      </c>
    </row>
    <row r="1245" spans="1:28" x14ac:dyDescent="0.3">
      <c r="A1245" s="53"/>
      <c r="B1245" s="54"/>
      <c r="C1245" s="65" t="s">
        <v>219</v>
      </c>
      <c r="D1245" s="65">
        <f t="shared" ca="1" si="170"/>
        <v>1</v>
      </c>
      <c r="E1245" s="3">
        <f t="shared" ca="1" si="171"/>
        <v>0.95856216479695211</v>
      </c>
      <c r="F1245" s="6">
        <f t="shared" ca="1" si="172"/>
        <v>81488.695146636281</v>
      </c>
      <c r="G1245" s="6">
        <f t="shared" ca="1" si="173"/>
        <v>1560.7986397156199</v>
      </c>
      <c r="V1245" s="53"/>
      <c r="W1245" s="54"/>
      <c r="X1245" s="65" t="s">
        <v>219</v>
      </c>
      <c r="Y1245" s="65">
        <f t="shared" ca="1" si="174"/>
        <v>4</v>
      </c>
      <c r="Z1245" s="3">
        <f t="shared" ca="1" si="175"/>
        <v>0.57176635915387497</v>
      </c>
      <c r="AA1245" s="6">
        <f t="shared" ca="1" si="176"/>
        <v>99030.951117004777</v>
      </c>
      <c r="AB1245" s="6">
        <f t="shared" ca="1" si="177"/>
        <v>1780.5566027256762</v>
      </c>
    </row>
    <row r="1246" spans="1:28" x14ac:dyDescent="0.3">
      <c r="A1246" s="53"/>
      <c r="B1246" s="54"/>
      <c r="C1246" s="65" t="s">
        <v>219</v>
      </c>
      <c r="D1246" s="65">
        <f t="shared" ca="1" si="170"/>
        <v>4</v>
      </c>
      <c r="E1246" s="3">
        <f t="shared" ca="1" si="171"/>
        <v>0.33420267171109352</v>
      </c>
      <c r="F1246" s="6">
        <f t="shared" ca="1" si="172"/>
        <v>128452.26939026736</v>
      </c>
      <c r="G1246" s="6">
        <f t="shared" ca="1" si="173"/>
        <v>993.68172119720293</v>
      </c>
      <c r="V1246" s="53"/>
      <c r="W1246" s="54"/>
      <c r="X1246" s="65" t="s">
        <v>219</v>
      </c>
      <c r="Y1246" s="65">
        <f t="shared" ca="1" si="174"/>
        <v>4</v>
      </c>
      <c r="Z1246" s="3">
        <f t="shared" ca="1" si="175"/>
        <v>0.47399219990747776</v>
      </c>
      <c r="AA1246" s="6">
        <f t="shared" ca="1" si="176"/>
        <v>145344.59155979045</v>
      </c>
      <c r="AB1246" s="6">
        <f t="shared" ca="1" si="177"/>
        <v>1875.7231317485805</v>
      </c>
    </row>
    <row r="1247" spans="1:28" x14ac:dyDescent="0.3">
      <c r="A1247" s="53"/>
      <c r="B1247" s="54"/>
      <c r="C1247" s="65" t="s">
        <v>219</v>
      </c>
      <c r="D1247" s="65">
        <f t="shared" ca="1" si="170"/>
        <v>3</v>
      </c>
      <c r="E1247" s="3">
        <f t="shared" ca="1" si="171"/>
        <v>0.84224399609472433</v>
      </c>
      <c r="F1247" s="6">
        <f t="shared" ca="1" si="172"/>
        <v>24825.321668074539</v>
      </c>
      <c r="G1247" s="6">
        <f t="shared" ca="1" si="173"/>
        <v>588.27702914444683</v>
      </c>
      <c r="V1247" s="53"/>
      <c r="W1247" s="54"/>
      <c r="X1247" s="65" t="s">
        <v>219</v>
      </c>
      <c r="Y1247" s="65">
        <f t="shared" ca="1" si="174"/>
        <v>1</v>
      </c>
      <c r="Z1247" s="3">
        <f t="shared" ca="1" si="175"/>
        <v>0.93604964307179384</v>
      </c>
      <c r="AA1247" s="6">
        <f t="shared" ca="1" si="176"/>
        <v>181071.00429535023</v>
      </c>
      <c r="AB1247" s="6">
        <f t="shared" ca="1" si="177"/>
        <v>755.16197218176933</v>
      </c>
    </row>
    <row r="1248" spans="1:28" x14ac:dyDescent="0.3">
      <c r="A1248" s="53"/>
      <c r="B1248" s="54"/>
      <c r="C1248" s="65" t="s">
        <v>219</v>
      </c>
      <c r="D1248" s="65">
        <f t="shared" ca="1" si="170"/>
        <v>3</v>
      </c>
      <c r="E1248" s="3">
        <f t="shared" ca="1" si="171"/>
        <v>0.85647885017626724</v>
      </c>
      <c r="F1248" s="6">
        <f t="shared" ca="1" si="172"/>
        <v>101435.73024025309</v>
      </c>
      <c r="G1248" s="6">
        <f t="shared" ca="1" si="173"/>
        <v>488.51067399159479</v>
      </c>
      <c r="V1248" s="53"/>
      <c r="W1248" s="54"/>
      <c r="X1248" s="65" t="s">
        <v>219</v>
      </c>
      <c r="Y1248" s="65">
        <f t="shared" ca="1" si="174"/>
        <v>3</v>
      </c>
      <c r="Z1248" s="3">
        <f t="shared" ca="1" si="175"/>
        <v>0.31253784338337454</v>
      </c>
      <c r="AA1248" s="6">
        <f t="shared" ca="1" si="176"/>
        <v>139808.91539963684</v>
      </c>
      <c r="AB1248" s="6">
        <f t="shared" ca="1" si="177"/>
        <v>951.57161445948611</v>
      </c>
    </row>
    <row r="1249" spans="1:28" x14ac:dyDescent="0.3">
      <c r="A1249" s="53"/>
      <c r="B1249" s="54"/>
      <c r="C1249" s="65" t="s">
        <v>219</v>
      </c>
      <c r="D1249" s="65">
        <f t="shared" ca="1" si="170"/>
        <v>3</v>
      </c>
      <c r="E1249" s="3">
        <f t="shared" ca="1" si="171"/>
        <v>0.83971997398595188</v>
      </c>
      <c r="F1249" s="6">
        <f t="shared" ca="1" si="172"/>
        <v>113077.88371203312</v>
      </c>
      <c r="G1249" s="6">
        <f t="shared" ca="1" si="173"/>
        <v>708.03546976702103</v>
      </c>
      <c r="V1249" s="53"/>
      <c r="W1249" s="54"/>
      <c r="X1249" s="65" t="s">
        <v>219</v>
      </c>
      <c r="Y1249" s="65">
        <f t="shared" ca="1" si="174"/>
        <v>2</v>
      </c>
      <c r="Z1249" s="3">
        <f t="shared" ca="1" si="175"/>
        <v>0.31428576962557142</v>
      </c>
      <c r="AA1249" s="6">
        <f t="shared" ca="1" si="176"/>
        <v>9746.5422797998963</v>
      </c>
      <c r="AB1249" s="6">
        <f t="shared" ca="1" si="177"/>
        <v>1359.4417270568863</v>
      </c>
    </row>
    <row r="1250" spans="1:28" x14ac:dyDescent="0.3">
      <c r="A1250" s="53"/>
      <c r="B1250" s="54"/>
      <c r="C1250" s="65" t="s">
        <v>219</v>
      </c>
      <c r="D1250" s="65">
        <f t="shared" ca="1" si="170"/>
        <v>3</v>
      </c>
      <c r="E1250" s="3">
        <f t="shared" ca="1" si="171"/>
        <v>0.9138727367542836</v>
      </c>
      <c r="F1250" s="6">
        <f t="shared" ca="1" si="172"/>
        <v>5951.5212294413368</v>
      </c>
      <c r="G1250" s="6">
        <f t="shared" ca="1" si="173"/>
        <v>120.64243499874827</v>
      </c>
      <c r="V1250" s="53"/>
      <c r="W1250" s="54"/>
      <c r="X1250" s="65" t="s">
        <v>219</v>
      </c>
      <c r="Y1250" s="65">
        <f t="shared" ca="1" si="174"/>
        <v>3</v>
      </c>
      <c r="Z1250" s="3">
        <f t="shared" ca="1" si="175"/>
        <v>0.66146087247604757</v>
      </c>
      <c r="AA1250" s="6">
        <f t="shared" ca="1" si="176"/>
        <v>132275.66768204214</v>
      </c>
      <c r="AB1250" s="6">
        <f t="shared" ca="1" si="177"/>
        <v>1790.8746560689644</v>
      </c>
    </row>
    <row r="1251" spans="1:28" x14ac:dyDescent="0.3">
      <c r="A1251" s="53"/>
      <c r="B1251" s="54"/>
      <c r="C1251" s="65" t="s">
        <v>219</v>
      </c>
      <c r="D1251" s="65">
        <f t="shared" ca="1" si="170"/>
        <v>4</v>
      </c>
      <c r="E1251" s="3">
        <f t="shared" ca="1" si="171"/>
        <v>0.44751571343037699</v>
      </c>
      <c r="F1251" s="6">
        <f t="shared" ca="1" si="172"/>
        <v>92852.791024499034</v>
      </c>
      <c r="G1251" s="6">
        <f t="shared" ca="1" si="173"/>
        <v>1790.4501527560215</v>
      </c>
      <c r="V1251" s="53"/>
      <c r="W1251" s="54"/>
      <c r="X1251" s="65" t="s">
        <v>219</v>
      </c>
      <c r="Y1251" s="65">
        <f t="shared" ca="1" si="174"/>
        <v>3</v>
      </c>
      <c r="Z1251" s="3">
        <f t="shared" ca="1" si="175"/>
        <v>0.65234679864647549</v>
      </c>
      <c r="AA1251" s="6">
        <f t="shared" ca="1" si="176"/>
        <v>128951.12864192876</v>
      </c>
      <c r="AB1251" s="6">
        <f t="shared" ca="1" si="177"/>
        <v>1603.2434952412336</v>
      </c>
    </row>
    <row r="1252" spans="1:28" x14ac:dyDescent="0.3">
      <c r="A1252" s="53"/>
      <c r="B1252" s="54"/>
      <c r="C1252" s="65" t="s">
        <v>242</v>
      </c>
      <c r="D1252" s="65">
        <f t="shared" ca="1" si="170"/>
        <v>3</v>
      </c>
      <c r="E1252" s="3">
        <f t="shared" ca="1" si="171"/>
        <v>0.94988302337424202</v>
      </c>
      <c r="F1252" s="6">
        <f t="shared" ca="1" si="172"/>
        <v>124786.53636034987</v>
      </c>
      <c r="G1252" s="6">
        <f t="shared" ca="1" si="173"/>
        <v>290.94675349561606</v>
      </c>
      <c r="V1252" s="53"/>
      <c r="W1252" s="54"/>
      <c r="X1252" s="65" t="s">
        <v>242</v>
      </c>
      <c r="Y1252" s="65">
        <f t="shared" ca="1" si="174"/>
        <v>4</v>
      </c>
      <c r="Z1252" s="3">
        <f t="shared" ca="1" si="175"/>
        <v>0.8577777083096273</v>
      </c>
      <c r="AA1252" s="6">
        <f t="shared" ca="1" si="176"/>
        <v>80140.417825960729</v>
      </c>
      <c r="AB1252" s="6">
        <f t="shared" ca="1" si="177"/>
        <v>292.36591428597649</v>
      </c>
    </row>
    <row r="1253" spans="1:28" x14ac:dyDescent="0.3">
      <c r="A1253" s="53"/>
      <c r="B1253" s="54"/>
      <c r="C1253" s="65" t="s">
        <v>219</v>
      </c>
      <c r="D1253" s="65">
        <f t="shared" ca="1" si="170"/>
        <v>4</v>
      </c>
      <c r="E1253" s="3">
        <f t="shared" ca="1" si="171"/>
        <v>0.33680965013808772</v>
      </c>
      <c r="F1253" s="6">
        <f t="shared" ca="1" si="172"/>
        <v>34943.474012610532</v>
      </c>
      <c r="G1253" s="6">
        <f t="shared" ca="1" si="173"/>
        <v>23.519821570277877</v>
      </c>
      <c r="V1253" s="53"/>
      <c r="W1253" s="54"/>
      <c r="X1253" s="65" t="s">
        <v>219</v>
      </c>
      <c r="Y1253" s="65">
        <f t="shared" ca="1" si="174"/>
        <v>3</v>
      </c>
      <c r="Z1253" s="3">
        <f t="shared" ca="1" si="175"/>
        <v>0.17672370624832856</v>
      </c>
      <c r="AA1253" s="6">
        <f t="shared" ca="1" si="176"/>
        <v>124034.34028017976</v>
      </c>
      <c r="AB1253" s="6">
        <f t="shared" ca="1" si="177"/>
        <v>1406.9717530188796</v>
      </c>
    </row>
    <row r="1254" spans="1:28" x14ac:dyDescent="0.3">
      <c r="A1254" s="53"/>
      <c r="B1254" s="54"/>
      <c r="C1254" s="65" t="s">
        <v>219</v>
      </c>
      <c r="D1254" s="65">
        <f t="shared" ca="1" si="170"/>
        <v>1</v>
      </c>
      <c r="E1254" s="3">
        <f t="shared" ca="1" si="171"/>
        <v>0.50937822406710309</v>
      </c>
      <c r="F1254" s="6">
        <f t="shared" ca="1" si="172"/>
        <v>101857.88007010636</v>
      </c>
      <c r="G1254" s="6">
        <f t="shared" ca="1" si="173"/>
        <v>425.81844745865328</v>
      </c>
      <c r="V1254" s="53"/>
      <c r="W1254" s="54"/>
      <c r="X1254" s="65" t="s">
        <v>219</v>
      </c>
      <c r="Y1254" s="65">
        <f t="shared" ca="1" si="174"/>
        <v>3</v>
      </c>
      <c r="Z1254" s="3">
        <f t="shared" ca="1" si="175"/>
        <v>0.13875926739319</v>
      </c>
      <c r="AA1254" s="6">
        <f t="shared" ca="1" si="176"/>
        <v>181765.22089481284</v>
      </c>
      <c r="AB1254" s="6">
        <f t="shared" ca="1" si="177"/>
        <v>486.38230112927403</v>
      </c>
    </row>
    <row r="1255" spans="1:28" x14ac:dyDescent="0.3">
      <c r="A1255" s="53"/>
      <c r="B1255" s="54"/>
      <c r="C1255" s="65" t="s">
        <v>219</v>
      </c>
      <c r="D1255" s="65">
        <f t="shared" ca="1" si="170"/>
        <v>1</v>
      </c>
      <c r="E1255" s="3">
        <f t="shared" ca="1" si="171"/>
        <v>0.34139318789591222</v>
      </c>
      <c r="F1255" s="6">
        <f t="shared" ca="1" si="172"/>
        <v>173432.18379198818</v>
      </c>
      <c r="G1255" s="6">
        <f t="shared" ca="1" si="173"/>
        <v>1262.4299900008591</v>
      </c>
      <c r="V1255" s="53"/>
      <c r="W1255" s="54"/>
      <c r="X1255" s="65" t="s">
        <v>219</v>
      </c>
      <c r="Y1255" s="65">
        <f t="shared" ca="1" si="174"/>
        <v>1</v>
      </c>
      <c r="Z1255" s="3">
        <f t="shared" ca="1" si="175"/>
        <v>0.39668860226540104</v>
      </c>
      <c r="AA1255" s="6">
        <f t="shared" ca="1" si="176"/>
        <v>162717.49650541131</v>
      </c>
      <c r="AB1255" s="6">
        <f t="shared" ca="1" si="177"/>
        <v>1321.6225706432399</v>
      </c>
    </row>
    <row r="1256" spans="1:28" x14ac:dyDescent="0.3">
      <c r="A1256" s="53"/>
      <c r="B1256" s="54"/>
      <c r="C1256" s="65" t="s">
        <v>219</v>
      </c>
      <c r="D1256" s="65">
        <f t="shared" ca="1" si="170"/>
        <v>1</v>
      </c>
      <c r="E1256" s="3">
        <f t="shared" ca="1" si="171"/>
        <v>0.4843186811360557</v>
      </c>
      <c r="F1256" s="6">
        <f t="shared" ca="1" si="172"/>
        <v>115196.05303680115</v>
      </c>
      <c r="G1256" s="6">
        <f t="shared" ca="1" si="173"/>
        <v>1250.5366508483794</v>
      </c>
      <c r="V1256" s="53"/>
      <c r="W1256" s="54"/>
      <c r="X1256" s="65" t="s">
        <v>219</v>
      </c>
      <c r="Y1256" s="65">
        <f t="shared" ca="1" si="174"/>
        <v>1</v>
      </c>
      <c r="Z1256" s="3">
        <f t="shared" ca="1" si="175"/>
        <v>0.57948511664371927</v>
      </c>
      <c r="AA1256" s="6">
        <f t="shared" ca="1" si="176"/>
        <v>110441.50363757819</v>
      </c>
      <c r="AB1256" s="6">
        <f t="shared" ca="1" si="177"/>
        <v>1374.4985395651493</v>
      </c>
    </row>
    <row r="1257" spans="1:28" x14ac:dyDescent="0.3">
      <c r="A1257" s="53"/>
      <c r="B1257" s="54"/>
      <c r="C1257" s="65" t="s">
        <v>219</v>
      </c>
      <c r="D1257" s="65">
        <f t="shared" ca="1" si="170"/>
        <v>4</v>
      </c>
      <c r="E1257" s="3">
        <f t="shared" ca="1" si="171"/>
        <v>0.67569230051452966</v>
      </c>
      <c r="F1257" s="6">
        <f t="shared" ca="1" si="172"/>
        <v>75969.726629693236</v>
      </c>
      <c r="G1257" s="6">
        <f t="shared" ca="1" si="173"/>
        <v>442.67225189006967</v>
      </c>
      <c r="V1257" s="53"/>
      <c r="W1257" s="54"/>
      <c r="X1257" s="65" t="s">
        <v>219</v>
      </c>
      <c r="Y1257" s="65">
        <f t="shared" ca="1" si="174"/>
        <v>1</v>
      </c>
      <c r="Z1257" s="3">
        <f t="shared" ca="1" si="175"/>
        <v>0.61063974098008178</v>
      </c>
      <c r="AA1257" s="6">
        <f t="shared" ca="1" si="176"/>
        <v>140470.98694213908</v>
      </c>
      <c r="AB1257" s="6">
        <f t="shared" ca="1" si="177"/>
        <v>1536.863526200515</v>
      </c>
    </row>
    <row r="1258" spans="1:28" x14ac:dyDescent="0.3">
      <c r="A1258" s="53"/>
      <c r="B1258" s="54"/>
      <c r="C1258" s="65" t="s">
        <v>219</v>
      </c>
      <c r="D1258" s="65">
        <f t="shared" ca="1" si="170"/>
        <v>3</v>
      </c>
      <c r="E1258" s="3">
        <f t="shared" ca="1" si="171"/>
        <v>0.73864205752188583</v>
      </c>
      <c r="F1258" s="6">
        <f t="shared" ca="1" si="172"/>
        <v>196266.49671242243</v>
      </c>
      <c r="G1258" s="6">
        <f t="shared" ca="1" si="173"/>
        <v>1878.1153800258044</v>
      </c>
      <c r="V1258" s="53"/>
      <c r="W1258" s="54"/>
      <c r="X1258" s="65" t="s">
        <v>219</v>
      </c>
      <c r="Y1258" s="65">
        <f t="shared" ca="1" si="174"/>
        <v>2</v>
      </c>
      <c r="Z1258" s="3">
        <f t="shared" ca="1" si="175"/>
        <v>8.688333266567938E-2</v>
      </c>
      <c r="AA1258" s="6">
        <f t="shared" ca="1" si="176"/>
        <v>29277.356370651629</v>
      </c>
      <c r="AB1258" s="6">
        <f t="shared" ca="1" si="177"/>
        <v>900.56843494439966</v>
      </c>
    </row>
    <row r="1259" spans="1:28" x14ac:dyDescent="0.3">
      <c r="A1259" s="53"/>
      <c r="B1259" s="54"/>
      <c r="C1259" s="65" t="s">
        <v>219</v>
      </c>
      <c r="D1259" s="65">
        <f t="shared" ca="1" si="170"/>
        <v>4</v>
      </c>
      <c r="E1259" s="3">
        <f t="shared" ca="1" si="171"/>
        <v>0.60400739319899277</v>
      </c>
      <c r="F1259" s="6">
        <f t="shared" ca="1" si="172"/>
        <v>189944.18231396866</v>
      </c>
      <c r="G1259" s="6">
        <f t="shared" ca="1" si="173"/>
        <v>442.51564962151792</v>
      </c>
      <c r="V1259" s="53"/>
      <c r="W1259" s="54"/>
      <c r="X1259" s="65" t="s">
        <v>219</v>
      </c>
      <c r="Y1259" s="65">
        <f t="shared" ca="1" si="174"/>
        <v>4</v>
      </c>
      <c r="Z1259" s="3">
        <f t="shared" ca="1" si="175"/>
        <v>0.6590823089605985</v>
      </c>
      <c r="AA1259" s="6">
        <f t="shared" ca="1" si="176"/>
        <v>140016.51244684204</v>
      </c>
      <c r="AB1259" s="6">
        <f t="shared" ca="1" si="177"/>
        <v>675.52970867325985</v>
      </c>
    </row>
    <row r="1260" spans="1:28" x14ac:dyDescent="0.3">
      <c r="A1260" s="53"/>
      <c r="B1260" s="54"/>
      <c r="C1260" s="65" t="s">
        <v>219</v>
      </c>
      <c r="D1260" s="65">
        <f t="shared" ca="1" si="170"/>
        <v>3</v>
      </c>
      <c r="E1260" s="3">
        <f t="shared" ca="1" si="171"/>
        <v>0.80662017243801998</v>
      </c>
      <c r="F1260" s="6">
        <f t="shared" ca="1" si="172"/>
        <v>62104.261092397865</v>
      </c>
      <c r="G1260" s="6">
        <f t="shared" ca="1" si="173"/>
        <v>1197.343076133867</v>
      </c>
      <c r="V1260" s="53"/>
      <c r="W1260" s="54"/>
      <c r="X1260" s="65" t="s">
        <v>219</v>
      </c>
      <c r="Y1260" s="65">
        <f t="shared" ca="1" si="174"/>
        <v>4</v>
      </c>
      <c r="Z1260" s="3">
        <f t="shared" ca="1" si="175"/>
        <v>0.90630405457444785</v>
      </c>
      <c r="AA1260" s="6">
        <f t="shared" ca="1" si="176"/>
        <v>91916.471746669078</v>
      </c>
      <c r="AB1260" s="6">
        <f t="shared" ca="1" si="177"/>
        <v>523.12196367945864</v>
      </c>
    </row>
    <row r="1261" spans="1:28" x14ac:dyDescent="0.3">
      <c r="A1261" s="53"/>
      <c r="B1261" s="54"/>
      <c r="C1261" s="65" t="s">
        <v>242</v>
      </c>
      <c r="D1261" s="65">
        <f t="shared" ca="1" si="170"/>
        <v>2</v>
      </c>
      <c r="E1261" s="3">
        <f t="shared" ca="1" si="171"/>
        <v>0.24163935114603641</v>
      </c>
      <c r="F1261" s="6">
        <f t="shared" ca="1" si="172"/>
        <v>90530.514227331878</v>
      </c>
      <c r="G1261" s="6">
        <f t="shared" ca="1" si="173"/>
        <v>89.286165765462002</v>
      </c>
      <c r="V1261" s="53"/>
      <c r="W1261" s="54"/>
      <c r="X1261" s="65" t="s">
        <v>242</v>
      </c>
      <c r="Y1261" s="65">
        <f t="shared" ca="1" si="174"/>
        <v>4</v>
      </c>
      <c r="Z1261" s="3">
        <f t="shared" ca="1" si="175"/>
        <v>0.49191327804040086</v>
      </c>
      <c r="AA1261" s="6">
        <f t="shared" ca="1" si="176"/>
        <v>114381.71548849101</v>
      </c>
      <c r="AB1261" s="6">
        <f t="shared" ca="1" si="177"/>
        <v>47.40466500239804</v>
      </c>
    </row>
    <row r="1262" spans="1:28" x14ac:dyDescent="0.3">
      <c r="A1262" s="53"/>
      <c r="B1262" s="54"/>
      <c r="C1262" s="65" t="s">
        <v>242</v>
      </c>
      <c r="D1262" s="65">
        <f t="shared" ca="1" si="170"/>
        <v>1</v>
      </c>
      <c r="E1262" s="3">
        <f t="shared" ca="1" si="171"/>
        <v>0.6683680030351149</v>
      </c>
      <c r="F1262" s="6">
        <f t="shared" ca="1" si="172"/>
        <v>109348.71977462554</v>
      </c>
      <c r="G1262" s="6">
        <f t="shared" ca="1" si="173"/>
        <v>1514.2061647949838</v>
      </c>
      <c r="V1262" s="53"/>
      <c r="W1262" s="54"/>
      <c r="X1262" s="65" t="s">
        <v>242</v>
      </c>
      <c r="Y1262" s="65">
        <f t="shared" ca="1" si="174"/>
        <v>4</v>
      </c>
      <c r="Z1262" s="3">
        <f t="shared" ca="1" si="175"/>
        <v>0.14560356556920062</v>
      </c>
      <c r="AA1262" s="6">
        <f t="shared" ca="1" si="176"/>
        <v>2478.1807782063402</v>
      </c>
      <c r="AB1262" s="6">
        <f t="shared" ca="1" si="177"/>
        <v>982.39469862421754</v>
      </c>
    </row>
    <row r="1263" spans="1:28" x14ac:dyDescent="0.3">
      <c r="A1263" s="53"/>
      <c r="B1263" s="54"/>
      <c r="C1263" s="65" t="s">
        <v>242</v>
      </c>
      <c r="D1263" s="65">
        <f t="shared" ca="1" si="170"/>
        <v>4</v>
      </c>
      <c r="E1263" s="3">
        <f t="shared" ca="1" si="171"/>
        <v>0.7772205787006643</v>
      </c>
      <c r="F1263" s="6">
        <f t="shared" ca="1" si="172"/>
        <v>198264.45119142852</v>
      </c>
      <c r="G1263" s="6">
        <f t="shared" ca="1" si="173"/>
        <v>883.57270229829953</v>
      </c>
      <c r="V1263" s="53"/>
      <c r="W1263" s="54"/>
      <c r="X1263" s="65" t="s">
        <v>242</v>
      </c>
      <c r="Y1263" s="65">
        <f t="shared" ca="1" si="174"/>
        <v>2</v>
      </c>
      <c r="Z1263" s="3">
        <f t="shared" ca="1" si="175"/>
        <v>0.9251374873588275</v>
      </c>
      <c r="AA1263" s="6">
        <f t="shared" ca="1" si="176"/>
        <v>77737.391277817092</v>
      </c>
      <c r="AB1263" s="6">
        <f t="shared" ca="1" si="177"/>
        <v>633.33210180985475</v>
      </c>
    </row>
    <row r="1264" spans="1:28" x14ac:dyDescent="0.3">
      <c r="A1264" s="53"/>
      <c r="B1264" s="54"/>
      <c r="C1264" s="65" t="s">
        <v>242</v>
      </c>
      <c r="D1264" s="65">
        <f t="shared" ca="1" si="170"/>
        <v>3</v>
      </c>
      <c r="E1264" s="3">
        <f t="shared" ca="1" si="171"/>
        <v>9.0253399874495099E-2</v>
      </c>
      <c r="F1264" s="6">
        <f t="shared" ca="1" si="172"/>
        <v>86614.040367104695</v>
      </c>
      <c r="G1264" s="6">
        <f t="shared" ca="1" si="173"/>
        <v>1560.9069256294774</v>
      </c>
      <c r="V1264" s="53"/>
      <c r="W1264" s="54"/>
      <c r="X1264" s="65" t="s">
        <v>242</v>
      </c>
      <c r="Y1264" s="65">
        <f t="shared" ca="1" si="174"/>
        <v>4</v>
      </c>
      <c r="Z1264" s="3">
        <f t="shared" ca="1" si="175"/>
        <v>0.67876036039929655</v>
      </c>
      <c r="AA1264" s="6">
        <f t="shared" ca="1" si="176"/>
        <v>93279.465585429498</v>
      </c>
      <c r="AB1264" s="6">
        <f t="shared" ca="1" si="177"/>
        <v>1525.5259842239336</v>
      </c>
    </row>
    <row r="1265" spans="1:28" x14ac:dyDescent="0.3">
      <c r="A1265" s="53"/>
      <c r="B1265" s="54"/>
      <c r="C1265" s="65" t="s">
        <v>242</v>
      </c>
      <c r="D1265" s="65">
        <f t="shared" ca="1" si="170"/>
        <v>2</v>
      </c>
      <c r="E1265" s="3">
        <f t="shared" ca="1" si="171"/>
        <v>0.14245512143956884</v>
      </c>
      <c r="F1265" s="6">
        <f t="shared" ca="1" si="172"/>
        <v>164019.67707966853</v>
      </c>
      <c r="G1265" s="6">
        <f t="shared" ca="1" si="173"/>
        <v>376.36594410912181</v>
      </c>
      <c r="V1265" s="53"/>
      <c r="W1265" s="54"/>
      <c r="X1265" s="65" t="s">
        <v>242</v>
      </c>
      <c r="Y1265" s="65">
        <f t="shared" ca="1" si="174"/>
        <v>3</v>
      </c>
      <c r="Z1265" s="3">
        <f t="shared" ca="1" si="175"/>
        <v>0.42456513056420475</v>
      </c>
      <c r="AA1265" s="6">
        <f t="shared" ca="1" si="176"/>
        <v>130759.56746950658</v>
      </c>
      <c r="AB1265" s="6">
        <f t="shared" ca="1" si="177"/>
        <v>49.992887883004713</v>
      </c>
    </row>
    <row r="1266" spans="1:28" x14ac:dyDescent="0.3">
      <c r="A1266" s="53"/>
      <c r="B1266" s="54"/>
      <c r="C1266" s="65" t="s">
        <v>231</v>
      </c>
      <c r="D1266" s="65">
        <f t="shared" ca="1" si="170"/>
        <v>2</v>
      </c>
      <c r="E1266" s="3">
        <f t="shared" ca="1" si="171"/>
        <v>0.9318610854962126</v>
      </c>
      <c r="F1266" s="6">
        <f t="shared" ca="1" si="172"/>
        <v>153199.68957946563</v>
      </c>
      <c r="G1266" s="6">
        <f t="shared" ca="1" si="173"/>
        <v>244.49577265064181</v>
      </c>
      <c r="V1266" s="53"/>
      <c r="W1266" s="54"/>
      <c r="X1266" s="65" t="s">
        <v>231</v>
      </c>
      <c r="Y1266" s="65">
        <f t="shared" ca="1" si="174"/>
        <v>3</v>
      </c>
      <c r="Z1266" s="3">
        <f t="shared" ca="1" si="175"/>
        <v>0.43622289243356038</v>
      </c>
      <c r="AA1266" s="6">
        <f t="shared" ca="1" si="176"/>
        <v>103947.77623931557</v>
      </c>
      <c r="AB1266" s="6">
        <f t="shared" ca="1" si="177"/>
        <v>1537.8767886051503</v>
      </c>
    </row>
    <row r="1267" spans="1:28" x14ac:dyDescent="0.3">
      <c r="A1267" s="53"/>
      <c r="B1267" s="54"/>
      <c r="C1267" s="65" t="s">
        <v>242</v>
      </c>
      <c r="D1267" s="65">
        <f t="shared" ca="1" si="170"/>
        <v>2</v>
      </c>
      <c r="E1267" s="3">
        <f t="shared" ca="1" si="171"/>
        <v>0.83173458573758663</v>
      </c>
      <c r="F1267" s="6">
        <f t="shared" ca="1" si="172"/>
        <v>98748.578317079533</v>
      </c>
      <c r="G1267" s="6">
        <f t="shared" ca="1" si="173"/>
        <v>944.73123064312699</v>
      </c>
      <c r="V1267" s="53"/>
      <c r="W1267" s="54"/>
      <c r="X1267" s="65" t="s">
        <v>242</v>
      </c>
      <c r="Y1267" s="65">
        <f t="shared" ca="1" si="174"/>
        <v>2</v>
      </c>
      <c r="Z1267" s="3">
        <f t="shared" ca="1" si="175"/>
        <v>0.92409160717097916</v>
      </c>
      <c r="AA1267" s="6">
        <f t="shared" ca="1" si="176"/>
        <v>35048.732432837838</v>
      </c>
      <c r="AB1267" s="6">
        <f t="shared" ca="1" si="177"/>
        <v>1820.58853440653</v>
      </c>
    </row>
    <row r="1268" spans="1:28" x14ac:dyDescent="0.3">
      <c r="A1268" s="53"/>
      <c r="B1268" s="54"/>
      <c r="C1268" s="65" t="s">
        <v>242</v>
      </c>
      <c r="D1268" s="65">
        <f t="shared" ca="1" si="170"/>
        <v>2</v>
      </c>
      <c r="E1268" s="3">
        <f t="shared" ca="1" si="171"/>
        <v>0.87687177759359214</v>
      </c>
      <c r="F1268" s="6">
        <f t="shared" ca="1" si="172"/>
        <v>86413.780653643029</v>
      </c>
      <c r="G1268" s="6">
        <f t="shared" ca="1" si="173"/>
        <v>35.250634505974212</v>
      </c>
      <c r="V1268" s="53"/>
      <c r="W1268" s="54"/>
      <c r="X1268" s="65" t="s">
        <v>242</v>
      </c>
      <c r="Y1268" s="65">
        <f t="shared" ca="1" si="174"/>
        <v>4</v>
      </c>
      <c r="Z1268" s="3">
        <f t="shared" ca="1" si="175"/>
        <v>0.28915695993020918</v>
      </c>
      <c r="AA1268" s="6">
        <f t="shared" ca="1" si="176"/>
        <v>4553.8341450266144</v>
      </c>
      <c r="AB1268" s="6">
        <f t="shared" ca="1" si="177"/>
        <v>1685.5853752499238</v>
      </c>
    </row>
    <row r="1269" spans="1:28" x14ac:dyDescent="0.3">
      <c r="A1269" s="53"/>
      <c r="B1269" s="54"/>
      <c r="C1269" s="65" t="s">
        <v>242</v>
      </c>
      <c r="D1269" s="65">
        <f t="shared" ca="1" si="170"/>
        <v>3</v>
      </c>
      <c r="E1269" s="3">
        <f t="shared" ca="1" si="171"/>
        <v>0.75519658641467979</v>
      </c>
      <c r="F1269" s="6">
        <f t="shared" ca="1" si="172"/>
        <v>19634.119856672361</v>
      </c>
      <c r="G1269" s="6">
        <f t="shared" ca="1" si="173"/>
        <v>136.25402531262276</v>
      </c>
      <c r="V1269" s="53"/>
      <c r="W1269" s="54"/>
      <c r="X1269" s="65" t="s">
        <v>242</v>
      </c>
      <c r="Y1269" s="65">
        <f t="shared" ca="1" si="174"/>
        <v>4</v>
      </c>
      <c r="Z1269" s="3">
        <f t="shared" ca="1" si="175"/>
        <v>0.20749310919477504</v>
      </c>
      <c r="AA1269" s="6">
        <f t="shared" ca="1" si="176"/>
        <v>111386.17381454383</v>
      </c>
      <c r="AB1269" s="6">
        <f t="shared" ca="1" si="177"/>
        <v>1094.5780932393111</v>
      </c>
    </row>
    <row r="1270" spans="1:28" x14ac:dyDescent="0.3">
      <c r="A1270" s="53"/>
      <c r="B1270" s="54"/>
      <c r="C1270" s="65" t="s">
        <v>242</v>
      </c>
      <c r="D1270" s="65">
        <f t="shared" ca="1" si="170"/>
        <v>1</v>
      </c>
      <c r="E1270" s="3">
        <f t="shared" ca="1" si="171"/>
        <v>0.93333138062406884</v>
      </c>
      <c r="F1270" s="6">
        <f t="shared" ca="1" si="172"/>
        <v>117183.04135894364</v>
      </c>
      <c r="G1270" s="6">
        <f t="shared" ca="1" si="173"/>
        <v>868.65079453562987</v>
      </c>
      <c r="V1270" s="53"/>
      <c r="W1270" s="54"/>
      <c r="X1270" s="65" t="s">
        <v>242</v>
      </c>
      <c r="Y1270" s="65">
        <f t="shared" ca="1" si="174"/>
        <v>2</v>
      </c>
      <c r="Z1270" s="3">
        <f t="shared" ca="1" si="175"/>
        <v>0.91804012822351921</v>
      </c>
      <c r="AA1270" s="6">
        <f t="shared" ca="1" si="176"/>
        <v>128566.40673094624</v>
      </c>
      <c r="AB1270" s="6">
        <f t="shared" ca="1" si="177"/>
        <v>323.09818930921421</v>
      </c>
    </row>
    <row r="1271" spans="1:28" x14ac:dyDescent="0.3">
      <c r="A1271" s="65"/>
      <c r="V1271" s="65"/>
    </row>
    <row r="1272" spans="1:28" x14ac:dyDescent="0.3">
      <c r="A1272" s="65"/>
      <c r="V1272" s="65"/>
    </row>
    <row r="1273" spans="1:28" x14ac:dyDescent="0.3">
      <c r="A1273" s="65"/>
      <c r="V1273" s="65"/>
    </row>
    <row r="1274" spans="1:28" x14ac:dyDescent="0.3">
      <c r="A1274" s="65"/>
      <c r="V1274" s="65"/>
    </row>
    <row r="1275" spans="1:28" x14ac:dyDescent="0.3">
      <c r="A1275" s="65"/>
      <c r="V1275" s="65"/>
    </row>
    <row r="1276" spans="1:28" x14ac:dyDescent="0.3">
      <c r="A1276" s="65"/>
      <c r="V1276" s="65"/>
    </row>
    <row r="1277" spans="1:28" x14ac:dyDescent="0.3">
      <c r="A1277" s="65"/>
      <c r="V1277" s="65"/>
    </row>
    <row r="1278" spans="1:28" x14ac:dyDescent="0.3">
      <c r="A1278" s="65"/>
      <c r="V1278" s="65"/>
    </row>
    <row r="1279" spans="1:28" x14ac:dyDescent="0.3">
      <c r="A1279" s="65"/>
      <c r="V1279" s="65"/>
    </row>
    <row r="1280" spans="1:28" x14ac:dyDescent="0.3">
      <c r="A1280" s="65"/>
      <c r="V1280" s="65"/>
    </row>
    <row r="1281" spans="1:22" x14ac:dyDescent="0.3">
      <c r="A1281" s="65"/>
      <c r="V1281" s="65"/>
    </row>
    <row r="1282" spans="1:22" x14ac:dyDescent="0.3">
      <c r="A1282" s="65"/>
      <c r="V1282" s="65"/>
    </row>
    <row r="1283" spans="1:22" x14ac:dyDescent="0.3">
      <c r="A1283" s="65"/>
      <c r="V1283" s="65"/>
    </row>
    <row r="1284" spans="1:22" x14ac:dyDescent="0.3">
      <c r="A1284" s="65"/>
      <c r="V1284" s="65"/>
    </row>
    <row r="1285" spans="1:22" x14ac:dyDescent="0.3">
      <c r="A1285" s="65"/>
      <c r="V1285" s="65"/>
    </row>
    <row r="1286" spans="1:22" x14ac:dyDescent="0.3">
      <c r="A1286" s="65"/>
      <c r="V1286" s="65"/>
    </row>
    <row r="1287" spans="1:22" x14ac:dyDescent="0.3">
      <c r="A1287" s="65"/>
      <c r="V1287" s="65"/>
    </row>
    <row r="1288" spans="1:22" x14ac:dyDescent="0.3">
      <c r="A1288" s="65"/>
      <c r="V1288" s="65"/>
    </row>
    <row r="1289" spans="1:22" x14ac:dyDescent="0.3">
      <c r="A1289" s="65"/>
      <c r="V1289" s="65"/>
    </row>
    <row r="1290" spans="1:22" x14ac:dyDescent="0.3">
      <c r="A1290" s="65"/>
      <c r="V1290" s="65"/>
    </row>
    <row r="1291" spans="1:22" x14ac:dyDescent="0.3">
      <c r="A1291" s="65"/>
      <c r="V1291" s="65"/>
    </row>
    <row r="1292" spans="1:22" x14ac:dyDescent="0.3">
      <c r="A1292" s="65"/>
      <c r="V1292" s="65"/>
    </row>
    <row r="1293" spans="1:22" x14ac:dyDescent="0.3">
      <c r="A1293" s="65"/>
      <c r="V1293" s="65"/>
    </row>
    <row r="1294" spans="1:22" x14ac:dyDescent="0.3">
      <c r="A1294" s="65"/>
      <c r="V1294" s="65"/>
    </row>
    <row r="1295" spans="1:22" x14ac:dyDescent="0.3">
      <c r="A1295" s="65"/>
      <c r="V1295" s="65"/>
    </row>
    <row r="1296" spans="1:22" x14ac:dyDescent="0.3">
      <c r="A1296" s="65"/>
      <c r="V1296" s="65"/>
    </row>
    <row r="1297" spans="1:22" x14ac:dyDescent="0.3">
      <c r="A1297" s="65"/>
      <c r="V1297" s="65"/>
    </row>
    <row r="1298" spans="1:22" x14ac:dyDescent="0.3">
      <c r="A1298" s="65"/>
      <c r="V1298" s="65"/>
    </row>
    <row r="1299" spans="1:22" x14ac:dyDescent="0.3">
      <c r="A1299" s="65"/>
      <c r="V1299" s="65"/>
    </row>
    <row r="1300" spans="1:22" x14ac:dyDescent="0.3">
      <c r="A1300" s="65"/>
      <c r="V1300" s="65"/>
    </row>
    <row r="1301" spans="1:22" x14ac:dyDescent="0.3">
      <c r="A1301" s="65"/>
      <c r="V1301" s="65"/>
    </row>
    <row r="1302" spans="1:22" x14ac:dyDescent="0.3">
      <c r="A1302" s="65"/>
      <c r="V1302" s="65"/>
    </row>
    <row r="1303" spans="1:22" x14ac:dyDescent="0.3">
      <c r="A1303" s="65"/>
      <c r="V1303" s="65"/>
    </row>
    <row r="1304" spans="1:22" x14ac:dyDescent="0.3">
      <c r="A1304" s="65"/>
      <c r="V1304" s="65"/>
    </row>
    <row r="1305" spans="1:22" x14ac:dyDescent="0.3">
      <c r="A1305" s="65"/>
      <c r="V1305" s="65"/>
    </row>
    <row r="1306" spans="1:22" x14ac:dyDescent="0.3">
      <c r="A1306" s="65"/>
      <c r="V1306" s="65"/>
    </row>
    <row r="1307" spans="1:22" x14ac:dyDescent="0.3">
      <c r="A1307" s="65"/>
      <c r="V1307" s="65"/>
    </row>
    <row r="1308" spans="1:22" x14ac:dyDescent="0.3">
      <c r="A1308" s="65"/>
      <c r="V1308" s="65"/>
    </row>
    <row r="1309" spans="1:22" x14ac:dyDescent="0.3">
      <c r="A1309" s="65"/>
      <c r="V1309" s="65"/>
    </row>
    <row r="1310" spans="1:22" x14ac:dyDescent="0.3">
      <c r="A1310" s="65"/>
      <c r="V1310" s="65"/>
    </row>
    <row r="1311" spans="1:22" x14ac:dyDescent="0.3">
      <c r="A1311" s="65"/>
      <c r="V1311" s="65"/>
    </row>
    <row r="1312" spans="1:22" x14ac:dyDescent="0.3">
      <c r="A1312" s="65"/>
      <c r="V1312" s="65"/>
    </row>
    <row r="1313" spans="1:22" x14ac:dyDescent="0.3">
      <c r="A1313" s="65"/>
      <c r="V1313" s="65"/>
    </row>
    <row r="1314" spans="1:22" x14ac:dyDescent="0.3">
      <c r="A1314" s="65"/>
      <c r="V1314" s="65"/>
    </row>
    <row r="1315" spans="1:22" x14ac:dyDescent="0.3">
      <c r="A1315" s="65"/>
      <c r="V1315" s="65"/>
    </row>
    <row r="1316" spans="1:22" x14ac:dyDescent="0.3">
      <c r="A1316" s="65"/>
      <c r="V1316" s="65"/>
    </row>
    <row r="1317" spans="1:22" x14ac:dyDescent="0.3">
      <c r="A1317" s="65"/>
      <c r="V1317" s="65"/>
    </row>
    <row r="1318" spans="1:22" x14ac:dyDescent="0.3">
      <c r="A1318" s="65"/>
      <c r="V1318" s="65"/>
    </row>
    <row r="1319" spans="1:22" x14ac:dyDescent="0.3">
      <c r="A1319" s="65"/>
      <c r="V1319" s="65"/>
    </row>
    <row r="1320" spans="1:22" x14ac:dyDescent="0.3">
      <c r="A1320" s="65"/>
      <c r="V1320" s="65"/>
    </row>
    <row r="1321" spans="1:22" x14ac:dyDescent="0.3">
      <c r="A1321" s="65"/>
      <c r="V1321" s="65"/>
    </row>
    <row r="1322" spans="1:22" x14ac:dyDescent="0.3">
      <c r="A1322" s="65"/>
      <c r="V1322" s="65"/>
    </row>
    <row r="1323" spans="1:22" x14ac:dyDescent="0.3">
      <c r="A1323" s="65"/>
      <c r="V1323" s="65"/>
    </row>
    <row r="1324" spans="1:22" x14ac:dyDescent="0.3">
      <c r="A1324" s="65"/>
      <c r="V1324" s="65"/>
    </row>
    <row r="1325" spans="1:22" x14ac:dyDescent="0.3">
      <c r="A1325" s="65"/>
      <c r="V1325" s="65"/>
    </row>
    <row r="1326" spans="1:22" x14ac:dyDescent="0.3">
      <c r="A1326" s="65"/>
      <c r="V1326" s="65"/>
    </row>
    <row r="1327" spans="1:22" x14ac:dyDescent="0.3">
      <c r="A1327" s="65"/>
      <c r="V1327" s="65"/>
    </row>
    <row r="1328" spans="1:22" x14ac:dyDescent="0.3">
      <c r="A1328" s="65"/>
      <c r="V1328" s="65"/>
    </row>
    <row r="1329" spans="1:22" x14ac:dyDescent="0.3">
      <c r="A1329" s="65"/>
      <c r="V1329" s="65"/>
    </row>
    <row r="1330" spans="1:22" x14ac:dyDescent="0.3">
      <c r="A1330" s="65"/>
      <c r="V1330" s="65"/>
    </row>
    <row r="1331" spans="1:22" x14ac:dyDescent="0.3">
      <c r="A1331" s="65"/>
      <c r="V1331" s="65"/>
    </row>
    <row r="1332" spans="1:22" x14ac:dyDescent="0.3">
      <c r="A1332" s="65"/>
      <c r="V1332" s="65"/>
    </row>
    <row r="1333" spans="1:22" x14ac:dyDescent="0.3">
      <c r="A1333" s="65"/>
      <c r="V1333" s="65"/>
    </row>
    <row r="1334" spans="1:22" x14ac:dyDescent="0.3">
      <c r="A1334" s="65"/>
      <c r="V1334" s="65"/>
    </row>
    <row r="1335" spans="1:22" x14ac:dyDescent="0.3">
      <c r="A1335" s="65"/>
      <c r="V1335" s="65"/>
    </row>
    <row r="1336" spans="1:22" x14ac:dyDescent="0.3">
      <c r="A1336" s="65"/>
      <c r="V1336" s="65"/>
    </row>
    <row r="1337" spans="1:22" x14ac:dyDescent="0.3">
      <c r="A1337" s="65"/>
      <c r="V1337" s="65"/>
    </row>
    <row r="1338" spans="1:22" x14ac:dyDescent="0.3">
      <c r="A1338" s="65"/>
      <c r="V1338" s="65"/>
    </row>
    <row r="1339" spans="1:22" x14ac:dyDescent="0.3">
      <c r="A1339" s="65"/>
      <c r="V1339" s="65"/>
    </row>
    <row r="1340" spans="1:22" x14ac:dyDescent="0.3">
      <c r="A1340" s="65"/>
      <c r="V1340" s="65"/>
    </row>
    <row r="1341" spans="1:22" x14ac:dyDescent="0.3">
      <c r="A1341" s="65"/>
      <c r="V1341" s="65"/>
    </row>
    <row r="1342" spans="1:22" x14ac:dyDescent="0.3">
      <c r="A1342" s="65"/>
      <c r="V1342" s="65"/>
    </row>
    <row r="1343" spans="1:22" x14ac:dyDescent="0.3">
      <c r="A1343" s="65"/>
      <c r="V1343" s="65"/>
    </row>
    <row r="1344" spans="1:22" x14ac:dyDescent="0.3">
      <c r="A1344" s="65"/>
      <c r="V1344" s="65"/>
    </row>
    <row r="1345" spans="1:22" x14ac:dyDescent="0.3">
      <c r="A1345" s="65"/>
      <c r="V1345" s="65"/>
    </row>
    <row r="1346" spans="1:22" x14ac:dyDescent="0.3">
      <c r="A1346" s="65"/>
      <c r="V1346" s="65"/>
    </row>
    <row r="1347" spans="1:22" x14ac:dyDescent="0.3">
      <c r="A1347" s="65"/>
      <c r="V1347" s="65"/>
    </row>
    <row r="1348" spans="1:22" x14ac:dyDescent="0.3">
      <c r="A1348" s="65"/>
      <c r="V1348" s="65"/>
    </row>
    <row r="1349" spans="1:22" x14ac:dyDescent="0.3">
      <c r="A1349" s="65"/>
      <c r="V1349" s="65"/>
    </row>
    <row r="1350" spans="1:22" x14ac:dyDescent="0.3">
      <c r="A1350" s="65"/>
      <c r="V1350" s="65"/>
    </row>
    <row r="1351" spans="1:22" x14ac:dyDescent="0.3">
      <c r="A1351" s="65"/>
      <c r="V1351" s="65"/>
    </row>
    <row r="1352" spans="1:22" x14ac:dyDescent="0.3">
      <c r="A1352" s="65"/>
      <c r="V1352" s="65"/>
    </row>
    <row r="1353" spans="1:22" x14ac:dyDescent="0.3">
      <c r="A1353" s="65"/>
      <c r="V1353" s="65"/>
    </row>
    <row r="1354" spans="1:22" x14ac:dyDescent="0.3">
      <c r="A1354" s="65"/>
      <c r="V1354" s="65"/>
    </row>
    <row r="1355" spans="1:22" x14ac:dyDescent="0.3">
      <c r="A1355" s="65"/>
      <c r="V1355" s="65"/>
    </row>
    <row r="1356" spans="1:22" x14ac:dyDescent="0.3">
      <c r="A1356" s="65"/>
      <c r="V1356" s="65"/>
    </row>
    <row r="1357" spans="1:22" x14ac:dyDescent="0.3">
      <c r="A1357" s="65"/>
      <c r="V1357" s="65"/>
    </row>
    <row r="1358" spans="1:22" x14ac:dyDescent="0.3">
      <c r="A1358" s="65"/>
      <c r="V1358" s="65"/>
    </row>
    <row r="1359" spans="1:22" x14ac:dyDescent="0.3">
      <c r="A1359" s="65"/>
      <c r="V1359" s="65"/>
    </row>
    <row r="1360" spans="1:22" x14ac:dyDescent="0.3">
      <c r="A1360" s="65"/>
      <c r="V1360" s="65"/>
    </row>
    <row r="1361" spans="1:22" x14ac:dyDescent="0.3">
      <c r="A1361" s="65"/>
      <c r="V1361" s="65"/>
    </row>
    <row r="1362" spans="1:22" x14ac:dyDescent="0.3">
      <c r="A1362" s="65"/>
      <c r="V1362" s="65"/>
    </row>
    <row r="1363" spans="1:22" x14ac:dyDescent="0.3">
      <c r="A1363" s="65"/>
      <c r="V1363" s="65"/>
    </row>
    <row r="1364" spans="1:22" x14ac:dyDescent="0.3">
      <c r="A1364" s="65"/>
      <c r="V1364" s="65"/>
    </row>
    <row r="1365" spans="1:22" x14ac:dyDescent="0.3">
      <c r="A1365" s="65"/>
      <c r="V1365" s="65"/>
    </row>
    <row r="1366" spans="1:22" x14ac:dyDescent="0.3">
      <c r="A1366" s="65"/>
      <c r="V1366" s="65"/>
    </row>
    <row r="1367" spans="1:22" x14ac:dyDescent="0.3">
      <c r="A1367" s="65"/>
      <c r="V1367" s="65"/>
    </row>
    <row r="1368" spans="1:22" x14ac:dyDescent="0.3">
      <c r="A1368" s="65"/>
      <c r="V1368" s="65"/>
    </row>
    <row r="1369" spans="1:22" x14ac:dyDescent="0.3">
      <c r="A1369" s="65"/>
      <c r="V1369" s="65"/>
    </row>
    <row r="1370" spans="1:22" x14ac:dyDescent="0.3">
      <c r="A1370" s="65"/>
      <c r="V1370" s="65"/>
    </row>
    <row r="1371" spans="1:22" x14ac:dyDescent="0.3">
      <c r="A1371" s="65"/>
      <c r="V1371" s="65"/>
    </row>
    <row r="1372" spans="1:22" x14ac:dyDescent="0.3">
      <c r="A1372" s="65"/>
      <c r="V1372" s="65"/>
    </row>
    <row r="1373" spans="1:22" x14ac:dyDescent="0.3">
      <c r="A1373" s="65"/>
      <c r="V1373" s="65"/>
    </row>
    <row r="1374" spans="1:22" x14ac:dyDescent="0.3">
      <c r="A1374" s="65"/>
      <c r="V1374" s="65"/>
    </row>
    <row r="1375" spans="1:22" x14ac:dyDescent="0.3">
      <c r="A1375" s="65"/>
      <c r="V1375" s="65"/>
    </row>
    <row r="1376" spans="1:22" x14ac:dyDescent="0.3">
      <c r="A1376" s="65"/>
      <c r="V1376" s="65"/>
    </row>
    <row r="1377" spans="1:22" x14ac:dyDescent="0.3">
      <c r="A1377" s="65"/>
      <c r="V1377" s="65"/>
    </row>
    <row r="1378" spans="1:22" x14ac:dyDescent="0.3">
      <c r="A1378" s="65"/>
      <c r="V1378" s="65"/>
    </row>
    <row r="1379" spans="1:22" x14ac:dyDescent="0.3">
      <c r="A1379" s="65"/>
      <c r="V1379" s="65"/>
    </row>
    <row r="1380" spans="1:22" x14ac:dyDescent="0.3">
      <c r="A1380" s="65"/>
      <c r="V1380" s="65"/>
    </row>
    <row r="1381" spans="1:22" x14ac:dyDescent="0.3">
      <c r="A1381" s="65"/>
      <c r="V1381" s="65"/>
    </row>
    <row r="1382" spans="1:22" x14ac:dyDescent="0.3">
      <c r="A1382" s="65"/>
      <c r="V1382" s="65"/>
    </row>
    <row r="1383" spans="1:22" x14ac:dyDescent="0.3">
      <c r="A1383" s="65"/>
      <c r="V1383" s="65"/>
    </row>
    <row r="1384" spans="1:22" x14ac:dyDescent="0.3">
      <c r="A1384" s="65"/>
      <c r="V1384" s="65"/>
    </row>
    <row r="1385" spans="1:22" x14ac:dyDescent="0.3">
      <c r="A1385" s="65"/>
      <c r="V1385" s="65"/>
    </row>
    <row r="1386" spans="1:22" x14ac:dyDescent="0.3">
      <c r="A1386" s="65"/>
      <c r="V1386" s="65"/>
    </row>
    <row r="1387" spans="1:22" x14ac:dyDescent="0.3">
      <c r="A1387" s="65"/>
      <c r="V1387" s="65"/>
    </row>
    <row r="1388" spans="1:22" x14ac:dyDescent="0.3">
      <c r="A1388" s="65"/>
      <c r="V1388" s="65"/>
    </row>
    <row r="1389" spans="1:22" x14ac:dyDescent="0.3">
      <c r="A1389" s="65"/>
      <c r="V1389" s="65"/>
    </row>
    <row r="1390" spans="1:22" x14ac:dyDescent="0.3">
      <c r="A1390" s="65"/>
      <c r="V1390" s="65"/>
    </row>
    <row r="1391" spans="1:22" x14ac:dyDescent="0.3">
      <c r="A1391" s="65"/>
      <c r="V1391" s="65"/>
    </row>
    <row r="1392" spans="1:22" x14ac:dyDescent="0.3">
      <c r="A1392" s="65"/>
      <c r="V1392" s="65"/>
    </row>
    <row r="1393" spans="1:22" x14ac:dyDescent="0.3">
      <c r="A1393" s="65"/>
      <c r="V1393" s="65"/>
    </row>
    <row r="1394" spans="1:22" x14ac:dyDescent="0.3">
      <c r="A1394" s="65"/>
      <c r="V1394" s="65"/>
    </row>
    <row r="1395" spans="1:22" x14ac:dyDescent="0.3">
      <c r="A1395" s="65"/>
      <c r="V1395" s="65"/>
    </row>
    <row r="1396" spans="1:22" x14ac:dyDescent="0.3">
      <c r="A1396" s="65"/>
      <c r="V1396" s="65"/>
    </row>
    <row r="1397" spans="1:22" x14ac:dyDescent="0.3">
      <c r="A1397" s="65"/>
      <c r="V1397" s="65"/>
    </row>
    <row r="1398" spans="1:22" x14ac:dyDescent="0.3">
      <c r="A1398" s="65"/>
      <c r="V1398" s="65"/>
    </row>
    <row r="1399" spans="1:22" x14ac:dyDescent="0.3">
      <c r="A1399" s="65"/>
      <c r="V1399" s="65"/>
    </row>
    <row r="1400" spans="1:22" x14ac:dyDescent="0.3">
      <c r="A1400" s="65"/>
      <c r="V1400" s="65"/>
    </row>
    <row r="1401" spans="1:22" x14ac:dyDescent="0.3">
      <c r="A1401" s="65"/>
      <c r="V1401" s="65"/>
    </row>
    <row r="1402" spans="1:22" x14ac:dyDescent="0.3">
      <c r="A1402" s="65"/>
      <c r="V1402" s="65"/>
    </row>
    <row r="1403" spans="1:22" x14ac:dyDescent="0.3">
      <c r="A1403" s="65"/>
      <c r="V1403" s="65"/>
    </row>
    <row r="1404" spans="1:22" x14ac:dyDescent="0.3">
      <c r="A1404" s="65"/>
      <c r="V1404" s="65"/>
    </row>
    <row r="1405" spans="1:22" x14ac:dyDescent="0.3">
      <c r="A1405" s="65"/>
      <c r="V1405" s="65"/>
    </row>
    <row r="1406" spans="1:22" x14ac:dyDescent="0.3">
      <c r="A1406" s="65"/>
      <c r="V1406" s="65"/>
    </row>
    <row r="1407" spans="1:22" x14ac:dyDescent="0.3">
      <c r="A1407" s="65"/>
      <c r="V1407" s="65"/>
    </row>
    <row r="1408" spans="1:22" x14ac:dyDescent="0.3">
      <c r="A1408" s="65"/>
      <c r="V1408" s="65"/>
    </row>
    <row r="1409" spans="1:22" x14ac:dyDescent="0.3">
      <c r="A1409" s="65"/>
      <c r="V1409" s="65"/>
    </row>
    <row r="1410" spans="1:22" x14ac:dyDescent="0.3">
      <c r="A1410" s="65"/>
      <c r="V1410" s="65"/>
    </row>
    <row r="1411" spans="1:22" x14ac:dyDescent="0.3">
      <c r="A1411" s="65"/>
      <c r="V1411" s="65"/>
    </row>
    <row r="1412" spans="1:22" x14ac:dyDescent="0.3">
      <c r="A1412" s="65"/>
      <c r="V1412" s="65"/>
    </row>
    <row r="1413" spans="1:22" x14ac:dyDescent="0.3">
      <c r="A1413" s="65"/>
      <c r="V1413" s="65"/>
    </row>
    <row r="1414" spans="1:22" x14ac:dyDescent="0.3">
      <c r="A1414" s="65"/>
      <c r="V1414" s="65"/>
    </row>
    <row r="1415" spans="1:22" x14ac:dyDescent="0.3">
      <c r="A1415" s="65"/>
      <c r="V1415" s="65"/>
    </row>
    <row r="1416" spans="1:22" x14ac:dyDescent="0.3">
      <c r="A1416" s="65"/>
      <c r="V1416" s="65"/>
    </row>
    <row r="1417" spans="1:22" x14ac:dyDescent="0.3">
      <c r="A1417" s="65"/>
      <c r="V1417" s="65"/>
    </row>
    <row r="1418" spans="1:22" x14ac:dyDescent="0.3">
      <c r="A1418" s="65"/>
      <c r="V1418" s="65"/>
    </row>
    <row r="1419" spans="1:22" x14ac:dyDescent="0.3">
      <c r="A1419" s="65"/>
      <c r="V1419" s="65"/>
    </row>
    <row r="1420" spans="1:22" x14ac:dyDescent="0.3">
      <c r="A1420" s="65"/>
      <c r="V1420" s="65"/>
    </row>
    <row r="1421" spans="1:22" x14ac:dyDescent="0.3">
      <c r="A1421" s="65"/>
      <c r="V1421" s="65"/>
    </row>
    <row r="1422" spans="1:22" x14ac:dyDescent="0.3">
      <c r="A1422" s="65"/>
      <c r="V1422" s="65"/>
    </row>
    <row r="1423" spans="1:22" x14ac:dyDescent="0.3">
      <c r="A1423" s="65"/>
      <c r="V1423" s="65"/>
    </row>
    <row r="1424" spans="1:22" x14ac:dyDescent="0.3">
      <c r="A1424" s="65"/>
      <c r="V1424" s="65"/>
    </row>
    <row r="1425" spans="1:22" x14ac:dyDescent="0.3">
      <c r="A1425" s="65"/>
      <c r="V1425" s="65"/>
    </row>
    <row r="1426" spans="1:22" x14ac:dyDescent="0.3">
      <c r="A1426" s="65"/>
      <c r="V1426" s="65"/>
    </row>
    <row r="1427" spans="1:22" x14ac:dyDescent="0.3">
      <c r="A1427" s="65"/>
      <c r="V1427" s="65"/>
    </row>
    <row r="1428" spans="1:22" x14ac:dyDescent="0.3">
      <c r="A1428" s="65"/>
      <c r="V1428" s="65"/>
    </row>
    <row r="1429" spans="1:22" x14ac:dyDescent="0.3">
      <c r="A1429" s="65"/>
      <c r="V1429" s="65"/>
    </row>
    <row r="1430" spans="1:22" x14ac:dyDescent="0.3">
      <c r="A1430" s="65"/>
      <c r="V1430" s="65"/>
    </row>
    <row r="1431" spans="1:22" x14ac:dyDescent="0.3">
      <c r="A1431" s="65"/>
      <c r="V1431" s="65"/>
    </row>
    <row r="1432" spans="1:22" x14ac:dyDescent="0.3">
      <c r="A1432" s="65"/>
      <c r="V1432" s="65"/>
    </row>
    <row r="1433" spans="1:22" x14ac:dyDescent="0.3">
      <c r="A1433" s="65"/>
      <c r="V1433" s="65"/>
    </row>
    <row r="1434" spans="1:22" x14ac:dyDescent="0.3">
      <c r="A1434" s="65"/>
      <c r="V1434" s="65"/>
    </row>
    <row r="1435" spans="1:22" x14ac:dyDescent="0.3">
      <c r="A1435" s="65"/>
      <c r="V1435" s="65"/>
    </row>
    <row r="1436" spans="1:22" x14ac:dyDescent="0.3">
      <c r="A1436" s="65"/>
      <c r="V1436" s="65"/>
    </row>
    <row r="1437" spans="1:22" x14ac:dyDescent="0.3">
      <c r="A1437" s="65"/>
      <c r="V1437" s="65"/>
    </row>
    <row r="1438" spans="1:22" x14ac:dyDescent="0.3">
      <c r="A1438" s="65"/>
      <c r="V1438" s="65"/>
    </row>
    <row r="1439" spans="1:22" x14ac:dyDescent="0.3">
      <c r="A1439" s="65"/>
      <c r="V1439" s="65"/>
    </row>
    <row r="1440" spans="1:22" x14ac:dyDescent="0.3">
      <c r="A1440" s="65"/>
      <c r="V1440" s="65"/>
    </row>
    <row r="1441" spans="1:22" x14ac:dyDescent="0.3">
      <c r="A1441" s="65"/>
      <c r="V1441" s="65"/>
    </row>
    <row r="1442" spans="1:22" x14ac:dyDescent="0.3">
      <c r="A1442" s="65"/>
      <c r="V1442" s="65"/>
    </row>
    <row r="1443" spans="1:22" x14ac:dyDescent="0.3">
      <c r="A1443" s="65"/>
      <c r="V1443" s="65"/>
    </row>
    <row r="1444" spans="1:22" x14ac:dyDescent="0.3">
      <c r="A1444" s="65"/>
      <c r="V1444" s="65"/>
    </row>
    <row r="1445" spans="1:22" x14ac:dyDescent="0.3">
      <c r="A1445" s="65"/>
      <c r="V1445" s="65"/>
    </row>
    <row r="1446" spans="1:22" x14ac:dyDescent="0.3">
      <c r="A1446" s="65"/>
      <c r="V1446" s="65"/>
    </row>
    <row r="1447" spans="1:22" x14ac:dyDescent="0.3">
      <c r="A1447" s="65"/>
      <c r="V1447" s="65"/>
    </row>
    <row r="1448" spans="1:22" x14ac:dyDescent="0.3">
      <c r="A1448" s="65"/>
      <c r="V1448" s="65"/>
    </row>
    <row r="1449" spans="1:22" x14ac:dyDescent="0.3">
      <c r="A1449" s="65"/>
      <c r="V1449" s="65"/>
    </row>
    <row r="1450" spans="1:22" x14ac:dyDescent="0.3">
      <c r="A1450" s="65"/>
      <c r="V1450" s="65"/>
    </row>
    <row r="1451" spans="1:22" x14ac:dyDescent="0.3">
      <c r="A1451" s="65"/>
      <c r="V1451" s="65"/>
    </row>
    <row r="1452" spans="1:22" x14ac:dyDescent="0.3">
      <c r="A1452" s="65"/>
      <c r="V1452" s="65"/>
    </row>
    <row r="1453" spans="1:22" x14ac:dyDescent="0.3">
      <c r="A1453" s="65"/>
      <c r="V1453" s="65"/>
    </row>
    <row r="1454" spans="1:22" x14ac:dyDescent="0.3">
      <c r="A1454" s="65"/>
      <c r="V1454" s="65"/>
    </row>
    <row r="1455" spans="1:22" x14ac:dyDescent="0.3">
      <c r="A1455" s="65"/>
      <c r="V1455" s="65"/>
    </row>
    <row r="1456" spans="1:22" x14ac:dyDescent="0.3">
      <c r="A1456" s="65"/>
      <c r="V1456" s="65"/>
    </row>
    <row r="1457" spans="1:22" x14ac:dyDescent="0.3">
      <c r="A1457" s="65"/>
      <c r="V1457" s="65"/>
    </row>
    <row r="1458" spans="1:22" x14ac:dyDescent="0.3">
      <c r="A1458" s="65"/>
      <c r="V1458" s="65"/>
    </row>
    <row r="1459" spans="1:22" x14ac:dyDescent="0.3">
      <c r="A1459" s="65"/>
      <c r="V1459" s="65"/>
    </row>
    <row r="1460" spans="1:22" x14ac:dyDescent="0.3">
      <c r="A1460" s="65"/>
      <c r="V1460" s="65"/>
    </row>
    <row r="1461" spans="1:22" x14ac:dyDescent="0.3">
      <c r="A1461" s="65"/>
      <c r="V1461" s="65"/>
    </row>
    <row r="1462" spans="1:22" x14ac:dyDescent="0.3">
      <c r="A1462" s="65"/>
      <c r="V1462" s="65"/>
    </row>
    <row r="1463" spans="1:22" x14ac:dyDescent="0.3">
      <c r="A1463" s="65"/>
      <c r="V1463" s="65"/>
    </row>
    <row r="1464" spans="1:22" x14ac:dyDescent="0.3">
      <c r="A1464" s="65"/>
      <c r="V1464" s="65"/>
    </row>
    <row r="1465" spans="1:22" x14ac:dyDescent="0.3">
      <c r="A1465" s="65"/>
      <c r="V1465" s="65"/>
    </row>
    <row r="1466" spans="1:22" x14ac:dyDescent="0.3">
      <c r="A1466" s="65"/>
      <c r="V1466" s="65"/>
    </row>
    <row r="1467" spans="1:22" x14ac:dyDescent="0.3">
      <c r="A1467" s="65"/>
      <c r="V1467" s="65"/>
    </row>
    <row r="1468" spans="1:22" x14ac:dyDescent="0.3">
      <c r="A1468" s="65"/>
      <c r="V1468" s="65"/>
    </row>
    <row r="1469" spans="1:22" x14ac:dyDescent="0.3">
      <c r="A1469" s="65"/>
      <c r="V1469" s="65"/>
    </row>
    <row r="1470" spans="1:22" x14ac:dyDescent="0.3">
      <c r="A1470" s="65"/>
      <c r="V1470" s="65"/>
    </row>
    <row r="1471" spans="1:22" x14ac:dyDescent="0.3">
      <c r="A1471" s="65"/>
      <c r="V1471" s="65"/>
    </row>
    <row r="1472" spans="1:22" x14ac:dyDescent="0.3">
      <c r="A1472" s="65"/>
      <c r="V1472" s="65"/>
    </row>
    <row r="1473" spans="1:22" x14ac:dyDescent="0.3">
      <c r="A1473" s="65"/>
      <c r="V1473" s="65"/>
    </row>
    <row r="1474" spans="1:22" x14ac:dyDescent="0.3">
      <c r="A1474" s="65"/>
      <c r="V1474" s="65"/>
    </row>
    <row r="1475" spans="1:22" x14ac:dyDescent="0.3">
      <c r="A1475" s="65"/>
      <c r="V1475" s="65"/>
    </row>
    <row r="1476" spans="1:22" x14ac:dyDescent="0.3">
      <c r="A1476" s="65"/>
      <c r="V1476" s="65"/>
    </row>
    <row r="1477" spans="1:22" x14ac:dyDescent="0.3">
      <c r="A1477" s="65"/>
      <c r="V1477" s="65"/>
    </row>
    <row r="1478" spans="1:22" x14ac:dyDescent="0.3">
      <c r="A1478" s="65"/>
      <c r="V1478" s="65"/>
    </row>
    <row r="1479" spans="1:22" x14ac:dyDescent="0.3">
      <c r="A1479" s="65"/>
      <c r="V1479" s="65"/>
    </row>
    <row r="1480" spans="1:22" x14ac:dyDescent="0.3">
      <c r="A1480" s="65"/>
      <c r="V1480" s="65"/>
    </row>
    <row r="1481" spans="1:22" x14ac:dyDescent="0.3">
      <c r="A1481" s="65"/>
      <c r="V1481" s="65"/>
    </row>
    <row r="1482" spans="1:22" x14ac:dyDescent="0.3">
      <c r="A1482" s="65"/>
      <c r="V1482" s="65"/>
    </row>
    <row r="1483" spans="1:22" x14ac:dyDescent="0.3">
      <c r="A1483" s="65"/>
      <c r="V1483" s="65"/>
    </row>
    <row r="1484" spans="1:22" x14ac:dyDescent="0.3">
      <c r="A1484" s="65"/>
      <c r="V1484" s="65"/>
    </row>
    <row r="1485" spans="1:22" x14ac:dyDescent="0.3">
      <c r="A1485" s="65"/>
      <c r="V1485" s="65"/>
    </row>
    <row r="1486" spans="1:22" x14ac:dyDescent="0.3">
      <c r="A1486" s="65"/>
      <c r="V1486" s="65"/>
    </row>
    <row r="1487" spans="1:22" x14ac:dyDescent="0.3">
      <c r="A1487" s="65"/>
      <c r="V1487" s="65"/>
    </row>
    <row r="1488" spans="1:22" x14ac:dyDescent="0.3">
      <c r="A1488" s="65"/>
      <c r="V1488" s="65"/>
    </row>
    <row r="1489" spans="1:22" x14ac:dyDescent="0.3">
      <c r="A1489" s="65"/>
      <c r="V1489" s="65"/>
    </row>
    <row r="1490" spans="1:22" x14ac:dyDescent="0.3">
      <c r="A1490" s="65"/>
      <c r="V1490" s="65"/>
    </row>
    <row r="1491" spans="1:22" x14ac:dyDescent="0.3">
      <c r="A1491" s="65"/>
      <c r="V1491" s="65"/>
    </row>
    <row r="1492" spans="1:22" x14ac:dyDescent="0.3">
      <c r="A1492" s="65"/>
      <c r="V1492" s="65"/>
    </row>
    <row r="1493" spans="1:22" x14ac:dyDescent="0.3">
      <c r="A1493" s="65"/>
      <c r="V1493" s="65"/>
    </row>
    <row r="1494" spans="1:22" x14ac:dyDescent="0.3">
      <c r="A1494" s="65"/>
      <c r="V1494" s="65"/>
    </row>
    <row r="1495" spans="1:22" x14ac:dyDescent="0.3">
      <c r="A1495" s="65"/>
      <c r="V1495" s="65"/>
    </row>
    <row r="1496" spans="1:22" x14ac:dyDescent="0.3">
      <c r="A1496" s="65"/>
      <c r="V1496" s="65"/>
    </row>
    <row r="1497" spans="1:22" x14ac:dyDescent="0.3">
      <c r="A1497" s="65"/>
      <c r="V1497" s="65"/>
    </row>
    <row r="1498" spans="1:22" x14ac:dyDescent="0.3">
      <c r="A1498" s="65"/>
      <c r="V1498" s="65"/>
    </row>
    <row r="1499" spans="1:22" x14ac:dyDescent="0.3">
      <c r="A1499" s="65"/>
      <c r="V1499" s="65"/>
    </row>
    <row r="1500" spans="1:22" x14ac:dyDescent="0.3">
      <c r="A1500" s="65"/>
      <c r="V1500" s="65"/>
    </row>
    <row r="1501" spans="1:22" x14ac:dyDescent="0.3">
      <c r="A1501" s="65"/>
      <c r="V1501" s="65"/>
    </row>
    <row r="1502" spans="1:22" x14ac:dyDescent="0.3">
      <c r="A1502" s="65"/>
      <c r="V1502" s="65"/>
    </row>
    <row r="1503" spans="1:22" x14ac:dyDescent="0.3">
      <c r="A1503" s="65"/>
      <c r="V1503" s="65"/>
    </row>
    <row r="1504" spans="1:22" x14ac:dyDescent="0.3">
      <c r="A1504" s="65"/>
      <c r="V1504" s="65"/>
    </row>
    <row r="1505" spans="1:22" x14ac:dyDescent="0.3">
      <c r="A1505" s="65"/>
      <c r="V1505" s="65"/>
    </row>
    <row r="1506" spans="1:22" x14ac:dyDescent="0.3">
      <c r="A1506" s="65"/>
      <c r="V1506" s="65"/>
    </row>
    <row r="1507" spans="1:22" x14ac:dyDescent="0.3">
      <c r="A1507" s="65"/>
      <c r="V1507" s="65"/>
    </row>
    <row r="1508" spans="1:22" x14ac:dyDescent="0.3">
      <c r="A1508" s="65"/>
      <c r="V1508" s="65"/>
    </row>
    <row r="1509" spans="1:22" x14ac:dyDescent="0.3">
      <c r="A1509" s="65"/>
      <c r="V1509" s="65"/>
    </row>
    <row r="1510" spans="1:22" x14ac:dyDescent="0.3">
      <c r="A1510" s="65"/>
      <c r="V1510" s="65"/>
    </row>
    <row r="1511" spans="1:22" x14ac:dyDescent="0.3">
      <c r="A1511" s="65"/>
      <c r="V1511" s="65"/>
    </row>
    <row r="1512" spans="1:22" x14ac:dyDescent="0.3">
      <c r="A1512" s="65"/>
      <c r="V1512" s="65"/>
    </row>
    <row r="1513" spans="1:22" x14ac:dyDescent="0.3">
      <c r="A1513" s="65"/>
      <c r="V1513" s="65"/>
    </row>
    <row r="1514" spans="1:22" x14ac:dyDescent="0.3">
      <c r="A1514" s="65"/>
      <c r="V1514" s="65"/>
    </row>
    <row r="1515" spans="1:22" x14ac:dyDescent="0.3">
      <c r="A1515" s="65"/>
      <c r="V1515" s="65"/>
    </row>
    <row r="1516" spans="1:22" x14ac:dyDescent="0.3">
      <c r="A1516" s="65"/>
      <c r="V1516" s="65"/>
    </row>
    <row r="1517" spans="1:22" x14ac:dyDescent="0.3">
      <c r="A1517" s="65"/>
      <c r="V1517" s="65"/>
    </row>
    <row r="1518" spans="1:22" x14ac:dyDescent="0.3">
      <c r="A1518" s="65"/>
      <c r="V1518" s="65"/>
    </row>
    <row r="1519" spans="1:22" x14ac:dyDescent="0.3">
      <c r="A1519" s="65"/>
      <c r="V1519" s="65"/>
    </row>
    <row r="1520" spans="1:22" x14ac:dyDescent="0.3">
      <c r="A1520" s="65"/>
      <c r="V1520" s="65"/>
    </row>
    <row r="1521" spans="1:22" x14ac:dyDescent="0.3">
      <c r="A1521" s="65"/>
      <c r="V1521" s="65"/>
    </row>
    <row r="1522" spans="1:22" x14ac:dyDescent="0.3">
      <c r="A1522" s="65"/>
      <c r="V1522" s="65"/>
    </row>
    <row r="1523" spans="1:22" x14ac:dyDescent="0.3">
      <c r="A1523" s="65"/>
      <c r="V1523" s="65"/>
    </row>
    <row r="1524" spans="1:22" x14ac:dyDescent="0.3">
      <c r="A1524" s="65"/>
      <c r="V1524" s="65"/>
    </row>
    <row r="1525" spans="1:22" x14ac:dyDescent="0.3">
      <c r="A1525" s="65"/>
      <c r="V1525" s="65"/>
    </row>
    <row r="1526" spans="1:22" x14ac:dyDescent="0.3">
      <c r="A1526" s="65"/>
      <c r="V1526" s="65"/>
    </row>
    <row r="1527" spans="1:22" x14ac:dyDescent="0.3">
      <c r="A1527" s="65"/>
      <c r="V1527" s="65"/>
    </row>
    <row r="1528" spans="1:22" x14ac:dyDescent="0.3">
      <c r="A1528" s="65"/>
      <c r="V1528" s="65"/>
    </row>
    <row r="1529" spans="1:22" x14ac:dyDescent="0.3">
      <c r="A1529" s="65"/>
      <c r="V1529" s="65"/>
    </row>
    <row r="1530" spans="1:22" x14ac:dyDescent="0.3">
      <c r="A1530" s="65"/>
      <c r="V1530" s="65"/>
    </row>
    <row r="1531" spans="1:22" x14ac:dyDescent="0.3">
      <c r="A1531" s="65"/>
      <c r="V1531" s="65"/>
    </row>
    <row r="1532" spans="1:22" x14ac:dyDescent="0.3">
      <c r="A1532" s="65"/>
      <c r="V1532" s="65"/>
    </row>
    <row r="1533" spans="1:22" x14ac:dyDescent="0.3">
      <c r="A1533" s="65"/>
      <c r="V1533" s="65"/>
    </row>
    <row r="1534" spans="1:22" x14ac:dyDescent="0.3">
      <c r="A1534" s="65"/>
      <c r="V1534" s="65"/>
    </row>
    <row r="1535" spans="1:22" x14ac:dyDescent="0.3">
      <c r="A1535" s="65"/>
      <c r="V1535" s="65"/>
    </row>
    <row r="1536" spans="1:22" x14ac:dyDescent="0.3">
      <c r="A1536" s="65"/>
      <c r="V1536" s="65"/>
    </row>
    <row r="1537" spans="1:22" x14ac:dyDescent="0.3">
      <c r="A1537" s="65"/>
      <c r="V1537" s="65"/>
    </row>
    <row r="1538" spans="1:22" x14ac:dyDescent="0.3">
      <c r="A1538" s="65"/>
      <c r="V1538" s="65"/>
    </row>
    <row r="1539" spans="1:22" x14ac:dyDescent="0.3">
      <c r="A1539" s="65"/>
      <c r="V1539" s="65"/>
    </row>
    <row r="1540" spans="1:22" x14ac:dyDescent="0.3">
      <c r="A1540" s="65"/>
      <c r="V1540" s="65"/>
    </row>
    <row r="1541" spans="1:22" x14ac:dyDescent="0.3">
      <c r="A1541" s="65"/>
      <c r="V1541" s="65"/>
    </row>
    <row r="1542" spans="1:22" x14ac:dyDescent="0.3">
      <c r="A1542" s="65"/>
      <c r="V1542" s="65"/>
    </row>
    <row r="1543" spans="1:22" x14ac:dyDescent="0.3">
      <c r="A1543" s="65"/>
      <c r="V1543" s="65"/>
    </row>
    <row r="1544" spans="1:22" x14ac:dyDescent="0.3">
      <c r="A1544" s="65"/>
      <c r="V1544" s="65"/>
    </row>
    <row r="1545" spans="1:22" x14ac:dyDescent="0.3">
      <c r="A1545" s="65"/>
      <c r="V1545" s="65"/>
    </row>
    <row r="1546" spans="1:22" x14ac:dyDescent="0.3">
      <c r="A1546" s="65"/>
      <c r="V1546" s="65"/>
    </row>
    <row r="1547" spans="1:22" x14ac:dyDescent="0.3">
      <c r="A1547" s="65"/>
      <c r="V1547" s="65"/>
    </row>
    <row r="1548" spans="1:22" x14ac:dyDescent="0.3">
      <c r="A1548" s="65"/>
      <c r="V1548" s="65"/>
    </row>
    <row r="1549" spans="1:22" x14ac:dyDescent="0.3">
      <c r="A1549" s="65"/>
      <c r="V1549" s="65"/>
    </row>
    <row r="1550" spans="1:22" x14ac:dyDescent="0.3">
      <c r="A1550" s="65"/>
      <c r="V1550" s="65"/>
    </row>
    <row r="1551" spans="1:22" x14ac:dyDescent="0.3">
      <c r="A1551" s="65"/>
      <c r="V1551" s="65"/>
    </row>
    <row r="1552" spans="1:22" x14ac:dyDescent="0.3">
      <c r="A1552" s="65"/>
      <c r="V1552" s="65"/>
    </row>
    <row r="1553" spans="1:22" x14ac:dyDescent="0.3">
      <c r="A1553" s="65"/>
      <c r="V1553" s="65"/>
    </row>
    <row r="1554" spans="1:22" x14ac:dyDescent="0.3">
      <c r="A1554" s="65"/>
      <c r="V1554" s="65"/>
    </row>
    <row r="1555" spans="1:22" x14ac:dyDescent="0.3">
      <c r="A1555" s="65"/>
      <c r="V1555" s="65"/>
    </row>
    <row r="1556" spans="1:22" x14ac:dyDescent="0.3">
      <c r="A1556" s="65"/>
      <c r="V1556" s="65"/>
    </row>
    <row r="1557" spans="1:22" x14ac:dyDescent="0.3">
      <c r="A1557" s="65"/>
      <c r="V1557" s="65"/>
    </row>
    <row r="1558" spans="1:22" x14ac:dyDescent="0.3">
      <c r="A1558" s="65"/>
      <c r="V1558" s="65"/>
    </row>
    <row r="1559" spans="1:22" x14ac:dyDescent="0.3">
      <c r="A1559" s="65"/>
      <c r="V1559" s="65"/>
    </row>
    <row r="1560" spans="1:22" x14ac:dyDescent="0.3">
      <c r="A1560" s="65"/>
      <c r="V1560" s="65"/>
    </row>
    <row r="1561" spans="1:22" x14ac:dyDescent="0.3">
      <c r="A1561" s="65"/>
      <c r="V1561" s="65"/>
    </row>
    <row r="1562" spans="1:22" x14ac:dyDescent="0.3">
      <c r="A1562" s="65"/>
      <c r="V1562" s="65"/>
    </row>
    <row r="1563" spans="1:22" x14ac:dyDescent="0.3">
      <c r="A1563" s="65"/>
      <c r="V1563" s="65"/>
    </row>
    <row r="1564" spans="1:22" x14ac:dyDescent="0.3">
      <c r="A1564" s="65"/>
      <c r="V1564" s="65"/>
    </row>
    <row r="1565" spans="1:22" x14ac:dyDescent="0.3">
      <c r="A1565" s="65"/>
      <c r="V1565" s="65"/>
    </row>
    <row r="1566" spans="1:22" x14ac:dyDescent="0.3">
      <c r="A1566" s="65"/>
      <c r="V1566" s="65"/>
    </row>
    <row r="1567" spans="1:22" x14ac:dyDescent="0.3">
      <c r="A1567" s="65"/>
      <c r="V1567" s="65"/>
    </row>
    <row r="1568" spans="1:22" x14ac:dyDescent="0.3">
      <c r="A1568" s="65"/>
      <c r="V1568" s="65"/>
    </row>
    <row r="1569" spans="1:22" x14ac:dyDescent="0.3">
      <c r="A1569" s="65"/>
      <c r="V1569" s="65"/>
    </row>
    <row r="1570" spans="1:22" x14ac:dyDescent="0.3">
      <c r="A1570" s="65"/>
      <c r="V1570" s="65"/>
    </row>
    <row r="1571" spans="1:22" x14ac:dyDescent="0.3">
      <c r="A1571" s="65"/>
      <c r="V1571" s="65"/>
    </row>
    <row r="1572" spans="1:22" x14ac:dyDescent="0.3">
      <c r="A1572" s="65"/>
      <c r="V1572" s="65"/>
    </row>
    <row r="1573" spans="1:22" x14ac:dyDescent="0.3">
      <c r="A1573" s="65"/>
      <c r="V1573" s="65"/>
    </row>
    <row r="1574" spans="1:22" x14ac:dyDescent="0.3">
      <c r="A1574" s="65"/>
      <c r="V1574" s="65"/>
    </row>
    <row r="1575" spans="1:22" x14ac:dyDescent="0.3">
      <c r="A1575" s="65"/>
      <c r="V1575" s="65"/>
    </row>
    <row r="1576" spans="1:22" x14ac:dyDescent="0.3">
      <c r="A1576" s="65"/>
      <c r="V1576" s="65"/>
    </row>
    <row r="1577" spans="1:22" x14ac:dyDescent="0.3">
      <c r="A1577" s="65"/>
      <c r="V1577" s="65"/>
    </row>
    <row r="1578" spans="1:22" x14ac:dyDescent="0.3">
      <c r="A1578" s="65"/>
      <c r="V1578" s="65"/>
    </row>
    <row r="1579" spans="1:22" x14ac:dyDescent="0.3">
      <c r="A1579" s="65"/>
      <c r="V1579" s="65"/>
    </row>
    <row r="1580" spans="1:22" x14ac:dyDescent="0.3">
      <c r="A1580" s="65"/>
      <c r="V1580" s="65"/>
    </row>
    <row r="1581" spans="1:22" x14ac:dyDescent="0.3">
      <c r="A1581" s="65"/>
      <c r="V1581" s="65"/>
    </row>
    <row r="1582" spans="1:22" x14ac:dyDescent="0.3">
      <c r="A1582" s="65"/>
      <c r="V1582" s="65"/>
    </row>
    <row r="1583" spans="1:22" x14ac:dyDescent="0.3">
      <c r="A1583" s="65"/>
      <c r="V1583" s="65"/>
    </row>
    <row r="1584" spans="1:22" x14ac:dyDescent="0.3">
      <c r="A1584" s="65"/>
      <c r="V1584" s="65"/>
    </row>
    <row r="1585" spans="1:22" x14ac:dyDescent="0.3">
      <c r="A1585" s="65"/>
      <c r="V1585" s="65"/>
    </row>
    <row r="1586" spans="1:22" x14ac:dyDescent="0.3">
      <c r="A1586" s="65"/>
      <c r="V1586" s="65"/>
    </row>
    <row r="1587" spans="1:22" x14ac:dyDescent="0.3">
      <c r="A1587" s="65"/>
      <c r="V1587" s="65"/>
    </row>
    <row r="1588" spans="1:22" x14ac:dyDescent="0.3">
      <c r="A1588" s="65"/>
      <c r="V1588" s="65"/>
    </row>
    <row r="1589" spans="1:22" x14ac:dyDescent="0.3">
      <c r="A1589" s="65"/>
      <c r="V1589" s="65"/>
    </row>
    <row r="1590" spans="1:22" x14ac:dyDescent="0.3">
      <c r="A1590" s="65"/>
      <c r="V1590" s="65"/>
    </row>
    <row r="1591" spans="1:22" x14ac:dyDescent="0.3">
      <c r="A1591" s="65"/>
      <c r="V1591" s="65"/>
    </row>
    <row r="1592" spans="1:22" x14ac:dyDescent="0.3">
      <c r="A1592" s="65"/>
      <c r="V1592" s="65"/>
    </row>
    <row r="1593" spans="1:22" x14ac:dyDescent="0.3">
      <c r="A1593" s="65"/>
      <c r="V1593" s="65"/>
    </row>
    <row r="1594" spans="1:22" x14ac:dyDescent="0.3">
      <c r="A1594" s="65"/>
      <c r="V1594" s="65"/>
    </row>
    <row r="1595" spans="1:22" x14ac:dyDescent="0.3">
      <c r="A1595" s="65"/>
      <c r="V1595" s="65"/>
    </row>
    <row r="1596" spans="1:22" x14ac:dyDescent="0.3">
      <c r="A1596" s="65"/>
      <c r="V1596" s="65"/>
    </row>
    <row r="1597" spans="1:22" x14ac:dyDescent="0.3">
      <c r="A1597" s="65"/>
      <c r="V1597" s="65"/>
    </row>
    <row r="1598" spans="1:22" x14ac:dyDescent="0.3">
      <c r="A1598" s="65"/>
      <c r="V1598" s="65"/>
    </row>
    <row r="1599" spans="1:22" x14ac:dyDescent="0.3">
      <c r="A1599" s="65"/>
      <c r="V1599" s="65"/>
    </row>
    <row r="1600" spans="1:22" x14ac:dyDescent="0.3">
      <c r="A1600" s="65"/>
      <c r="V1600" s="65"/>
    </row>
    <row r="1601" spans="1:22" x14ac:dyDescent="0.3">
      <c r="A1601" s="65"/>
      <c r="V1601" s="65"/>
    </row>
    <row r="1602" spans="1:22" x14ac:dyDescent="0.3">
      <c r="A1602" s="65"/>
      <c r="V1602" s="65"/>
    </row>
    <row r="1603" spans="1:22" x14ac:dyDescent="0.3">
      <c r="A1603" s="65"/>
      <c r="V1603" s="65"/>
    </row>
    <row r="1604" spans="1:22" x14ac:dyDescent="0.3">
      <c r="A1604" s="65"/>
      <c r="V1604" s="65"/>
    </row>
    <row r="1605" spans="1:22" x14ac:dyDescent="0.3">
      <c r="A1605" s="65"/>
      <c r="V1605" s="65"/>
    </row>
    <row r="1606" spans="1:22" x14ac:dyDescent="0.3">
      <c r="A1606" s="65"/>
      <c r="V1606" s="65"/>
    </row>
    <row r="1607" spans="1:22" x14ac:dyDescent="0.3">
      <c r="A1607" s="65"/>
      <c r="V1607" s="65"/>
    </row>
    <row r="1608" spans="1:22" x14ac:dyDescent="0.3">
      <c r="A1608" s="65"/>
      <c r="V1608" s="65"/>
    </row>
    <row r="1609" spans="1:22" x14ac:dyDescent="0.3">
      <c r="A1609" s="65"/>
      <c r="V1609" s="65"/>
    </row>
    <row r="1610" spans="1:22" x14ac:dyDescent="0.3">
      <c r="A1610" s="65"/>
      <c r="V1610" s="65"/>
    </row>
    <row r="1611" spans="1:22" x14ac:dyDescent="0.3">
      <c r="A1611" s="65"/>
      <c r="V1611" s="65"/>
    </row>
    <row r="1612" spans="1:22" x14ac:dyDescent="0.3">
      <c r="A1612" s="65"/>
      <c r="V1612" s="65"/>
    </row>
    <row r="1613" spans="1:22" x14ac:dyDescent="0.3">
      <c r="A1613" s="65"/>
      <c r="V1613" s="65"/>
    </row>
    <row r="1614" spans="1:22" x14ac:dyDescent="0.3">
      <c r="A1614" s="65"/>
      <c r="V1614" s="65"/>
    </row>
    <row r="1615" spans="1:22" x14ac:dyDescent="0.3">
      <c r="A1615" s="65"/>
      <c r="V1615" s="65"/>
    </row>
    <row r="1616" spans="1:22" x14ac:dyDescent="0.3">
      <c r="A1616" s="65"/>
      <c r="V1616" s="65"/>
    </row>
    <row r="1617" spans="1:22" x14ac:dyDescent="0.3">
      <c r="A1617" s="65"/>
      <c r="V1617" s="65"/>
    </row>
    <row r="1618" spans="1:22" x14ac:dyDescent="0.3">
      <c r="A1618" s="65"/>
      <c r="V1618" s="65"/>
    </row>
    <row r="1619" spans="1:22" x14ac:dyDescent="0.3">
      <c r="A1619" s="65"/>
      <c r="V1619" s="65"/>
    </row>
    <row r="1620" spans="1:22" x14ac:dyDescent="0.3">
      <c r="A1620" s="65"/>
      <c r="V1620" s="65"/>
    </row>
    <row r="1621" spans="1:22" x14ac:dyDescent="0.3">
      <c r="A1621" s="65"/>
      <c r="V1621" s="65"/>
    </row>
    <row r="1622" spans="1:22" x14ac:dyDescent="0.3">
      <c r="A1622" s="65"/>
      <c r="V1622" s="65"/>
    </row>
    <row r="1623" spans="1:22" x14ac:dyDescent="0.3">
      <c r="A1623" s="65"/>
      <c r="V1623" s="65"/>
    </row>
    <row r="1624" spans="1:22" x14ac:dyDescent="0.3">
      <c r="A1624" s="65"/>
      <c r="V1624" s="65"/>
    </row>
    <row r="1625" spans="1:22" x14ac:dyDescent="0.3">
      <c r="A1625" s="65"/>
      <c r="V1625" s="65"/>
    </row>
    <row r="1626" spans="1:22" x14ac:dyDescent="0.3">
      <c r="A1626" s="65"/>
      <c r="V1626" s="65"/>
    </row>
    <row r="1627" spans="1:22" x14ac:dyDescent="0.3">
      <c r="A1627" s="65"/>
      <c r="V1627" s="65"/>
    </row>
    <row r="1628" spans="1:22" x14ac:dyDescent="0.3">
      <c r="A1628" s="65"/>
      <c r="V1628" s="65"/>
    </row>
    <row r="1629" spans="1:22" x14ac:dyDescent="0.3">
      <c r="A1629" s="65"/>
      <c r="V1629" s="65"/>
    </row>
    <row r="1630" spans="1:22" x14ac:dyDescent="0.3">
      <c r="A1630" s="65"/>
      <c r="V1630" s="65"/>
    </row>
    <row r="1631" spans="1:22" x14ac:dyDescent="0.3">
      <c r="A1631" s="65"/>
      <c r="V1631" s="65"/>
    </row>
    <row r="1632" spans="1:22" x14ac:dyDescent="0.3">
      <c r="A1632" s="65"/>
      <c r="V1632" s="65"/>
    </row>
    <row r="1633" spans="1:22" x14ac:dyDescent="0.3">
      <c r="A1633" s="65"/>
      <c r="V1633" s="65"/>
    </row>
    <row r="1634" spans="1:22" x14ac:dyDescent="0.3">
      <c r="A1634" s="65"/>
      <c r="V1634" s="65"/>
    </row>
    <row r="1635" spans="1:22" x14ac:dyDescent="0.3">
      <c r="A1635" s="65"/>
      <c r="V1635" s="65"/>
    </row>
    <row r="1636" spans="1:22" x14ac:dyDescent="0.3">
      <c r="A1636" s="65"/>
      <c r="V1636" s="65"/>
    </row>
    <row r="1637" spans="1:22" x14ac:dyDescent="0.3">
      <c r="A1637" s="65"/>
      <c r="V1637" s="65"/>
    </row>
    <row r="1638" spans="1:22" x14ac:dyDescent="0.3">
      <c r="A1638" s="65"/>
      <c r="V1638" s="65"/>
    </row>
    <row r="1639" spans="1:22" x14ac:dyDescent="0.3">
      <c r="A1639" s="65"/>
      <c r="V1639" s="65"/>
    </row>
    <row r="1640" spans="1:22" x14ac:dyDescent="0.3">
      <c r="A1640" s="65"/>
      <c r="V1640" s="65"/>
    </row>
    <row r="1641" spans="1:22" x14ac:dyDescent="0.3">
      <c r="A1641" s="65"/>
      <c r="V1641" s="65"/>
    </row>
    <row r="1642" spans="1:22" x14ac:dyDescent="0.3">
      <c r="A1642" s="65"/>
      <c r="V1642" s="65"/>
    </row>
    <row r="1643" spans="1:22" x14ac:dyDescent="0.3">
      <c r="A1643" s="65"/>
      <c r="V1643" s="65"/>
    </row>
    <row r="1644" spans="1:22" x14ac:dyDescent="0.3">
      <c r="A1644" s="65"/>
      <c r="V1644" s="65"/>
    </row>
    <row r="1645" spans="1:22" x14ac:dyDescent="0.3">
      <c r="A1645" s="65"/>
      <c r="V1645" s="65"/>
    </row>
    <row r="1646" spans="1:22" x14ac:dyDescent="0.3">
      <c r="A1646" s="65"/>
      <c r="V1646" s="65"/>
    </row>
    <row r="1647" spans="1:22" x14ac:dyDescent="0.3">
      <c r="A1647" s="65"/>
      <c r="V1647" s="65"/>
    </row>
    <row r="1648" spans="1:22" x14ac:dyDescent="0.3">
      <c r="A1648" s="65"/>
      <c r="V1648" s="65"/>
    </row>
    <row r="1649" spans="1:22" x14ac:dyDescent="0.3">
      <c r="A1649" s="65"/>
      <c r="V1649" s="65"/>
    </row>
    <row r="1650" spans="1:22" x14ac:dyDescent="0.3">
      <c r="A1650" s="65"/>
      <c r="V1650" s="65"/>
    </row>
    <row r="1651" spans="1:22" x14ac:dyDescent="0.3">
      <c r="A1651" s="65"/>
      <c r="V1651" s="65"/>
    </row>
    <row r="1652" spans="1:22" x14ac:dyDescent="0.3">
      <c r="A1652" s="65"/>
      <c r="V1652" s="65"/>
    </row>
    <row r="1653" spans="1:22" x14ac:dyDescent="0.3">
      <c r="A1653" s="65"/>
      <c r="V1653" s="65"/>
    </row>
    <row r="1654" spans="1:22" x14ac:dyDescent="0.3">
      <c r="A1654" s="65"/>
      <c r="V1654" s="65"/>
    </row>
    <row r="1655" spans="1:22" x14ac:dyDescent="0.3">
      <c r="A1655" s="65"/>
      <c r="V1655" s="65"/>
    </row>
    <row r="1656" spans="1:22" x14ac:dyDescent="0.3">
      <c r="A1656" s="65"/>
      <c r="V1656" s="65"/>
    </row>
    <row r="1657" spans="1:22" x14ac:dyDescent="0.3">
      <c r="A1657" s="65"/>
      <c r="V1657" s="65"/>
    </row>
    <row r="1658" spans="1:22" x14ac:dyDescent="0.3">
      <c r="A1658" s="65"/>
      <c r="V1658" s="65"/>
    </row>
    <row r="1659" spans="1:22" x14ac:dyDescent="0.3">
      <c r="A1659" s="65"/>
      <c r="V1659" s="65"/>
    </row>
    <row r="1660" spans="1:22" x14ac:dyDescent="0.3">
      <c r="A1660" s="65"/>
      <c r="V1660" s="65"/>
    </row>
    <row r="1661" spans="1:22" x14ac:dyDescent="0.3">
      <c r="A1661" s="65"/>
      <c r="V1661" s="65"/>
    </row>
    <row r="1662" spans="1:22" x14ac:dyDescent="0.3">
      <c r="A1662" s="65"/>
      <c r="V1662" s="65"/>
    </row>
    <row r="1663" spans="1:22" x14ac:dyDescent="0.3">
      <c r="A1663" s="65"/>
      <c r="V1663" s="65"/>
    </row>
    <row r="1664" spans="1:22" x14ac:dyDescent="0.3">
      <c r="A1664" s="65"/>
      <c r="V1664" s="65"/>
    </row>
    <row r="1665" spans="1:22" x14ac:dyDescent="0.3">
      <c r="A1665" s="65"/>
      <c r="V1665" s="65"/>
    </row>
    <row r="1666" spans="1:22" x14ac:dyDescent="0.3">
      <c r="A1666" s="65"/>
      <c r="V1666" s="65"/>
    </row>
    <row r="1667" spans="1:22" x14ac:dyDescent="0.3">
      <c r="A1667" s="65"/>
      <c r="V1667" s="65"/>
    </row>
    <row r="1668" spans="1:22" x14ac:dyDescent="0.3">
      <c r="A1668" s="65"/>
      <c r="V1668" s="65"/>
    </row>
    <row r="1669" spans="1:22" x14ac:dyDescent="0.3">
      <c r="A1669" s="65"/>
      <c r="V1669" s="65"/>
    </row>
    <row r="1670" spans="1:22" x14ac:dyDescent="0.3">
      <c r="A1670" s="65"/>
      <c r="V1670" s="65"/>
    </row>
    <row r="1671" spans="1:22" x14ac:dyDescent="0.3">
      <c r="A1671" s="65"/>
      <c r="V1671" s="65"/>
    </row>
    <row r="1672" spans="1:22" x14ac:dyDescent="0.3">
      <c r="A1672" s="65"/>
      <c r="V1672" s="65"/>
    </row>
    <row r="1673" spans="1:22" x14ac:dyDescent="0.3">
      <c r="A1673" s="65"/>
      <c r="V1673" s="65"/>
    </row>
    <row r="1674" spans="1:22" x14ac:dyDescent="0.3">
      <c r="A1674" s="65"/>
      <c r="V1674" s="65"/>
    </row>
    <row r="1675" spans="1:22" x14ac:dyDescent="0.3">
      <c r="A1675" s="65"/>
      <c r="V1675" s="65"/>
    </row>
    <row r="1676" spans="1:22" x14ac:dyDescent="0.3">
      <c r="A1676" s="65"/>
      <c r="V1676" s="65"/>
    </row>
    <row r="1677" spans="1:22" x14ac:dyDescent="0.3">
      <c r="A1677" s="65"/>
      <c r="V1677" s="65"/>
    </row>
    <row r="1678" spans="1:22" x14ac:dyDescent="0.3">
      <c r="A1678" s="65"/>
      <c r="V1678" s="65"/>
    </row>
    <row r="1679" spans="1:22" x14ac:dyDescent="0.3">
      <c r="A1679" s="65"/>
      <c r="V1679" s="65"/>
    </row>
    <row r="1680" spans="1:22" x14ac:dyDescent="0.3">
      <c r="A1680" s="65"/>
      <c r="V1680" s="65"/>
    </row>
    <row r="1681" spans="1:22" x14ac:dyDescent="0.3">
      <c r="A1681" s="65"/>
      <c r="V1681" s="65"/>
    </row>
    <row r="1682" spans="1:22" x14ac:dyDescent="0.3">
      <c r="A1682" s="65"/>
      <c r="V1682" s="65"/>
    </row>
    <row r="1683" spans="1:22" x14ac:dyDescent="0.3">
      <c r="A1683" s="65"/>
      <c r="V1683" s="65"/>
    </row>
    <row r="1684" spans="1:22" x14ac:dyDescent="0.3">
      <c r="A1684" s="65"/>
      <c r="V1684" s="65"/>
    </row>
    <row r="1685" spans="1:22" x14ac:dyDescent="0.3">
      <c r="A1685" s="65"/>
      <c r="V1685" s="65"/>
    </row>
    <row r="1686" spans="1:22" x14ac:dyDescent="0.3">
      <c r="A1686" s="65"/>
      <c r="V1686" s="65"/>
    </row>
    <row r="1687" spans="1:22" x14ac:dyDescent="0.3">
      <c r="A1687" s="65"/>
      <c r="V1687" s="65"/>
    </row>
    <row r="1688" spans="1:22" x14ac:dyDescent="0.3">
      <c r="A1688" s="65"/>
      <c r="V1688" s="65"/>
    </row>
    <row r="1689" spans="1:22" x14ac:dyDescent="0.3">
      <c r="A1689" s="65"/>
      <c r="V1689" s="65"/>
    </row>
    <row r="1690" spans="1:22" x14ac:dyDescent="0.3">
      <c r="A1690" s="65"/>
      <c r="V1690" s="65"/>
    </row>
    <row r="1691" spans="1:22" x14ac:dyDescent="0.3">
      <c r="A1691" s="65"/>
      <c r="V1691" s="65"/>
    </row>
    <row r="1692" spans="1:22" x14ac:dyDescent="0.3">
      <c r="A1692" s="65"/>
      <c r="V1692" s="65"/>
    </row>
    <row r="1693" spans="1:22" x14ac:dyDescent="0.3">
      <c r="A1693" s="65"/>
      <c r="V1693" s="65"/>
    </row>
    <row r="1694" spans="1:22" x14ac:dyDescent="0.3">
      <c r="A1694" s="65"/>
      <c r="V1694" s="65"/>
    </row>
    <row r="1695" spans="1:22" x14ac:dyDescent="0.3">
      <c r="A1695" s="65"/>
      <c r="V1695" s="65"/>
    </row>
    <row r="1696" spans="1:22" x14ac:dyDescent="0.3">
      <c r="A1696" s="65"/>
      <c r="V1696" s="65"/>
    </row>
    <row r="1697" spans="1:22" x14ac:dyDescent="0.3">
      <c r="A1697" s="65"/>
      <c r="V1697" s="65"/>
    </row>
    <row r="1698" spans="1:22" x14ac:dyDescent="0.3">
      <c r="A1698" s="65"/>
      <c r="V1698" s="65"/>
    </row>
    <row r="1699" spans="1:22" x14ac:dyDescent="0.3">
      <c r="A1699" s="65"/>
      <c r="V1699" s="65"/>
    </row>
    <row r="1700" spans="1:22" x14ac:dyDescent="0.3">
      <c r="A1700" s="65"/>
      <c r="V1700" s="65"/>
    </row>
    <row r="1701" spans="1:22" x14ac:dyDescent="0.3">
      <c r="A1701" s="65"/>
      <c r="V1701" s="65"/>
    </row>
    <row r="1702" spans="1:22" x14ac:dyDescent="0.3">
      <c r="A1702" s="65"/>
      <c r="V1702" s="65"/>
    </row>
    <row r="1703" spans="1:22" x14ac:dyDescent="0.3">
      <c r="A1703" s="65"/>
      <c r="V1703" s="65"/>
    </row>
    <row r="1704" spans="1:22" x14ac:dyDescent="0.3">
      <c r="A1704" s="65"/>
      <c r="V1704" s="65"/>
    </row>
    <row r="1705" spans="1:22" x14ac:dyDescent="0.3">
      <c r="A1705" s="65"/>
      <c r="V1705" s="65"/>
    </row>
    <row r="1706" spans="1:22" x14ac:dyDescent="0.3">
      <c r="A1706" s="65"/>
      <c r="V1706" s="65"/>
    </row>
    <row r="1707" spans="1:22" x14ac:dyDescent="0.3">
      <c r="A1707" s="65"/>
      <c r="V1707" s="65"/>
    </row>
    <row r="1708" spans="1:22" x14ac:dyDescent="0.3">
      <c r="A1708" s="65"/>
      <c r="V1708" s="65"/>
    </row>
    <row r="1709" spans="1:22" x14ac:dyDescent="0.3">
      <c r="A1709" s="65"/>
      <c r="V1709" s="65"/>
    </row>
    <row r="1710" spans="1:22" x14ac:dyDescent="0.3">
      <c r="A1710" s="65"/>
      <c r="V1710" s="65"/>
    </row>
    <row r="1711" spans="1:22" x14ac:dyDescent="0.3">
      <c r="A1711" s="65"/>
      <c r="V1711" s="65"/>
    </row>
    <row r="1712" spans="1:22" x14ac:dyDescent="0.3">
      <c r="A1712" s="65"/>
      <c r="V1712" s="65"/>
    </row>
    <row r="1713" spans="1:22" x14ac:dyDescent="0.3">
      <c r="A1713" s="65"/>
      <c r="V1713" s="65"/>
    </row>
    <row r="1714" spans="1:22" x14ac:dyDescent="0.3">
      <c r="A1714" s="65"/>
      <c r="V1714" s="65"/>
    </row>
    <row r="1715" spans="1:22" x14ac:dyDescent="0.3">
      <c r="A1715" s="65"/>
      <c r="V1715" s="65"/>
    </row>
    <row r="1716" spans="1:22" x14ac:dyDescent="0.3">
      <c r="A1716" s="65"/>
      <c r="V1716" s="65"/>
    </row>
    <row r="1717" spans="1:22" x14ac:dyDescent="0.3">
      <c r="A1717" s="65"/>
      <c r="V1717" s="65"/>
    </row>
    <row r="1718" spans="1:22" x14ac:dyDescent="0.3">
      <c r="A1718" s="65"/>
      <c r="V1718" s="65"/>
    </row>
    <row r="1719" spans="1:22" x14ac:dyDescent="0.3">
      <c r="A1719" s="65"/>
      <c r="V1719" s="65"/>
    </row>
    <row r="1720" spans="1:22" x14ac:dyDescent="0.3">
      <c r="A1720" s="65"/>
      <c r="V1720" s="65"/>
    </row>
    <row r="1721" spans="1:22" x14ac:dyDescent="0.3">
      <c r="A1721" s="65"/>
      <c r="V1721" s="65"/>
    </row>
    <row r="1722" spans="1:22" x14ac:dyDescent="0.3">
      <c r="A1722" s="65"/>
      <c r="V1722" s="65"/>
    </row>
    <row r="1723" spans="1:22" x14ac:dyDescent="0.3">
      <c r="A1723" s="65"/>
      <c r="V1723" s="65"/>
    </row>
    <row r="1724" spans="1:22" x14ac:dyDescent="0.3">
      <c r="A1724" s="65"/>
      <c r="V1724" s="65"/>
    </row>
    <row r="1725" spans="1:22" x14ac:dyDescent="0.3">
      <c r="A1725" s="65"/>
      <c r="V1725" s="65"/>
    </row>
    <row r="1726" spans="1:22" x14ac:dyDescent="0.3">
      <c r="A1726" s="65"/>
      <c r="V1726" s="65"/>
    </row>
    <row r="1727" spans="1:22" x14ac:dyDescent="0.3">
      <c r="A1727" s="65"/>
      <c r="V1727" s="65"/>
    </row>
    <row r="1728" spans="1:22" x14ac:dyDescent="0.3">
      <c r="A1728" s="65"/>
      <c r="V1728" s="65"/>
    </row>
    <row r="1729" spans="1:22" x14ac:dyDescent="0.3">
      <c r="A1729" s="65"/>
      <c r="V1729" s="65"/>
    </row>
    <row r="1730" spans="1:22" x14ac:dyDescent="0.3">
      <c r="A1730" s="65"/>
      <c r="V1730" s="65"/>
    </row>
    <row r="1731" spans="1:22" x14ac:dyDescent="0.3">
      <c r="A1731" s="65"/>
      <c r="V1731" s="65"/>
    </row>
    <row r="1732" spans="1:22" x14ac:dyDescent="0.3">
      <c r="A1732" s="65"/>
      <c r="V1732" s="65"/>
    </row>
    <row r="1733" spans="1:22" x14ac:dyDescent="0.3">
      <c r="A1733" s="65"/>
      <c r="V1733" s="65"/>
    </row>
    <row r="1734" spans="1:22" x14ac:dyDescent="0.3">
      <c r="A1734" s="65"/>
      <c r="V1734" s="65"/>
    </row>
    <row r="1735" spans="1:22" x14ac:dyDescent="0.3">
      <c r="A1735" s="65"/>
      <c r="V1735" s="65"/>
    </row>
    <row r="1736" spans="1:22" x14ac:dyDescent="0.3">
      <c r="A1736" s="65"/>
      <c r="V1736" s="65"/>
    </row>
    <row r="1737" spans="1:22" x14ac:dyDescent="0.3">
      <c r="A1737" s="65"/>
      <c r="V1737" s="65"/>
    </row>
    <row r="1738" spans="1:22" x14ac:dyDescent="0.3">
      <c r="A1738" s="65"/>
      <c r="V1738" s="65"/>
    </row>
    <row r="1739" spans="1:22" x14ac:dyDescent="0.3">
      <c r="A1739" s="65"/>
      <c r="V1739" s="65"/>
    </row>
    <row r="1740" spans="1:22" x14ac:dyDescent="0.3">
      <c r="A1740" s="65"/>
      <c r="V1740" s="65"/>
    </row>
    <row r="1741" spans="1:22" x14ac:dyDescent="0.3">
      <c r="A1741" s="65"/>
      <c r="V1741" s="65"/>
    </row>
    <row r="1742" spans="1:22" x14ac:dyDescent="0.3">
      <c r="A1742" s="65"/>
      <c r="V1742" s="65"/>
    </row>
    <row r="1743" spans="1:22" x14ac:dyDescent="0.3">
      <c r="A1743" s="65"/>
      <c r="V1743" s="65"/>
    </row>
    <row r="1744" spans="1:22" x14ac:dyDescent="0.3">
      <c r="A1744" s="65"/>
      <c r="V1744" s="65"/>
    </row>
    <row r="1745" spans="1:22" x14ac:dyDescent="0.3">
      <c r="A1745" s="65"/>
      <c r="V1745" s="65"/>
    </row>
    <row r="1746" spans="1:22" x14ac:dyDescent="0.3">
      <c r="A1746" s="65"/>
      <c r="V1746" s="65"/>
    </row>
    <row r="1747" spans="1:22" x14ac:dyDescent="0.3">
      <c r="A1747" s="65"/>
      <c r="V1747" s="65"/>
    </row>
    <row r="1748" spans="1:22" x14ac:dyDescent="0.3">
      <c r="A1748" s="65"/>
      <c r="V1748" s="65"/>
    </row>
    <row r="1749" spans="1:22" x14ac:dyDescent="0.3">
      <c r="A1749" s="65"/>
      <c r="V1749" s="65"/>
    </row>
    <row r="1750" spans="1:22" x14ac:dyDescent="0.3">
      <c r="A1750" s="65"/>
      <c r="V1750" s="65"/>
    </row>
    <row r="1751" spans="1:22" x14ac:dyDescent="0.3">
      <c r="A1751" s="65"/>
      <c r="V1751" s="65"/>
    </row>
    <row r="1752" spans="1:22" x14ac:dyDescent="0.3">
      <c r="A1752" s="65"/>
      <c r="V1752" s="65"/>
    </row>
    <row r="1753" spans="1:22" x14ac:dyDescent="0.3">
      <c r="A1753" s="65"/>
      <c r="V1753" s="65"/>
    </row>
    <row r="1754" spans="1:22" x14ac:dyDescent="0.3">
      <c r="A1754" s="65"/>
      <c r="V1754" s="65"/>
    </row>
    <row r="1755" spans="1:22" x14ac:dyDescent="0.3">
      <c r="A1755" s="65"/>
      <c r="V1755" s="65"/>
    </row>
    <row r="1756" spans="1:22" x14ac:dyDescent="0.3">
      <c r="A1756" s="65"/>
      <c r="V1756" s="65"/>
    </row>
    <row r="1757" spans="1:22" x14ac:dyDescent="0.3">
      <c r="A1757" s="65"/>
      <c r="V1757" s="65"/>
    </row>
    <row r="1758" spans="1:22" x14ac:dyDescent="0.3">
      <c r="A1758" s="65"/>
      <c r="V1758" s="65"/>
    </row>
    <row r="1759" spans="1:22" x14ac:dyDescent="0.3">
      <c r="A1759" s="65"/>
      <c r="V1759" s="65"/>
    </row>
    <row r="1760" spans="1:22" x14ac:dyDescent="0.3">
      <c r="A1760" s="65"/>
      <c r="V1760" s="65"/>
    </row>
    <row r="1761" spans="1:22" x14ac:dyDescent="0.3">
      <c r="A1761" s="65"/>
      <c r="V1761" s="65"/>
    </row>
    <row r="1762" spans="1:22" x14ac:dyDescent="0.3">
      <c r="A1762" s="65"/>
      <c r="V1762" s="65"/>
    </row>
    <row r="1763" spans="1:22" x14ac:dyDescent="0.3">
      <c r="A1763" s="65"/>
      <c r="V1763" s="65"/>
    </row>
    <row r="1764" spans="1:22" x14ac:dyDescent="0.3">
      <c r="A1764" s="65"/>
      <c r="V1764" s="65"/>
    </row>
    <row r="1765" spans="1:22" x14ac:dyDescent="0.3">
      <c r="A1765" s="65"/>
      <c r="V1765" s="65"/>
    </row>
    <row r="1766" spans="1:22" x14ac:dyDescent="0.3">
      <c r="A1766" s="65"/>
      <c r="V1766" s="65"/>
    </row>
    <row r="1767" spans="1:22" x14ac:dyDescent="0.3">
      <c r="A1767" s="65"/>
      <c r="V1767" s="65"/>
    </row>
    <row r="1768" spans="1:22" x14ac:dyDescent="0.3">
      <c r="A1768" s="65"/>
      <c r="V1768" s="65"/>
    </row>
    <row r="1769" spans="1:22" x14ac:dyDescent="0.3">
      <c r="A1769" s="65"/>
      <c r="V1769" s="65"/>
    </row>
    <row r="1770" spans="1:22" x14ac:dyDescent="0.3">
      <c r="A1770" s="65"/>
      <c r="V1770" s="65"/>
    </row>
    <row r="1771" spans="1:22" x14ac:dyDescent="0.3">
      <c r="A1771" s="65"/>
      <c r="V1771" s="65"/>
    </row>
    <row r="1772" spans="1:22" x14ac:dyDescent="0.3">
      <c r="A1772" s="65"/>
      <c r="V1772" s="65"/>
    </row>
    <row r="1773" spans="1:22" x14ac:dyDescent="0.3">
      <c r="A1773" s="65"/>
      <c r="V1773" s="65"/>
    </row>
    <row r="1774" spans="1:22" x14ac:dyDescent="0.3">
      <c r="A1774" s="65"/>
      <c r="V1774" s="65"/>
    </row>
    <row r="1775" spans="1:22" x14ac:dyDescent="0.3">
      <c r="A1775" s="65"/>
      <c r="V1775" s="65"/>
    </row>
    <row r="1776" spans="1:22" x14ac:dyDescent="0.3">
      <c r="A1776" s="65"/>
      <c r="V1776" s="65"/>
    </row>
    <row r="1777" spans="1:22" x14ac:dyDescent="0.3">
      <c r="A1777" s="65"/>
      <c r="V1777" s="65"/>
    </row>
    <row r="1778" spans="1:22" x14ac:dyDescent="0.3">
      <c r="A1778" s="65"/>
      <c r="V1778" s="65"/>
    </row>
    <row r="1779" spans="1:22" x14ac:dyDescent="0.3">
      <c r="A1779" s="65"/>
      <c r="V1779" s="65"/>
    </row>
    <row r="1780" spans="1:22" x14ac:dyDescent="0.3">
      <c r="A1780" s="65"/>
      <c r="V1780" s="65"/>
    </row>
    <row r="1781" spans="1:22" x14ac:dyDescent="0.3">
      <c r="A1781" s="65"/>
      <c r="V1781" s="65"/>
    </row>
    <row r="1782" spans="1:22" x14ac:dyDescent="0.3">
      <c r="A1782" s="65"/>
      <c r="V1782" s="65"/>
    </row>
    <row r="1783" spans="1:22" x14ac:dyDescent="0.3">
      <c r="A1783" s="65"/>
      <c r="V1783" s="65"/>
    </row>
    <row r="1784" spans="1:22" x14ac:dyDescent="0.3">
      <c r="A1784" s="65"/>
      <c r="V1784" s="65"/>
    </row>
    <row r="1785" spans="1:22" x14ac:dyDescent="0.3">
      <c r="A1785" s="65"/>
      <c r="V1785" s="65"/>
    </row>
    <row r="1786" spans="1:22" x14ac:dyDescent="0.3">
      <c r="A1786" s="65"/>
      <c r="V1786" s="65"/>
    </row>
    <row r="1787" spans="1:22" x14ac:dyDescent="0.3">
      <c r="A1787" s="65"/>
      <c r="V1787" s="65"/>
    </row>
    <row r="1788" spans="1:22" x14ac:dyDescent="0.3">
      <c r="A1788" s="65"/>
      <c r="V1788" s="65"/>
    </row>
    <row r="1789" spans="1:22" x14ac:dyDescent="0.3">
      <c r="A1789" s="65"/>
      <c r="V1789" s="65"/>
    </row>
    <row r="1790" spans="1:22" x14ac:dyDescent="0.3">
      <c r="A1790" s="65"/>
      <c r="V1790" s="65"/>
    </row>
    <row r="1791" spans="1:22" x14ac:dyDescent="0.3">
      <c r="A1791" s="65"/>
      <c r="V1791" s="65"/>
    </row>
    <row r="1792" spans="1:22" x14ac:dyDescent="0.3">
      <c r="A1792" s="65"/>
      <c r="V1792" s="65"/>
    </row>
    <row r="1793" spans="1:22" x14ac:dyDescent="0.3">
      <c r="A1793" s="65"/>
      <c r="V1793" s="65"/>
    </row>
    <row r="1794" spans="1:22" x14ac:dyDescent="0.3">
      <c r="A1794" s="65"/>
      <c r="V1794" s="65"/>
    </row>
    <row r="1795" spans="1:22" x14ac:dyDescent="0.3">
      <c r="A1795" s="65"/>
      <c r="V1795" s="65"/>
    </row>
    <row r="1796" spans="1:22" x14ac:dyDescent="0.3">
      <c r="A1796" s="65"/>
      <c r="V1796" s="65"/>
    </row>
    <row r="1797" spans="1:22" x14ac:dyDescent="0.3">
      <c r="A1797" s="65"/>
      <c r="V1797" s="65"/>
    </row>
    <row r="1798" spans="1:22" x14ac:dyDescent="0.3">
      <c r="A1798" s="65"/>
      <c r="V1798" s="65"/>
    </row>
    <row r="1799" spans="1:22" x14ac:dyDescent="0.3">
      <c r="A1799" s="65"/>
      <c r="V1799" s="65"/>
    </row>
    <row r="1800" spans="1:22" x14ac:dyDescent="0.3">
      <c r="A1800" s="65"/>
      <c r="V1800" s="65"/>
    </row>
    <row r="1801" spans="1:22" x14ac:dyDescent="0.3">
      <c r="A1801" s="65"/>
      <c r="V1801" s="65"/>
    </row>
    <row r="1802" spans="1:22" x14ac:dyDescent="0.3">
      <c r="A1802" s="65"/>
      <c r="V1802" s="65"/>
    </row>
    <row r="1803" spans="1:22" x14ac:dyDescent="0.3">
      <c r="A1803" s="65"/>
      <c r="V1803" s="65"/>
    </row>
    <row r="1804" spans="1:22" x14ac:dyDescent="0.3">
      <c r="A1804" s="65"/>
      <c r="V1804" s="65"/>
    </row>
    <row r="1805" spans="1:22" x14ac:dyDescent="0.3">
      <c r="A1805" s="65"/>
      <c r="V1805" s="65"/>
    </row>
    <row r="1806" spans="1:22" x14ac:dyDescent="0.3">
      <c r="A1806" s="65"/>
      <c r="V1806" s="65"/>
    </row>
    <row r="1807" spans="1:22" x14ac:dyDescent="0.3">
      <c r="A1807" s="65"/>
      <c r="V1807" s="65"/>
    </row>
    <row r="1808" spans="1:22" x14ac:dyDescent="0.3">
      <c r="A1808" s="65"/>
      <c r="V1808" s="65"/>
    </row>
    <row r="1809" spans="1:22" x14ac:dyDescent="0.3">
      <c r="A1809" s="65"/>
      <c r="V1809" s="65"/>
    </row>
    <row r="1810" spans="1:22" x14ac:dyDescent="0.3">
      <c r="A1810" s="65"/>
      <c r="V1810" s="65"/>
    </row>
    <row r="1811" spans="1:22" x14ac:dyDescent="0.3">
      <c r="A1811" s="65"/>
      <c r="V1811" s="65"/>
    </row>
    <row r="1812" spans="1:22" x14ac:dyDescent="0.3">
      <c r="A1812" s="65"/>
      <c r="V1812" s="65"/>
    </row>
    <row r="1813" spans="1:22" x14ac:dyDescent="0.3">
      <c r="A1813" s="65"/>
      <c r="V1813" s="65"/>
    </row>
    <row r="1814" spans="1:22" x14ac:dyDescent="0.3">
      <c r="A1814" s="65"/>
      <c r="V1814" s="65"/>
    </row>
    <row r="1815" spans="1:22" x14ac:dyDescent="0.3">
      <c r="A1815" s="65"/>
      <c r="V1815" s="65"/>
    </row>
    <row r="1816" spans="1:22" x14ac:dyDescent="0.3">
      <c r="A1816" s="65"/>
      <c r="V1816" s="65"/>
    </row>
    <row r="1817" spans="1:22" x14ac:dyDescent="0.3">
      <c r="A1817" s="65"/>
      <c r="V1817" s="65"/>
    </row>
    <row r="1818" spans="1:22" x14ac:dyDescent="0.3">
      <c r="A1818" s="65"/>
      <c r="V1818" s="65"/>
    </row>
    <row r="1819" spans="1:22" x14ac:dyDescent="0.3">
      <c r="A1819" s="65"/>
      <c r="V1819" s="65"/>
    </row>
    <row r="1820" spans="1:22" x14ac:dyDescent="0.3">
      <c r="A1820" s="65"/>
      <c r="V1820" s="65"/>
    </row>
    <row r="1821" spans="1:22" x14ac:dyDescent="0.3">
      <c r="A1821" s="65"/>
      <c r="V1821" s="65"/>
    </row>
    <row r="1822" spans="1:22" x14ac:dyDescent="0.3">
      <c r="A1822" s="65"/>
      <c r="V1822" s="65"/>
    </row>
    <row r="1823" spans="1:22" x14ac:dyDescent="0.3">
      <c r="A1823" s="65"/>
      <c r="V1823" s="65"/>
    </row>
    <row r="1824" spans="1:22" x14ac:dyDescent="0.3">
      <c r="A1824" s="65"/>
      <c r="V1824" s="65"/>
    </row>
    <row r="1825" spans="1:22" x14ac:dyDescent="0.3">
      <c r="A1825" s="65"/>
      <c r="V1825" s="65"/>
    </row>
    <row r="1826" spans="1:22" x14ac:dyDescent="0.3">
      <c r="A1826" s="65"/>
      <c r="V1826" s="65"/>
    </row>
    <row r="1827" spans="1:22" x14ac:dyDescent="0.3">
      <c r="A1827" s="65"/>
      <c r="V1827" s="65"/>
    </row>
    <row r="1828" spans="1:22" x14ac:dyDescent="0.3">
      <c r="A1828" s="65"/>
      <c r="V1828" s="65"/>
    </row>
    <row r="1829" spans="1:22" x14ac:dyDescent="0.3">
      <c r="A1829" s="65"/>
      <c r="V1829" s="65"/>
    </row>
    <row r="1830" spans="1:22" x14ac:dyDescent="0.3">
      <c r="A1830" s="65"/>
      <c r="V1830" s="65"/>
    </row>
    <row r="1831" spans="1:22" x14ac:dyDescent="0.3">
      <c r="A1831" s="65"/>
      <c r="V1831" s="65"/>
    </row>
    <row r="1832" spans="1:22" x14ac:dyDescent="0.3">
      <c r="A1832" s="65"/>
      <c r="V1832" s="65"/>
    </row>
    <row r="1833" spans="1:22" x14ac:dyDescent="0.3">
      <c r="A1833" s="65"/>
      <c r="V1833" s="65"/>
    </row>
    <row r="1834" spans="1:22" x14ac:dyDescent="0.3">
      <c r="A1834" s="65"/>
      <c r="V1834" s="65"/>
    </row>
    <row r="1835" spans="1:22" x14ac:dyDescent="0.3">
      <c r="A1835" s="65"/>
      <c r="V1835" s="65"/>
    </row>
    <row r="1836" spans="1:22" x14ac:dyDescent="0.3">
      <c r="A1836" s="65"/>
      <c r="V1836" s="65"/>
    </row>
    <row r="1837" spans="1:22" x14ac:dyDescent="0.3">
      <c r="A1837" s="65"/>
      <c r="V1837" s="65"/>
    </row>
    <row r="1838" spans="1:22" x14ac:dyDescent="0.3">
      <c r="A1838" s="65"/>
      <c r="V1838" s="65"/>
    </row>
    <row r="1839" spans="1:22" x14ac:dyDescent="0.3">
      <c r="A1839" s="65"/>
      <c r="V1839" s="65"/>
    </row>
    <row r="1840" spans="1:22" x14ac:dyDescent="0.3">
      <c r="A1840" s="65"/>
      <c r="V1840" s="65"/>
    </row>
    <row r="1841" spans="1:22" x14ac:dyDescent="0.3">
      <c r="A1841" s="65"/>
      <c r="V1841" s="65"/>
    </row>
    <row r="1842" spans="1:22" x14ac:dyDescent="0.3">
      <c r="A1842" s="65"/>
      <c r="V1842" s="65"/>
    </row>
    <row r="1843" spans="1:22" x14ac:dyDescent="0.3">
      <c r="A1843" s="65"/>
      <c r="V1843" s="65"/>
    </row>
    <row r="1844" spans="1:22" x14ac:dyDescent="0.3">
      <c r="A1844" s="65"/>
      <c r="V1844" s="65"/>
    </row>
    <row r="1845" spans="1:22" x14ac:dyDescent="0.3">
      <c r="A1845" s="65"/>
      <c r="V1845" s="65"/>
    </row>
    <row r="1846" spans="1:22" x14ac:dyDescent="0.3">
      <c r="A1846" s="65"/>
      <c r="V1846" s="65"/>
    </row>
    <row r="1847" spans="1:22" x14ac:dyDescent="0.3">
      <c r="A1847" s="65"/>
      <c r="V1847" s="65"/>
    </row>
    <row r="1848" spans="1:22" x14ac:dyDescent="0.3">
      <c r="A1848" s="65"/>
      <c r="V1848" s="65"/>
    </row>
    <row r="1849" spans="1:22" x14ac:dyDescent="0.3">
      <c r="A1849" s="65"/>
      <c r="V1849" s="65"/>
    </row>
    <row r="1850" spans="1:22" x14ac:dyDescent="0.3">
      <c r="A1850" s="65"/>
      <c r="V1850" s="65"/>
    </row>
    <row r="1851" spans="1:22" x14ac:dyDescent="0.3">
      <c r="A1851" s="65"/>
      <c r="V1851" s="65"/>
    </row>
    <row r="1852" spans="1:22" x14ac:dyDescent="0.3">
      <c r="A1852" s="65"/>
      <c r="V1852" s="65"/>
    </row>
    <row r="1853" spans="1:22" x14ac:dyDescent="0.3">
      <c r="A1853" s="65"/>
      <c r="V1853" s="65"/>
    </row>
    <row r="1854" spans="1:22" x14ac:dyDescent="0.3">
      <c r="A1854" s="65"/>
      <c r="V1854" s="65"/>
    </row>
    <row r="1855" spans="1:22" x14ac:dyDescent="0.3">
      <c r="A1855" s="65"/>
      <c r="V1855" s="65"/>
    </row>
    <row r="1856" spans="1:22" x14ac:dyDescent="0.3">
      <c r="A1856" s="65"/>
      <c r="V1856" s="65"/>
    </row>
    <row r="1857" spans="1:22" x14ac:dyDescent="0.3">
      <c r="A1857" s="65"/>
      <c r="V1857" s="65"/>
    </row>
    <row r="1858" spans="1:22" x14ac:dyDescent="0.3">
      <c r="A1858" s="65"/>
      <c r="V1858" s="65"/>
    </row>
    <row r="1859" spans="1:22" x14ac:dyDescent="0.3">
      <c r="A1859" s="65"/>
      <c r="V1859" s="65"/>
    </row>
    <row r="1860" spans="1:22" x14ac:dyDescent="0.3">
      <c r="A1860" s="65"/>
      <c r="V1860" s="65"/>
    </row>
    <row r="1861" spans="1:22" x14ac:dyDescent="0.3">
      <c r="A1861" s="65"/>
      <c r="V1861" s="65"/>
    </row>
    <row r="1862" spans="1:22" x14ac:dyDescent="0.3">
      <c r="A1862" s="65"/>
      <c r="V1862" s="65"/>
    </row>
    <row r="1863" spans="1:22" x14ac:dyDescent="0.3">
      <c r="A1863" s="65"/>
      <c r="V1863" s="65"/>
    </row>
    <row r="1864" spans="1:22" x14ac:dyDescent="0.3">
      <c r="A1864" s="65"/>
      <c r="V1864" s="65"/>
    </row>
    <row r="1865" spans="1:22" x14ac:dyDescent="0.3">
      <c r="A1865" s="65"/>
      <c r="V1865" s="65"/>
    </row>
    <row r="1866" spans="1:22" x14ac:dyDescent="0.3">
      <c r="A1866" s="65"/>
      <c r="V1866" s="65"/>
    </row>
    <row r="1867" spans="1:22" x14ac:dyDescent="0.3">
      <c r="A1867" s="65"/>
      <c r="V1867" s="65"/>
    </row>
    <row r="1868" spans="1:22" x14ac:dyDescent="0.3">
      <c r="A1868" s="65"/>
      <c r="V1868" s="65"/>
    </row>
    <row r="1869" spans="1:22" x14ac:dyDescent="0.3">
      <c r="A1869" s="65"/>
      <c r="V1869" s="65"/>
    </row>
    <row r="1870" spans="1:22" x14ac:dyDescent="0.3">
      <c r="A1870" s="65"/>
      <c r="V1870" s="65"/>
    </row>
    <row r="1871" spans="1:22" x14ac:dyDescent="0.3">
      <c r="A1871" s="65"/>
      <c r="V1871" s="65"/>
    </row>
    <row r="1872" spans="1:22" x14ac:dyDescent="0.3">
      <c r="A1872" s="65"/>
      <c r="V1872" s="65"/>
    </row>
    <row r="1873" spans="1:22" x14ac:dyDescent="0.3">
      <c r="A1873" s="65"/>
      <c r="V1873" s="65"/>
    </row>
    <row r="1874" spans="1:22" x14ac:dyDescent="0.3">
      <c r="A1874" s="65"/>
      <c r="V1874" s="65"/>
    </row>
    <row r="1875" spans="1:22" x14ac:dyDescent="0.3">
      <c r="A1875" s="65"/>
      <c r="V1875" s="65"/>
    </row>
    <row r="1876" spans="1:22" x14ac:dyDescent="0.3">
      <c r="A1876" s="65"/>
      <c r="V1876" s="65"/>
    </row>
    <row r="1877" spans="1:22" x14ac:dyDescent="0.3">
      <c r="A1877" s="65"/>
      <c r="V1877" s="65"/>
    </row>
    <row r="1878" spans="1:22" x14ac:dyDescent="0.3">
      <c r="A1878" s="65"/>
      <c r="V1878" s="65"/>
    </row>
    <row r="1879" spans="1:22" x14ac:dyDescent="0.3">
      <c r="A1879" s="65"/>
      <c r="V1879" s="65"/>
    </row>
    <row r="1880" spans="1:22" x14ac:dyDescent="0.3">
      <c r="A1880" s="65"/>
      <c r="V1880" s="65"/>
    </row>
    <row r="1881" spans="1:22" x14ac:dyDescent="0.3">
      <c r="A1881" s="65"/>
      <c r="V1881" s="65"/>
    </row>
    <row r="1882" spans="1:22" x14ac:dyDescent="0.3">
      <c r="A1882" s="65"/>
      <c r="V1882" s="65"/>
    </row>
    <row r="1883" spans="1:22" x14ac:dyDescent="0.3">
      <c r="A1883" s="65"/>
      <c r="V1883" s="65"/>
    </row>
    <row r="1884" spans="1:22" x14ac:dyDescent="0.3">
      <c r="A1884" s="65"/>
      <c r="V1884" s="65"/>
    </row>
    <row r="1885" spans="1:22" x14ac:dyDescent="0.3">
      <c r="A1885" s="65"/>
      <c r="V1885" s="65"/>
    </row>
    <row r="1886" spans="1:22" x14ac:dyDescent="0.3">
      <c r="A1886" s="65"/>
      <c r="V1886" s="65"/>
    </row>
    <row r="1887" spans="1:22" x14ac:dyDescent="0.3">
      <c r="A1887" s="65"/>
      <c r="V1887" s="65"/>
    </row>
    <row r="1888" spans="1:22" x14ac:dyDescent="0.3">
      <c r="A1888" s="65"/>
      <c r="V1888" s="65"/>
    </row>
    <row r="1889" spans="1:22" x14ac:dyDescent="0.3">
      <c r="A1889" s="65"/>
      <c r="V1889" s="65"/>
    </row>
    <row r="1890" spans="1:22" x14ac:dyDescent="0.3">
      <c r="A1890" s="65"/>
      <c r="V1890" s="65"/>
    </row>
    <row r="1891" spans="1:22" x14ac:dyDescent="0.3">
      <c r="A1891" s="65"/>
      <c r="V1891" s="65"/>
    </row>
    <row r="1892" spans="1:22" x14ac:dyDescent="0.3">
      <c r="A1892" s="65"/>
      <c r="V1892" s="65"/>
    </row>
    <row r="1893" spans="1:22" x14ac:dyDescent="0.3">
      <c r="A1893" s="65"/>
      <c r="V1893" s="65"/>
    </row>
    <row r="1894" spans="1:22" x14ac:dyDescent="0.3">
      <c r="A1894" s="65"/>
      <c r="V1894" s="65"/>
    </row>
    <row r="1895" spans="1:22" x14ac:dyDescent="0.3">
      <c r="A1895" s="65"/>
      <c r="V1895" s="65"/>
    </row>
    <row r="1896" spans="1:22" x14ac:dyDescent="0.3">
      <c r="A1896" s="65"/>
      <c r="V1896" s="65"/>
    </row>
    <row r="1897" spans="1:22" x14ac:dyDescent="0.3">
      <c r="A1897" s="65"/>
      <c r="V1897" s="65"/>
    </row>
    <row r="1898" spans="1:22" x14ac:dyDescent="0.3">
      <c r="A1898" s="65"/>
      <c r="V1898" s="65"/>
    </row>
    <row r="1899" spans="1:22" x14ac:dyDescent="0.3">
      <c r="A1899" s="65"/>
      <c r="V1899" s="65"/>
    </row>
    <row r="1900" spans="1:22" x14ac:dyDescent="0.3">
      <c r="A1900" s="65"/>
      <c r="V1900" s="65"/>
    </row>
    <row r="1901" spans="1:22" x14ac:dyDescent="0.3">
      <c r="A1901" s="65"/>
      <c r="V1901" s="65"/>
    </row>
    <row r="1902" spans="1:22" x14ac:dyDescent="0.3">
      <c r="A1902" s="65"/>
      <c r="V1902" s="65"/>
    </row>
    <row r="1903" spans="1:22" x14ac:dyDescent="0.3">
      <c r="A1903" s="65"/>
      <c r="V1903" s="65"/>
    </row>
    <row r="1904" spans="1:22" x14ac:dyDescent="0.3">
      <c r="A1904" s="65"/>
      <c r="V1904" s="65"/>
    </row>
    <row r="1905" spans="1:22" x14ac:dyDescent="0.3">
      <c r="A1905" s="65"/>
      <c r="V1905" s="65"/>
    </row>
    <row r="1906" spans="1:22" x14ac:dyDescent="0.3">
      <c r="A1906" s="65"/>
      <c r="V1906" s="65"/>
    </row>
    <row r="1907" spans="1:22" x14ac:dyDescent="0.3">
      <c r="A1907" s="65"/>
      <c r="V1907" s="65"/>
    </row>
    <row r="1908" spans="1:22" x14ac:dyDescent="0.3">
      <c r="A1908" s="65"/>
      <c r="V1908" s="65"/>
    </row>
    <row r="1909" spans="1:22" x14ac:dyDescent="0.3">
      <c r="A1909" s="65"/>
      <c r="V1909" s="65"/>
    </row>
    <row r="1910" spans="1:22" x14ac:dyDescent="0.3">
      <c r="A1910" s="65"/>
      <c r="V1910" s="65"/>
    </row>
    <row r="1911" spans="1:22" x14ac:dyDescent="0.3">
      <c r="A1911" s="65"/>
      <c r="V1911" s="65"/>
    </row>
    <row r="1912" spans="1:22" x14ac:dyDescent="0.3">
      <c r="A1912" s="65"/>
      <c r="V1912" s="65"/>
    </row>
    <row r="1913" spans="1:22" x14ac:dyDescent="0.3">
      <c r="A1913" s="65"/>
      <c r="V1913" s="65"/>
    </row>
    <row r="1914" spans="1:22" x14ac:dyDescent="0.3">
      <c r="A1914" s="65"/>
      <c r="V1914" s="65"/>
    </row>
    <row r="1915" spans="1:22" x14ac:dyDescent="0.3">
      <c r="A1915" s="65"/>
      <c r="V1915" s="65"/>
    </row>
    <row r="1916" spans="1:22" x14ac:dyDescent="0.3">
      <c r="A1916" s="65"/>
      <c r="V1916" s="65"/>
    </row>
    <row r="1917" spans="1:22" x14ac:dyDescent="0.3">
      <c r="A1917" s="65"/>
      <c r="V1917" s="65"/>
    </row>
    <row r="1918" spans="1:22" x14ac:dyDescent="0.3">
      <c r="A1918" s="65"/>
      <c r="V1918" s="65"/>
    </row>
    <row r="1919" spans="1:22" x14ac:dyDescent="0.3">
      <c r="A1919" s="65"/>
      <c r="V1919" s="65"/>
    </row>
    <row r="1920" spans="1:22" x14ac:dyDescent="0.3">
      <c r="A1920" s="65"/>
      <c r="V1920" s="65"/>
    </row>
    <row r="1921" spans="1:22" x14ac:dyDescent="0.3">
      <c r="A1921" s="65"/>
      <c r="V1921" s="65"/>
    </row>
    <row r="1922" spans="1:22" x14ac:dyDescent="0.3">
      <c r="A1922" s="65"/>
      <c r="V1922" s="65"/>
    </row>
    <row r="1923" spans="1:22" x14ac:dyDescent="0.3">
      <c r="A1923" s="65"/>
      <c r="V1923" s="65"/>
    </row>
    <row r="1924" spans="1:22" x14ac:dyDescent="0.3">
      <c r="A1924" s="65"/>
      <c r="V1924" s="65"/>
    </row>
    <row r="1925" spans="1:22" x14ac:dyDescent="0.3">
      <c r="A1925" s="65"/>
      <c r="V1925" s="65"/>
    </row>
    <row r="1926" spans="1:22" x14ac:dyDescent="0.3">
      <c r="A1926" s="65"/>
      <c r="V1926" s="65"/>
    </row>
    <row r="1927" spans="1:22" x14ac:dyDescent="0.3">
      <c r="A1927" s="65"/>
      <c r="V1927" s="65"/>
    </row>
    <row r="1928" spans="1:22" x14ac:dyDescent="0.3">
      <c r="A1928" s="65"/>
      <c r="V1928" s="65"/>
    </row>
    <row r="1929" spans="1:22" x14ac:dyDescent="0.3">
      <c r="A1929" s="65"/>
      <c r="V1929" s="65"/>
    </row>
    <row r="1930" spans="1:22" x14ac:dyDescent="0.3">
      <c r="A1930" s="65"/>
      <c r="V1930" s="65"/>
    </row>
    <row r="1931" spans="1:22" x14ac:dyDescent="0.3">
      <c r="A1931" s="65"/>
      <c r="V1931" s="65"/>
    </row>
    <row r="1932" spans="1:22" x14ac:dyDescent="0.3">
      <c r="A1932" s="65"/>
      <c r="V1932" s="65"/>
    </row>
    <row r="1933" spans="1:22" x14ac:dyDescent="0.3">
      <c r="A1933" s="65"/>
      <c r="V1933" s="65"/>
    </row>
    <row r="1934" spans="1:22" x14ac:dyDescent="0.3">
      <c r="A1934" s="65"/>
      <c r="V1934" s="65"/>
    </row>
    <row r="1935" spans="1:22" x14ac:dyDescent="0.3">
      <c r="A1935" s="65"/>
      <c r="V1935" s="65"/>
    </row>
    <row r="1936" spans="1:22" x14ac:dyDescent="0.3">
      <c r="A1936" s="65"/>
      <c r="V1936" s="65"/>
    </row>
    <row r="1937" spans="1:22" x14ac:dyDescent="0.3">
      <c r="A1937" s="65"/>
      <c r="V1937" s="65"/>
    </row>
    <row r="1938" spans="1:22" x14ac:dyDescent="0.3">
      <c r="A1938" s="65"/>
      <c r="V1938" s="65"/>
    </row>
    <row r="1939" spans="1:22" x14ac:dyDescent="0.3">
      <c r="A1939" s="65"/>
      <c r="V1939" s="65"/>
    </row>
    <row r="1940" spans="1:22" x14ac:dyDescent="0.3">
      <c r="A1940" s="65"/>
      <c r="V1940" s="65"/>
    </row>
    <row r="1941" spans="1:22" x14ac:dyDescent="0.3">
      <c r="A1941" s="65"/>
      <c r="V1941" s="65"/>
    </row>
    <row r="1942" spans="1:22" x14ac:dyDescent="0.3">
      <c r="A1942" s="65"/>
      <c r="V1942" s="65"/>
    </row>
    <row r="1943" spans="1:22" x14ac:dyDescent="0.3">
      <c r="A1943" s="65"/>
      <c r="V1943" s="65"/>
    </row>
    <row r="1944" spans="1:22" x14ac:dyDescent="0.3">
      <c r="A1944" s="65"/>
      <c r="V1944" s="65"/>
    </row>
    <row r="1945" spans="1:22" x14ac:dyDescent="0.3">
      <c r="A1945" s="65"/>
      <c r="V1945" s="65"/>
    </row>
    <row r="1946" spans="1:22" x14ac:dyDescent="0.3">
      <c r="A1946" s="65"/>
      <c r="V1946" s="65"/>
    </row>
    <row r="1947" spans="1:22" x14ac:dyDescent="0.3">
      <c r="A1947" s="65"/>
      <c r="V1947" s="65"/>
    </row>
    <row r="1948" spans="1:22" x14ac:dyDescent="0.3">
      <c r="A1948" s="65"/>
      <c r="V1948" s="65"/>
    </row>
    <row r="1949" spans="1:22" x14ac:dyDescent="0.3">
      <c r="A1949" s="65"/>
      <c r="V1949" s="65"/>
    </row>
    <row r="1950" spans="1:22" x14ac:dyDescent="0.3">
      <c r="A1950" s="65"/>
      <c r="V1950" s="65"/>
    </row>
    <row r="1951" spans="1:22" x14ac:dyDescent="0.3">
      <c r="A1951" s="65"/>
      <c r="V1951" s="65"/>
    </row>
    <row r="1952" spans="1:22" x14ac:dyDescent="0.3">
      <c r="A1952" s="65"/>
      <c r="V1952" s="65"/>
    </row>
    <row r="1953" spans="1:22" x14ac:dyDescent="0.3">
      <c r="A1953" s="65"/>
      <c r="V1953" s="65"/>
    </row>
    <row r="1954" spans="1:22" x14ac:dyDescent="0.3">
      <c r="A1954" s="65"/>
      <c r="V1954" s="65"/>
    </row>
    <row r="1955" spans="1:22" x14ac:dyDescent="0.3">
      <c r="A1955" s="65"/>
      <c r="V1955" s="65"/>
    </row>
    <row r="1956" spans="1:22" x14ac:dyDescent="0.3">
      <c r="A1956" s="65"/>
      <c r="V1956" s="65"/>
    </row>
    <row r="1957" spans="1:22" x14ac:dyDescent="0.3">
      <c r="A1957" s="65"/>
      <c r="V1957" s="65"/>
    </row>
    <row r="1958" spans="1:22" x14ac:dyDescent="0.3">
      <c r="A1958" s="65"/>
      <c r="V1958" s="65"/>
    </row>
    <row r="1959" spans="1:22" x14ac:dyDescent="0.3">
      <c r="A1959" s="65"/>
      <c r="V1959" s="65"/>
    </row>
    <row r="1960" spans="1:22" x14ac:dyDescent="0.3">
      <c r="A1960" s="65"/>
      <c r="V1960" s="65"/>
    </row>
    <row r="1961" spans="1:22" x14ac:dyDescent="0.3">
      <c r="A1961" s="65"/>
      <c r="V1961" s="65"/>
    </row>
    <row r="1962" spans="1:22" x14ac:dyDescent="0.3">
      <c r="A1962" s="65"/>
      <c r="V1962" s="65"/>
    </row>
    <row r="1963" spans="1:22" x14ac:dyDescent="0.3">
      <c r="A1963" s="65"/>
      <c r="V1963" s="65"/>
    </row>
    <row r="1964" spans="1:22" x14ac:dyDescent="0.3">
      <c r="A1964" s="65"/>
      <c r="V1964" s="65"/>
    </row>
    <row r="1965" spans="1:22" x14ac:dyDescent="0.3">
      <c r="A1965" s="65"/>
      <c r="V1965" s="65"/>
    </row>
    <row r="1966" spans="1:22" x14ac:dyDescent="0.3">
      <c r="A1966" s="65"/>
      <c r="V1966" s="65"/>
    </row>
    <row r="1967" spans="1:22" x14ac:dyDescent="0.3">
      <c r="A1967" s="65"/>
      <c r="V1967" s="65"/>
    </row>
    <row r="1968" spans="1:22" x14ac:dyDescent="0.3">
      <c r="A1968" s="65"/>
      <c r="V1968" s="65"/>
    </row>
    <row r="1969" spans="1:22" x14ac:dyDescent="0.3">
      <c r="A1969" s="65"/>
      <c r="V1969" s="65"/>
    </row>
    <row r="1970" spans="1:22" x14ac:dyDescent="0.3">
      <c r="A1970" s="65"/>
      <c r="V1970" s="65"/>
    </row>
    <row r="1971" spans="1:22" x14ac:dyDescent="0.3">
      <c r="A1971" s="65"/>
      <c r="V1971" s="65"/>
    </row>
    <row r="1972" spans="1:22" x14ac:dyDescent="0.3">
      <c r="A1972" s="65"/>
      <c r="V1972" s="65"/>
    </row>
    <row r="1973" spans="1:22" x14ac:dyDescent="0.3">
      <c r="A1973" s="65"/>
      <c r="V1973" s="65"/>
    </row>
    <row r="1974" spans="1:22" x14ac:dyDescent="0.3">
      <c r="A1974" s="65"/>
      <c r="V1974" s="65"/>
    </row>
    <row r="1975" spans="1:22" x14ac:dyDescent="0.3">
      <c r="A1975" s="65"/>
      <c r="V1975" s="65"/>
    </row>
    <row r="1976" spans="1:22" x14ac:dyDescent="0.3">
      <c r="A1976" s="65"/>
      <c r="V1976" s="65"/>
    </row>
    <row r="1977" spans="1:22" x14ac:dyDescent="0.3">
      <c r="A1977" s="65"/>
      <c r="V1977" s="65"/>
    </row>
    <row r="1978" spans="1:22" x14ac:dyDescent="0.3">
      <c r="A1978" s="65"/>
      <c r="V1978" s="65"/>
    </row>
    <row r="1979" spans="1:22" x14ac:dyDescent="0.3">
      <c r="A1979" s="65"/>
      <c r="V1979" s="65"/>
    </row>
    <row r="1980" spans="1:22" x14ac:dyDescent="0.3">
      <c r="A1980" s="65"/>
      <c r="V1980" s="65"/>
    </row>
    <row r="1981" spans="1:22" x14ac:dyDescent="0.3">
      <c r="A1981" s="65"/>
      <c r="V1981" s="65"/>
    </row>
    <row r="1982" spans="1:22" x14ac:dyDescent="0.3">
      <c r="A1982" s="65"/>
      <c r="V1982" s="65"/>
    </row>
    <row r="1983" spans="1:22" x14ac:dyDescent="0.3">
      <c r="A1983" s="65"/>
      <c r="V1983" s="65"/>
    </row>
    <row r="1984" spans="1:22" x14ac:dyDescent="0.3">
      <c r="A1984" s="65"/>
      <c r="V1984" s="65"/>
    </row>
    <row r="1985" spans="1:22" x14ac:dyDescent="0.3">
      <c r="A1985" s="65"/>
      <c r="V1985" s="65"/>
    </row>
    <row r="1986" spans="1:22" x14ac:dyDescent="0.3">
      <c r="A1986" s="65"/>
      <c r="V1986" s="65"/>
    </row>
    <row r="1987" spans="1:22" x14ac:dyDescent="0.3">
      <c r="A1987" s="65"/>
      <c r="V1987" s="65"/>
    </row>
    <row r="1988" spans="1:22" x14ac:dyDescent="0.3">
      <c r="A1988" s="65"/>
      <c r="V1988" s="65"/>
    </row>
    <row r="1989" spans="1:22" x14ac:dyDescent="0.3">
      <c r="A1989" s="65"/>
      <c r="V1989" s="65"/>
    </row>
    <row r="1990" spans="1:22" x14ac:dyDescent="0.3">
      <c r="A1990" s="65"/>
      <c r="V1990" s="65"/>
    </row>
    <row r="1991" spans="1:22" x14ac:dyDescent="0.3">
      <c r="A1991" s="65"/>
      <c r="V1991" s="65"/>
    </row>
    <row r="1992" spans="1:22" x14ac:dyDescent="0.3">
      <c r="A1992" s="65"/>
      <c r="V1992" s="65"/>
    </row>
    <row r="1993" spans="1:22" x14ac:dyDescent="0.3">
      <c r="A1993" s="65"/>
      <c r="V1993" s="65"/>
    </row>
    <row r="1994" spans="1:22" x14ac:dyDescent="0.3">
      <c r="A1994" s="65"/>
      <c r="V1994" s="65"/>
    </row>
    <row r="1995" spans="1:22" x14ac:dyDescent="0.3">
      <c r="A1995" s="65"/>
      <c r="V1995" s="65"/>
    </row>
    <row r="1996" spans="1:22" x14ac:dyDescent="0.3">
      <c r="A1996" s="65"/>
      <c r="V1996" s="65"/>
    </row>
    <row r="1997" spans="1:22" x14ac:dyDescent="0.3">
      <c r="A1997" s="65"/>
      <c r="V1997" s="65"/>
    </row>
    <row r="1998" spans="1:22" x14ac:dyDescent="0.3">
      <c r="A1998" s="65"/>
      <c r="V1998" s="65"/>
    </row>
    <row r="1999" spans="1:22" x14ac:dyDescent="0.3">
      <c r="A1999" s="65"/>
      <c r="V1999" s="65"/>
    </row>
    <row r="2000" spans="1:22" x14ac:dyDescent="0.3">
      <c r="A2000" s="65"/>
      <c r="V2000" s="65"/>
    </row>
    <row r="2001" spans="1:22" x14ac:dyDescent="0.3">
      <c r="A2001" s="65"/>
      <c r="V2001" s="65"/>
    </row>
    <row r="2002" spans="1:22" x14ac:dyDescent="0.3">
      <c r="A2002" s="65"/>
      <c r="V2002" s="65"/>
    </row>
    <row r="2003" spans="1:22" x14ac:dyDescent="0.3">
      <c r="A2003" s="65"/>
      <c r="V2003" s="65"/>
    </row>
    <row r="2004" spans="1:22" x14ac:dyDescent="0.3">
      <c r="A2004" s="65"/>
      <c r="V2004" s="65"/>
    </row>
    <row r="2005" spans="1:22" x14ac:dyDescent="0.3">
      <c r="A2005" s="65"/>
      <c r="V2005" s="65"/>
    </row>
    <row r="2006" spans="1:22" x14ac:dyDescent="0.3">
      <c r="A2006" s="65"/>
      <c r="V2006" s="65"/>
    </row>
    <row r="2007" spans="1:22" x14ac:dyDescent="0.3">
      <c r="A2007" s="65"/>
      <c r="V2007" s="65"/>
    </row>
    <row r="2008" spans="1:22" x14ac:dyDescent="0.3">
      <c r="A2008" s="65"/>
      <c r="V2008" s="65"/>
    </row>
    <row r="2009" spans="1:22" x14ac:dyDescent="0.3">
      <c r="A2009" s="65"/>
      <c r="V2009" s="65"/>
    </row>
    <row r="2010" spans="1:22" x14ac:dyDescent="0.3">
      <c r="A2010" s="65"/>
      <c r="V2010" s="65"/>
    </row>
    <row r="2011" spans="1:22" x14ac:dyDescent="0.3">
      <c r="A2011" s="65"/>
      <c r="V2011" s="65"/>
    </row>
    <row r="2012" spans="1:22" x14ac:dyDescent="0.3">
      <c r="A2012" s="65"/>
      <c r="V2012" s="65"/>
    </row>
    <row r="2013" spans="1:22" x14ac:dyDescent="0.3">
      <c r="A2013" s="65"/>
      <c r="V2013" s="65"/>
    </row>
    <row r="2014" spans="1:22" x14ac:dyDescent="0.3">
      <c r="A2014" s="65"/>
      <c r="V2014" s="65"/>
    </row>
    <row r="2015" spans="1:22" x14ac:dyDescent="0.3">
      <c r="A2015" s="65"/>
      <c r="V2015" s="65"/>
    </row>
    <row r="2016" spans="1:22" x14ac:dyDescent="0.3">
      <c r="A2016" s="65"/>
      <c r="V2016" s="65"/>
    </row>
    <row r="2017" spans="1:22" x14ac:dyDescent="0.3">
      <c r="A2017" s="65"/>
      <c r="V2017" s="65"/>
    </row>
    <row r="2018" spans="1:22" x14ac:dyDescent="0.3">
      <c r="A2018" s="65"/>
      <c r="V2018" s="65"/>
    </row>
    <row r="2019" spans="1:22" x14ac:dyDescent="0.3">
      <c r="A2019" s="65"/>
      <c r="V2019" s="65"/>
    </row>
    <row r="2020" spans="1:22" x14ac:dyDescent="0.3">
      <c r="A2020" s="65"/>
      <c r="V2020" s="65"/>
    </row>
    <row r="2021" spans="1:22" x14ac:dyDescent="0.3">
      <c r="A2021" s="65"/>
      <c r="V2021" s="65"/>
    </row>
    <row r="2022" spans="1:22" x14ac:dyDescent="0.3">
      <c r="A2022" s="65"/>
      <c r="V2022" s="65"/>
    </row>
    <row r="2023" spans="1:22" x14ac:dyDescent="0.3">
      <c r="A2023" s="65"/>
      <c r="V2023" s="65"/>
    </row>
    <row r="2024" spans="1:22" x14ac:dyDescent="0.3">
      <c r="A2024" s="65"/>
      <c r="V2024" s="65"/>
    </row>
    <row r="2025" spans="1:22" x14ac:dyDescent="0.3">
      <c r="A2025" s="65"/>
      <c r="V2025" s="65"/>
    </row>
    <row r="2026" spans="1:22" x14ac:dyDescent="0.3">
      <c r="A2026" s="65"/>
      <c r="V2026" s="65"/>
    </row>
    <row r="2027" spans="1:22" x14ac:dyDescent="0.3">
      <c r="A2027" s="65"/>
      <c r="V2027" s="65"/>
    </row>
    <row r="2028" spans="1:22" x14ac:dyDescent="0.3">
      <c r="A2028" s="65"/>
      <c r="V2028" s="65"/>
    </row>
    <row r="2029" spans="1:22" x14ac:dyDescent="0.3">
      <c r="A2029" s="65"/>
      <c r="V2029" s="65"/>
    </row>
    <row r="2030" spans="1:22" x14ac:dyDescent="0.3">
      <c r="A2030" s="65"/>
      <c r="V2030" s="65"/>
    </row>
    <row r="2031" spans="1:22" x14ac:dyDescent="0.3">
      <c r="A2031" s="65"/>
      <c r="V2031" s="65"/>
    </row>
    <row r="2032" spans="1:22" x14ac:dyDescent="0.3">
      <c r="A2032" s="65"/>
      <c r="V2032" s="65"/>
    </row>
    <row r="2033" spans="1:22" x14ac:dyDescent="0.3">
      <c r="A2033" s="65"/>
      <c r="V2033" s="65"/>
    </row>
    <row r="2034" spans="1:22" x14ac:dyDescent="0.3">
      <c r="A2034" s="65"/>
      <c r="V2034" s="65"/>
    </row>
    <row r="2035" spans="1:22" x14ac:dyDescent="0.3">
      <c r="A2035" s="65"/>
      <c r="V2035" s="65"/>
    </row>
    <row r="2036" spans="1:22" x14ac:dyDescent="0.3">
      <c r="A2036" s="65"/>
      <c r="V2036" s="65"/>
    </row>
    <row r="2037" spans="1:22" x14ac:dyDescent="0.3">
      <c r="A2037" s="65"/>
      <c r="V2037" s="65"/>
    </row>
    <row r="2038" spans="1:22" x14ac:dyDescent="0.3">
      <c r="A2038" s="65"/>
      <c r="V2038" s="65"/>
    </row>
    <row r="2039" spans="1:22" x14ac:dyDescent="0.3">
      <c r="A2039" s="65"/>
      <c r="V2039" s="65"/>
    </row>
    <row r="2040" spans="1:22" x14ac:dyDescent="0.3">
      <c r="A2040" s="65"/>
      <c r="V2040" s="65"/>
    </row>
    <row r="2041" spans="1:22" x14ac:dyDescent="0.3">
      <c r="A2041" s="65"/>
      <c r="V2041" s="65"/>
    </row>
    <row r="2042" spans="1:22" x14ac:dyDescent="0.3">
      <c r="A2042" s="65"/>
      <c r="V2042" s="65"/>
    </row>
    <row r="2043" spans="1:22" x14ac:dyDescent="0.3">
      <c r="A2043" s="65"/>
      <c r="V2043" s="65"/>
    </row>
    <row r="2044" spans="1:22" x14ac:dyDescent="0.3">
      <c r="A2044" s="65"/>
      <c r="V2044" s="65"/>
    </row>
    <row r="2045" spans="1:22" x14ac:dyDescent="0.3">
      <c r="A2045" s="65"/>
      <c r="V2045" s="65"/>
    </row>
    <row r="2046" spans="1:22" x14ac:dyDescent="0.3">
      <c r="A2046" s="65"/>
      <c r="V2046" s="65"/>
    </row>
    <row r="2047" spans="1:22" x14ac:dyDescent="0.3">
      <c r="A2047" s="65"/>
      <c r="V2047" s="65"/>
    </row>
    <row r="2048" spans="1:22" x14ac:dyDescent="0.3">
      <c r="A2048" s="65"/>
      <c r="V2048" s="65"/>
    </row>
    <row r="2049" spans="1:22" x14ac:dyDescent="0.3">
      <c r="A2049" s="65"/>
      <c r="V2049" s="65"/>
    </row>
    <row r="2050" spans="1:22" x14ac:dyDescent="0.3">
      <c r="A2050" s="65"/>
      <c r="V2050" s="65"/>
    </row>
    <row r="2051" spans="1:22" x14ac:dyDescent="0.3">
      <c r="A2051" s="65"/>
      <c r="V2051" s="65"/>
    </row>
    <row r="2052" spans="1:22" x14ac:dyDescent="0.3">
      <c r="A2052" s="65"/>
      <c r="V2052" s="65"/>
    </row>
    <row r="2053" spans="1:22" x14ac:dyDescent="0.3">
      <c r="A2053" s="65"/>
      <c r="V2053" s="65"/>
    </row>
    <row r="2054" spans="1:22" x14ac:dyDescent="0.3">
      <c r="A2054" s="65"/>
      <c r="V2054" s="65"/>
    </row>
    <row r="2055" spans="1:22" x14ac:dyDescent="0.3">
      <c r="A2055" s="65"/>
      <c r="V2055" s="65"/>
    </row>
    <row r="2056" spans="1:22" x14ac:dyDescent="0.3">
      <c r="A2056" s="65"/>
      <c r="V2056" s="65"/>
    </row>
    <row r="2057" spans="1:22" x14ac:dyDescent="0.3">
      <c r="A2057" s="65"/>
      <c r="V2057" s="65"/>
    </row>
    <row r="2058" spans="1:22" x14ac:dyDescent="0.3">
      <c r="A2058" s="65"/>
      <c r="V2058" s="65"/>
    </row>
    <row r="2059" spans="1:22" x14ac:dyDescent="0.3">
      <c r="A2059" s="65"/>
      <c r="V2059" s="65"/>
    </row>
    <row r="2060" spans="1:22" x14ac:dyDescent="0.3">
      <c r="A2060" s="65"/>
      <c r="V2060" s="65"/>
    </row>
    <row r="2061" spans="1:22" x14ac:dyDescent="0.3">
      <c r="A2061" s="65"/>
      <c r="V2061" s="65"/>
    </row>
    <row r="2062" spans="1:22" x14ac:dyDescent="0.3">
      <c r="A2062" s="65"/>
      <c r="V2062" s="65"/>
    </row>
    <row r="2063" spans="1:22" x14ac:dyDescent="0.3">
      <c r="A2063" s="65"/>
      <c r="V2063" s="65"/>
    </row>
    <row r="2064" spans="1:22" x14ac:dyDescent="0.3">
      <c r="A2064" s="65"/>
      <c r="V2064" s="65"/>
    </row>
    <row r="2065" spans="1:22" x14ac:dyDescent="0.3">
      <c r="A2065" s="65"/>
      <c r="V2065" s="65"/>
    </row>
    <row r="2066" spans="1:22" x14ac:dyDescent="0.3">
      <c r="A2066" s="65"/>
      <c r="V2066" s="65"/>
    </row>
    <row r="2067" spans="1:22" x14ac:dyDescent="0.3">
      <c r="A2067" s="65"/>
      <c r="V2067" s="65"/>
    </row>
    <row r="2068" spans="1:22" x14ac:dyDescent="0.3">
      <c r="A2068" s="65"/>
      <c r="V2068" s="65"/>
    </row>
    <row r="2069" spans="1:22" x14ac:dyDescent="0.3">
      <c r="A2069" s="65"/>
      <c r="V2069" s="65"/>
    </row>
    <row r="2070" spans="1:22" x14ac:dyDescent="0.3">
      <c r="A2070" s="65"/>
      <c r="V2070" s="65"/>
    </row>
    <row r="2071" spans="1:22" x14ac:dyDescent="0.3">
      <c r="A2071" s="65"/>
      <c r="V2071" s="65"/>
    </row>
    <row r="2072" spans="1:22" x14ac:dyDescent="0.3">
      <c r="A2072" s="65"/>
      <c r="V2072" s="65"/>
    </row>
    <row r="2073" spans="1:22" x14ac:dyDescent="0.3">
      <c r="A2073" s="65"/>
      <c r="V2073" s="65"/>
    </row>
    <row r="2074" spans="1:22" x14ac:dyDescent="0.3">
      <c r="A2074" s="65"/>
      <c r="V2074" s="65"/>
    </row>
    <row r="2075" spans="1:22" x14ac:dyDescent="0.3">
      <c r="A2075" s="65"/>
      <c r="V2075" s="65"/>
    </row>
    <row r="2076" spans="1:22" x14ac:dyDescent="0.3">
      <c r="A2076" s="65"/>
      <c r="V2076" s="65"/>
    </row>
    <row r="2077" spans="1:22" x14ac:dyDescent="0.3">
      <c r="A2077" s="65"/>
      <c r="V2077" s="65"/>
    </row>
    <row r="2078" spans="1:22" x14ac:dyDescent="0.3">
      <c r="A2078" s="65"/>
      <c r="V2078" s="65"/>
    </row>
    <row r="2079" spans="1:22" x14ac:dyDescent="0.3">
      <c r="A2079" s="65"/>
      <c r="V2079" s="65"/>
    </row>
    <row r="2080" spans="1:22" x14ac:dyDescent="0.3">
      <c r="A2080" s="65"/>
      <c r="V2080" s="65"/>
    </row>
    <row r="2081" spans="1:22" x14ac:dyDescent="0.3">
      <c r="A2081" s="65"/>
      <c r="V2081" s="65"/>
    </row>
    <row r="2082" spans="1:22" x14ac:dyDescent="0.3">
      <c r="A2082" s="65"/>
      <c r="V2082" s="65"/>
    </row>
    <row r="2083" spans="1:22" x14ac:dyDescent="0.3">
      <c r="A2083" s="65"/>
      <c r="V2083" s="65"/>
    </row>
    <row r="2084" spans="1:22" x14ac:dyDescent="0.3">
      <c r="A2084" s="65"/>
      <c r="V2084" s="65"/>
    </row>
    <row r="2085" spans="1:22" x14ac:dyDescent="0.3">
      <c r="A2085" s="65"/>
      <c r="V2085" s="65"/>
    </row>
    <row r="2086" spans="1:22" x14ac:dyDescent="0.3">
      <c r="A2086" s="65"/>
      <c r="V2086" s="65"/>
    </row>
    <row r="2087" spans="1:22" x14ac:dyDescent="0.3">
      <c r="A2087" s="65"/>
      <c r="V2087" s="65"/>
    </row>
    <row r="2088" spans="1:22" x14ac:dyDescent="0.3">
      <c r="A2088" s="65"/>
      <c r="V2088" s="65"/>
    </row>
    <row r="2089" spans="1:22" x14ac:dyDescent="0.3">
      <c r="A2089" s="65"/>
      <c r="V2089" s="65"/>
    </row>
    <row r="2090" spans="1:22" x14ac:dyDescent="0.3">
      <c r="A2090" s="65"/>
      <c r="V2090" s="65"/>
    </row>
    <row r="2091" spans="1:22" x14ac:dyDescent="0.3">
      <c r="A2091" s="65"/>
      <c r="V2091" s="65"/>
    </row>
    <row r="2092" spans="1:22" x14ac:dyDescent="0.3">
      <c r="A2092" s="65"/>
      <c r="V2092" s="65"/>
    </row>
    <row r="2093" spans="1:22" x14ac:dyDescent="0.3">
      <c r="A2093" s="65"/>
      <c r="V2093" s="65"/>
    </row>
    <row r="2094" spans="1:22" x14ac:dyDescent="0.3">
      <c r="A2094" s="65"/>
      <c r="V2094" s="65"/>
    </row>
    <row r="2095" spans="1:22" x14ac:dyDescent="0.3">
      <c r="A2095" s="65"/>
      <c r="V2095" s="65"/>
    </row>
    <row r="2096" spans="1:22" x14ac:dyDescent="0.3">
      <c r="A2096" s="65"/>
      <c r="V2096" s="65"/>
    </row>
    <row r="2097" spans="1:22" x14ac:dyDescent="0.3">
      <c r="A2097" s="65"/>
      <c r="V2097" s="65"/>
    </row>
    <row r="2098" spans="1:22" x14ac:dyDescent="0.3">
      <c r="A2098" s="65"/>
      <c r="V2098" s="65"/>
    </row>
    <row r="2099" spans="1:22" x14ac:dyDescent="0.3">
      <c r="A2099" s="65"/>
      <c r="V2099" s="65"/>
    </row>
    <row r="2100" spans="1:22" x14ac:dyDescent="0.3">
      <c r="A2100" s="65"/>
      <c r="V2100" s="65"/>
    </row>
    <row r="2101" spans="1:22" x14ac:dyDescent="0.3">
      <c r="A2101" s="65"/>
      <c r="V2101" s="65"/>
    </row>
    <row r="2102" spans="1:22" x14ac:dyDescent="0.3">
      <c r="A2102" s="65"/>
      <c r="V2102" s="65"/>
    </row>
    <row r="2103" spans="1:22" x14ac:dyDescent="0.3">
      <c r="A2103" s="65"/>
      <c r="V2103" s="65"/>
    </row>
    <row r="2104" spans="1:22" x14ac:dyDescent="0.3">
      <c r="A2104" s="65"/>
      <c r="V2104" s="65"/>
    </row>
    <row r="2105" spans="1:22" x14ac:dyDescent="0.3">
      <c r="A2105" s="65"/>
      <c r="V2105" s="65"/>
    </row>
    <row r="2106" spans="1:22" x14ac:dyDescent="0.3">
      <c r="A2106" s="65"/>
      <c r="V2106" s="65"/>
    </row>
    <row r="2107" spans="1:22" x14ac:dyDescent="0.3">
      <c r="A2107" s="65"/>
      <c r="V2107" s="65"/>
    </row>
    <row r="2108" spans="1:22" x14ac:dyDescent="0.3">
      <c r="A2108" s="65"/>
      <c r="V2108" s="65"/>
    </row>
    <row r="2109" spans="1:22" x14ac:dyDescent="0.3">
      <c r="A2109" s="65"/>
      <c r="V2109" s="65"/>
    </row>
    <row r="2110" spans="1:22" x14ac:dyDescent="0.3">
      <c r="A2110" s="65"/>
      <c r="V2110" s="65"/>
    </row>
    <row r="2111" spans="1:22" x14ac:dyDescent="0.3">
      <c r="A2111" s="65"/>
      <c r="V2111" s="65"/>
    </row>
    <row r="2112" spans="1:22" x14ac:dyDescent="0.3">
      <c r="A2112" s="65"/>
      <c r="V2112" s="65"/>
    </row>
    <row r="2113" spans="1:22" x14ac:dyDescent="0.3">
      <c r="A2113" s="65"/>
      <c r="V2113" s="65"/>
    </row>
    <row r="2114" spans="1:22" x14ac:dyDescent="0.3">
      <c r="A2114" s="65"/>
      <c r="V2114" s="65"/>
    </row>
    <row r="2115" spans="1:22" x14ac:dyDescent="0.3">
      <c r="A2115" s="65"/>
      <c r="V2115" s="65"/>
    </row>
    <row r="2116" spans="1:22" x14ac:dyDescent="0.3">
      <c r="A2116" s="65"/>
      <c r="V2116" s="65"/>
    </row>
    <row r="2117" spans="1:22" x14ac:dyDescent="0.3">
      <c r="A2117" s="65"/>
      <c r="V2117" s="65"/>
    </row>
    <row r="2118" spans="1:22" x14ac:dyDescent="0.3">
      <c r="A2118" s="65"/>
      <c r="V2118" s="65"/>
    </row>
    <row r="2119" spans="1:22" x14ac:dyDescent="0.3">
      <c r="A2119" s="65"/>
      <c r="V2119" s="65"/>
    </row>
    <row r="2120" spans="1:22" x14ac:dyDescent="0.3">
      <c r="A2120" s="65"/>
      <c r="V2120" s="65"/>
    </row>
    <row r="2121" spans="1:22" x14ac:dyDescent="0.3">
      <c r="A2121" s="65"/>
      <c r="V2121" s="65"/>
    </row>
    <row r="2122" spans="1:22" x14ac:dyDescent="0.3">
      <c r="A2122" s="65"/>
      <c r="V2122" s="65"/>
    </row>
    <row r="2123" spans="1:22" x14ac:dyDescent="0.3">
      <c r="A2123" s="65"/>
      <c r="V2123" s="65"/>
    </row>
    <row r="2124" spans="1:22" x14ac:dyDescent="0.3">
      <c r="A2124" s="65"/>
      <c r="V2124" s="65"/>
    </row>
    <row r="2125" spans="1:22" x14ac:dyDescent="0.3">
      <c r="A2125" s="65"/>
      <c r="V2125" s="65"/>
    </row>
    <row r="2126" spans="1:22" x14ac:dyDescent="0.3">
      <c r="A2126" s="65"/>
      <c r="V2126" s="65"/>
    </row>
    <row r="2127" spans="1:22" x14ac:dyDescent="0.3">
      <c r="A2127" s="65"/>
      <c r="V2127" s="65"/>
    </row>
    <row r="2128" spans="1:22" x14ac:dyDescent="0.3">
      <c r="A2128" s="65"/>
      <c r="V2128" s="65"/>
    </row>
    <row r="2129" spans="1:22" x14ac:dyDescent="0.3">
      <c r="A2129" s="65"/>
      <c r="V2129" s="65"/>
    </row>
    <row r="2130" spans="1:22" x14ac:dyDescent="0.3">
      <c r="A2130" s="65"/>
      <c r="V2130" s="65"/>
    </row>
    <row r="2131" spans="1:22" x14ac:dyDescent="0.3">
      <c r="A2131" s="65"/>
      <c r="V2131" s="65"/>
    </row>
    <row r="2132" spans="1:22" x14ac:dyDescent="0.3">
      <c r="A2132" s="65"/>
      <c r="V2132" s="65"/>
    </row>
    <row r="2133" spans="1:22" x14ac:dyDescent="0.3">
      <c r="A2133" s="65"/>
      <c r="V2133" s="65"/>
    </row>
    <row r="2134" spans="1:22" x14ac:dyDescent="0.3">
      <c r="A2134" s="65"/>
      <c r="V2134" s="65"/>
    </row>
    <row r="2135" spans="1:22" x14ac:dyDescent="0.3">
      <c r="A2135" s="65"/>
      <c r="V2135" s="65"/>
    </row>
    <row r="2136" spans="1:22" x14ac:dyDescent="0.3">
      <c r="A2136" s="65"/>
      <c r="V2136" s="65"/>
    </row>
    <row r="2137" spans="1:22" x14ac:dyDescent="0.3">
      <c r="A2137" s="65"/>
      <c r="V2137" s="65"/>
    </row>
    <row r="2138" spans="1:22" x14ac:dyDescent="0.3">
      <c r="A2138" s="65"/>
      <c r="V2138" s="65"/>
    </row>
    <row r="2139" spans="1:22" x14ac:dyDescent="0.3">
      <c r="A2139" s="65"/>
      <c r="V2139" s="65"/>
    </row>
    <row r="2140" spans="1:22" x14ac:dyDescent="0.3">
      <c r="A2140" s="65"/>
      <c r="V2140" s="65"/>
    </row>
    <row r="2141" spans="1:22" x14ac:dyDescent="0.3">
      <c r="A2141" s="65"/>
      <c r="V2141" s="65"/>
    </row>
    <row r="2142" spans="1:22" x14ac:dyDescent="0.3">
      <c r="A2142" s="65"/>
      <c r="V2142" s="65"/>
    </row>
    <row r="2143" spans="1:22" x14ac:dyDescent="0.3">
      <c r="A2143" s="65"/>
      <c r="V2143" s="65"/>
    </row>
    <row r="2144" spans="1:22" x14ac:dyDescent="0.3">
      <c r="A2144" s="65"/>
      <c r="V2144" s="65"/>
    </row>
    <row r="2145" spans="1:22" x14ac:dyDescent="0.3">
      <c r="A2145" s="65"/>
      <c r="V2145" s="65"/>
    </row>
    <row r="2146" spans="1:22" x14ac:dyDescent="0.3">
      <c r="A2146" s="65"/>
      <c r="V2146" s="65"/>
    </row>
    <row r="2147" spans="1:22" x14ac:dyDescent="0.3">
      <c r="A2147" s="65"/>
      <c r="V2147" s="65"/>
    </row>
    <row r="2148" spans="1:22" x14ac:dyDescent="0.3">
      <c r="A2148" s="65"/>
      <c r="V2148" s="65"/>
    </row>
    <row r="2149" spans="1:22" x14ac:dyDescent="0.3">
      <c r="A2149" s="65"/>
      <c r="V2149" s="65"/>
    </row>
    <row r="2150" spans="1:22" x14ac:dyDescent="0.3">
      <c r="A2150" s="65"/>
      <c r="V2150" s="65"/>
    </row>
    <row r="2151" spans="1:22" x14ac:dyDescent="0.3">
      <c r="A2151" s="65"/>
      <c r="V2151" s="65"/>
    </row>
    <row r="2152" spans="1:22" x14ac:dyDescent="0.3">
      <c r="A2152" s="65"/>
      <c r="V2152" s="65"/>
    </row>
    <row r="2153" spans="1:22" x14ac:dyDescent="0.3">
      <c r="A2153" s="65"/>
      <c r="V2153" s="65"/>
    </row>
    <row r="2154" spans="1:22" x14ac:dyDescent="0.3">
      <c r="A2154" s="65"/>
      <c r="V2154" s="65"/>
    </row>
    <row r="2155" spans="1:22" x14ac:dyDescent="0.3">
      <c r="A2155" s="65"/>
      <c r="V2155" s="65"/>
    </row>
    <row r="2156" spans="1:22" x14ac:dyDescent="0.3">
      <c r="A2156" s="65"/>
      <c r="V2156" s="65"/>
    </row>
    <row r="2157" spans="1:22" x14ac:dyDescent="0.3">
      <c r="A2157" s="65"/>
      <c r="V2157" s="65"/>
    </row>
    <row r="2158" spans="1:22" x14ac:dyDescent="0.3">
      <c r="A2158" s="65"/>
      <c r="V2158" s="65"/>
    </row>
    <row r="2159" spans="1:22" x14ac:dyDescent="0.3">
      <c r="A2159" s="65"/>
      <c r="V2159" s="65"/>
    </row>
    <row r="2160" spans="1:22" x14ac:dyDescent="0.3">
      <c r="A2160" s="65"/>
      <c r="V2160" s="65"/>
    </row>
    <row r="2161" spans="1:22" x14ac:dyDescent="0.3">
      <c r="A2161" s="65"/>
      <c r="V2161" s="65"/>
    </row>
    <row r="2162" spans="1:22" x14ac:dyDescent="0.3">
      <c r="A2162" s="65"/>
      <c r="V2162" s="65"/>
    </row>
    <row r="2163" spans="1:22" x14ac:dyDescent="0.3">
      <c r="A2163" s="65"/>
      <c r="V2163" s="65"/>
    </row>
    <row r="2164" spans="1:22" x14ac:dyDescent="0.3">
      <c r="A2164" s="65"/>
      <c r="V2164" s="65"/>
    </row>
    <row r="2165" spans="1:22" x14ac:dyDescent="0.3">
      <c r="A2165" s="65"/>
      <c r="V2165" s="65"/>
    </row>
    <row r="2166" spans="1:22" x14ac:dyDescent="0.3">
      <c r="A2166" s="65"/>
      <c r="V2166" s="65"/>
    </row>
    <row r="2167" spans="1:22" x14ac:dyDescent="0.3">
      <c r="A2167" s="65"/>
      <c r="V2167" s="65"/>
    </row>
    <row r="2168" spans="1:22" x14ac:dyDescent="0.3">
      <c r="A2168" s="65"/>
      <c r="V2168" s="65"/>
    </row>
    <row r="2169" spans="1:22" x14ac:dyDescent="0.3">
      <c r="A2169" s="65"/>
      <c r="V2169" s="65"/>
    </row>
    <row r="2170" spans="1:22" x14ac:dyDescent="0.3">
      <c r="A2170" s="65"/>
      <c r="V2170" s="65"/>
    </row>
    <row r="2171" spans="1:22" x14ac:dyDescent="0.3">
      <c r="A2171" s="65"/>
      <c r="V2171" s="65"/>
    </row>
    <row r="2172" spans="1:22" x14ac:dyDescent="0.3">
      <c r="A2172" s="65"/>
      <c r="V2172" s="65"/>
    </row>
    <row r="2173" spans="1:22" x14ac:dyDescent="0.3">
      <c r="A2173" s="65"/>
      <c r="V2173" s="65"/>
    </row>
    <row r="2174" spans="1:22" x14ac:dyDescent="0.3">
      <c r="A2174" s="65"/>
      <c r="V2174" s="65"/>
    </row>
    <row r="2175" spans="1:22" x14ac:dyDescent="0.3">
      <c r="A2175" s="65"/>
      <c r="V2175" s="65"/>
    </row>
    <row r="2176" spans="1:22" x14ac:dyDescent="0.3">
      <c r="A2176" s="65"/>
      <c r="V2176" s="65"/>
    </row>
    <row r="2177" spans="1:22" x14ac:dyDescent="0.3">
      <c r="A2177" s="65"/>
      <c r="V2177" s="65"/>
    </row>
    <row r="2178" spans="1:22" x14ac:dyDescent="0.3">
      <c r="A2178" s="65"/>
      <c r="V2178" s="65"/>
    </row>
    <row r="2179" spans="1:22" x14ac:dyDescent="0.3">
      <c r="A2179" s="65"/>
      <c r="V2179" s="65"/>
    </row>
    <row r="2180" spans="1:22" x14ac:dyDescent="0.3">
      <c r="A2180" s="65"/>
      <c r="V2180" s="65"/>
    </row>
    <row r="2181" spans="1:22" x14ac:dyDescent="0.3">
      <c r="A2181" s="65"/>
      <c r="V2181" s="65"/>
    </row>
    <row r="2182" spans="1:22" x14ac:dyDescent="0.3">
      <c r="A2182" s="65"/>
      <c r="V2182" s="65"/>
    </row>
    <row r="2183" spans="1:22" x14ac:dyDescent="0.3">
      <c r="A2183" s="65"/>
      <c r="V2183" s="65"/>
    </row>
    <row r="2184" spans="1:22" x14ac:dyDescent="0.3">
      <c r="A2184" s="65"/>
      <c r="V2184" s="65"/>
    </row>
    <row r="2185" spans="1:22" x14ac:dyDescent="0.3">
      <c r="A2185" s="65"/>
      <c r="V2185" s="65"/>
    </row>
    <row r="2186" spans="1:22" x14ac:dyDescent="0.3">
      <c r="A2186" s="65"/>
      <c r="V2186" s="65"/>
    </row>
    <row r="2187" spans="1:22" x14ac:dyDescent="0.3">
      <c r="A2187" s="65"/>
      <c r="V2187" s="65"/>
    </row>
    <row r="2188" spans="1:22" x14ac:dyDescent="0.3">
      <c r="A2188" s="65"/>
      <c r="V2188" s="65"/>
    </row>
    <row r="2189" spans="1:22" x14ac:dyDescent="0.3">
      <c r="A2189" s="65"/>
      <c r="V2189" s="65"/>
    </row>
    <row r="2190" spans="1:22" x14ac:dyDescent="0.3">
      <c r="A2190" s="65"/>
      <c r="V2190" s="65"/>
    </row>
    <row r="2191" spans="1:22" x14ac:dyDescent="0.3">
      <c r="A2191" s="65"/>
      <c r="V2191" s="65"/>
    </row>
    <row r="2192" spans="1:22" x14ac:dyDescent="0.3">
      <c r="A2192" s="65"/>
      <c r="V2192" s="65"/>
    </row>
    <row r="2193" spans="1:22" x14ac:dyDescent="0.3">
      <c r="A2193" s="65"/>
      <c r="V2193" s="65"/>
    </row>
    <row r="2194" spans="1:22" x14ac:dyDescent="0.3">
      <c r="A2194" s="65"/>
      <c r="V2194" s="65"/>
    </row>
    <row r="2195" spans="1:22" x14ac:dyDescent="0.3">
      <c r="A2195" s="65"/>
      <c r="V2195" s="65"/>
    </row>
    <row r="2196" spans="1:22" x14ac:dyDescent="0.3">
      <c r="A2196" s="65"/>
      <c r="V2196" s="65"/>
    </row>
    <row r="2197" spans="1:22" x14ac:dyDescent="0.3">
      <c r="A2197" s="65"/>
      <c r="V2197" s="65"/>
    </row>
    <row r="2198" spans="1:22" x14ac:dyDescent="0.3">
      <c r="A2198" s="65"/>
      <c r="V2198" s="65"/>
    </row>
    <row r="2199" spans="1:22" x14ac:dyDescent="0.3">
      <c r="A2199" s="65"/>
      <c r="V2199" s="65"/>
    </row>
    <row r="2200" spans="1:22" x14ac:dyDescent="0.3">
      <c r="A2200" s="65"/>
      <c r="V2200" s="65"/>
    </row>
    <row r="2201" spans="1:22" x14ac:dyDescent="0.3">
      <c r="A2201" s="65"/>
      <c r="V2201" s="65"/>
    </row>
    <row r="2202" spans="1:22" x14ac:dyDescent="0.3">
      <c r="A2202" s="65"/>
      <c r="V2202" s="65"/>
    </row>
    <row r="2203" spans="1:22" x14ac:dyDescent="0.3">
      <c r="A2203" s="65"/>
      <c r="V2203" s="65"/>
    </row>
    <row r="2204" spans="1:22" x14ac:dyDescent="0.3">
      <c r="A2204" s="65"/>
      <c r="V2204" s="65"/>
    </row>
    <row r="2205" spans="1:22" x14ac:dyDescent="0.3">
      <c r="A2205" s="65"/>
      <c r="V2205" s="65"/>
    </row>
    <row r="2206" spans="1:22" x14ac:dyDescent="0.3">
      <c r="A2206" s="65"/>
      <c r="V2206" s="65"/>
    </row>
    <row r="2207" spans="1:22" x14ac:dyDescent="0.3">
      <c r="A2207" s="65"/>
      <c r="V2207" s="65"/>
    </row>
    <row r="2208" spans="1:22" x14ac:dyDescent="0.3">
      <c r="A2208" s="65"/>
      <c r="V2208" s="65"/>
    </row>
    <row r="2209" spans="1:22" x14ac:dyDescent="0.3">
      <c r="A2209" s="65"/>
      <c r="V2209" s="65"/>
    </row>
    <row r="2210" spans="1:22" x14ac:dyDescent="0.3">
      <c r="A2210" s="65"/>
      <c r="V2210" s="65"/>
    </row>
    <row r="2211" spans="1:22" x14ac:dyDescent="0.3">
      <c r="A2211" s="65"/>
      <c r="V2211" s="65"/>
    </row>
    <row r="2212" spans="1:22" x14ac:dyDescent="0.3">
      <c r="A2212" s="65"/>
      <c r="V2212" s="65"/>
    </row>
    <row r="2213" spans="1:22" x14ac:dyDescent="0.3">
      <c r="A2213" s="65"/>
      <c r="V2213" s="65"/>
    </row>
    <row r="2214" spans="1:22" x14ac:dyDescent="0.3">
      <c r="A2214" s="65"/>
      <c r="V2214" s="65"/>
    </row>
    <row r="2215" spans="1:22" x14ac:dyDescent="0.3">
      <c r="A2215" s="65"/>
      <c r="V2215" s="65"/>
    </row>
    <row r="2216" spans="1:22" x14ac:dyDescent="0.3">
      <c r="A2216" s="65"/>
      <c r="V2216" s="65"/>
    </row>
    <row r="2217" spans="1:22" x14ac:dyDescent="0.3">
      <c r="A2217" s="65"/>
      <c r="V2217" s="65"/>
    </row>
    <row r="2218" spans="1:22" x14ac:dyDescent="0.3">
      <c r="A2218" s="65"/>
      <c r="V2218" s="65"/>
    </row>
    <row r="2219" spans="1:22" x14ac:dyDescent="0.3">
      <c r="A2219" s="65"/>
      <c r="V2219" s="65"/>
    </row>
    <row r="2220" spans="1:22" x14ac:dyDescent="0.3">
      <c r="A2220" s="65"/>
      <c r="V2220" s="65"/>
    </row>
    <row r="2221" spans="1:22" x14ac:dyDescent="0.3">
      <c r="A2221" s="65"/>
      <c r="V2221" s="65"/>
    </row>
    <row r="2222" spans="1:22" x14ac:dyDescent="0.3">
      <c r="A2222" s="65"/>
      <c r="V2222" s="65"/>
    </row>
    <row r="2223" spans="1:22" x14ac:dyDescent="0.3">
      <c r="A2223" s="65"/>
      <c r="V2223" s="65"/>
    </row>
    <row r="2224" spans="1:22" x14ac:dyDescent="0.3">
      <c r="A2224" s="65"/>
      <c r="V2224" s="65"/>
    </row>
    <row r="2225" spans="1:22" x14ac:dyDescent="0.3">
      <c r="A2225" s="65"/>
      <c r="V2225" s="65"/>
    </row>
    <row r="2226" spans="1:22" x14ac:dyDescent="0.3">
      <c r="A2226" s="65"/>
      <c r="V2226" s="65"/>
    </row>
    <row r="2227" spans="1:22" x14ac:dyDescent="0.3">
      <c r="A2227" s="65"/>
      <c r="V2227" s="65"/>
    </row>
    <row r="2228" spans="1:22" x14ac:dyDescent="0.3">
      <c r="A2228" s="65"/>
      <c r="V2228" s="65"/>
    </row>
    <row r="2229" spans="1:22" x14ac:dyDescent="0.3">
      <c r="A2229" s="65"/>
      <c r="V2229" s="65"/>
    </row>
    <row r="2230" spans="1:22" x14ac:dyDescent="0.3">
      <c r="A2230" s="65"/>
      <c r="V2230" s="65"/>
    </row>
    <row r="2231" spans="1:22" x14ac:dyDescent="0.3">
      <c r="A2231" s="65"/>
      <c r="V2231" s="65"/>
    </row>
    <row r="2232" spans="1:22" x14ac:dyDescent="0.3">
      <c r="A2232" s="65"/>
      <c r="V2232" s="65"/>
    </row>
    <row r="2233" spans="1:22" x14ac:dyDescent="0.3">
      <c r="A2233" s="65"/>
      <c r="V2233" s="65"/>
    </row>
    <row r="2234" spans="1:22" x14ac:dyDescent="0.3">
      <c r="A2234" s="65"/>
      <c r="V2234" s="65"/>
    </row>
    <row r="2235" spans="1:22" x14ac:dyDescent="0.3">
      <c r="A2235" s="65"/>
      <c r="V2235" s="65"/>
    </row>
    <row r="2236" spans="1:22" x14ac:dyDescent="0.3">
      <c r="A2236" s="65"/>
      <c r="V2236" s="65"/>
    </row>
    <row r="2237" spans="1:22" x14ac:dyDescent="0.3">
      <c r="A2237" s="65"/>
      <c r="V2237" s="65"/>
    </row>
    <row r="2238" spans="1:22" x14ac:dyDescent="0.3">
      <c r="A2238" s="65"/>
      <c r="V2238" s="65"/>
    </row>
    <row r="2239" spans="1:22" x14ac:dyDescent="0.3">
      <c r="A2239" s="65"/>
      <c r="V2239" s="65"/>
    </row>
    <row r="2240" spans="1:22" x14ac:dyDescent="0.3">
      <c r="A2240" s="65"/>
      <c r="V2240" s="65"/>
    </row>
    <row r="2241" spans="1:22" x14ac:dyDescent="0.3">
      <c r="A2241" s="65"/>
      <c r="V2241" s="65"/>
    </row>
    <row r="2242" spans="1:22" x14ac:dyDescent="0.3">
      <c r="A2242" s="65"/>
      <c r="V2242" s="65"/>
    </row>
    <row r="2243" spans="1:22" x14ac:dyDescent="0.3">
      <c r="A2243" s="65"/>
      <c r="V2243" s="65"/>
    </row>
    <row r="2244" spans="1:22" x14ac:dyDescent="0.3">
      <c r="A2244" s="65"/>
      <c r="V2244" s="65"/>
    </row>
    <row r="2245" spans="1:22" x14ac:dyDescent="0.3">
      <c r="A2245" s="65"/>
      <c r="V2245" s="65"/>
    </row>
    <row r="2246" spans="1:22" x14ac:dyDescent="0.3">
      <c r="A2246" s="65"/>
      <c r="V2246" s="65"/>
    </row>
    <row r="2247" spans="1:22" x14ac:dyDescent="0.3">
      <c r="A2247" s="65"/>
      <c r="V2247" s="65"/>
    </row>
    <row r="2248" spans="1:22" x14ac:dyDescent="0.3">
      <c r="A2248" s="65"/>
      <c r="V2248" s="65"/>
    </row>
    <row r="2249" spans="1:22" x14ac:dyDescent="0.3">
      <c r="A2249" s="65"/>
      <c r="V2249" s="65"/>
    </row>
    <row r="2250" spans="1:22" x14ac:dyDescent="0.3">
      <c r="A2250" s="65"/>
      <c r="V2250" s="65"/>
    </row>
    <row r="2251" spans="1:22" x14ac:dyDescent="0.3">
      <c r="A2251" s="65"/>
      <c r="V2251" s="65"/>
    </row>
    <row r="2252" spans="1:22" x14ac:dyDescent="0.3">
      <c r="A2252" s="65"/>
      <c r="V2252" s="65"/>
    </row>
    <row r="2253" spans="1:22" x14ac:dyDescent="0.3">
      <c r="A2253" s="65"/>
      <c r="V2253" s="65"/>
    </row>
    <row r="2254" spans="1:22" x14ac:dyDescent="0.3">
      <c r="A2254" s="65"/>
      <c r="V2254" s="65"/>
    </row>
    <row r="2255" spans="1:22" x14ac:dyDescent="0.3">
      <c r="A2255" s="65"/>
      <c r="V2255" s="65"/>
    </row>
    <row r="2256" spans="1:22" x14ac:dyDescent="0.3">
      <c r="A2256" s="65"/>
      <c r="V2256" s="65"/>
    </row>
    <row r="2257" spans="1:22" x14ac:dyDescent="0.3">
      <c r="A2257" s="65"/>
      <c r="V2257" s="65"/>
    </row>
    <row r="2258" spans="1:22" x14ac:dyDescent="0.3">
      <c r="A2258" s="65"/>
      <c r="V2258" s="65"/>
    </row>
    <row r="2259" spans="1:22" x14ac:dyDescent="0.3">
      <c r="A2259" s="65"/>
      <c r="V2259" s="65"/>
    </row>
    <row r="2260" spans="1:22" x14ac:dyDescent="0.3">
      <c r="A2260" s="65"/>
      <c r="V2260" s="65"/>
    </row>
    <row r="2261" spans="1:22" x14ac:dyDescent="0.3">
      <c r="A2261" s="65"/>
      <c r="V2261" s="65"/>
    </row>
    <row r="2262" spans="1:22" x14ac:dyDescent="0.3">
      <c r="A2262" s="65"/>
      <c r="V2262" s="65"/>
    </row>
    <row r="2263" spans="1:22" x14ac:dyDescent="0.3">
      <c r="A2263" s="65"/>
      <c r="V2263" s="65"/>
    </row>
    <row r="2264" spans="1:22" x14ac:dyDescent="0.3">
      <c r="A2264" s="65"/>
      <c r="V2264" s="65"/>
    </row>
    <row r="2265" spans="1:22" x14ac:dyDescent="0.3">
      <c r="A2265" s="65"/>
      <c r="V2265" s="65"/>
    </row>
    <row r="2266" spans="1:22" x14ac:dyDescent="0.3">
      <c r="A2266" s="65"/>
      <c r="V2266" s="65"/>
    </row>
    <row r="2267" spans="1:22" x14ac:dyDescent="0.3">
      <c r="A2267" s="65"/>
      <c r="V2267" s="65"/>
    </row>
    <row r="2268" spans="1:22" x14ac:dyDescent="0.3">
      <c r="A2268" s="65"/>
      <c r="V2268" s="65"/>
    </row>
    <row r="2269" spans="1:22" x14ac:dyDescent="0.3">
      <c r="A2269" s="65"/>
      <c r="V2269" s="65"/>
    </row>
    <row r="2270" spans="1:22" x14ac:dyDescent="0.3">
      <c r="A2270" s="65"/>
      <c r="V2270" s="65"/>
    </row>
    <row r="2271" spans="1:22" x14ac:dyDescent="0.3">
      <c r="A2271" s="65"/>
      <c r="V2271" s="65"/>
    </row>
    <row r="2272" spans="1:22" x14ac:dyDescent="0.3">
      <c r="A2272" s="65"/>
      <c r="V2272" s="65"/>
    </row>
    <row r="2273" spans="1:22" x14ac:dyDescent="0.3">
      <c r="A2273" s="65"/>
      <c r="V2273" s="65"/>
    </row>
    <row r="2274" spans="1:22" x14ac:dyDescent="0.3">
      <c r="A2274" s="65"/>
      <c r="V2274" s="65"/>
    </row>
    <row r="2275" spans="1:22" x14ac:dyDescent="0.3">
      <c r="A2275" s="65"/>
      <c r="V2275" s="65"/>
    </row>
    <row r="2276" spans="1:22" x14ac:dyDescent="0.3">
      <c r="A2276" s="65"/>
      <c r="V2276" s="65"/>
    </row>
    <row r="2277" spans="1:22" x14ac:dyDescent="0.3">
      <c r="A2277" s="65"/>
      <c r="V2277" s="65"/>
    </row>
    <row r="2278" spans="1:22" x14ac:dyDescent="0.3">
      <c r="A2278" s="65"/>
      <c r="V2278" s="65"/>
    </row>
    <row r="2279" spans="1:22" x14ac:dyDescent="0.3">
      <c r="A2279" s="65"/>
      <c r="V2279" s="65"/>
    </row>
    <row r="2280" spans="1:22" x14ac:dyDescent="0.3">
      <c r="A2280" s="65"/>
      <c r="V2280" s="65"/>
    </row>
    <row r="2281" spans="1:22" x14ac:dyDescent="0.3">
      <c r="A2281" s="65"/>
      <c r="V2281" s="65"/>
    </row>
    <row r="2282" spans="1:22" x14ac:dyDescent="0.3">
      <c r="A2282" s="65"/>
      <c r="V2282" s="65"/>
    </row>
    <row r="2283" spans="1:22" x14ac:dyDescent="0.3">
      <c r="A2283" s="65"/>
      <c r="V2283" s="65"/>
    </row>
    <row r="2284" spans="1:22" x14ac:dyDescent="0.3">
      <c r="A2284" s="65"/>
      <c r="V2284" s="65"/>
    </row>
    <row r="2285" spans="1:22" x14ac:dyDescent="0.3">
      <c r="A2285" s="65"/>
      <c r="V2285" s="65"/>
    </row>
    <row r="2286" spans="1:22" x14ac:dyDescent="0.3">
      <c r="A2286" s="65"/>
      <c r="V2286" s="65"/>
    </row>
    <row r="2287" spans="1:22" x14ac:dyDescent="0.3">
      <c r="A2287" s="65"/>
      <c r="V2287" s="65"/>
    </row>
    <row r="2288" spans="1:22" x14ac:dyDescent="0.3">
      <c r="A2288" s="65"/>
      <c r="V2288" s="65"/>
    </row>
    <row r="2289" spans="1:22" x14ac:dyDescent="0.3">
      <c r="A2289" s="65"/>
      <c r="V2289" s="65"/>
    </row>
    <row r="2290" spans="1:22" x14ac:dyDescent="0.3">
      <c r="A2290" s="65"/>
      <c r="V2290" s="65"/>
    </row>
    <row r="2291" spans="1:22" x14ac:dyDescent="0.3">
      <c r="A2291" s="65"/>
      <c r="V2291" s="65"/>
    </row>
    <row r="2292" spans="1:22" x14ac:dyDescent="0.3">
      <c r="A2292" s="65"/>
      <c r="V2292" s="65"/>
    </row>
    <row r="2293" spans="1:22" x14ac:dyDescent="0.3">
      <c r="A2293" s="65"/>
      <c r="V2293" s="65"/>
    </row>
    <row r="2294" spans="1:22" x14ac:dyDescent="0.3">
      <c r="A2294" s="65"/>
      <c r="V2294" s="65"/>
    </row>
    <row r="2295" spans="1:22" x14ac:dyDescent="0.3">
      <c r="A2295" s="65"/>
      <c r="V2295" s="65"/>
    </row>
    <row r="2296" spans="1:22" x14ac:dyDescent="0.3">
      <c r="A2296" s="65"/>
      <c r="V2296" s="65"/>
    </row>
    <row r="2297" spans="1:22" x14ac:dyDescent="0.3">
      <c r="A2297" s="65"/>
      <c r="V2297" s="65"/>
    </row>
    <row r="2298" spans="1:22" x14ac:dyDescent="0.3">
      <c r="A2298" s="65"/>
      <c r="V2298" s="65"/>
    </row>
    <row r="2299" spans="1:22" x14ac:dyDescent="0.3">
      <c r="A2299" s="65"/>
      <c r="V2299" s="65"/>
    </row>
    <row r="2300" spans="1:22" x14ac:dyDescent="0.3">
      <c r="A2300" s="65"/>
      <c r="V2300" s="65"/>
    </row>
    <row r="2301" spans="1:22" x14ac:dyDescent="0.3">
      <c r="A2301" s="65"/>
      <c r="V2301" s="65"/>
    </row>
    <row r="2302" spans="1:22" x14ac:dyDescent="0.3">
      <c r="A2302" s="65"/>
      <c r="V2302" s="65"/>
    </row>
    <row r="2303" spans="1:22" x14ac:dyDescent="0.3">
      <c r="A2303" s="65"/>
      <c r="V2303" s="65"/>
    </row>
    <row r="2304" spans="1:22" x14ac:dyDescent="0.3">
      <c r="A2304" s="65"/>
      <c r="V2304" s="65"/>
    </row>
    <row r="2305" spans="1:22" x14ac:dyDescent="0.3">
      <c r="A2305" s="65"/>
      <c r="V2305" s="65"/>
    </row>
    <row r="2306" spans="1:22" x14ac:dyDescent="0.3">
      <c r="A2306" s="65"/>
      <c r="V2306" s="65"/>
    </row>
    <row r="2307" spans="1:22" x14ac:dyDescent="0.3">
      <c r="A2307" s="65"/>
      <c r="V2307" s="65"/>
    </row>
    <row r="2308" spans="1:22" x14ac:dyDescent="0.3">
      <c r="A2308" s="65"/>
      <c r="V2308" s="65"/>
    </row>
    <row r="2309" spans="1:22" x14ac:dyDescent="0.3">
      <c r="A2309" s="65"/>
      <c r="V2309" s="65"/>
    </row>
    <row r="2310" spans="1:22" x14ac:dyDescent="0.3">
      <c r="A2310" s="65"/>
      <c r="V2310" s="65"/>
    </row>
    <row r="2311" spans="1:22" x14ac:dyDescent="0.3">
      <c r="A2311" s="65"/>
      <c r="V2311" s="65"/>
    </row>
    <row r="2312" spans="1:22" x14ac:dyDescent="0.3">
      <c r="A2312" s="65"/>
      <c r="V2312" s="65"/>
    </row>
    <row r="2313" spans="1:22" x14ac:dyDescent="0.3">
      <c r="A2313" s="65"/>
      <c r="V2313" s="65"/>
    </row>
    <row r="2314" spans="1:22" x14ac:dyDescent="0.3">
      <c r="A2314" s="65"/>
      <c r="V2314" s="65"/>
    </row>
    <row r="2315" spans="1:22" x14ac:dyDescent="0.3">
      <c r="A2315" s="65"/>
      <c r="V2315" s="65"/>
    </row>
    <row r="2316" spans="1:22" x14ac:dyDescent="0.3">
      <c r="A2316" s="65"/>
      <c r="V2316" s="65"/>
    </row>
    <row r="2317" spans="1:22" x14ac:dyDescent="0.3">
      <c r="A2317" s="65"/>
      <c r="V2317" s="65"/>
    </row>
    <row r="2318" spans="1:22" x14ac:dyDescent="0.3">
      <c r="A2318" s="65"/>
      <c r="V2318" s="65"/>
    </row>
    <row r="2319" spans="1:22" x14ac:dyDescent="0.3">
      <c r="A2319" s="65"/>
      <c r="V2319" s="65"/>
    </row>
    <row r="2320" spans="1:22" x14ac:dyDescent="0.3">
      <c r="A2320" s="65"/>
      <c r="V2320" s="65"/>
    </row>
    <row r="2321" spans="1:22" x14ac:dyDescent="0.3">
      <c r="A2321" s="65"/>
      <c r="V2321" s="65"/>
    </row>
    <row r="2322" spans="1:22" x14ac:dyDescent="0.3">
      <c r="A2322" s="65"/>
      <c r="V2322" s="65"/>
    </row>
    <row r="2323" spans="1:22" x14ac:dyDescent="0.3">
      <c r="A2323" s="65"/>
      <c r="V2323" s="65"/>
    </row>
    <row r="2324" spans="1:22" x14ac:dyDescent="0.3">
      <c r="A2324" s="65"/>
      <c r="V2324" s="65"/>
    </row>
    <row r="2325" spans="1:22" x14ac:dyDescent="0.3">
      <c r="A2325" s="65"/>
      <c r="V2325" s="65"/>
    </row>
    <row r="2326" spans="1:22" x14ac:dyDescent="0.3">
      <c r="A2326" s="65"/>
      <c r="V2326" s="65"/>
    </row>
    <row r="2327" spans="1:22" x14ac:dyDescent="0.3">
      <c r="A2327" s="65"/>
      <c r="V2327" s="65"/>
    </row>
    <row r="2328" spans="1:22" x14ac:dyDescent="0.3">
      <c r="A2328" s="65"/>
      <c r="V2328" s="65"/>
    </row>
    <row r="2329" spans="1:22" x14ac:dyDescent="0.3">
      <c r="A2329" s="65"/>
      <c r="V2329" s="65"/>
    </row>
    <row r="2330" spans="1:22" x14ac:dyDescent="0.3">
      <c r="A2330" s="65"/>
      <c r="V2330" s="65"/>
    </row>
    <row r="2331" spans="1:22" x14ac:dyDescent="0.3">
      <c r="A2331" s="65"/>
      <c r="V2331" s="65"/>
    </row>
    <row r="2332" spans="1:22" x14ac:dyDescent="0.3">
      <c r="A2332" s="65"/>
      <c r="V2332" s="65"/>
    </row>
    <row r="2333" spans="1:22" x14ac:dyDescent="0.3">
      <c r="A2333" s="65"/>
      <c r="V2333" s="65"/>
    </row>
    <row r="2334" spans="1:22" x14ac:dyDescent="0.3">
      <c r="A2334" s="65"/>
      <c r="V2334" s="65"/>
    </row>
    <row r="2335" spans="1:22" x14ac:dyDescent="0.3">
      <c r="A2335" s="65"/>
      <c r="V2335" s="65"/>
    </row>
    <row r="2336" spans="1:22" x14ac:dyDescent="0.3">
      <c r="A2336" s="65"/>
      <c r="V2336" s="65"/>
    </row>
    <row r="2337" spans="1:22" x14ac:dyDescent="0.3">
      <c r="A2337" s="65"/>
      <c r="V2337" s="65"/>
    </row>
    <row r="2338" spans="1:22" x14ac:dyDescent="0.3">
      <c r="A2338" s="65"/>
      <c r="V2338" s="65"/>
    </row>
    <row r="2339" spans="1:22" x14ac:dyDescent="0.3">
      <c r="A2339" s="65"/>
      <c r="V2339" s="65"/>
    </row>
    <row r="2340" spans="1:22" x14ac:dyDescent="0.3">
      <c r="A2340" s="65"/>
      <c r="V2340" s="65"/>
    </row>
    <row r="2341" spans="1:22" x14ac:dyDescent="0.3">
      <c r="A2341" s="65"/>
      <c r="V2341" s="65"/>
    </row>
    <row r="2342" spans="1:22" x14ac:dyDescent="0.3">
      <c r="A2342" s="65"/>
      <c r="V2342" s="65"/>
    </row>
    <row r="2343" spans="1:22" x14ac:dyDescent="0.3">
      <c r="A2343" s="65"/>
      <c r="V2343" s="65"/>
    </row>
    <row r="2344" spans="1:22" x14ac:dyDescent="0.3">
      <c r="A2344" s="65"/>
      <c r="V2344" s="65"/>
    </row>
    <row r="2345" spans="1:22" x14ac:dyDescent="0.3">
      <c r="A2345" s="65"/>
      <c r="V2345" s="65"/>
    </row>
    <row r="2346" spans="1:22" x14ac:dyDescent="0.3">
      <c r="A2346" s="65"/>
      <c r="V2346" s="65"/>
    </row>
    <row r="2347" spans="1:22" x14ac:dyDescent="0.3">
      <c r="A2347" s="65"/>
      <c r="V2347" s="65"/>
    </row>
    <row r="2348" spans="1:22" x14ac:dyDescent="0.3">
      <c r="A2348" s="65"/>
      <c r="V2348" s="65"/>
    </row>
    <row r="2349" spans="1:22" x14ac:dyDescent="0.3">
      <c r="A2349" s="65"/>
      <c r="V2349" s="65"/>
    </row>
    <row r="2350" spans="1:22" x14ac:dyDescent="0.3">
      <c r="A2350" s="65"/>
      <c r="V2350" s="65"/>
    </row>
    <row r="2351" spans="1:22" x14ac:dyDescent="0.3">
      <c r="A2351" s="65"/>
      <c r="V2351" s="65"/>
    </row>
    <row r="2352" spans="1:22" x14ac:dyDescent="0.3">
      <c r="A2352" s="65"/>
      <c r="V2352" s="65"/>
    </row>
    <row r="2353" spans="1:22" x14ac:dyDescent="0.3">
      <c r="A2353" s="65"/>
      <c r="V2353" s="65"/>
    </row>
    <row r="2354" spans="1:22" x14ac:dyDescent="0.3">
      <c r="A2354" s="65"/>
      <c r="V2354" s="65"/>
    </row>
    <row r="2355" spans="1:22" x14ac:dyDescent="0.3">
      <c r="A2355" s="65"/>
      <c r="V2355" s="65"/>
    </row>
    <row r="2356" spans="1:22" x14ac:dyDescent="0.3">
      <c r="A2356" s="65"/>
      <c r="V2356" s="65"/>
    </row>
    <row r="2357" spans="1:22" x14ac:dyDescent="0.3">
      <c r="A2357" s="65"/>
      <c r="V2357" s="65"/>
    </row>
    <row r="2358" spans="1:22" x14ac:dyDescent="0.3">
      <c r="A2358" s="65"/>
      <c r="V2358" s="65"/>
    </row>
    <row r="2359" spans="1:22" x14ac:dyDescent="0.3">
      <c r="A2359" s="65"/>
      <c r="V2359" s="65"/>
    </row>
    <row r="2360" spans="1:22" x14ac:dyDescent="0.3">
      <c r="A2360" s="65"/>
      <c r="V2360" s="65"/>
    </row>
    <row r="2361" spans="1:22" x14ac:dyDescent="0.3">
      <c r="A2361" s="65"/>
      <c r="V2361" s="65"/>
    </row>
    <row r="2362" spans="1:22" x14ac:dyDescent="0.3">
      <c r="A2362" s="65"/>
      <c r="V2362" s="65"/>
    </row>
    <row r="2363" spans="1:22" x14ac:dyDescent="0.3">
      <c r="A2363" s="65"/>
      <c r="V2363" s="65"/>
    </row>
    <row r="2364" spans="1:22" x14ac:dyDescent="0.3">
      <c r="A2364" s="65"/>
      <c r="V2364" s="65"/>
    </row>
    <row r="2365" spans="1:22" x14ac:dyDescent="0.3">
      <c r="A2365" s="65"/>
      <c r="V2365" s="65"/>
    </row>
    <row r="2366" spans="1:22" x14ac:dyDescent="0.3">
      <c r="A2366" s="65"/>
      <c r="V2366" s="65"/>
    </row>
    <row r="2367" spans="1:22" x14ac:dyDescent="0.3">
      <c r="A2367" s="65"/>
      <c r="V2367" s="65"/>
    </row>
    <row r="2368" spans="1:22" x14ac:dyDescent="0.3">
      <c r="A2368" s="65"/>
      <c r="V2368" s="65"/>
    </row>
    <row r="2369" spans="1:22" x14ac:dyDescent="0.3">
      <c r="A2369" s="65"/>
      <c r="V2369" s="65"/>
    </row>
    <row r="2370" spans="1:22" x14ac:dyDescent="0.3">
      <c r="A2370" s="65"/>
      <c r="V2370" s="65"/>
    </row>
    <row r="2371" spans="1:22" x14ac:dyDescent="0.3">
      <c r="A2371" s="65"/>
      <c r="V2371" s="65"/>
    </row>
    <row r="2372" spans="1:22" x14ac:dyDescent="0.3">
      <c r="A2372" s="65"/>
      <c r="V2372" s="65"/>
    </row>
    <row r="2373" spans="1:22" x14ac:dyDescent="0.3">
      <c r="A2373" s="65"/>
      <c r="V2373" s="65"/>
    </row>
    <row r="2374" spans="1:22" x14ac:dyDescent="0.3">
      <c r="A2374" s="65"/>
      <c r="V2374" s="65"/>
    </row>
    <row r="2375" spans="1:22" x14ac:dyDescent="0.3">
      <c r="A2375" s="65"/>
      <c r="V2375" s="65"/>
    </row>
    <row r="2376" spans="1:22" x14ac:dyDescent="0.3">
      <c r="A2376" s="65"/>
      <c r="V2376" s="65"/>
    </row>
    <row r="2377" spans="1:22" x14ac:dyDescent="0.3">
      <c r="A2377" s="65"/>
      <c r="V2377" s="65"/>
    </row>
    <row r="2378" spans="1:22" x14ac:dyDescent="0.3">
      <c r="A2378" s="65"/>
      <c r="V2378" s="65"/>
    </row>
    <row r="2379" spans="1:22" x14ac:dyDescent="0.3">
      <c r="A2379" s="65"/>
      <c r="V2379" s="65"/>
    </row>
    <row r="2380" spans="1:22" x14ac:dyDescent="0.3">
      <c r="A2380" s="65"/>
      <c r="V2380" s="65"/>
    </row>
    <row r="2381" spans="1:22" x14ac:dyDescent="0.3">
      <c r="A2381" s="65"/>
      <c r="V2381" s="65"/>
    </row>
    <row r="2382" spans="1:22" x14ac:dyDescent="0.3">
      <c r="A2382" s="65"/>
      <c r="V2382" s="65"/>
    </row>
    <row r="2383" spans="1:22" x14ac:dyDescent="0.3">
      <c r="A2383" s="65"/>
      <c r="V2383" s="65"/>
    </row>
    <row r="2384" spans="1:22" x14ac:dyDescent="0.3">
      <c r="A2384" s="65"/>
      <c r="V2384" s="65"/>
    </row>
    <row r="2385" spans="1:22" x14ac:dyDescent="0.3">
      <c r="A2385" s="65"/>
      <c r="V2385" s="65"/>
    </row>
    <row r="2386" spans="1:22" x14ac:dyDescent="0.3">
      <c r="A2386" s="65"/>
      <c r="V2386" s="65"/>
    </row>
    <row r="2387" spans="1:22" x14ac:dyDescent="0.3">
      <c r="A2387" s="65"/>
      <c r="V2387" s="65"/>
    </row>
    <row r="2388" spans="1:22" x14ac:dyDescent="0.3">
      <c r="A2388" s="65"/>
      <c r="V2388" s="65"/>
    </row>
    <row r="2389" spans="1:22" x14ac:dyDescent="0.3">
      <c r="A2389" s="65"/>
      <c r="V2389" s="65"/>
    </row>
    <row r="2390" spans="1:22" x14ac:dyDescent="0.3">
      <c r="A2390" s="65"/>
      <c r="V2390" s="65"/>
    </row>
    <row r="2391" spans="1:22" x14ac:dyDescent="0.3">
      <c r="A2391" s="65"/>
      <c r="V2391" s="65"/>
    </row>
    <row r="2392" spans="1:22" x14ac:dyDescent="0.3">
      <c r="A2392" s="65"/>
      <c r="V2392" s="65"/>
    </row>
    <row r="2393" spans="1:22" x14ac:dyDescent="0.3">
      <c r="A2393" s="65"/>
      <c r="V2393" s="65"/>
    </row>
    <row r="2394" spans="1:22" x14ac:dyDescent="0.3">
      <c r="A2394" s="65"/>
      <c r="V2394" s="65"/>
    </row>
    <row r="2395" spans="1:22" x14ac:dyDescent="0.3">
      <c r="A2395" s="65"/>
      <c r="V2395" s="65"/>
    </row>
    <row r="2396" spans="1:22" x14ac:dyDescent="0.3">
      <c r="A2396" s="65"/>
      <c r="V2396" s="65"/>
    </row>
    <row r="2397" spans="1:22" x14ac:dyDescent="0.3">
      <c r="A2397" s="65"/>
      <c r="V2397" s="65"/>
    </row>
    <row r="2398" spans="1:22" x14ac:dyDescent="0.3">
      <c r="A2398" s="65"/>
      <c r="V2398" s="65"/>
    </row>
    <row r="2399" spans="1:22" x14ac:dyDescent="0.3">
      <c r="A2399" s="65"/>
      <c r="V2399" s="65"/>
    </row>
    <row r="2400" spans="1:22" x14ac:dyDescent="0.3">
      <c r="A2400" s="65"/>
      <c r="V2400" s="65"/>
    </row>
    <row r="2401" spans="1:22" x14ac:dyDescent="0.3">
      <c r="A2401" s="65"/>
      <c r="V2401" s="65"/>
    </row>
    <row r="2402" spans="1:22" x14ac:dyDescent="0.3">
      <c r="A2402" s="65"/>
      <c r="V2402" s="65"/>
    </row>
    <row r="2403" spans="1:22" x14ac:dyDescent="0.3">
      <c r="A2403" s="65"/>
      <c r="V2403" s="65"/>
    </row>
    <row r="2404" spans="1:22" x14ac:dyDescent="0.3">
      <c r="A2404" s="65"/>
      <c r="V2404" s="65"/>
    </row>
    <row r="2405" spans="1:22" x14ac:dyDescent="0.3">
      <c r="A2405" s="65"/>
      <c r="V2405" s="65"/>
    </row>
    <row r="2406" spans="1:22" x14ac:dyDescent="0.3">
      <c r="A2406" s="65"/>
      <c r="V2406" s="65"/>
    </row>
    <row r="2407" spans="1:22" x14ac:dyDescent="0.3">
      <c r="A2407" s="65"/>
      <c r="V2407" s="65"/>
    </row>
    <row r="2408" spans="1:22" x14ac:dyDescent="0.3">
      <c r="A2408" s="65"/>
      <c r="V2408" s="65"/>
    </row>
    <row r="2409" spans="1:22" x14ac:dyDescent="0.3">
      <c r="A2409" s="65"/>
      <c r="V2409" s="65"/>
    </row>
    <row r="2410" spans="1:22" x14ac:dyDescent="0.3">
      <c r="A2410" s="65"/>
      <c r="V2410" s="65"/>
    </row>
    <row r="2411" spans="1:22" x14ac:dyDescent="0.3">
      <c r="A2411" s="65"/>
      <c r="V2411" s="65"/>
    </row>
    <row r="2412" spans="1:22" x14ac:dyDescent="0.3">
      <c r="A2412" s="65"/>
      <c r="V2412" s="65"/>
    </row>
    <row r="2413" spans="1:22" x14ac:dyDescent="0.3">
      <c r="A2413" s="65"/>
      <c r="V2413" s="65"/>
    </row>
    <row r="2414" spans="1:22" x14ac:dyDescent="0.3">
      <c r="A2414" s="65"/>
      <c r="V2414" s="65"/>
    </row>
    <row r="2415" spans="1:22" x14ac:dyDescent="0.3">
      <c r="A2415" s="65"/>
      <c r="V2415" s="65"/>
    </row>
    <row r="2416" spans="1:22" x14ac:dyDescent="0.3">
      <c r="A2416" s="65"/>
      <c r="V2416" s="65"/>
    </row>
    <row r="2417" spans="1:22" x14ac:dyDescent="0.3">
      <c r="A2417" s="65"/>
      <c r="V2417" s="65"/>
    </row>
    <row r="2418" spans="1:22" x14ac:dyDescent="0.3">
      <c r="A2418" s="65"/>
      <c r="V2418" s="65"/>
    </row>
    <row r="2419" spans="1:22" x14ac:dyDescent="0.3">
      <c r="A2419" s="65"/>
      <c r="V2419" s="65"/>
    </row>
    <row r="2420" spans="1:22" x14ac:dyDescent="0.3">
      <c r="A2420" s="65"/>
      <c r="V2420" s="65"/>
    </row>
    <row r="2421" spans="1:22" x14ac:dyDescent="0.3">
      <c r="A2421" s="65"/>
      <c r="V2421" s="65"/>
    </row>
    <row r="2422" spans="1:22" x14ac:dyDescent="0.3">
      <c r="A2422" s="65"/>
      <c r="V2422" s="65"/>
    </row>
    <row r="2423" spans="1:22" x14ac:dyDescent="0.3">
      <c r="A2423" s="65"/>
      <c r="V2423" s="65"/>
    </row>
    <row r="2424" spans="1:22" x14ac:dyDescent="0.3">
      <c r="A2424" s="65"/>
      <c r="V2424" s="65"/>
    </row>
    <row r="2425" spans="1:22" x14ac:dyDescent="0.3">
      <c r="A2425" s="65"/>
      <c r="V2425" s="65"/>
    </row>
    <row r="2426" spans="1:22" x14ac:dyDescent="0.3">
      <c r="A2426" s="65"/>
      <c r="V2426" s="65"/>
    </row>
    <row r="2427" spans="1:22" x14ac:dyDescent="0.3">
      <c r="A2427" s="65"/>
      <c r="V2427" s="65"/>
    </row>
    <row r="2428" spans="1:22" x14ac:dyDescent="0.3">
      <c r="A2428" s="65"/>
      <c r="V2428" s="65"/>
    </row>
    <row r="2429" spans="1:22" x14ac:dyDescent="0.3">
      <c r="A2429" s="65"/>
      <c r="V2429" s="65"/>
    </row>
    <row r="2430" spans="1:22" x14ac:dyDescent="0.3">
      <c r="A2430" s="65"/>
      <c r="V2430" s="65"/>
    </row>
    <row r="2431" spans="1:22" x14ac:dyDescent="0.3">
      <c r="A2431" s="65"/>
      <c r="V2431" s="65"/>
    </row>
    <row r="2432" spans="1:22" x14ac:dyDescent="0.3">
      <c r="A2432" s="65"/>
      <c r="V2432" s="65"/>
    </row>
    <row r="2433" spans="1:22" x14ac:dyDescent="0.3">
      <c r="A2433" s="65"/>
      <c r="V2433" s="65"/>
    </row>
    <row r="2434" spans="1:22" x14ac:dyDescent="0.3">
      <c r="A2434" s="65"/>
      <c r="V2434" s="65"/>
    </row>
    <row r="2435" spans="1:22" x14ac:dyDescent="0.3">
      <c r="A2435" s="65"/>
      <c r="V2435" s="65"/>
    </row>
    <row r="2436" spans="1:22" x14ac:dyDescent="0.3">
      <c r="A2436" s="65"/>
      <c r="V2436" s="65"/>
    </row>
    <row r="2437" spans="1:22" x14ac:dyDescent="0.3">
      <c r="A2437" s="65"/>
      <c r="V2437" s="65"/>
    </row>
    <row r="2438" spans="1:22" x14ac:dyDescent="0.3">
      <c r="A2438" s="65"/>
      <c r="V2438" s="65"/>
    </row>
    <row r="2439" spans="1:22" x14ac:dyDescent="0.3">
      <c r="A2439" s="65"/>
      <c r="V2439" s="65"/>
    </row>
    <row r="2440" spans="1:22" x14ac:dyDescent="0.3">
      <c r="A2440" s="65"/>
      <c r="V2440" s="65"/>
    </row>
    <row r="2441" spans="1:22" x14ac:dyDescent="0.3">
      <c r="A2441" s="65"/>
      <c r="V2441" s="65"/>
    </row>
    <row r="2442" spans="1:22" x14ac:dyDescent="0.3">
      <c r="A2442" s="65"/>
      <c r="V2442" s="65"/>
    </row>
    <row r="2443" spans="1:22" x14ac:dyDescent="0.3">
      <c r="A2443" s="65"/>
      <c r="V2443" s="65"/>
    </row>
    <row r="2444" spans="1:22" x14ac:dyDescent="0.3">
      <c r="A2444" s="65"/>
      <c r="V2444" s="65"/>
    </row>
    <row r="2445" spans="1:22" x14ac:dyDescent="0.3">
      <c r="A2445" s="65"/>
      <c r="V2445" s="65"/>
    </row>
    <row r="2446" spans="1:22" x14ac:dyDescent="0.3">
      <c r="A2446" s="65"/>
      <c r="V2446" s="65"/>
    </row>
    <row r="2447" spans="1:22" x14ac:dyDescent="0.3">
      <c r="A2447" s="65"/>
      <c r="V2447" s="65"/>
    </row>
    <row r="2448" spans="1:22" x14ac:dyDescent="0.3">
      <c r="A2448" s="65"/>
      <c r="V2448" s="65"/>
    </row>
    <row r="2449" spans="1:22" x14ac:dyDescent="0.3">
      <c r="A2449" s="65"/>
      <c r="V2449" s="65"/>
    </row>
    <row r="2450" spans="1:22" x14ac:dyDescent="0.3">
      <c r="A2450" s="65"/>
      <c r="V2450" s="65"/>
    </row>
    <row r="2451" spans="1:22" x14ac:dyDescent="0.3">
      <c r="A2451" s="65"/>
      <c r="V2451" s="65"/>
    </row>
    <row r="2452" spans="1:22" x14ac:dyDescent="0.3">
      <c r="A2452" s="65"/>
      <c r="V2452" s="65"/>
    </row>
    <row r="2453" spans="1:22" x14ac:dyDescent="0.3">
      <c r="A2453" s="65"/>
      <c r="V2453" s="65"/>
    </row>
    <row r="2454" spans="1:22" x14ac:dyDescent="0.3">
      <c r="A2454" s="65"/>
      <c r="V2454" s="65"/>
    </row>
    <row r="2455" spans="1:22" x14ac:dyDescent="0.3">
      <c r="A2455" s="65"/>
      <c r="V2455" s="65"/>
    </row>
    <row r="2456" spans="1:22" x14ac:dyDescent="0.3">
      <c r="A2456" s="65"/>
      <c r="V2456" s="65"/>
    </row>
    <row r="2457" spans="1:22" x14ac:dyDescent="0.3">
      <c r="A2457" s="65"/>
      <c r="V2457" s="65"/>
    </row>
    <row r="2458" spans="1:22" x14ac:dyDescent="0.3">
      <c r="A2458" s="65"/>
      <c r="V2458" s="65"/>
    </row>
    <row r="2459" spans="1:22" x14ac:dyDescent="0.3">
      <c r="A2459" s="65"/>
      <c r="V2459" s="65"/>
    </row>
    <row r="2460" spans="1:22" x14ac:dyDescent="0.3">
      <c r="A2460" s="65"/>
      <c r="V2460" s="65"/>
    </row>
    <row r="2461" spans="1:22" x14ac:dyDescent="0.3">
      <c r="A2461" s="65"/>
      <c r="V2461" s="65"/>
    </row>
    <row r="2462" spans="1:22" x14ac:dyDescent="0.3">
      <c r="A2462" s="65"/>
      <c r="V2462" s="65"/>
    </row>
    <row r="2463" spans="1:22" x14ac:dyDescent="0.3">
      <c r="A2463" s="65"/>
      <c r="V2463" s="65"/>
    </row>
    <row r="2464" spans="1:22" x14ac:dyDescent="0.3">
      <c r="A2464" s="65"/>
      <c r="V2464" s="65"/>
    </row>
    <row r="2465" spans="1:22" x14ac:dyDescent="0.3">
      <c r="A2465" s="65"/>
      <c r="V2465" s="65"/>
    </row>
    <row r="2466" spans="1:22" x14ac:dyDescent="0.3">
      <c r="A2466" s="65"/>
      <c r="V2466" s="65"/>
    </row>
    <row r="2467" spans="1:22" x14ac:dyDescent="0.3">
      <c r="A2467" s="65"/>
      <c r="V2467" s="65"/>
    </row>
    <row r="2468" spans="1:22" x14ac:dyDescent="0.3">
      <c r="A2468" s="65"/>
      <c r="V2468" s="65"/>
    </row>
    <row r="2469" spans="1:22" x14ac:dyDescent="0.3">
      <c r="A2469" s="65"/>
      <c r="V2469" s="65"/>
    </row>
    <row r="2470" spans="1:22" x14ac:dyDescent="0.3">
      <c r="A2470" s="65"/>
      <c r="V2470" s="65"/>
    </row>
    <row r="2471" spans="1:22" x14ac:dyDescent="0.3">
      <c r="A2471" s="65"/>
      <c r="V2471" s="65"/>
    </row>
    <row r="2472" spans="1:22" x14ac:dyDescent="0.3">
      <c r="A2472" s="65"/>
      <c r="V2472" s="65"/>
    </row>
    <row r="2473" spans="1:22" x14ac:dyDescent="0.3">
      <c r="A2473" s="65"/>
      <c r="V2473" s="65"/>
    </row>
    <row r="2474" spans="1:22" x14ac:dyDescent="0.3">
      <c r="A2474" s="65"/>
      <c r="V2474" s="65"/>
    </row>
    <row r="2475" spans="1:22" x14ac:dyDescent="0.3">
      <c r="A2475" s="65"/>
      <c r="V2475" s="65"/>
    </row>
    <row r="2476" spans="1:22" x14ac:dyDescent="0.3">
      <c r="A2476" s="65"/>
      <c r="V2476" s="65"/>
    </row>
    <row r="2477" spans="1:22" x14ac:dyDescent="0.3">
      <c r="A2477" s="65"/>
      <c r="V2477" s="65"/>
    </row>
    <row r="2478" spans="1:22" x14ac:dyDescent="0.3">
      <c r="A2478" s="65"/>
      <c r="V2478" s="65"/>
    </row>
    <row r="2479" spans="1:22" x14ac:dyDescent="0.3">
      <c r="A2479" s="65"/>
      <c r="V2479" s="65"/>
    </row>
    <row r="2480" spans="1:22" x14ac:dyDescent="0.3">
      <c r="A2480" s="65"/>
      <c r="V2480" s="65"/>
    </row>
    <row r="2481" spans="1:22" x14ac:dyDescent="0.3">
      <c r="A2481" s="65"/>
      <c r="V2481" s="65"/>
    </row>
    <row r="2482" spans="1:22" x14ac:dyDescent="0.3">
      <c r="A2482" s="65"/>
      <c r="V2482" s="65"/>
    </row>
    <row r="2483" spans="1:22" x14ac:dyDescent="0.3">
      <c r="A2483" s="65"/>
      <c r="V2483" s="65"/>
    </row>
    <row r="2484" spans="1:22" x14ac:dyDescent="0.3">
      <c r="A2484" s="65"/>
      <c r="V2484" s="65"/>
    </row>
    <row r="2485" spans="1:22" x14ac:dyDescent="0.3">
      <c r="A2485" s="65"/>
      <c r="V2485" s="65"/>
    </row>
    <row r="2486" spans="1:22" x14ac:dyDescent="0.3">
      <c r="A2486" s="65"/>
      <c r="V2486" s="65"/>
    </row>
    <row r="2487" spans="1:22" x14ac:dyDescent="0.3">
      <c r="A2487" s="65"/>
      <c r="V2487" s="65"/>
    </row>
    <row r="2488" spans="1:22" x14ac:dyDescent="0.3">
      <c r="A2488" s="65"/>
      <c r="V2488" s="65"/>
    </row>
    <row r="2489" spans="1:22" x14ac:dyDescent="0.3">
      <c r="A2489" s="65"/>
      <c r="V2489" s="65"/>
    </row>
    <row r="2490" spans="1:22" x14ac:dyDescent="0.3">
      <c r="A2490" s="65"/>
      <c r="V2490" s="65"/>
    </row>
    <row r="2491" spans="1:22" x14ac:dyDescent="0.3">
      <c r="A2491" s="65"/>
      <c r="V2491" s="65"/>
    </row>
    <row r="2492" spans="1:22" x14ac:dyDescent="0.3">
      <c r="A2492" s="65"/>
      <c r="V2492" s="65"/>
    </row>
    <row r="2493" spans="1:22" x14ac:dyDescent="0.3">
      <c r="A2493" s="65"/>
      <c r="V2493" s="65"/>
    </row>
    <row r="2494" spans="1:22" x14ac:dyDescent="0.3">
      <c r="A2494" s="65"/>
      <c r="V2494" s="65"/>
    </row>
    <row r="2495" spans="1:22" x14ac:dyDescent="0.3">
      <c r="A2495" s="65"/>
      <c r="V2495" s="65"/>
    </row>
    <row r="2496" spans="1:22" x14ac:dyDescent="0.3">
      <c r="A2496" s="65"/>
      <c r="V2496" s="65"/>
    </row>
    <row r="2497" spans="1:22" x14ac:dyDescent="0.3">
      <c r="A2497" s="65"/>
      <c r="V2497" s="65"/>
    </row>
    <row r="2498" spans="1:22" x14ac:dyDescent="0.3">
      <c r="A2498" s="65"/>
      <c r="V2498" s="65"/>
    </row>
    <row r="2499" spans="1:22" x14ac:dyDescent="0.3">
      <c r="A2499" s="65"/>
      <c r="V2499" s="65"/>
    </row>
    <row r="2500" spans="1:22" x14ac:dyDescent="0.3">
      <c r="A2500" s="65"/>
      <c r="V2500" s="65"/>
    </row>
    <row r="2501" spans="1:22" x14ac:dyDescent="0.3">
      <c r="A2501" s="65"/>
      <c r="V2501" s="65"/>
    </row>
    <row r="2502" spans="1:22" x14ac:dyDescent="0.3">
      <c r="A2502" s="65"/>
      <c r="V2502" s="65"/>
    </row>
    <row r="2503" spans="1:22" x14ac:dyDescent="0.3">
      <c r="A2503" s="65"/>
      <c r="V2503" s="65"/>
    </row>
    <row r="2504" spans="1:22" x14ac:dyDescent="0.3">
      <c r="A2504" s="65"/>
      <c r="V2504" s="65"/>
    </row>
    <row r="2505" spans="1:22" x14ac:dyDescent="0.3">
      <c r="A2505" s="65"/>
      <c r="V2505" s="65"/>
    </row>
    <row r="2506" spans="1:22" x14ac:dyDescent="0.3">
      <c r="A2506" s="65"/>
      <c r="V2506" s="65"/>
    </row>
    <row r="2507" spans="1:22" x14ac:dyDescent="0.3">
      <c r="A2507" s="65"/>
      <c r="V2507" s="65"/>
    </row>
    <row r="2508" spans="1:22" x14ac:dyDescent="0.3">
      <c r="A2508" s="65"/>
      <c r="V2508" s="65"/>
    </row>
    <row r="2509" spans="1:22" x14ac:dyDescent="0.3">
      <c r="A2509" s="65"/>
      <c r="V2509" s="65"/>
    </row>
    <row r="2510" spans="1:22" x14ac:dyDescent="0.3">
      <c r="A2510" s="65"/>
      <c r="V2510" s="65"/>
    </row>
    <row r="2511" spans="1:22" x14ac:dyDescent="0.3">
      <c r="A2511" s="65"/>
      <c r="V2511" s="65"/>
    </row>
    <row r="2512" spans="1:22" x14ac:dyDescent="0.3">
      <c r="A2512" s="65"/>
      <c r="V2512" s="65"/>
    </row>
    <row r="2513" spans="1:22" x14ac:dyDescent="0.3">
      <c r="A2513" s="65"/>
      <c r="V2513" s="65"/>
    </row>
    <row r="2514" spans="1:22" x14ac:dyDescent="0.3">
      <c r="A2514" s="65"/>
      <c r="V2514" s="65"/>
    </row>
    <row r="2515" spans="1:22" x14ac:dyDescent="0.3">
      <c r="A2515" s="65"/>
      <c r="V2515" s="65"/>
    </row>
    <row r="2516" spans="1:22" x14ac:dyDescent="0.3">
      <c r="A2516" s="65"/>
      <c r="V2516" s="65"/>
    </row>
    <row r="2517" spans="1:22" x14ac:dyDescent="0.3">
      <c r="A2517" s="65"/>
      <c r="V2517" s="65"/>
    </row>
    <row r="2518" spans="1:22" x14ac:dyDescent="0.3">
      <c r="A2518" s="65"/>
      <c r="V2518" s="65"/>
    </row>
    <row r="2519" spans="1:22" x14ac:dyDescent="0.3">
      <c r="A2519" s="65"/>
      <c r="V2519" s="65"/>
    </row>
    <row r="2520" spans="1:22" x14ac:dyDescent="0.3">
      <c r="A2520" s="65"/>
      <c r="V2520" s="65"/>
    </row>
    <row r="2521" spans="1:22" x14ac:dyDescent="0.3">
      <c r="A2521" s="65"/>
      <c r="V2521" s="65"/>
    </row>
    <row r="2522" spans="1:22" x14ac:dyDescent="0.3">
      <c r="A2522" s="65"/>
      <c r="V2522" s="65"/>
    </row>
    <row r="2523" spans="1:22" x14ac:dyDescent="0.3">
      <c r="A2523" s="65"/>
      <c r="V2523" s="65"/>
    </row>
    <row r="2524" spans="1:22" x14ac:dyDescent="0.3">
      <c r="A2524" s="65"/>
      <c r="V2524" s="65"/>
    </row>
    <row r="2525" spans="1:22" x14ac:dyDescent="0.3">
      <c r="A2525" s="65"/>
      <c r="V2525" s="65"/>
    </row>
    <row r="2526" spans="1:22" x14ac:dyDescent="0.3">
      <c r="A2526" s="65"/>
      <c r="V2526" s="65"/>
    </row>
    <row r="2527" spans="1:22" x14ac:dyDescent="0.3">
      <c r="A2527" s="65"/>
      <c r="V2527" s="65"/>
    </row>
    <row r="2528" spans="1:22" x14ac:dyDescent="0.3">
      <c r="A2528" s="65"/>
      <c r="V2528" s="65"/>
    </row>
    <row r="2529" spans="1:22" x14ac:dyDescent="0.3">
      <c r="A2529" s="65"/>
      <c r="V2529" s="65"/>
    </row>
    <row r="2530" spans="1:22" x14ac:dyDescent="0.3">
      <c r="A2530" s="65"/>
      <c r="V2530" s="65"/>
    </row>
    <row r="2531" spans="1:22" x14ac:dyDescent="0.3">
      <c r="A2531" s="65"/>
      <c r="V2531" s="65"/>
    </row>
    <row r="2532" spans="1:22" x14ac:dyDescent="0.3">
      <c r="A2532" s="65"/>
      <c r="V2532" s="65"/>
    </row>
    <row r="2533" spans="1:22" x14ac:dyDescent="0.3">
      <c r="A2533" s="65"/>
      <c r="V2533" s="65"/>
    </row>
    <row r="2534" spans="1:22" x14ac:dyDescent="0.3">
      <c r="A2534" s="65"/>
      <c r="V2534" s="65"/>
    </row>
    <row r="2535" spans="1:22" x14ac:dyDescent="0.3">
      <c r="A2535" s="65"/>
      <c r="V2535" s="65"/>
    </row>
    <row r="2536" spans="1:22" x14ac:dyDescent="0.3">
      <c r="A2536" s="65"/>
      <c r="V2536" s="65"/>
    </row>
    <row r="2537" spans="1:22" x14ac:dyDescent="0.3">
      <c r="A2537" s="65"/>
      <c r="V2537" s="65"/>
    </row>
    <row r="2538" spans="1:22" x14ac:dyDescent="0.3">
      <c r="A2538" s="65"/>
      <c r="V2538" s="65"/>
    </row>
    <row r="2539" spans="1:22" x14ac:dyDescent="0.3">
      <c r="A2539" s="65"/>
      <c r="V2539" s="65"/>
    </row>
    <row r="2540" spans="1:22" x14ac:dyDescent="0.3">
      <c r="A2540" s="65"/>
      <c r="V2540" s="65"/>
    </row>
    <row r="2541" spans="1:22" x14ac:dyDescent="0.3">
      <c r="A2541" s="65"/>
      <c r="V2541" s="65"/>
    </row>
    <row r="2542" spans="1:22" x14ac:dyDescent="0.3">
      <c r="A2542" s="65"/>
      <c r="V2542" s="65"/>
    </row>
    <row r="2543" spans="1:22" x14ac:dyDescent="0.3">
      <c r="A2543" s="65"/>
      <c r="V2543" s="65"/>
    </row>
    <row r="2544" spans="1:22" x14ac:dyDescent="0.3">
      <c r="A2544" s="65"/>
      <c r="V2544" s="65"/>
    </row>
    <row r="2545" spans="1:22" x14ac:dyDescent="0.3">
      <c r="A2545" s="65"/>
      <c r="V2545" s="65"/>
    </row>
    <row r="2546" spans="1:22" x14ac:dyDescent="0.3">
      <c r="A2546" s="65"/>
      <c r="V2546" s="65"/>
    </row>
    <row r="2547" spans="1:22" x14ac:dyDescent="0.3">
      <c r="A2547" s="65"/>
      <c r="V2547" s="65"/>
    </row>
    <row r="2548" spans="1:22" x14ac:dyDescent="0.3">
      <c r="A2548" s="65"/>
      <c r="V2548" s="65"/>
    </row>
    <row r="2549" spans="1:22" x14ac:dyDescent="0.3">
      <c r="A2549" s="65"/>
      <c r="V2549" s="65"/>
    </row>
    <row r="2550" spans="1:22" x14ac:dyDescent="0.3">
      <c r="A2550" s="65"/>
      <c r="V2550" s="65"/>
    </row>
    <row r="2551" spans="1:22" x14ac:dyDescent="0.3">
      <c r="A2551" s="65"/>
      <c r="V2551" s="65"/>
    </row>
    <row r="2552" spans="1:22" x14ac:dyDescent="0.3">
      <c r="A2552" s="65"/>
      <c r="V2552" s="65"/>
    </row>
    <row r="2553" spans="1:22" x14ac:dyDescent="0.3">
      <c r="A2553" s="65"/>
      <c r="V2553" s="65"/>
    </row>
    <row r="2554" spans="1:22" x14ac:dyDescent="0.3">
      <c r="A2554" s="65"/>
      <c r="V2554" s="65"/>
    </row>
    <row r="2555" spans="1:22" x14ac:dyDescent="0.3">
      <c r="A2555" s="65"/>
      <c r="V2555" s="65"/>
    </row>
    <row r="2556" spans="1:22" x14ac:dyDescent="0.3">
      <c r="A2556" s="65"/>
      <c r="V2556" s="65"/>
    </row>
    <row r="2557" spans="1:22" x14ac:dyDescent="0.3">
      <c r="A2557" s="65"/>
      <c r="V2557" s="65"/>
    </row>
    <row r="2558" spans="1:22" x14ac:dyDescent="0.3">
      <c r="A2558" s="65"/>
      <c r="V2558" s="65"/>
    </row>
    <row r="2559" spans="1:22" x14ac:dyDescent="0.3">
      <c r="A2559" s="65"/>
      <c r="V2559" s="65"/>
    </row>
    <row r="2560" spans="1:22" x14ac:dyDescent="0.3">
      <c r="A2560" s="65"/>
      <c r="V2560" s="65"/>
    </row>
    <row r="2561" spans="1:22" x14ac:dyDescent="0.3">
      <c r="A2561" s="65"/>
      <c r="V2561" s="65"/>
    </row>
    <row r="2562" spans="1:22" x14ac:dyDescent="0.3">
      <c r="A2562" s="65"/>
      <c r="V2562" s="65"/>
    </row>
    <row r="2563" spans="1:22" x14ac:dyDescent="0.3">
      <c r="A2563" s="65"/>
      <c r="V2563" s="65"/>
    </row>
    <row r="2564" spans="1:22" x14ac:dyDescent="0.3">
      <c r="A2564" s="65"/>
      <c r="V2564" s="65"/>
    </row>
    <row r="2565" spans="1:22" x14ac:dyDescent="0.3">
      <c r="A2565" s="65"/>
      <c r="V2565" s="65"/>
    </row>
    <row r="2566" spans="1:22" x14ac:dyDescent="0.3">
      <c r="A2566" s="65"/>
      <c r="V2566" s="65"/>
    </row>
    <row r="2567" spans="1:22" x14ac:dyDescent="0.3">
      <c r="A2567" s="65"/>
      <c r="V2567" s="65"/>
    </row>
    <row r="2568" spans="1:22" x14ac:dyDescent="0.3">
      <c r="A2568" s="65"/>
      <c r="V2568" s="65"/>
    </row>
    <row r="2569" spans="1:22" x14ac:dyDescent="0.3">
      <c r="A2569" s="65"/>
      <c r="V2569" s="65"/>
    </row>
    <row r="2570" spans="1:22" x14ac:dyDescent="0.3">
      <c r="A2570" s="65"/>
      <c r="V2570" s="65"/>
    </row>
    <row r="2571" spans="1:22" x14ac:dyDescent="0.3">
      <c r="A2571" s="65"/>
      <c r="V2571" s="65"/>
    </row>
  </sheetData>
  <mergeCells count="1">
    <mergeCell ref="A1:E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EEE9E-A796-45AE-95C7-38E536FC656B}">
  <sheetPr codeName="Sheet9">
    <tabColor theme="4" tint="0.59999389629810485"/>
  </sheetPr>
  <dimension ref="A1:BJ4000"/>
  <sheetViews>
    <sheetView topLeftCell="AN1" zoomScale="73" zoomScaleNormal="67" workbookViewId="0">
      <selection activeCell="U6" sqref="U6:Y9"/>
    </sheetView>
  </sheetViews>
  <sheetFormatPr defaultRowHeight="14.4" x14ac:dyDescent="0.3"/>
  <cols>
    <col min="1" max="1" width="21.33203125" style="65" bestFit="1" customWidth="1"/>
    <col min="2" max="2" width="53.88671875" bestFit="1" customWidth="1"/>
    <col min="3" max="3" width="22.109375" bestFit="1" customWidth="1"/>
    <col min="4" max="30" width="15.77734375" customWidth="1"/>
    <col min="31" max="32" width="22.44140625" style="199" bestFit="1" customWidth="1"/>
    <col min="33" max="33" width="15.88671875" style="199" bestFit="1" customWidth="1"/>
    <col min="34" max="34" width="57.109375" style="65" bestFit="1" customWidth="1"/>
    <col min="35" max="37" width="27.5546875" style="65" bestFit="1" customWidth="1"/>
    <col min="38" max="38" width="16.44140625" style="65" bestFit="1" customWidth="1"/>
    <col min="39" max="40" width="16.44140625" style="65" customWidth="1"/>
    <col min="41" max="41" width="57.109375" style="65" bestFit="1" customWidth="1"/>
    <col min="42" max="42" width="17.33203125" style="65" bestFit="1" customWidth="1"/>
    <col min="43" max="43" width="17.109375" style="65" customWidth="1"/>
    <col min="44" max="44" width="8.88671875" style="65"/>
    <col min="45" max="45" width="14.44140625" style="65" customWidth="1"/>
    <col min="46" max="47" width="21.33203125" style="65" bestFit="1" customWidth="1"/>
    <col min="48" max="48" width="24" style="65" bestFit="1" customWidth="1"/>
    <col min="49" max="49" width="8.88671875" style="65"/>
    <col min="50" max="50" width="16.44140625" style="65" bestFit="1" customWidth="1"/>
    <col min="51" max="51" width="15.5546875" style="65" bestFit="1" customWidth="1"/>
    <col min="52" max="52" width="16.5546875" style="65" bestFit="1" customWidth="1"/>
    <col min="53" max="53" width="20.21875" style="65" bestFit="1" customWidth="1"/>
    <col min="54" max="54" width="14.33203125" style="65" bestFit="1" customWidth="1"/>
    <col min="55" max="56" width="17" style="65" bestFit="1" customWidth="1"/>
    <col min="57" max="16384" width="8.88671875" style="65"/>
  </cols>
  <sheetData>
    <row r="1" spans="1:56" ht="15" thickBot="1" x14ac:dyDescent="0.35">
      <c r="A1" s="65">
        <v>0</v>
      </c>
      <c r="AE1" s="65">
        <v>30</v>
      </c>
      <c r="AF1" s="65">
        <v>31</v>
      </c>
      <c r="AG1" s="65">
        <v>32</v>
      </c>
      <c r="AH1" s="65">
        <v>19</v>
      </c>
      <c r="AI1" s="65">
        <v>20</v>
      </c>
      <c r="AJ1" s="65">
        <v>21</v>
      </c>
      <c r="AK1" s="65">
        <v>22</v>
      </c>
      <c r="AL1" s="65">
        <v>23</v>
      </c>
      <c r="AO1" s="65">
        <v>24</v>
      </c>
      <c r="AP1" s="65">
        <v>47</v>
      </c>
      <c r="AQ1" s="65">
        <v>48</v>
      </c>
      <c r="AR1" s="65">
        <v>49</v>
      </c>
      <c r="AS1" s="65">
        <v>50</v>
      </c>
      <c r="AT1" s="65">
        <v>51</v>
      </c>
      <c r="AU1" s="65">
        <v>52</v>
      </c>
      <c r="AW1" s="1"/>
    </row>
    <row r="2" spans="1:56" ht="15" thickBot="1" x14ac:dyDescent="0.35">
      <c r="A2" s="200" t="s">
        <v>121</v>
      </c>
      <c r="AE2" s="201" t="str">
        <f>_xlfn.CONCAT("Period ", $A3, " Media")</f>
        <v>Period 1 Media</v>
      </c>
      <c r="AF2" s="201" t="str">
        <f>_xlfn.CONCAT("Period ", $A4, " Media")</f>
        <v>Period 2 Media</v>
      </c>
      <c r="AG2" s="201" t="str">
        <f>_xlfn.CONCAT("Period ", $A5, " Media")</f>
        <v>Period 3 Media</v>
      </c>
      <c r="AH2"/>
      <c r="AI2"/>
      <c r="AJ2"/>
      <c r="AK2"/>
      <c r="AL2"/>
      <c r="AM2"/>
      <c r="AN2" s="202"/>
      <c r="AO2" s="202"/>
    </row>
    <row r="3" spans="1:56" ht="15" thickBot="1" x14ac:dyDescent="0.35">
      <c r="A3" s="203">
        <v>1</v>
      </c>
      <c r="AE3" s="204" t="s">
        <v>398</v>
      </c>
      <c r="AF3" s="204" t="s">
        <v>398</v>
      </c>
      <c r="AG3" s="204" t="s">
        <v>398</v>
      </c>
      <c r="AH3"/>
      <c r="AI3"/>
      <c r="AJ3"/>
      <c r="AK3"/>
      <c r="AL3"/>
      <c r="AM3"/>
      <c r="AN3" s="207"/>
      <c r="AO3" s="207"/>
      <c r="AX3" s="233" t="s">
        <v>124</v>
      </c>
      <c r="AY3" s="234" t="s">
        <v>125</v>
      </c>
      <c r="AZ3" s="235" t="s">
        <v>126</v>
      </c>
    </row>
    <row r="4" spans="1:56" ht="15" thickBot="1" x14ac:dyDescent="0.35">
      <c r="A4" s="204">
        <v>2</v>
      </c>
      <c r="AE4" s="204" t="s">
        <v>398</v>
      </c>
      <c r="AF4" s="204" t="s">
        <v>398</v>
      </c>
      <c r="AG4" s="204" t="s">
        <v>398</v>
      </c>
      <c r="AH4"/>
      <c r="AI4"/>
      <c r="AJ4"/>
      <c r="AK4"/>
      <c r="AL4"/>
      <c r="AM4"/>
      <c r="AN4" s="202"/>
      <c r="AO4" s="202"/>
      <c r="AX4" s="208">
        <f ca="1">RAND()*2000000</f>
        <v>590293.53664147726</v>
      </c>
      <c r="AY4" s="208">
        <f ca="1">RAND()*20000000</f>
        <v>15309399.176487569</v>
      </c>
      <c r="AZ4" s="209">
        <f ca="1">AX4/AY4</f>
        <v>3.8557590003143946E-2</v>
      </c>
    </row>
    <row r="5" spans="1:56" ht="15" thickBot="1" x14ac:dyDescent="0.35">
      <c r="A5" s="205">
        <v>3</v>
      </c>
      <c r="AE5" s="204" t="s">
        <v>398</v>
      </c>
      <c r="AF5" s="204" t="s">
        <v>398</v>
      </c>
      <c r="AG5" s="204" t="s">
        <v>398</v>
      </c>
      <c r="AH5"/>
      <c r="AI5"/>
      <c r="AJ5"/>
      <c r="AK5"/>
      <c r="AL5"/>
      <c r="AM5"/>
      <c r="AN5" s="202"/>
      <c r="AO5" s="202"/>
    </row>
    <row r="6" spans="1:56" ht="15" thickBot="1" x14ac:dyDescent="0.35">
      <c r="A6" s="206"/>
      <c r="C6" s="387" t="s">
        <v>402</v>
      </c>
      <c r="D6" s="387"/>
      <c r="E6" s="387"/>
      <c r="F6" s="387"/>
      <c r="G6" s="387"/>
      <c r="I6" s="387" t="s">
        <v>402</v>
      </c>
      <c r="J6" s="387"/>
      <c r="K6" s="387"/>
      <c r="L6" s="387"/>
      <c r="M6" s="387"/>
      <c r="O6" s="387" t="s">
        <v>402</v>
      </c>
      <c r="P6" s="387"/>
      <c r="Q6" s="387"/>
      <c r="R6" s="387"/>
      <c r="S6" s="387"/>
      <c r="U6" s="387" t="s">
        <v>402</v>
      </c>
      <c r="V6" s="387"/>
      <c r="W6" s="387"/>
      <c r="X6" s="387"/>
      <c r="Y6" s="387"/>
      <c r="AE6" s="204" t="s">
        <v>398</v>
      </c>
      <c r="AF6" s="204" t="s">
        <v>398</v>
      </c>
      <c r="AG6" s="204" t="s">
        <v>398</v>
      </c>
      <c r="AH6"/>
      <c r="AI6"/>
      <c r="AJ6"/>
      <c r="AK6"/>
      <c r="AL6"/>
      <c r="AM6"/>
      <c r="AN6" s="202"/>
      <c r="AO6" s="202"/>
      <c r="AX6" s="247" t="s">
        <v>60</v>
      </c>
      <c r="AY6" s="263" t="s">
        <v>143</v>
      </c>
      <c r="AZ6" s="262" t="s">
        <v>144</v>
      </c>
      <c r="BA6" s="12" t="s">
        <v>152</v>
      </c>
      <c r="BB6" s="12" t="s">
        <v>153</v>
      </c>
    </row>
    <row r="7" spans="1:56" ht="15" thickBot="1" x14ac:dyDescent="0.35">
      <c r="A7" s="212" t="s">
        <v>123</v>
      </c>
      <c r="C7" s="387"/>
      <c r="D7" s="387"/>
      <c r="E7" s="387"/>
      <c r="F7" s="387"/>
      <c r="G7" s="387"/>
      <c r="I7" s="387"/>
      <c r="J7" s="387"/>
      <c r="K7" s="387"/>
      <c r="L7" s="387"/>
      <c r="M7" s="387"/>
      <c r="O7" s="387"/>
      <c r="P7" s="387"/>
      <c r="Q7" s="387"/>
      <c r="R7" s="387"/>
      <c r="S7" s="387"/>
      <c r="U7" s="387"/>
      <c r="V7" s="387"/>
      <c r="W7" s="387"/>
      <c r="X7" s="387"/>
      <c r="Y7" s="387"/>
      <c r="AE7" s="204" t="s">
        <v>398</v>
      </c>
      <c r="AF7" s="204" t="s">
        <v>398</v>
      </c>
      <c r="AG7" s="204" t="s">
        <v>398</v>
      </c>
      <c r="AH7"/>
      <c r="AI7"/>
      <c r="AJ7"/>
      <c r="AK7"/>
      <c r="AL7"/>
      <c r="AM7"/>
      <c r="AN7" s="202"/>
      <c r="AO7" s="202"/>
      <c r="AX7" s="253" t="s">
        <v>242</v>
      </c>
      <c r="AY7" s="208">
        <f ca="1">RAND()*2000000</f>
        <v>1163548.088586689</v>
      </c>
      <c r="AZ7" s="208">
        <f ca="1">RAND()*20000000</f>
        <v>18512751.400585145</v>
      </c>
      <c r="BA7" s="213">
        <f ca="1">RAND()*400</f>
        <v>326.99718158384673</v>
      </c>
      <c r="BB7" s="264">
        <f ca="1">AY7/AZ7</f>
        <v>6.2851170169654622E-2</v>
      </c>
    </row>
    <row r="8" spans="1:56" ht="15" thickBot="1" x14ac:dyDescent="0.35">
      <c r="A8" s="231" t="s">
        <v>401</v>
      </c>
      <c r="C8" s="387"/>
      <c r="D8" s="387"/>
      <c r="E8" s="387"/>
      <c r="F8" s="387"/>
      <c r="G8" s="387"/>
      <c r="I8" s="387"/>
      <c r="J8" s="387"/>
      <c r="K8" s="387"/>
      <c r="L8" s="387"/>
      <c r="M8" s="387"/>
      <c r="O8" s="387"/>
      <c r="P8" s="387"/>
      <c r="Q8" s="387"/>
      <c r="R8" s="387"/>
      <c r="S8" s="387"/>
      <c r="U8" s="387"/>
      <c r="V8" s="387"/>
      <c r="W8" s="387"/>
      <c r="X8" s="387"/>
      <c r="Y8" s="387"/>
      <c r="AE8" s="204" t="s">
        <v>398</v>
      </c>
      <c r="AF8" s="204" t="s">
        <v>398</v>
      </c>
      <c r="AG8" s="204" t="s">
        <v>398</v>
      </c>
      <c r="AH8"/>
      <c r="AI8"/>
      <c r="AJ8"/>
      <c r="AK8"/>
      <c r="AL8"/>
      <c r="AM8"/>
      <c r="AN8" s="202"/>
      <c r="AO8" s="202"/>
      <c r="AX8" s="248" t="s">
        <v>219</v>
      </c>
      <c r="AY8" s="208">
        <f t="shared" ref="AY8:AY9" ca="1" si="0">RAND()*2000000</f>
        <v>1960448.7573728145</v>
      </c>
      <c r="AZ8" s="208">
        <f t="shared" ref="AZ8:AZ9" ca="1" si="1">RAND()*20000000</f>
        <v>19800612.607321348</v>
      </c>
      <c r="BA8" s="213">
        <f t="shared" ref="BA8:BA9" ca="1" si="2">RAND()*400</f>
        <v>233.00993109968965</v>
      </c>
      <c r="BB8" s="264">
        <f t="shared" ref="BB8:BB10" ca="1" si="3">AY8/AZ8</f>
        <v>9.9009500173137643E-2</v>
      </c>
    </row>
    <row r="9" spans="1:56" ht="15" thickBot="1" x14ac:dyDescent="0.35">
      <c r="C9" s="387"/>
      <c r="D9" s="387"/>
      <c r="E9" s="387"/>
      <c r="F9" s="387"/>
      <c r="G9" s="387"/>
      <c r="I9" s="387"/>
      <c r="J9" s="387"/>
      <c r="K9" s="387"/>
      <c r="L9" s="387"/>
      <c r="M9" s="387"/>
      <c r="O9" s="387"/>
      <c r="P9" s="387"/>
      <c r="Q9" s="387"/>
      <c r="R9" s="387"/>
      <c r="S9" s="387"/>
      <c r="U9" s="387"/>
      <c r="V9" s="387"/>
      <c r="W9" s="387"/>
      <c r="X9" s="387"/>
      <c r="Y9" s="387"/>
      <c r="AE9" s="204" t="s">
        <v>398</v>
      </c>
      <c r="AF9" s="204" t="s">
        <v>398</v>
      </c>
      <c r="AG9" s="204" t="s">
        <v>398</v>
      </c>
      <c r="AH9"/>
      <c r="AI9"/>
      <c r="AJ9"/>
      <c r="AK9"/>
      <c r="AL9"/>
      <c r="AM9"/>
      <c r="AN9" s="202"/>
      <c r="AO9" s="202"/>
      <c r="AX9" s="251" t="s">
        <v>231</v>
      </c>
      <c r="AY9" s="208">
        <f t="shared" ca="1" si="0"/>
        <v>1614435.1449404431</v>
      </c>
      <c r="AZ9" s="208">
        <f t="shared" ca="1" si="1"/>
        <v>17536239.597383983</v>
      </c>
      <c r="BA9" s="213">
        <f t="shared" ca="1" si="2"/>
        <v>395.97621091214921</v>
      </c>
      <c r="BB9" s="264">
        <f t="shared" ca="1" si="3"/>
        <v>9.2062790085354493E-2</v>
      </c>
    </row>
    <row r="10" spans="1:56" ht="15" thickBot="1" x14ac:dyDescent="0.35">
      <c r="AE10" s="204" t="s">
        <v>398</v>
      </c>
      <c r="AF10" s="204" t="s">
        <v>398</v>
      </c>
      <c r="AG10" s="204" t="s">
        <v>398</v>
      </c>
      <c r="AH10"/>
      <c r="AI10"/>
      <c r="AJ10"/>
      <c r="AK10"/>
      <c r="AL10"/>
      <c r="AM10"/>
      <c r="AX10" s="247" t="s">
        <v>12</v>
      </c>
      <c r="AY10" s="249">
        <f ca="1">SUM(AY7:AY9)</f>
        <v>4738431.9908999465</v>
      </c>
      <c r="AZ10" s="249">
        <f ca="1">SUM(AZ7:AZ9)</f>
        <v>55849603.60529048</v>
      </c>
      <c r="BA10" s="214">
        <f ca="1">AVERAGE(BA7:BA9)</f>
        <v>318.66110786522853</v>
      </c>
      <c r="BB10" s="264">
        <f t="shared" ca="1" si="3"/>
        <v>8.4842714809368641E-2</v>
      </c>
    </row>
    <row r="11" spans="1:56" ht="15" thickBot="1" x14ac:dyDescent="0.35">
      <c r="AE11" s="204" t="s">
        <v>398</v>
      </c>
      <c r="AF11" s="204" t="s">
        <v>398</v>
      </c>
      <c r="AG11" s="204" t="s">
        <v>398</v>
      </c>
      <c r="AH11"/>
      <c r="AI11"/>
      <c r="AJ11"/>
      <c r="AK11"/>
      <c r="AL11"/>
      <c r="AM11"/>
      <c r="AN11" s="12"/>
      <c r="AO11"/>
    </row>
    <row r="12" spans="1:56" ht="16.2" thickBot="1" x14ac:dyDescent="0.35">
      <c r="AE12" s="204" t="s">
        <v>398</v>
      </c>
      <c r="AF12" s="204" t="s">
        <v>398</v>
      </c>
      <c r="AG12" s="204" t="s">
        <v>398</v>
      </c>
      <c r="AH12"/>
      <c r="AI12"/>
      <c r="AJ12"/>
      <c r="AK12"/>
      <c r="AL12"/>
      <c r="AM12"/>
      <c r="AN12" s="236"/>
      <c r="AO12" s="304" t="s">
        <v>28</v>
      </c>
      <c r="AP12" s="304" t="s">
        <v>142</v>
      </c>
      <c r="AQ12" s="304" t="s">
        <v>125</v>
      </c>
      <c r="AR12" s="232" t="s">
        <v>127</v>
      </c>
      <c r="AS12" s="218" t="s">
        <v>10</v>
      </c>
      <c r="AT12" s="218" t="s">
        <v>122</v>
      </c>
      <c r="AU12" s="218" t="s">
        <v>48</v>
      </c>
      <c r="AV12" s="305" t="s">
        <v>128</v>
      </c>
      <c r="AW12" s="66"/>
    </row>
    <row r="13" spans="1:56" ht="15" thickBot="1" x14ac:dyDescent="0.35">
      <c r="AE13" s="204" t="s">
        <v>398</v>
      </c>
      <c r="AF13" s="204" t="s">
        <v>398</v>
      </c>
      <c r="AG13" s="204" t="s">
        <v>398</v>
      </c>
      <c r="AH13" s="8" t="s">
        <v>159</v>
      </c>
      <c r="AI13">
        <f ca="1">RAND()*1000</f>
        <v>324.35236690797166</v>
      </c>
      <c r="AJ13" s="65">
        <f t="shared" ref="AJ13:AM28" ca="1" si="4">RAND()*1000</f>
        <v>984.43510716115748</v>
      </c>
      <c r="AK13" s="65">
        <f t="shared" ca="1" si="4"/>
        <v>177.63591001476243</v>
      </c>
      <c r="AL13" s="65">
        <f t="shared" ca="1" si="4"/>
        <v>29.477725224516192</v>
      </c>
      <c r="AM13" s="65">
        <f t="shared" ca="1" si="4"/>
        <v>449.73823115461488</v>
      </c>
      <c r="AN13" s="229"/>
      <c r="AO13" s="12" t="s">
        <v>159</v>
      </c>
      <c r="AP13" s="227">
        <f ca="1">RAND()*2000</f>
        <v>916.89873462828643</v>
      </c>
      <c r="AQ13" s="227">
        <f ca="1">RAND()*200000</f>
        <v>159407.92891800732</v>
      </c>
      <c r="AR13" s="4">
        <f ca="1">AP13/AQ13</f>
        <v>5.7519016830078771E-3</v>
      </c>
      <c r="AS13" s="65" t="str">
        <f>IFERROR(VLOOKUP($AO13,'General Lookups'!$A$1:$F$113,2,FALSE),"")</f>
        <v>RA</v>
      </c>
      <c r="AT13" s="65">
        <f>IFERROR(VLOOKUP($AO13,'General Lookups'!$A$1:$F$113,4,FALSE),"")</f>
        <v>37</v>
      </c>
      <c r="AU13" s="65">
        <f>IFERROR(VLOOKUP($AO13,'General Lookups'!$A$1:$F$113,5,FALSE),"")</f>
        <v>1</v>
      </c>
      <c r="AV13" s="65" t="s">
        <v>399</v>
      </c>
      <c r="AX13" s="247" t="s">
        <v>60</v>
      </c>
      <c r="AY13" s="210" t="s">
        <v>129</v>
      </c>
      <c r="AZ13" s="246" t="s">
        <v>130</v>
      </c>
      <c r="BA13" s="34" t="s">
        <v>143</v>
      </c>
      <c r="BB13" s="215" t="s">
        <v>144</v>
      </c>
      <c r="BC13" s="306" t="s">
        <v>131</v>
      </c>
      <c r="BD13" s="307" t="s">
        <v>132</v>
      </c>
    </row>
    <row r="14" spans="1:56" ht="15" thickBot="1" x14ac:dyDescent="0.35">
      <c r="AE14" s="204" t="s">
        <v>398</v>
      </c>
      <c r="AF14" s="204" t="s">
        <v>398</v>
      </c>
      <c r="AG14" s="204" t="s">
        <v>398</v>
      </c>
      <c r="AH14" s="8" t="s">
        <v>175</v>
      </c>
      <c r="AI14" s="65">
        <f t="shared" ref="AI14:AM45" ca="1" si="5">RAND()*1000</f>
        <v>994.31156583036352</v>
      </c>
      <c r="AJ14" s="65">
        <f t="shared" ca="1" si="4"/>
        <v>190.08584999708432</v>
      </c>
      <c r="AK14" s="65">
        <f t="shared" ca="1" si="4"/>
        <v>585.01179850769768</v>
      </c>
      <c r="AL14" s="65">
        <f t="shared" ca="1" si="4"/>
        <v>446.15026805037138</v>
      </c>
      <c r="AM14" s="65">
        <f t="shared" ca="1" si="4"/>
        <v>640.72026029008055</v>
      </c>
      <c r="AN14" s="229"/>
      <c r="AO14" s="12" t="s">
        <v>175</v>
      </c>
      <c r="AP14" s="227">
        <f t="shared" ref="AP14:AP77" ca="1" si="6">RAND()*2000</f>
        <v>441.11005636511311</v>
      </c>
      <c r="AQ14" s="227">
        <f t="shared" ref="AQ14:AQ77" ca="1" si="7">RAND()*200000</f>
        <v>195558.70946496</v>
      </c>
      <c r="AR14" s="4">
        <f t="shared" ref="AR14:AR77" ca="1" si="8">AP14/AQ14</f>
        <v>2.2556400457538852E-3</v>
      </c>
      <c r="AS14" s="65" t="str">
        <f>IFERROR(VLOOKUP($AO14,'General Lookups'!$A$1:$F$113,2,FALSE),"")</f>
        <v>RA</v>
      </c>
      <c r="AT14" s="65">
        <f>IFERROR(VLOOKUP($AO14,'General Lookups'!$A$1:$F$113,4,FALSE),"")</f>
        <v>27</v>
      </c>
      <c r="AU14" s="65">
        <f>IFERROR(VLOOKUP($AO14,'General Lookups'!$A$1:$F$113,5,FALSE),"")</f>
        <v>2</v>
      </c>
      <c r="AV14" s="65" t="s">
        <v>399</v>
      </c>
      <c r="AX14" s="253">
        <v>1</v>
      </c>
      <c r="AY14" s="252">
        <f ca="1">RAND()*80</f>
        <v>64.706034976090436</v>
      </c>
      <c r="AZ14" s="252">
        <f ca="1">AY14/RAND()</f>
        <v>684.37177598917492</v>
      </c>
      <c r="BA14" s="208">
        <f ca="1">RAND()*2000000</f>
        <v>794127.2440275444</v>
      </c>
      <c r="BB14" s="208">
        <f ca="1">RAND()*20000000</f>
        <v>16990483.400562562</v>
      </c>
      <c r="BC14" s="213">
        <f ca="1">RAND()*400</f>
        <v>106.39237007527753</v>
      </c>
      <c r="BD14" s="264">
        <f ca="1">BA14/BB14</f>
        <v>4.6739532084251974E-2</v>
      </c>
    </row>
    <row r="15" spans="1:56" ht="15" thickBot="1" x14ac:dyDescent="0.35">
      <c r="AE15" s="204" t="s">
        <v>398</v>
      </c>
      <c r="AF15" s="204" t="s">
        <v>398</v>
      </c>
      <c r="AG15" s="204" t="s">
        <v>398</v>
      </c>
      <c r="AH15" s="8" t="s">
        <v>160</v>
      </c>
      <c r="AI15" s="65">
        <f t="shared" ca="1" si="5"/>
        <v>979.2296208631484</v>
      </c>
      <c r="AJ15" s="65">
        <f t="shared" ca="1" si="4"/>
        <v>19.554593411082124</v>
      </c>
      <c r="AK15" s="65">
        <f t="shared" ca="1" si="4"/>
        <v>224.75667648678933</v>
      </c>
      <c r="AL15" s="65">
        <f t="shared" ca="1" si="4"/>
        <v>113.81867457348261</v>
      </c>
      <c r="AM15" s="65">
        <f t="shared" ca="1" si="4"/>
        <v>4.1760248264293143</v>
      </c>
      <c r="AN15" s="229"/>
      <c r="AO15" s="12" t="s">
        <v>160</v>
      </c>
      <c r="AP15" s="227">
        <f t="shared" ca="1" si="6"/>
        <v>1104.8971901627078</v>
      </c>
      <c r="AQ15" s="227">
        <f t="shared" ca="1" si="7"/>
        <v>127778.72540438753</v>
      </c>
      <c r="AR15" s="4">
        <f t="shared" ca="1" si="8"/>
        <v>8.6469573605933697E-3</v>
      </c>
      <c r="AS15" s="65" t="str">
        <f>IFERROR(VLOOKUP($AO15,'General Lookups'!$A$1:$F$113,2,FALSE),"")</f>
        <v>RA</v>
      </c>
      <c r="AT15" s="65">
        <f>IFERROR(VLOOKUP($AO15,'General Lookups'!$A$1:$F$113,4,FALSE),"")</f>
        <v>27</v>
      </c>
      <c r="AU15" s="65">
        <f>IFERROR(VLOOKUP($AO15,'General Lookups'!$A$1:$F$113,5,FALSE),"")</f>
        <v>1</v>
      </c>
      <c r="AV15" s="65" t="s">
        <v>399</v>
      </c>
      <c r="AX15" s="248">
        <v>2</v>
      </c>
      <c r="AY15" s="252">
        <f ca="1">RAND()*80</f>
        <v>9.6587316648370081</v>
      </c>
      <c r="AZ15" s="252">
        <f ca="1">AY15/RAND()</f>
        <v>23.372607515570959</v>
      </c>
      <c r="BA15" s="208">
        <f ca="1">RAND()*2000000</f>
        <v>1626131.2096802092</v>
      </c>
      <c r="BB15" s="208">
        <f ca="1">RAND()*20000000</f>
        <v>9718635.5894558411</v>
      </c>
      <c r="BC15" s="213">
        <f ca="1">RAND()*400</f>
        <v>201.74639244260965</v>
      </c>
      <c r="BD15" s="264">
        <f ca="1">BA15/BB15</f>
        <v>0.16732093663893188</v>
      </c>
    </row>
    <row r="16" spans="1:56" ht="15" thickBot="1" x14ac:dyDescent="0.35">
      <c r="AE16" s="204" t="s">
        <v>398</v>
      </c>
      <c r="AF16" s="204" t="s">
        <v>398</v>
      </c>
      <c r="AG16" s="204" t="s">
        <v>398</v>
      </c>
      <c r="AH16" s="8" t="s">
        <v>176</v>
      </c>
      <c r="AI16" s="65">
        <f t="shared" ca="1" si="5"/>
        <v>170.55998026604357</v>
      </c>
      <c r="AJ16" s="65">
        <f t="shared" ca="1" si="4"/>
        <v>448.69528836326276</v>
      </c>
      <c r="AK16" s="65">
        <f t="shared" ca="1" si="4"/>
        <v>803.51511272584105</v>
      </c>
      <c r="AL16" s="65">
        <f t="shared" ca="1" si="4"/>
        <v>632.52771569218157</v>
      </c>
      <c r="AM16" s="65">
        <f t="shared" ca="1" si="4"/>
        <v>975.05631310446756</v>
      </c>
      <c r="AN16" s="229"/>
      <c r="AO16" s="12" t="s">
        <v>176</v>
      </c>
      <c r="AP16" s="227">
        <f t="shared" ca="1" si="6"/>
        <v>1517.2057051737643</v>
      </c>
      <c r="AQ16" s="227">
        <f t="shared" ca="1" si="7"/>
        <v>177835.54975776089</v>
      </c>
      <c r="AR16" s="4">
        <f t="shared" ca="1" si="8"/>
        <v>8.5315096292076006E-3</v>
      </c>
      <c r="AS16" s="65" t="str">
        <f>IFERROR(VLOOKUP($AO16,'General Lookups'!$A$1:$F$113,2,FALSE),"")</f>
        <v>RC</v>
      </c>
      <c r="AT16" s="65">
        <f>IFERROR(VLOOKUP($AO16,'General Lookups'!$A$1:$F$113,4,FALSE),"")</f>
        <v>77</v>
      </c>
      <c r="AU16" s="65">
        <f>IFERROR(VLOOKUP($AO16,'General Lookups'!$A$1:$F$113,5,FALSE),"")</f>
        <v>2</v>
      </c>
      <c r="AV16" s="65" t="s">
        <v>399</v>
      </c>
      <c r="AX16" s="248">
        <v>3</v>
      </c>
      <c r="AY16" s="252">
        <f ca="1">RAND()*80</f>
        <v>19.298532287048165</v>
      </c>
      <c r="AZ16" s="252">
        <f ca="1">AY16/RAND()</f>
        <v>23.794409189636088</v>
      </c>
      <c r="BA16" s="208">
        <f ca="1">RAND()*2000000</f>
        <v>606859.00307333469</v>
      </c>
      <c r="BB16" s="208">
        <f ca="1">RAND()*20000000</f>
        <v>3866946.970677061</v>
      </c>
      <c r="BC16" s="213">
        <f ca="1">RAND()*400</f>
        <v>92.877827265795474</v>
      </c>
      <c r="BD16" s="264">
        <f ca="1">BA16/BB16</f>
        <v>0.15693491730689035</v>
      </c>
    </row>
    <row r="17" spans="31:56" ht="15" thickBot="1" x14ac:dyDescent="0.35">
      <c r="AE17" s="204" t="s">
        <v>398</v>
      </c>
      <c r="AF17" s="204" t="s">
        <v>398</v>
      </c>
      <c r="AG17" s="204" t="s">
        <v>398</v>
      </c>
      <c r="AH17" s="8" t="s">
        <v>177</v>
      </c>
      <c r="AI17" s="65">
        <f t="shared" ca="1" si="5"/>
        <v>6.6243977709735669</v>
      </c>
      <c r="AJ17" s="65">
        <f t="shared" ca="1" si="4"/>
        <v>427.88158328745317</v>
      </c>
      <c r="AK17" s="65">
        <f t="shared" ca="1" si="4"/>
        <v>967.22230361407344</v>
      </c>
      <c r="AL17" s="65">
        <f t="shared" ca="1" si="4"/>
        <v>326.78322350647073</v>
      </c>
      <c r="AM17" s="65">
        <f t="shared" ca="1" si="4"/>
        <v>717.53936362626223</v>
      </c>
      <c r="AN17" s="229"/>
      <c r="AO17" s="12" t="s">
        <v>177</v>
      </c>
      <c r="AP17" s="227">
        <f t="shared" ca="1" si="6"/>
        <v>1095.1731127344799</v>
      </c>
      <c r="AQ17" s="227">
        <f t="shared" ca="1" si="7"/>
        <v>19371.133203319023</v>
      </c>
      <c r="AR17" s="4">
        <f t="shared" ca="1" si="8"/>
        <v>5.6536347215186897E-2</v>
      </c>
      <c r="AS17" s="65" t="str">
        <f>IFERROR(VLOOKUP($AO17,'General Lookups'!$A$1:$F$113,2,FALSE),"")</f>
        <v>RC</v>
      </c>
      <c r="AT17" s="65">
        <f>IFERROR(VLOOKUP($AO17,'General Lookups'!$A$1:$F$113,4,FALSE),"")</f>
        <v>10</v>
      </c>
      <c r="AU17" s="65">
        <f>IFERROR(VLOOKUP($AO17,'General Lookups'!$A$1:$F$113,5,FALSE),"")</f>
        <v>1</v>
      </c>
      <c r="AV17" s="65" t="s">
        <v>399</v>
      </c>
      <c r="AX17" s="248">
        <v>4</v>
      </c>
      <c r="AY17" s="252">
        <f ca="1">RAND()*80</f>
        <v>29.91501934867469</v>
      </c>
      <c r="AZ17" s="252">
        <f ca="1">AY17/RAND()</f>
        <v>41.779497434404888</v>
      </c>
      <c r="BA17" s="208">
        <f ca="1">RAND()*2000000</f>
        <v>135988.06915061324</v>
      </c>
      <c r="BB17" s="208">
        <f ca="1">RAND()*20000000</f>
        <v>9768719.8339304365</v>
      </c>
      <c r="BC17" s="213">
        <f ca="1">RAND()*400</f>
        <v>122.67688805360639</v>
      </c>
      <c r="BD17" s="264">
        <f ca="1">BA17/BB17</f>
        <v>1.3920766637023978E-2</v>
      </c>
    </row>
    <row r="18" spans="31:56" ht="15" thickBot="1" x14ac:dyDescent="0.35">
      <c r="AE18" s="204" t="s">
        <v>398</v>
      </c>
      <c r="AF18" s="204" t="s">
        <v>398</v>
      </c>
      <c r="AG18" s="204" t="s">
        <v>398</v>
      </c>
      <c r="AH18" s="8" t="s">
        <v>161</v>
      </c>
      <c r="AI18" s="65">
        <f t="shared" ca="1" si="5"/>
        <v>636.76208117863018</v>
      </c>
      <c r="AJ18" s="65">
        <f t="shared" ca="1" si="4"/>
        <v>184.40635679503259</v>
      </c>
      <c r="AK18" s="65">
        <f t="shared" ca="1" si="4"/>
        <v>342.73631743154584</v>
      </c>
      <c r="AL18" s="65">
        <f t="shared" ca="1" si="4"/>
        <v>972.16542637769078</v>
      </c>
      <c r="AM18" s="65">
        <f t="shared" ca="1" si="4"/>
        <v>823.63229375253411</v>
      </c>
      <c r="AN18" s="229"/>
      <c r="AO18" s="12" t="s">
        <v>161</v>
      </c>
      <c r="AP18" s="227">
        <f t="shared" ca="1" si="6"/>
        <v>744.3320046430415</v>
      </c>
      <c r="AQ18" s="227">
        <f t="shared" ca="1" si="7"/>
        <v>20719.461520044737</v>
      </c>
      <c r="AR18" s="4">
        <f t="shared" ca="1" si="8"/>
        <v>3.5924292912870755E-2</v>
      </c>
      <c r="AS18" s="65" t="str">
        <f>IFERROR(VLOOKUP($AO18,'General Lookups'!$A$1:$F$113,2,FALSE),"")</f>
        <v>RC</v>
      </c>
      <c r="AT18" s="65">
        <f>IFERROR(VLOOKUP($AO18,'General Lookups'!$A$1:$F$113,4,FALSE),"")</f>
        <v>0</v>
      </c>
      <c r="AU18" s="65">
        <f>IFERROR(VLOOKUP($AO18,'General Lookups'!$A$1:$F$113,5,FALSE),"")</f>
        <v>1</v>
      </c>
      <c r="AV18" s="65" t="s">
        <v>399</v>
      </c>
      <c r="AX18" s="251">
        <v>5</v>
      </c>
      <c r="AY18" s="252">
        <f ca="1">RAND()*80</f>
        <v>51.446100146757246</v>
      </c>
      <c r="AZ18" s="252">
        <f ca="1">AY18/RAND()</f>
        <v>71.710888046078523</v>
      </c>
      <c r="BA18" s="208">
        <f ca="1">RAND()*2000000</f>
        <v>984880.89831045084</v>
      </c>
      <c r="BB18" s="208">
        <f ca="1">RAND()*20000000</f>
        <v>13613244.007093491</v>
      </c>
      <c r="BC18" s="213">
        <f ca="1">RAND()*400</f>
        <v>149.30046050642068</v>
      </c>
      <c r="BD18" s="264">
        <f ca="1">BA18/BB18</f>
        <v>7.2347259609631343E-2</v>
      </c>
    </row>
    <row r="19" spans="31:56" ht="15" thickBot="1" x14ac:dyDescent="0.35">
      <c r="AE19" s="204" t="s">
        <v>398</v>
      </c>
      <c r="AF19" s="204" t="s">
        <v>398</v>
      </c>
      <c r="AG19" s="204" t="s">
        <v>398</v>
      </c>
      <c r="AH19" s="8" t="s">
        <v>162</v>
      </c>
      <c r="AI19" s="65">
        <f t="shared" ca="1" si="5"/>
        <v>65.209362329063381</v>
      </c>
      <c r="AJ19" s="65">
        <f t="shared" ca="1" si="4"/>
        <v>904.16383408037098</v>
      </c>
      <c r="AK19" s="65">
        <f t="shared" ca="1" si="4"/>
        <v>16.744950850009378</v>
      </c>
      <c r="AL19" s="65">
        <f t="shared" ca="1" si="4"/>
        <v>221.92185883293857</v>
      </c>
      <c r="AM19" s="65">
        <f t="shared" ca="1" si="4"/>
        <v>996.18320592003136</v>
      </c>
      <c r="AN19" s="229"/>
      <c r="AO19" s="12" t="s">
        <v>162</v>
      </c>
      <c r="AP19" s="227">
        <f t="shared" ca="1" si="6"/>
        <v>1972.33475697318</v>
      </c>
      <c r="AQ19" s="227">
        <f t="shared" ca="1" si="7"/>
        <v>121794.5585687892</v>
      </c>
      <c r="AR19" s="4">
        <f t="shared" ca="1" si="8"/>
        <v>1.619394807247658E-2</v>
      </c>
      <c r="AS19" s="65" t="str">
        <f>IFERROR(VLOOKUP($AO19,'General Lookups'!$A$1:$F$113,2,FALSE),"")</f>
        <v>RB</v>
      </c>
      <c r="AT19" s="65">
        <f>IFERROR(VLOOKUP($AO19,'General Lookups'!$A$1:$F$113,4,FALSE),"")</f>
        <v>319</v>
      </c>
      <c r="AU19" s="65">
        <f>IFERROR(VLOOKUP($AO19,'General Lookups'!$A$1:$F$113,5,FALSE),"")</f>
        <v>4</v>
      </c>
      <c r="AV19" s="65" t="s">
        <v>399</v>
      </c>
      <c r="AX19" s="247" t="s">
        <v>12</v>
      </c>
      <c r="AY19" s="249">
        <f ca="1">SUM(AY14:AY18)</f>
        <v>175.02441842340755</v>
      </c>
      <c r="AZ19" s="249">
        <f t="shared" ref="AZ19:BB19" ca="1" si="9">SUM(AZ14:AZ18)</f>
        <v>845.02917817486536</v>
      </c>
      <c r="BA19" s="249">
        <f t="shared" ca="1" si="9"/>
        <v>4147986.4242421524</v>
      </c>
      <c r="BB19" s="249">
        <f t="shared" ca="1" si="9"/>
        <v>53958029.801719397</v>
      </c>
      <c r="BC19" s="217">
        <f ca="1">AVERAGE(BC14:BC18)</f>
        <v>134.59878766874195</v>
      </c>
      <c r="BD19" s="308">
        <f ca="1">AVERAGE(BD14:BD18)</f>
        <v>9.1452682455345907E-2</v>
      </c>
    </row>
    <row r="20" spans="31:56" x14ac:dyDescent="0.3">
      <c r="AE20" s="204" t="s">
        <v>398</v>
      </c>
      <c r="AF20" s="204" t="s">
        <v>398</v>
      </c>
      <c r="AG20" s="204" t="s">
        <v>398</v>
      </c>
      <c r="AH20" s="8" t="s">
        <v>163</v>
      </c>
      <c r="AI20" s="65">
        <f t="shared" ca="1" si="5"/>
        <v>937.18861767934231</v>
      </c>
      <c r="AJ20" s="65">
        <f t="shared" ca="1" si="4"/>
        <v>134.79062595697934</v>
      </c>
      <c r="AK20" s="65">
        <f t="shared" ca="1" si="4"/>
        <v>546.84150053195845</v>
      </c>
      <c r="AL20" s="65">
        <f t="shared" ca="1" si="4"/>
        <v>732.4432944632963</v>
      </c>
      <c r="AM20" s="65">
        <f t="shared" ca="1" si="4"/>
        <v>897.68036054903882</v>
      </c>
      <c r="AN20" s="229"/>
      <c r="AO20" s="12" t="s">
        <v>163</v>
      </c>
      <c r="AP20" s="227">
        <f t="shared" ca="1" si="6"/>
        <v>202.8971733238285</v>
      </c>
      <c r="AQ20" s="227">
        <f t="shared" ca="1" si="7"/>
        <v>115667.63872603537</v>
      </c>
      <c r="AR20" s="4">
        <f t="shared" ca="1" si="8"/>
        <v>1.7541394944907683E-3</v>
      </c>
      <c r="AS20" s="65" t="str">
        <f>IFERROR(VLOOKUP($AO20,'General Lookups'!$A$1:$F$113,2,FALSE),"")</f>
        <v>RB</v>
      </c>
      <c r="AT20" s="65">
        <f>IFERROR(VLOOKUP($AO20,'General Lookups'!$A$1:$F$113,4,FALSE),"")</f>
        <v>107</v>
      </c>
      <c r="AU20" s="65">
        <f>IFERROR(VLOOKUP($AO20,'General Lookups'!$A$1:$F$113,5,FALSE),"")</f>
        <v>1</v>
      </c>
      <c r="AV20" s="65" t="s">
        <v>399</v>
      </c>
    </row>
    <row r="21" spans="31:56" ht="15" thickBot="1" x14ac:dyDescent="0.35">
      <c r="AE21" s="204" t="s">
        <v>398</v>
      </c>
      <c r="AF21" s="204" t="s">
        <v>398</v>
      </c>
      <c r="AG21" s="204" t="s">
        <v>398</v>
      </c>
      <c r="AH21" s="8" t="s">
        <v>164</v>
      </c>
      <c r="AI21" s="65">
        <f t="shared" ca="1" si="5"/>
        <v>709.10929357916029</v>
      </c>
      <c r="AJ21" s="65">
        <f t="shared" ca="1" si="4"/>
        <v>438.97028834601934</v>
      </c>
      <c r="AK21" s="65">
        <f t="shared" ca="1" si="4"/>
        <v>166.93475492424048</v>
      </c>
      <c r="AL21" s="65">
        <f t="shared" ca="1" si="4"/>
        <v>479.24626196306008</v>
      </c>
      <c r="AM21" s="65">
        <f t="shared" ca="1" si="4"/>
        <v>842.65457167143393</v>
      </c>
      <c r="AN21" s="229"/>
      <c r="AO21" s="12" t="s">
        <v>164</v>
      </c>
      <c r="AP21" s="227">
        <f t="shared" ca="1" si="6"/>
        <v>285.63708866482671</v>
      </c>
      <c r="AQ21" s="227">
        <f t="shared" ca="1" si="7"/>
        <v>91154.359791739</v>
      </c>
      <c r="AR21" s="4">
        <f t="shared" ca="1" si="8"/>
        <v>3.1335537797360846E-3</v>
      </c>
      <c r="AS21" s="65" t="str">
        <f>IFERROR(VLOOKUP($AO21,'General Lookups'!$A$1:$F$113,2,FALSE),"")</f>
        <v>RB</v>
      </c>
      <c r="AT21" s="65">
        <f>IFERROR(VLOOKUP($AO21,'General Lookups'!$A$1:$F$113,4,FALSE),"")</f>
        <v>8</v>
      </c>
      <c r="AU21" s="65">
        <f>IFERROR(VLOOKUP($AO21,'General Lookups'!$A$1:$F$113,5,FALSE),"")</f>
        <v>2</v>
      </c>
      <c r="AV21" s="65" t="s">
        <v>399</v>
      </c>
    </row>
    <row r="22" spans="31:56" ht="15" thickBot="1" x14ac:dyDescent="0.35">
      <c r="AE22" s="204" t="s">
        <v>398</v>
      </c>
      <c r="AF22" s="204" t="s">
        <v>398</v>
      </c>
      <c r="AG22" s="204" t="s">
        <v>398</v>
      </c>
      <c r="AH22" s="8" t="s">
        <v>178</v>
      </c>
      <c r="AI22" s="65">
        <f t="shared" ca="1" si="5"/>
        <v>105.69711955754401</v>
      </c>
      <c r="AJ22" s="65">
        <f t="shared" ca="1" si="4"/>
        <v>286.33227750158562</v>
      </c>
      <c r="AK22" s="65">
        <f t="shared" ca="1" si="4"/>
        <v>324.06219154593998</v>
      </c>
      <c r="AL22" s="65">
        <f t="shared" ca="1" si="4"/>
        <v>431.65689590119291</v>
      </c>
      <c r="AM22" s="65">
        <f t="shared" ca="1" si="4"/>
        <v>886.17456359216237</v>
      </c>
      <c r="AN22" s="229"/>
      <c r="AO22" s="12" t="s">
        <v>178</v>
      </c>
      <c r="AP22" s="227">
        <f t="shared" ca="1" si="6"/>
        <v>1809.8373459101369</v>
      </c>
      <c r="AQ22" s="227">
        <f t="shared" ca="1" si="7"/>
        <v>104165.33587998089</v>
      </c>
      <c r="AR22" s="4">
        <f t="shared" ca="1" si="8"/>
        <v>1.7374660491619096E-2</v>
      </c>
      <c r="AS22" s="65" t="str">
        <f>IFERROR(VLOOKUP($AO22,'General Lookups'!$A$1:$F$113,2,FALSE),"")</f>
        <v>RA</v>
      </c>
      <c r="AT22" s="65">
        <f>IFERROR(VLOOKUP($AO22,'General Lookups'!$A$1:$F$113,4,FALSE),"")</f>
        <v>19</v>
      </c>
      <c r="AU22" s="65">
        <f>IFERROR(VLOOKUP($AO22,'General Lookups'!$A$1:$F$113,5,FALSE),"")</f>
        <v>2</v>
      </c>
      <c r="AV22" s="65" t="s">
        <v>399</v>
      </c>
      <c r="AW22" s="69"/>
      <c r="AX22" s="247" t="s">
        <v>60</v>
      </c>
      <c r="AY22" s="210" t="s">
        <v>129</v>
      </c>
      <c r="AZ22" s="211" t="s">
        <v>130</v>
      </c>
      <c r="BA22" s="34" t="s">
        <v>143</v>
      </c>
      <c r="BB22" s="215" t="s">
        <v>144</v>
      </c>
      <c r="BC22" s="306" t="s">
        <v>131</v>
      </c>
      <c r="BD22" s="307" t="s">
        <v>132</v>
      </c>
    </row>
    <row r="23" spans="31:56" ht="15" thickBot="1" x14ac:dyDescent="0.35">
      <c r="AE23" s="204" t="s">
        <v>398</v>
      </c>
      <c r="AF23" s="204" t="s">
        <v>398</v>
      </c>
      <c r="AG23" s="204" t="s">
        <v>398</v>
      </c>
      <c r="AH23" s="8" t="s">
        <v>165</v>
      </c>
      <c r="AI23" s="65">
        <f t="shared" ca="1" si="5"/>
        <v>681.15699536043405</v>
      </c>
      <c r="AJ23" s="65">
        <f t="shared" ca="1" si="4"/>
        <v>5.3780938992409322</v>
      </c>
      <c r="AK23" s="65">
        <f t="shared" ca="1" si="4"/>
        <v>964.92974152589227</v>
      </c>
      <c r="AL23" s="65">
        <f t="shared" ca="1" si="4"/>
        <v>473.54672673789344</v>
      </c>
      <c r="AM23" s="65">
        <f t="shared" ca="1" si="4"/>
        <v>856.01696989667562</v>
      </c>
      <c r="AN23" s="229"/>
      <c r="AO23" s="12" t="s">
        <v>165</v>
      </c>
      <c r="AP23" s="227">
        <f t="shared" ca="1" si="6"/>
        <v>1439.7360294911985</v>
      </c>
      <c r="AQ23" s="227">
        <f t="shared" ca="1" si="7"/>
        <v>176683.14046136852</v>
      </c>
      <c r="AR23" s="4">
        <f t="shared" ca="1" si="8"/>
        <v>8.1486893754075789E-3</v>
      </c>
      <c r="AS23" s="65" t="str">
        <f>IFERROR(VLOOKUP($AO23,'General Lookups'!$A$1:$F$113,2,FALSE),"")</f>
        <v>RA</v>
      </c>
      <c r="AT23" s="65">
        <f>IFERROR(VLOOKUP($AO23,'General Lookups'!$A$1:$F$113,4,FALSE),"")</f>
        <v>18</v>
      </c>
      <c r="AU23" s="65">
        <f>IFERROR(VLOOKUP($AO23,'General Lookups'!$A$1:$F$113,5,FALSE),"")</f>
        <v>4</v>
      </c>
      <c r="AV23" s="65" t="s">
        <v>399</v>
      </c>
      <c r="AW23" s="57"/>
      <c r="AX23" s="255" t="s">
        <v>399</v>
      </c>
      <c r="AY23" s="254">
        <f ca="1">AY19</f>
        <v>175.02441842340755</v>
      </c>
      <c r="AZ23" s="254">
        <f t="shared" ref="AZ23:BD23" ca="1" si="10">AZ19</f>
        <v>845.02917817486536</v>
      </c>
      <c r="BA23" s="254">
        <f t="shared" ca="1" si="10"/>
        <v>4147986.4242421524</v>
      </c>
      <c r="BB23" s="254">
        <f t="shared" ca="1" si="10"/>
        <v>53958029.801719397</v>
      </c>
      <c r="BC23" s="254">
        <f t="shared" ca="1" si="10"/>
        <v>134.59878766874195</v>
      </c>
      <c r="BD23" s="309">
        <f t="shared" ca="1" si="10"/>
        <v>9.1452682455345907E-2</v>
      </c>
    </row>
    <row r="24" spans="31:56" x14ac:dyDescent="0.3">
      <c r="AE24" s="204" t="s">
        <v>398</v>
      </c>
      <c r="AF24" s="204" t="s">
        <v>398</v>
      </c>
      <c r="AG24" s="204" t="s">
        <v>398</v>
      </c>
      <c r="AH24" s="8" t="s">
        <v>166</v>
      </c>
      <c r="AI24" s="65">
        <f t="shared" ca="1" si="5"/>
        <v>201.39171545094547</v>
      </c>
      <c r="AJ24" s="65">
        <f t="shared" ca="1" si="4"/>
        <v>505.49036778046832</v>
      </c>
      <c r="AK24" s="65">
        <f t="shared" ca="1" si="4"/>
        <v>21.274977321835252</v>
      </c>
      <c r="AL24" s="65">
        <f t="shared" ca="1" si="4"/>
        <v>88.087752166597582</v>
      </c>
      <c r="AM24" s="65">
        <f t="shared" ca="1" si="4"/>
        <v>995.00113560775549</v>
      </c>
      <c r="AN24" s="229"/>
      <c r="AO24" s="12" t="s">
        <v>166</v>
      </c>
      <c r="AP24" s="227">
        <f t="shared" ca="1" si="6"/>
        <v>1260.7871393876953</v>
      </c>
      <c r="AQ24" s="227">
        <f t="shared" ca="1" si="7"/>
        <v>109570.49057908241</v>
      </c>
      <c r="AR24" s="4">
        <f t="shared" ca="1" si="8"/>
        <v>1.1506630414123437E-2</v>
      </c>
      <c r="AS24" s="65" t="str">
        <f>IFERROR(VLOOKUP($AO24,'General Lookups'!$A$1:$F$113,2,FALSE),"")</f>
        <v>RC</v>
      </c>
      <c r="AT24" s="65">
        <f>IFERROR(VLOOKUP($AO24,'General Lookups'!$A$1:$F$113,4,FALSE),"")</f>
        <v>30</v>
      </c>
      <c r="AU24" s="65">
        <f>IFERROR(VLOOKUP($AO24,'General Lookups'!$A$1:$F$113,5,FALSE),"")</f>
        <v>2</v>
      </c>
      <c r="AV24" s="65" t="s">
        <v>399</v>
      </c>
      <c r="AW24" s="57"/>
      <c r="AX24" s="8">
        <v>1</v>
      </c>
      <c r="AY24" s="310">
        <f ca="1">AY14</f>
        <v>64.706034976090436</v>
      </c>
      <c r="AZ24" s="310">
        <f t="shared" ref="AZ24:BD24" ca="1" si="11">AZ14</f>
        <v>684.37177598917492</v>
      </c>
      <c r="BA24" s="310">
        <f t="shared" ca="1" si="11"/>
        <v>794127.2440275444</v>
      </c>
      <c r="BB24" s="310">
        <f t="shared" ca="1" si="11"/>
        <v>16990483.400562562</v>
      </c>
      <c r="BC24" s="310">
        <f t="shared" ca="1" si="11"/>
        <v>106.39237007527753</v>
      </c>
      <c r="BD24" s="310">
        <f t="shared" ca="1" si="11"/>
        <v>4.6739532084251974E-2</v>
      </c>
    </row>
    <row r="25" spans="31:56" x14ac:dyDescent="0.3">
      <c r="AE25" s="204" t="s">
        <v>398</v>
      </c>
      <c r="AF25" s="204" t="s">
        <v>398</v>
      </c>
      <c r="AG25" s="204" t="s">
        <v>398</v>
      </c>
      <c r="AH25" s="8" t="s">
        <v>167</v>
      </c>
      <c r="AI25" s="65">
        <f t="shared" ca="1" si="5"/>
        <v>472.05864182560487</v>
      </c>
      <c r="AJ25" s="65">
        <f t="shared" ca="1" si="4"/>
        <v>53.01572318165271</v>
      </c>
      <c r="AK25" s="65">
        <f t="shared" ca="1" si="4"/>
        <v>661.13314287717435</v>
      </c>
      <c r="AL25" s="65">
        <f t="shared" ca="1" si="4"/>
        <v>37.334287916170553</v>
      </c>
      <c r="AM25" s="65">
        <f t="shared" ca="1" si="4"/>
        <v>146.39061179603473</v>
      </c>
      <c r="AN25" s="229"/>
      <c r="AO25" s="12" t="s">
        <v>167</v>
      </c>
      <c r="AP25" s="227">
        <f t="shared" ca="1" si="6"/>
        <v>883.83845639719766</v>
      </c>
      <c r="AQ25" s="227">
        <f t="shared" ca="1" si="7"/>
        <v>157833.48975205363</v>
      </c>
      <c r="AR25" s="4">
        <f t="shared" ca="1" si="8"/>
        <v>5.59981571582591E-3</v>
      </c>
      <c r="AS25" s="65" t="str">
        <f>IFERROR(VLOOKUP($AO25,'General Lookups'!$A$1:$F$113,2,FALSE),"")</f>
        <v>RC</v>
      </c>
      <c r="AT25" s="65">
        <f>IFERROR(VLOOKUP($AO25,'General Lookups'!$A$1:$F$113,4,FALSE),"")</f>
        <v>62</v>
      </c>
      <c r="AU25" s="65">
        <f>IFERROR(VLOOKUP($AO25,'General Lookups'!$A$1:$F$113,5,FALSE),"")</f>
        <v>2</v>
      </c>
      <c r="AV25" s="65" t="s">
        <v>399</v>
      </c>
      <c r="AW25" s="57"/>
      <c r="AX25" s="222">
        <v>2</v>
      </c>
      <c r="AY25" s="310">
        <f t="shared" ref="AY25:BD28" ca="1" si="12">AY15</f>
        <v>9.6587316648370081</v>
      </c>
      <c r="AZ25" s="310">
        <f t="shared" ca="1" si="12"/>
        <v>23.372607515570959</v>
      </c>
      <c r="BA25" s="310">
        <f t="shared" ca="1" si="12"/>
        <v>1626131.2096802092</v>
      </c>
      <c r="BB25" s="310">
        <f t="shared" ca="1" si="12"/>
        <v>9718635.5894558411</v>
      </c>
      <c r="BC25" s="310">
        <f t="shared" ca="1" si="12"/>
        <v>201.74639244260965</v>
      </c>
      <c r="BD25" s="310">
        <f t="shared" ca="1" si="12"/>
        <v>0.16732093663893188</v>
      </c>
    </row>
    <row r="26" spans="31:56" x14ac:dyDescent="0.3">
      <c r="AE26" s="204" t="s">
        <v>398</v>
      </c>
      <c r="AF26" s="204" t="s">
        <v>398</v>
      </c>
      <c r="AG26" s="204" t="s">
        <v>398</v>
      </c>
      <c r="AH26" s="8" t="s">
        <v>168</v>
      </c>
      <c r="AI26" s="65">
        <f t="shared" ca="1" si="5"/>
        <v>125.92092607339156</v>
      </c>
      <c r="AJ26" s="65">
        <f t="shared" ca="1" si="4"/>
        <v>46.182537896142236</v>
      </c>
      <c r="AK26" s="65">
        <f t="shared" ca="1" si="4"/>
        <v>961.01326403423366</v>
      </c>
      <c r="AL26" s="65">
        <f t="shared" ca="1" si="4"/>
        <v>17.257507683015483</v>
      </c>
      <c r="AM26" s="65">
        <f t="shared" ca="1" si="4"/>
        <v>680.21180140006209</v>
      </c>
      <c r="AN26" s="229"/>
      <c r="AO26" s="12" t="s">
        <v>168</v>
      </c>
      <c r="AP26" s="227">
        <f t="shared" ca="1" si="6"/>
        <v>1247.6178859394179</v>
      </c>
      <c r="AQ26" s="227">
        <f t="shared" ca="1" si="7"/>
        <v>72211.08237619602</v>
      </c>
      <c r="AR26" s="4">
        <f t="shared" ca="1" si="8"/>
        <v>1.7277374121602809E-2</v>
      </c>
      <c r="AS26" s="65" t="str">
        <f>IFERROR(VLOOKUP($AO26,'General Lookups'!$A$1:$F$113,2,FALSE),"")</f>
        <v>RC</v>
      </c>
      <c r="AT26" s="65">
        <f>IFERROR(VLOOKUP($AO26,'General Lookups'!$A$1:$F$113,4,FALSE),"")</f>
        <v>10</v>
      </c>
      <c r="AU26" s="65">
        <f>IFERROR(VLOOKUP($AO26,'General Lookups'!$A$1:$F$113,5,FALSE),"")</f>
        <v>2</v>
      </c>
      <c r="AV26" s="65" t="s">
        <v>399</v>
      </c>
      <c r="AW26" s="57"/>
      <c r="AX26" s="222">
        <v>3</v>
      </c>
      <c r="AY26" s="310">
        <f t="shared" ca="1" si="12"/>
        <v>19.298532287048165</v>
      </c>
      <c r="AZ26" s="310">
        <f t="shared" ca="1" si="12"/>
        <v>23.794409189636088</v>
      </c>
      <c r="BA26" s="310">
        <f t="shared" ca="1" si="12"/>
        <v>606859.00307333469</v>
      </c>
      <c r="BB26" s="310">
        <f t="shared" ca="1" si="12"/>
        <v>3866946.970677061</v>
      </c>
      <c r="BC26" s="310">
        <f t="shared" ca="1" si="12"/>
        <v>92.877827265795474</v>
      </c>
      <c r="BD26" s="310">
        <f t="shared" ca="1" si="12"/>
        <v>0.15693491730689035</v>
      </c>
    </row>
    <row r="27" spans="31:56" x14ac:dyDescent="0.3">
      <c r="AE27" s="204" t="s">
        <v>398</v>
      </c>
      <c r="AF27" s="204" t="s">
        <v>398</v>
      </c>
      <c r="AG27" s="204" t="s">
        <v>398</v>
      </c>
      <c r="AH27" s="8" t="s">
        <v>169</v>
      </c>
      <c r="AI27" s="65">
        <f t="shared" ca="1" si="5"/>
        <v>775.04347984049639</v>
      </c>
      <c r="AJ27" s="65">
        <f t="shared" ca="1" si="4"/>
        <v>924.56258168941656</v>
      </c>
      <c r="AK27" s="65">
        <f t="shared" ca="1" si="4"/>
        <v>997.38600992486693</v>
      </c>
      <c r="AL27" s="65">
        <f t="shared" ca="1" si="4"/>
        <v>132.36169595782167</v>
      </c>
      <c r="AM27" s="65">
        <f t="shared" ca="1" si="4"/>
        <v>422.13775146414122</v>
      </c>
      <c r="AN27" s="229"/>
      <c r="AO27" s="12" t="s">
        <v>169</v>
      </c>
      <c r="AP27" s="227">
        <f t="shared" ca="1" si="6"/>
        <v>675.38185585450219</v>
      </c>
      <c r="AQ27" s="227">
        <f t="shared" ca="1" si="7"/>
        <v>166526.35924189063</v>
      </c>
      <c r="AR27" s="4">
        <f t="shared" ca="1" si="8"/>
        <v>4.0557054086162118E-3</v>
      </c>
      <c r="AS27" s="65" t="str">
        <f>IFERROR(VLOOKUP($AO27,'General Lookups'!$A$1:$F$113,2,FALSE),"")</f>
        <v>RC</v>
      </c>
      <c r="AT27" s="65">
        <f>IFERROR(VLOOKUP($AO27,'General Lookups'!$A$1:$F$113,4,FALSE),"")</f>
        <v>53</v>
      </c>
      <c r="AU27" s="65">
        <f>IFERROR(VLOOKUP($AO27,'General Lookups'!$A$1:$F$113,5,FALSE),"")</f>
        <v>4</v>
      </c>
      <c r="AV27" s="65" t="s">
        <v>399</v>
      </c>
      <c r="AW27" s="57"/>
      <c r="AX27" s="222">
        <v>4</v>
      </c>
      <c r="AY27" s="310">
        <f t="shared" ca="1" si="12"/>
        <v>29.91501934867469</v>
      </c>
      <c r="AZ27" s="310">
        <f t="shared" ca="1" si="12"/>
        <v>41.779497434404888</v>
      </c>
      <c r="BA27" s="310">
        <f t="shared" ca="1" si="12"/>
        <v>135988.06915061324</v>
      </c>
      <c r="BB27" s="310">
        <f t="shared" ca="1" si="12"/>
        <v>9768719.8339304365</v>
      </c>
      <c r="BC27" s="310">
        <f t="shared" ca="1" si="12"/>
        <v>122.67688805360639</v>
      </c>
      <c r="BD27" s="310">
        <f t="shared" ca="1" si="12"/>
        <v>1.3920766637023978E-2</v>
      </c>
    </row>
    <row r="28" spans="31:56" x14ac:dyDescent="0.3">
      <c r="AE28" s="204" t="s">
        <v>398</v>
      </c>
      <c r="AF28" s="204" t="s">
        <v>398</v>
      </c>
      <c r="AG28" s="204" t="s">
        <v>398</v>
      </c>
      <c r="AH28" s="8" t="s">
        <v>179</v>
      </c>
      <c r="AI28" s="65">
        <f t="shared" ca="1" si="5"/>
        <v>70.353697983593804</v>
      </c>
      <c r="AJ28" s="65">
        <f t="shared" ca="1" si="4"/>
        <v>202.45041698843082</v>
      </c>
      <c r="AK28" s="65">
        <f t="shared" ca="1" si="4"/>
        <v>858.32232359403633</v>
      </c>
      <c r="AL28" s="65">
        <f t="shared" ca="1" si="4"/>
        <v>198.03349288842165</v>
      </c>
      <c r="AM28" s="65">
        <f t="shared" ca="1" si="4"/>
        <v>486.82858412351595</v>
      </c>
      <c r="AN28" s="229"/>
      <c r="AO28" s="12" t="s">
        <v>179</v>
      </c>
      <c r="AP28" s="227">
        <f t="shared" ca="1" si="6"/>
        <v>100.49974909738224</v>
      </c>
      <c r="AQ28" s="227">
        <f t="shared" ca="1" si="7"/>
        <v>185765.98385705118</v>
      </c>
      <c r="AR28" s="4">
        <f t="shared" ca="1" si="8"/>
        <v>5.4100189394586801E-4</v>
      </c>
      <c r="AS28" s="65" t="str">
        <f>IFERROR(VLOOKUP($AO28,'General Lookups'!$A$1:$F$113,2,FALSE),"")</f>
        <v>RC</v>
      </c>
      <c r="AT28" s="65">
        <f>IFERROR(VLOOKUP($AO28,'General Lookups'!$A$1:$F$113,4,FALSE),"")</f>
        <v>26</v>
      </c>
      <c r="AU28" s="65">
        <f>IFERROR(VLOOKUP($AO28,'General Lookups'!$A$1:$F$113,5,FALSE),"")</f>
        <v>4</v>
      </c>
      <c r="AV28" s="65" t="s">
        <v>399</v>
      </c>
      <c r="AW28" s="57"/>
      <c r="AX28" s="222">
        <v>5</v>
      </c>
      <c r="AY28" s="310">
        <f t="shared" ca="1" si="12"/>
        <v>51.446100146757246</v>
      </c>
      <c r="AZ28" s="310">
        <f t="shared" ca="1" si="12"/>
        <v>71.710888046078523</v>
      </c>
      <c r="BA28" s="310">
        <f t="shared" ca="1" si="12"/>
        <v>984880.89831045084</v>
      </c>
      <c r="BB28" s="310">
        <f t="shared" ca="1" si="12"/>
        <v>13613244.007093491</v>
      </c>
      <c r="BC28" s="310">
        <f t="shared" ca="1" si="12"/>
        <v>149.30046050642068</v>
      </c>
      <c r="BD28" s="310">
        <f t="shared" ca="1" si="12"/>
        <v>7.2347259609631343E-2</v>
      </c>
    </row>
    <row r="29" spans="31:56" x14ac:dyDescent="0.3">
      <c r="AE29" s="204" t="s">
        <v>398</v>
      </c>
      <c r="AF29" s="204" t="s">
        <v>398</v>
      </c>
      <c r="AG29" s="204" t="s">
        <v>398</v>
      </c>
      <c r="AH29" s="8" t="s">
        <v>180</v>
      </c>
      <c r="AI29" s="65">
        <f t="shared" ca="1" si="5"/>
        <v>530.74216470942326</v>
      </c>
      <c r="AJ29" s="65">
        <f t="shared" ca="1" si="5"/>
        <v>427.09774005508774</v>
      </c>
      <c r="AK29" s="65">
        <f t="shared" ca="1" si="5"/>
        <v>91.127047037278587</v>
      </c>
      <c r="AL29" s="65">
        <f t="shared" ca="1" si="5"/>
        <v>824.22591559180523</v>
      </c>
      <c r="AM29" s="65">
        <f t="shared" ca="1" si="5"/>
        <v>720.7950469883483</v>
      </c>
      <c r="AN29" s="229"/>
      <c r="AO29" s="12" t="s">
        <v>180</v>
      </c>
      <c r="AP29" s="227">
        <f t="shared" ca="1" si="6"/>
        <v>1318.2112714906866</v>
      </c>
      <c r="AQ29" s="227">
        <f t="shared" ca="1" si="7"/>
        <v>116263.51488884028</v>
      </c>
      <c r="AR29" s="4">
        <f t="shared" ca="1" si="8"/>
        <v>1.1338133659136577E-2</v>
      </c>
      <c r="AS29" s="65" t="str">
        <f>IFERROR(VLOOKUP($AO29,'General Lookups'!$A$1:$F$113,2,FALSE),"")</f>
        <v>RC</v>
      </c>
      <c r="AT29" s="65">
        <f>IFERROR(VLOOKUP($AO29,'General Lookups'!$A$1:$F$113,4,FALSE),"")</f>
        <v>541</v>
      </c>
      <c r="AU29" s="65">
        <f>IFERROR(VLOOKUP($AO29,'General Lookups'!$A$1:$F$113,5,FALSE),"")</f>
        <v>3</v>
      </c>
      <c r="AV29" s="65" t="s">
        <v>399</v>
      </c>
      <c r="AX29" s="222"/>
      <c r="AY29" s="68"/>
      <c r="AZ29" s="68"/>
      <c r="BA29" s="68"/>
      <c r="BB29" s="68"/>
      <c r="BC29" s="230" t="s">
        <v>400</v>
      </c>
      <c r="BD29" s="216" t="s">
        <v>400</v>
      </c>
    </row>
    <row r="30" spans="31:56" ht="15" thickBot="1" x14ac:dyDescent="0.35">
      <c r="AE30" s="204" t="s">
        <v>398</v>
      </c>
      <c r="AF30" s="204" t="s">
        <v>398</v>
      </c>
      <c r="AG30" s="204" t="s">
        <v>398</v>
      </c>
      <c r="AH30" s="8" t="s">
        <v>181</v>
      </c>
      <c r="AI30" s="65">
        <f t="shared" ca="1" si="5"/>
        <v>116.90082085250086</v>
      </c>
      <c r="AJ30" s="65">
        <f t="shared" ca="1" si="5"/>
        <v>527.53651091807433</v>
      </c>
      <c r="AK30" s="65">
        <f t="shared" ca="1" si="5"/>
        <v>557.31212993612939</v>
      </c>
      <c r="AL30" s="65">
        <f t="shared" ca="1" si="5"/>
        <v>514.63958009011992</v>
      </c>
      <c r="AM30" s="65">
        <f t="shared" ca="1" si="5"/>
        <v>685.08976443164943</v>
      </c>
      <c r="AN30" s="229"/>
      <c r="AO30" s="12" t="s">
        <v>181</v>
      </c>
      <c r="AP30" s="227">
        <f t="shared" ca="1" si="6"/>
        <v>1265.6160580622586</v>
      </c>
      <c r="AQ30" s="227">
        <f t="shared" ca="1" si="7"/>
        <v>115239.17448194305</v>
      </c>
      <c r="AR30" s="4">
        <f t="shared" ca="1" si="8"/>
        <v>1.0982515830678476E-2</v>
      </c>
      <c r="AS30" s="65" t="str">
        <f>IFERROR(VLOOKUP($AO30,'General Lookups'!$A$1:$F$113,2,FALSE),"")</f>
        <v>RC</v>
      </c>
      <c r="AT30" s="65">
        <f>IFERROR(VLOOKUP($AO30,'General Lookups'!$A$1:$F$113,4,FALSE),"")</f>
        <v>52</v>
      </c>
      <c r="AU30" s="65">
        <f>IFERROR(VLOOKUP($AO30,'General Lookups'!$A$1:$F$113,5,FALSE),"")</f>
        <v>3</v>
      </c>
      <c r="AV30" s="65" t="s">
        <v>399</v>
      </c>
      <c r="AX30" s="224"/>
      <c r="AY30" s="225"/>
      <c r="AZ30" s="225"/>
      <c r="BA30" s="225"/>
      <c r="BB30" s="225"/>
      <c r="BC30" s="225"/>
      <c r="BD30" s="226"/>
    </row>
    <row r="31" spans="31:56" x14ac:dyDescent="0.3">
      <c r="AE31" s="204" t="s">
        <v>398</v>
      </c>
      <c r="AF31" s="204" t="s">
        <v>398</v>
      </c>
      <c r="AG31" s="204" t="s">
        <v>398</v>
      </c>
      <c r="AH31" s="8" t="s">
        <v>170</v>
      </c>
      <c r="AI31" s="65">
        <f t="shared" ca="1" si="5"/>
        <v>651.51306194093945</v>
      </c>
      <c r="AJ31" s="65">
        <f t="shared" ca="1" si="5"/>
        <v>919.265170575757</v>
      </c>
      <c r="AK31" s="65">
        <f t="shared" ca="1" si="5"/>
        <v>271.38827299650939</v>
      </c>
      <c r="AL31" s="65">
        <f t="shared" ca="1" si="5"/>
        <v>298.66596674608371</v>
      </c>
      <c r="AM31" s="65">
        <f t="shared" ca="1" si="5"/>
        <v>795.10953225671869</v>
      </c>
      <c r="AN31" s="229"/>
      <c r="AO31" s="12" t="s">
        <v>170</v>
      </c>
      <c r="AP31" s="227">
        <f t="shared" ca="1" si="6"/>
        <v>17.894402865867409</v>
      </c>
      <c r="AQ31" s="227">
        <f t="shared" ca="1" si="7"/>
        <v>160438.4312209312</v>
      </c>
      <c r="AR31" s="4">
        <f t="shared" ca="1" si="8"/>
        <v>1.1153439191402952E-4</v>
      </c>
      <c r="AS31" s="65" t="str">
        <f>IFERROR(VLOOKUP($AO31,'General Lookups'!$A$1:$F$113,2,FALSE),"")</f>
        <v>RC</v>
      </c>
      <c r="AT31" s="65">
        <f>IFERROR(VLOOKUP($AO31,'General Lookups'!$A$1:$F$113,4,FALSE),"")</f>
        <v>8</v>
      </c>
      <c r="AU31" s="65">
        <f>IFERROR(VLOOKUP($AO31,'General Lookups'!$A$1:$F$113,5,FALSE),"")</f>
        <v>1</v>
      </c>
      <c r="AV31" s="65" t="s">
        <v>399</v>
      </c>
    </row>
    <row r="32" spans="31:56" x14ac:dyDescent="0.3">
      <c r="AE32" s="204" t="s">
        <v>398</v>
      </c>
      <c r="AF32" s="204" t="s">
        <v>398</v>
      </c>
      <c r="AG32" s="204" t="s">
        <v>398</v>
      </c>
      <c r="AH32" s="8" t="s">
        <v>171</v>
      </c>
      <c r="AI32" s="65">
        <f t="shared" ca="1" si="5"/>
        <v>10.849924550710321</v>
      </c>
      <c r="AJ32" s="65">
        <f t="shared" ca="1" si="5"/>
        <v>562.82665509931962</v>
      </c>
      <c r="AK32" s="65">
        <f t="shared" ca="1" si="5"/>
        <v>997.48169205510385</v>
      </c>
      <c r="AL32" s="65">
        <f t="shared" ca="1" si="5"/>
        <v>113.89966918517192</v>
      </c>
      <c r="AM32" s="65">
        <f t="shared" ca="1" si="5"/>
        <v>634.43609014038555</v>
      </c>
      <c r="AN32" s="229"/>
      <c r="AO32" s="12" t="s">
        <v>171</v>
      </c>
      <c r="AP32" s="227">
        <f t="shared" ca="1" si="6"/>
        <v>1550.2094029084783</v>
      </c>
      <c r="AQ32" s="227">
        <f t="shared" ca="1" si="7"/>
        <v>105605.93046824269</v>
      </c>
      <c r="AR32" s="4">
        <f t="shared" ca="1" si="8"/>
        <v>1.4679188905727693E-2</v>
      </c>
      <c r="AS32" s="65" t="str">
        <f>IFERROR(VLOOKUP($AO32,'General Lookups'!$A$1:$F$113,2,FALSE),"")</f>
        <v>RB</v>
      </c>
      <c r="AT32" s="65">
        <f>IFERROR(VLOOKUP($AO32,'General Lookups'!$A$1:$F$113,4,FALSE),"")</f>
        <v>41</v>
      </c>
      <c r="AU32" s="65">
        <f>IFERROR(VLOOKUP($AO32,'General Lookups'!$A$1:$F$113,5,FALSE),"")</f>
        <v>2</v>
      </c>
      <c r="AV32" s="65" t="s">
        <v>399</v>
      </c>
    </row>
    <row r="33" spans="31:56" x14ac:dyDescent="0.3">
      <c r="AE33" s="204" t="s">
        <v>398</v>
      </c>
      <c r="AF33" s="204" t="s">
        <v>398</v>
      </c>
      <c r="AG33" s="204" t="s">
        <v>398</v>
      </c>
      <c r="AH33" s="8" t="s">
        <v>172</v>
      </c>
      <c r="AI33" s="65">
        <f t="shared" ca="1" si="5"/>
        <v>596.52913750641881</v>
      </c>
      <c r="AJ33" s="65">
        <f t="shared" ca="1" si="5"/>
        <v>406.45932314607802</v>
      </c>
      <c r="AK33" s="65">
        <f t="shared" ca="1" si="5"/>
        <v>911.74493058486439</v>
      </c>
      <c r="AL33" s="65">
        <f t="shared" ca="1" si="5"/>
        <v>579.20191988605688</v>
      </c>
      <c r="AM33" s="65">
        <f t="shared" ca="1" si="5"/>
        <v>454.32779931495571</v>
      </c>
      <c r="AN33" s="229"/>
      <c r="AO33" s="12" t="s">
        <v>172</v>
      </c>
      <c r="AP33" s="227">
        <f t="shared" ca="1" si="6"/>
        <v>816.60433027468503</v>
      </c>
      <c r="AQ33" s="227">
        <f t="shared" ca="1" si="7"/>
        <v>156961.71312430501</v>
      </c>
      <c r="AR33" s="4">
        <f t="shared" ca="1" si="8"/>
        <v>5.2025701938407075E-3</v>
      </c>
      <c r="AS33" s="65" t="str">
        <f>IFERROR(VLOOKUP($AO33,'General Lookups'!$A$1:$F$113,2,FALSE),"")</f>
        <v>RB</v>
      </c>
      <c r="AT33" s="65">
        <f>IFERROR(VLOOKUP($AO33,'General Lookups'!$A$1:$F$113,4,FALSE),"")</f>
        <v>5</v>
      </c>
      <c r="AU33" s="65">
        <f>IFERROR(VLOOKUP($AO33,'General Lookups'!$A$1:$F$113,5,FALSE),"")</f>
        <v>2</v>
      </c>
      <c r="AV33" s="65" t="s">
        <v>399</v>
      </c>
      <c r="AX33"/>
      <c r="AY33"/>
      <c r="AZ33"/>
      <c r="BA33"/>
      <c r="BB33"/>
      <c r="BC33"/>
      <c r="BD33"/>
    </row>
    <row r="34" spans="31:56" x14ac:dyDescent="0.3">
      <c r="AE34" s="204" t="s">
        <v>398</v>
      </c>
      <c r="AF34" s="204" t="s">
        <v>398</v>
      </c>
      <c r="AG34" s="204" t="s">
        <v>398</v>
      </c>
      <c r="AH34" s="8" t="s">
        <v>173</v>
      </c>
      <c r="AI34" s="65">
        <f t="shared" ca="1" si="5"/>
        <v>107.12986385706225</v>
      </c>
      <c r="AJ34" s="65">
        <f t="shared" ca="1" si="5"/>
        <v>369.29027620916355</v>
      </c>
      <c r="AK34" s="65">
        <f t="shared" ca="1" si="5"/>
        <v>614.46994629668143</v>
      </c>
      <c r="AL34" s="65">
        <f t="shared" ca="1" si="5"/>
        <v>433.59055762227939</v>
      </c>
      <c r="AM34" s="65">
        <f t="shared" ca="1" si="5"/>
        <v>553.63425554241689</v>
      </c>
      <c r="AN34" s="229"/>
      <c r="AO34" s="12" t="s">
        <v>173</v>
      </c>
      <c r="AP34" s="227">
        <f t="shared" ca="1" si="6"/>
        <v>84.946909674893163</v>
      </c>
      <c r="AQ34" s="227">
        <f t="shared" ca="1" si="7"/>
        <v>113937.35059158549</v>
      </c>
      <c r="AR34" s="4">
        <f t="shared" ca="1" si="8"/>
        <v>7.4555805654451181E-4</v>
      </c>
      <c r="AS34" s="65" t="str">
        <f>IFERROR(VLOOKUP($AO34,'General Lookups'!$A$1:$F$113,2,FALSE),"")</f>
        <v>RB</v>
      </c>
      <c r="AT34" s="65">
        <f>IFERROR(VLOOKUP($AO34,'General Lookups'!$A$1:$F$113,4,FALSE),"")</f>
        <v>16</v>
      </c>
      <c r="AU34" s="65">
        <f>IFERROR(VLOOKUP($AO34,'General Lookups'!$A$1:$F$113,5,FALSE),"")</f>
        <v>2</v>
      </c>
      <c r="AV34" s="65" t="s">
        <v>399</v>
      </c>
      <c r="AX34"/>
      <c r="AY34"/>
      <c r="AZ34"/>
      <c r="BA34"/>
      <c r="BB34"/>
      <c r="BC34"/>
      <c r="BD34"/>
    </row>
    <row r="35" spans="31:56" x14ac:dyDescent="0.3">
      <c r="AE35" s="204" t="s">
        <v>398</v>
      </c>
      <c r="AF35" s="204" t="s">
        <v>398</v>
      </c>
      <c r="AG35" s="204" t="s">
        <v>398</v>
      </c>
      <c r="AH35" s="8" t="s">
        <v>174</v>
      </c>
      <c r="AI35" s="65">
        <f t="shared" ca="1" si="5"/>
        <v>658.95200502469743</v>
      </c>
      <c r="AJ35" s="65">
        <f t="shared" ca="1" si="5"/>
        <v>482.42400640617711</v>
      </c>
      <c r="AK35" s="65">
        <f t="shared" ca="1" si="5"/>
        <v>601.51662805037961</v>
      </c>
      <c r="AL35" s="65">
        <f t="shared" ca="1" si="5"/>
        <v>48.010296276921103</v>
      </c>
      <c r="AM35" s="65">
        <f t="shared" ca="1" si="5"/>
        <v>143.71082173535055</v>
      </c>
      <c r="AN35" s="229"/>
      <c r="AO35" s="12" t="s">
        <v>174</v>
      </c>
      <c r="AP35" s="227">
        <f t="shared" ca="1" si="6"/>
        <v>1980.1471988584076</v>
      </c>
      <c r="AQ35" s="227">
        <f t="shared" ca="1" si="7"/>
        <v>139728.56704389636</v>
      </c>
      <c r="AR35" s="4">
        <f t="shared" ca="1" si="8"/>
        <v>1.4171384139625045E-2</v>
      </c>
      <c r="AS35" s="65" t="str">
        <f>IFERROR(VLOOKUP($AO35,'General Lookups'!$A$1:$F$113,2,FALSE),"")</f>
        <v>RA</v>
      </c>
      <c r="AT35" s="65">
        <f>IFERROR(VLOOKUP($AO35,'General Lookups'!$A$1:$F$113,4,FALSE),"")</f>
        <v>11</v>
      </c>
      <c r="AU35" s="65">
        <f>IFERROR(VLOOKUP($AO35,'General Lookups'!$A$1:$F$113,5,FALSE),"")</f>
        <v>3</v>
      </c>
      <c r="AV35" s="65" t="s">
        <v>399</v>
      </c>
      <c r="AX35"/>
      <c r="AY35"/>
      <c r="AZ35"/>
      <c r="BA35"/>
      <c r="BB35"/>
      <c r="BC35"/>
      <c r="BD35"/>
    </row>
    <row r="36" spans="31:56" x14ac:dyDescent="0.3">
      <c r="AE36" s="204" t="s">
        <v>398</v>
      </c>
      <c r="AF36" s="204" t="s">
        <v>398</v>
      </c>
      <c r="AG36" s="204" t="s">
        <v>398</v>
      </c>
      <c r="AH36" s="8" t="s">
        <v>182</v>
      </c>
      <c r="AI36" s="65">
        <f t="shared" ca="1" si="5"/>
        <v>608.58716828005277</v>
      </c>
      <c r="AJ36" s="65">
        <f t="shared" ca="1" si="5"/>
        <v>36.311569330275347</v>
      </c>
      <c r="AK36" s="65">
        <f t="shared" ca="1" si="5"/>
        <v>653.52955098977327</v>
      </c>
      <c r="AL36" s="65">
        <f t="shared" ca="1" si="5"/>
        <v>683.24795748556676</v>
      </c>
      <c r="AM36" s="65">
        <f t="shared" ca="1" si="5"/>
        <v>84.420214932123145</v>
      </c>
      <c r="AN36" s="229"/>
      <c r="AO36" s="12" t="s">
        <v>182</v>
      </c>
      <c r="AP36" s="227">
        <f t="shared" ca="1" si="6"/>
        <v>1927.1305327398816</v>
      </c>
      <c r="AQ36" s="227">
        <f t="shared" ca="1" si="7"/>
        <v>146211.87364222773</v>
      </c>
      <c r="AR36" s="4">
        <f t="shared" ca="1" si="8"/>
        <v>1.318039694543182E-2</v>
      </c>
      <c r="AS36" s="65" t="str">
        <f>IFERROR(VLOOKUP($AO36,'General Lookups'!$A$1:$F$113,2,FALSE),"")</f>
        <v>RA</v>
      </c>
      <c r="AT36" s="65">
        <f>IFERROR(VLOOKUP($AO36,'General Lookups'!$A$1:$F$113,4,FALSE),"")</f>
        <v>47</v>
      </c>
      <c r="AU36" s="65">
        <f>IFERROR(VLOOKUP($AO36,'General Lookups'!$A$1:$F$113,5,FALSE),"")</f>
        <v>3</v>
      </c>
      <c r="AV36" s="65" t="s">
        <v>399</v>
      </c>
      <c r="AX36"/>
      <c r="AY36"/>
      <c r="AZ36"/>
      <c r="BA36"/>
      <c r="BB36"/>
      <c r="BC36"/>
      <c r="BD36"/>
    </row>
    <row r="37" spans="31:56" x14ac:dyDescent="0.3">
      <c r="AE37" s="204" t="s">
        <v>398</v>
      </c>
      <c r="AF37" s="204" t="s">
        <v>398</v>
      </c>
      <c r="AG37" s="204" t="s">
        <v>398</v>
      </c>
      <c r="AH37" s="8" t="s">
        <v>183</v>
      </c>
      <c r="AI37" s="65">
        <f t="shared" ca="1" si="5"/>
        <v>817.22075515266965</v>
      </c>
      <c r="AJ37" s="65">
        <f t="shared" ca="1" si="5"/>
        <v>958.91095088418263</v>
      </c>
      <c r="AK37" s="65">
        <f t="shared" ca="1" si="5"/>
        <v>214.79949361963847</v>
      </c>
      <c r="AL37" s="65">
        <f t="shared" ca="1" si="5"/>
        <v>14.839673905012173</v>
      </c>
      <c r="AM37" s="65">
        <f t="shared" ca="1" si="5"/>
        <v>812.68243898553646</v>
      </c>
      <c r="AN37" s="229"/>
      <c r="AO37" s="12" t="s">
        <v>183</v>
      </c>
      <c r="AP37" s="227">
        <f t="shared" ca="1" si="6"/>
        <v>1248.4199758109014</v>
      </c>
      <c r="AQ37" s="227">
        <f t="shared" ca="1" si="7"/>
        <v>55153.850514371006</v>
      </c>
      <c r="AR37" s="4">
        <f t="shared" ca="1" si="8"/>
        <v>2.2635227897381534E-2</v>
      </c>
      <c r="AS37" s="65" t="str">
        <f>IFERROR(VLOOKUP($AO37,'General Lookups'!$A$1:$F$113,2,FALSE),"")</f>
        <v>RA</v>
      </c>
      <c r="AT37" s="65">
        <f>IFERROR(VLOOKUP($AO37,'General Lookups'!$A$1:$F$113,4,FALSE),"")</f>
        <v>15</v>
      </c>
      <c r="AU37" s="65">
        <f>IFERROR(VLOOKUP($AO37,'General Lookups'!$A$1:$F$113,5,FALSE),"")</f>
        <v>2</v>
      </c>
      <c r="AV37" s="65" t="s">
        <v>399</v>
      </c>
      <c r="AX37"/>
      <c r="AY37"/>
      <c r="AZ37"/>
      <c r="BA37"/>
      <c r="BB37"/>
      <c r="BC37"/>
      <c r="BD37"/>
    </row>
    <row r="38" spans="31:56" x14ac:dyDescent="0.3">
      <c r="AE38" s="204" t="s">
        <v>398</v>
      </c>
      <c r="AF38" s="204" t="s">
        <v>398</v>
      </c>
      <c r="AG38" s="204" t="s">
        <v>398</v>
      </c>
      <c r="AH38" s="8" t="s">
        <v>184</v>
      </c>
      <c r="AI38" s="65">
        <f t="shared" ca="1" si="5"/>
        <v>503.46843901041569</v>
      </c>
      <c r="AJ38" s="65">
        <f t="shared" ca="1" si="5"/>
        <v>863.13920230491738</v>
      </c>
      <c r="AK38" s="65">
        <f t="shared" ca="1" si="5"/>
        <v>568.75348901463178</v>
      </c>
      <c r="AL38" s="65">
        <f t="shared" ca="1" si="5"/>
        <v>177.1434454761056</v>
      </c>
      <c r="AM38" s="65">
        <f t="shared" ca="1" si="5"/>
        <v>39.962031476410864</v>
      </c>
      <c r="AN38" s="229"/>
      <c r="AO38" s="12" t="s">
        <v>184</v>
      </c>
      <c r="AP38" s="227">
        <f t="shared" ca="1" si="6"/>
        <v>701.3684488653962</v>
      </c>
      <c r="AQ38" s="227">
        <f t="shared" ca="1" si="7"/>
        <v>47686.533966379255</v>
      </c>
      <c r="AR38" s="4">
        <f t="shared" ca="1" si="8"/>
        <v>1.470789320439784E-2</v>
      </c>
      <c r="AS38" s="65" t="str">
        <f>IFERROR(VLOOKUP($AO38,'General Lookups'!$A$1:$F$113,2,FALSE),"")</f>
        <v>RA</v>
      </c>
      <c r="AT38" s="65">
        <f>IFERROR(VLOOKUP($AO38,'General Lookups'!$A$1:$F$113,4,FALSE),"")</f>
        <v>3</v>
      </c>
      <c r="AU38" s="65">
        <f>IFERROR(VLOOKUP($AO38,'General Lookups'!$A$1:$F$113,5,FALSE),"")</f>
        <v>3</v>
      </c>
      <c r="AV38" s="65" t="s">
        <v>399</v>
      </c>
      <c r="AX38"/>
      <c r="AY38"/>
      <c r="AZ38"/>
      <c r="BA38"/>
      <c r="BB38"/>
      <c r="BC38"/>
      <c r="BD38"/>
    </row>
    <row r="39" spans="31:56" x14ac:dyDescent="0.3">
      <c r="AE39" s="204" t="s">
        <v>398</v>
      </c>
      <c r="AF39" s="204" t="s">
        <v>398</v>
      </c>
      <c r="AG39" s="204" t="s">
        <v>398</v>
      </c>
      <c r="AH39" s="8" t="s">
        <v>269</v>
      </c>
      <c r="AI39" s="65">
        <f t="shared" ca="1" si="5"/>
        <v>896.75687242487697</v>
      </c>
      <c r="AJ39" s="65">
        <f t="shared" ca="1" si="5"/>
        <v>751.79480505974561</v>
      </c>
      <c r="AK39" s="65">
        <f t="shared" ca="1" si="5"/>
        <v>650.18374323227101</v>
      </c>
      <c r="AL39" s="65">
        <f t="shared" ca="1" si="5"/>
        <v>319.19069807891054</v>
      </c>
      <c r="AM39" s="65">
        <f t="shared" ca="1" si="5"/>
        <v>561.42969610023147</v>
      </c>
      <c r="AN39" s="229"/>
      <c r="AO39" s="12" t="s">
        <v>269</v>
      </c>
      <c r="AP39" s="227">
        <f t="shared" ca="1" si="6"/>
        <v>775.85104467554288</v>
      </c>
      <c r="AQ39" s="227">
        <f t="shared" ca="1" si="7"/>
        <v>184240.82115551949</v>
      </c>
      <c r="AR39" s="4">
        <f t="shared" ca="1" si="8"/>
        <v>4.2110702710157774E-3</v>
      </c>
      <c r="AS39" s="65" t="str">
        <f>IFERROR(VLOOKUP($AO39,'General Lookups'!$A$1:$F$113,2,FALSE),"")</f>
        <v>RA</v>
      </c>
      <c r="AT39" s="65">
        <f>IFERROR(VLOOKUP($AO39,'General Lookups'!$A$1:$F$113,4,FALSE),"")</f>
        <v>25</v>
      </c>
      <c r="AU39" s="65">
        <f>IFERROR(VLOOKUP($AO39,'General Lookups'!$A$1:$F$113,5,FALSE),"")</f>
        <v>2</v>
      </c>
      <c r="AV39" s="65" t="s">
        <v>399</v>
      </c>
      <c r="AX39"/>
      <c r="AY39"/>
      <c r="AZ39"/>
      <c r="BA39"/>
      <c r="BB39"/>
      <c r="BC39"/>
      <c r="BD39"/>
    </row>
    <row r="40" spans="31:56" x14ac:dyDescent="0.3">
      <c r="AE40" s="204" t="s">
        <v>398</v>
      </c>
      <c r="AF40" s="204" t="s">
        <v>398</v>
      </c>
      <c r="AG40" s="204" t="s">
        <v>398</v>
      </c>
      <c r="AH40" s="8" t="s">
        <v>270</v>
      </c>
      <c r="AI40" s="65">
        <f t="shared" ca="1" si="5"/>
        <v>889.2303166445638</v>
      </c>
      <c r="AJ40" s="65">
        <f t="shared" ca="1" si="5"/>
        <v>378.97394479988589</v>
      </c>
      <c r="AK40" s="65">
        <f t="shared" ca="1" si="5"/>
        <v>325.45863830794519</v>
      </c>
      <c r="AL40" s="65">
        <f t="shared" ca="1" si="5"/>
        <v>210.56461362846557</v>
      </c>
      <c r="AM40" s="65">
        <f t="shared" ca="1" si="5"/>
        <v>555.49481344685228</v>
      </c>
      <c r="AN40" s="229"/>
      <c r="AO40" s="12" t="s">
        <v>270</v>
      </c>
      <c r="AP40" s="227">
        <f t="shared" ca="1" si="6"/>
        <v>1192.9672086821004</v>
      </c>
      <c r="AQ40" s="227">
        <f t="shared" ca="1" si="7"/>
        <v>53665.361668934522</v>
      </c>
      <c r="AR40" s="4">
        <f t="shared" ca="1" si="8"/>
        <v>2.2229743200867645E-2</v>
      </c>
      <c r="AS40" s="65" t="str">
        <f>IFERROR(VLOOKUP($AO40,'General Lookups'!$A$1:$F$113,2,FALSE),"")</f>
        <v>RC</v>
      </c>
      <c r="AT40" s="65">
        <f>IFERROR(VLOOKUP($AO40,'General Lookups'!$A$1:$F$113,4,FALSE),"")</f>
        <v>4</v>
      </c>
      <c r="AU40" s="65">
        <f>IFERROR(VLOOKUP($AO40,'General Lookups'!$A$1:$F$113,5,FALSE),"")</f>
        <v>3</v>
      </c>
      <c r="AV40" s="65" t="s">
        <v>399</v>
      </c>
      <c r="AX40" s="67"/>
      <c r="AY40" s="67"/>
      <c r="AZ40" s="67"/>
      <c r="BA40" s="67"/>
      <c r="BB40" s="67"/>
      <c r="BC40" s="230" t="str">
        <f t="shared" ref="BC40:BC43" si="13">IFERROR(BA40/AZ40,"")</f>
        <v/>
      </c>
      <c r="BD40" s="250" t="str">
        <f t="shared" ref="BD40:BD43" si="14">IFERROR(BA40/BB40,"")</f>
        <v/>
      </c>
    </row>
    <row r="41" spans="31:56" x14ac:dyDescent="0.3">
      <c r="AE41" s="204" t="s">
        <v>398</v>
      </c>
      <c r="AF41" s="204" t="s">
        <v>398</v>
      </c>
      <c r="AG41" s="204" t="s">
        <v>398</v>
      </c>
      <c r="AH41" s="8" t="s">
        <v>271</v>
      </c>
      <c r="AI41" s="65">
        <f t="shared" ca="1" si="5"/>
        <v>600.77912191852124</v>
      </c>
      <c r="AJ41" s="65">
        <f t="shared" ca="1" si="5"/>
        <v>114.21261006381744</v>
      </c>
      <c r="AK41" s="65">
        <f t="shared" ca="1" si="5"/>
        <v>206.68543453593523</v>
      </c>
      <c r="AL41" s="65">
        <f t="shared" ca="1" si="5"/>
        <v>107.99419773067076</v>
      </c>
      <c r="AM41" s="65">
        <f t="shared" ca="1" si="5"/>
        <v>605.46356934730431</v>
      </c>
      <c r="AN41" s="229"/>
      <c r="AO41" s="12" t="s">
        <v>271</v>
      </c>
      <c r="AP41" s="227">
        <f t="shared" ca="1" si="6"/>
        <v>1730.9868573609549</v>
      </c>
      <c r="AQ41" s="227">
        <f t="shared" ca="1" si="7"/>
        <v>11066.015344775493</v>
      </c>
      <c r="AR41" s="4">
        <f t="shared" ca="1" si="8"/>
        <v>0.15642368128272943</v>
      </c>
      <c r="AS41" s="65" t="str">
        <f>IFERROR(VLOOKUP($AO41,'General Lookups'!$A$1:$F$113,2,FALSE),"")</f>
        <v>RC</v>
      </c>
      <c r="AT41" s="65">
        <f>IFERROR(VLOOKUP($AO41,'General Lookups'!$A$1:$F$113,4,FALSE),"")</f>
        <v>26</v>
      </c>
      <c r="AU41" s="65">
        <f>IFERROR(VLOOKUP($AO41,'General Lookups'!$A$1:$F$113,5,FALSE),"")</f>
        <v>2</v>
      </c>
      <c r="AV41" s="65" t="s">
        <v>399</v>
      </c>
      <c r="AX41" s="67"/>
      <c r="AY41" s="67"/>
      <c r="AZ41" s="67"/>
      <c r="BA41" s="67"/>
      <c r="BB41" s="67"/>
      <c r="BC41" s="230" t="str">
        <f t="shared" si="13"/>
        <v/>
      </c>
      <c r="BD41" s="250" t="str">
        <f t="shared" si="14"/>
        <v/>
      </c>
    </row>
    <row r="42" spans="31:56" x14ac:dyDescent="0.3">
      <c r="AE42" s="204" t="s">
        <v>398</v>
      </c>
      <c r="AF42" s="204" t="s">
        <v>398</v>
      </c>
      <c r="AG42" s="204" t="s">
        <v>398</v>
      </c>
      <c r="AH42" s="8" t="s">
        <v>272</v>
      </c>
      <c r="AI42" s="65">
        <f t="shared" ca="1" si="5"/>
        <v>395.56622301377331</v>
      </c>
      <c r="AJ42" s="65">
        <f t="shared" ca="1" si="5"/>
        <v>133.18489133403887</v>
      </c>
      <c r="AK42" s="65">
        <f t="shared" ca="1" si="5"/>
        <v>125.91471582810453</v>
      </c>
      <c r="AL42" s="65">
        <f t="shared" ca="1" si="5"/>
        <v>32.817005836877634</v>
      </c>
      <c r="AM42" s="65">
        <f t="shared" ca="1" si="5"/>
        <v>173.90713371082677</v>
      </c>
      <c r="AN42" s="229"/>
      <c r="AO42" s="12" t="s">
        <v>272</v>
      </c>
      <c r="AP42" s="227">
        <f t="shared" ca="1" si="6"/>
        <v>1866.0029476113625</v>
      </c>
      <c r="AQ42" s="227">
        <f t="shared" ca="1" si="7"/>
        <v>61678.38994062924</v>
      </c>
      <c r="AR42" s="4">
        <f t="shared" ca="1" si="8"/>
        <v>3.0253755803411064E-2</v>
      </c>
      <c r="AS42" s="65" t="str">
        <f>IFERROR(VLOOKUP($AO42,'General Lookups'!$A$1:$F$113,2,FALSE),"")</f>
        <v>RB</v>
      </c>
      <c r="AT42" s="65">
        <f>IFERROR(VLOOKUP($AO42,'General Lookups'!$A$1:$F$113,4,FALSE),"")</f>
        <v>3</v>
      </c>
      <c r="AU42" s="65">
        <f>IFERROR(VLOOKUP($AO42,'General Lookups'!$A$1:$F$113,5,FALSE),"")</f>
        <v>3</v>
      </c>
      <c r="AV42" s="65" t="s">
        <v>399</v>
      </c>
      <c r="AX42" s="67"/>
      <c r="AY42" s="67"/>
      <c r="AZ42" s="67"/>
      <c r="BA42" s="67"/>
      <c r="BB42" s="67"/>
      <c r="BC42" s="230" t="str">
        <f t="shared" si="13"/>
        <v/>
      </c>
      <c r="BD42" s="250" t="str">
        <f t="shared" si="14"/>
        <v/>
      </c>
    </row>
    <row r="43" spans="31:56" x14ac:dyDescent="0.3">
      <c r="AE43" s="204" t="s">
        <v>398</v>
      </c>
      <c r="AF43" s="204" t="s">
        <v>398</v>
      </c>
      <c r="AG43" s="204" t="s">
        <v>398</v>
      </c>
      <c r="AH43" s="8" t="s">
        <v>273</v>
      </c>
      <c r="AI43" s="65">
        <f t="shared" ca="1" si="5"/>
        <v>813.29775385654648</v>
      </c>
      <c r="AJ43" s="65">
        <f t="shared" ca="1" si="5"/>
        <v>285.07879044079351</v>
      </c>
      <c r="AK43" s="65">
        <f t="shared" ca="1" si="5"/>
        <v>806.56647675416832</v>
      </c>
      <c r="AL43" s="65">
        <f t="shared" ca="1" si="5"/>
        <v>193.31831327556614</v>
      </c>
      <c r="AM43" s="65">
        <f t="shared" ca="1" si="5"/>
        <v>150.749212124613</v>
      </c>
      <c r="AN43" s="229"/>
      <c r="AO43" s="12" t="s">
        <v>273</v>
      </c>
      <c r="AP43" s="227">
        <f t="shared" ca="1" si="6"/>
        <v>1375.4367004643757</v>
      </c>
      <c r="AQ43" s="227">
        <f t="shared" ca="1" si="7"/>
        <v>57504.947230760161</v>
      </c>
      <c r="AR43" s="4">
        <f t="shared" ca="1" si="8"/>
        <v>2.3918580343095009E-2</v>
      </c>
      <c r="AS43" s="65" t="str">
        <f>IFERROR(VLOOKUP($AO43,'General Lookups'!$A$1:$F$113,2,FALSE),"")</f>
        <v>RC</v>
      </c>
      <c r="AT43" s="65">
        <f>IFERROR(VLOOKUP($AO43,'General Lookups'!$A$1:$F$113,4,FALSE),"")</f>
        <v>3</v>
      </c>
      <c r="AU43" s="65">
        <f>IFERROR(VLOOKUP($AO43,'General Lookups'!$A$1:$F$113,5,FALSE),"")</f>
        <v>2</v>
      </c>
      <c r="AV43" s="65" t="s">
        <v>399</v>
      </c>
      <c r="AX43" s="67"/>
      <c r="AY43" s="67"/>
      <c r="AZ43" s="67"/>
      <c r="BA43" s="67"/>
      <c r="BB43" s="67"/>
      <c r="BC43" s="230" t="str">
        <f t="shared" si="13"/>
        <v/>
      </c>
      <c r="BD43" s="250" t="str">
        <f t="shared" si="14"/>
        <v/>
      </c>
    </row>
    <row r="44" spans="31:56" x14ac:dyDescent="0.3">
      <c r="AE44" s="204" t="s">
        <v>398</v>
      </c>
      <c r="AF44" s="204" t="s">
        <v>398</v>
      </c>
      <c r="AG44" s="204" t="s">
        <v>398</v>
      </c>
      <c r="AH44" s="8" t="s">
        <v>274</v>
      </c>
      <c r="AI44" s="65">
        <f t="shared" ca="1" si="5"/>
        <v>951.12025324645776</v>
      </c>
      <c r="AJ44" s="65">
        <f t="shared" ca="1" si="5"/>
        <v>278.3686132285975</v>
      </c>
      <c r="AK44" s="65">
        <f t="shared" ca="1" si="5"/>
        <v>376.31038059901556</v>
      </c>
      <c r="AL44" s="65">
        <f t="shared" ca="1" si="5"/>
        <v>535.78285696476905</v>
      </c>
      <c r="AM44" s="65">
        <f t="shared" ca="1" si="5"/>
        <v>677.21364756040578</v>
      </c>
      <c r="AN44" s="229"/>
      <c r="AO44" s="12" t="s">
        <v>274</v>
      </c>
      <c r="AP44" s="227">
        <f t="shared" ca="1" si="6"/>
        <v>1713.6394977104219</v>
      </c>
      <c r="AQ44" s="227">
        <f t="shared" ca="1" si="7"/>
        <v>65047.308083164193</v>
      </c>
      <c r="AR44" s="4">
        <f t="shared" ca="1" si="8"/>
        <v>2.6344510606334422E-2</v>
      </c>
      <c r="AS44" s="65" t="str">
        <f>IFERROR(VLOOKUP($AO44,'General Lookups'!$A$1:$F$113,2,FALSE),"")</f>
        <v>RA</v>
      </c>
      <c r="AT44" s="65">
        <f>IFERROR(VLOOKUP($AO44,'General Lookups'!$A$1:$F$113,4,FALSE),"")</f>
        <v>32</v>
      </c>
      <c r="AU44" s="65">
        <f>IFERROR(VLOOKUP($AO44,'General Lookups'!$A$1:$F$113,5,FALSE),"")</f>
        <v>2</v>
      </c>
      <c r="AV44" s="65" t="s">
        <v>399</v>
      </c>
      <c r="AX44" s="67"/>
      <c r="AY44" s="67"/>
      <c r="AZ44" s="67"/>
      <c r="BA44" s="67"/>
      <c r="BB44" s="67"/>
      <c r="BC44" s="230" t="str">
        <f t="shared" ref="BC44:BC75" si="15">IFERROR(BA44/AZ44,"")</f>
        <v/>
      </c>
      <c r="BD44" s="250" t="str">
        <f t="shared" ref="BD44:BD75" si="16">IFERROR(BA44/BB44,"")</f>
        <v/>
      </c>
    </row>
    <row r="45" spans="31:56" x14ac:dyDescent="0.3">
      <c r="AE45" s="204" t="s">
        <v>398</v>
      </c>
      <c r="AF45" s="204" t="s">
        <v>398</v>
      </c>
      <c r="AG45" s="204" t="s">
        <v>398</v>
      </c>
      <c r="AH45" s="8" t="s">
        <v>275</v>
      </c>
      <c r="AI45" s="65">
        <f t="shared" ca="1" si="5"/>
        <v>280.3483630318421</v>
      </c>
      <c r="AJ45" s="65">
        <f t="shared" ca="1" si="5"/>
        <v>372.56419777663854</v>
      </c>
      <c r="AK45" s="65">
        <f t="shared" ca="1" si="5"/>
        <v>701.26156267812144</v>
      </c>
      <c r="AL45" s="65">
        <f t="shared" ca="1" si="5"/>
        <v>133.10945922854722</v>
      </c>
      <c r="AM45" s="65">
        <f t="shared" ca="1" si="5"/>
        <v>255.01370205035369</v>
      </c>
      <c r="AN45" s="229"/>
      <c r="AO45" s="12" t="s">
        <v>275</v>
      </c>
      <c r="AP45" s="227">
        <f t="shared" ca="1" si="6"/>
        <v>1353.1749530540483</v>
      </c>
      <c r="AQ45" s="227">
        <f t="shared" ca="1" si="7"/>
        <v>24317.12297554718</v>
      </c>
      <c r="AR45" s="4">
        <f t="shared" ca="1" si="8"/>
        <v>5.56470004455204E-2</v>
      </c>
      <c r="AS45" s="65" t="str">
        <f>IFERROR(VLOOKUP($AO45,'General Lookups'!$A$1:$F$113,2,FALSE),"")</f>
        <v>RA</v>
      </c>
      <c r="AT45" s="65">
        <f>IFERROR(VLOOKUP($AO45,'General Lookups'!$A$1:$F$113,4,FALSE),"")</f>
        <v>3</v>
      </c>
      <c r="AU45" s="65">
        <f>IFERROR(VLOOKUP($AO45,'General Lookups'!$A$1:$F$113,5,FALSE),"")</f>
        <v>3</v>
      </c>
      <c r="AV45" s="65" t="s">
        <v>399</v>
      </c>
      <c r="AX45" s="67"/>
      <c r="AY45" s="67"/>
      <c r="AZ45" s="67"/>
      <c r="BA45" s="67"/>
      <c r="BB45" s="67"/>
      <c r="BC45" s="230" t="str">
        <f t="shared" si="15"/>
        <v/>
      </c>
      <c r="BD45" s="250" t="str">
        <f t="shared" si="16"/>
        <v/>
      </c>
    </row>
    <row r="46" spans="31:56" x14ac:dyDescent="0.3">
      <c r="AE46" s="204" t="s">
        <v>398</v>
      </c>
      <c r="AF46" s="204" t="s">
        <v>398</v>
      </c>
      <c r="AG46" s="204" t="s">
        <v>398</v>
      </c>
      <c r="AH46" s="8" t="s">
        <v>276</v>
      </c>
      <c r="AI46" s="65">
        <f t="shared" ref="AI46:AM77" ca="1" si="17">RAND()*1000</f>
        <v>318.38629806995431</v>
      </c>
      <c r="AJ46" s="65">
        <f t="shared" ca="1" si="17"/>
        <v>310.69726657868523</v>
      </c>
      <c r="AK46" s="65">
        <f t="shared" ca="1" si="17"/>
        <v>470.32944389730926</v>
      </c>
      <c r="AL46" s="65">
        <f t="shared" ca="1" si="17"/>
        <v>697.35728124151194</v>
      </c>
      <c r="AM46" s="65">
        <f t="shared" ca="1" si="17"/>
        <v>539.07605989760918</v>
      </c>
      <c r="AN46" s="229"/>
      <c r="AO46" s="12" t="s">
        <v>276</v>
      </c>
      <c r="AP46" s="227">
        <f t="shared" ca="1" si="6"/>
        <v>856.42164979893982</v>
      </c>
      <c r="AQ46" s="227">
        <f t="shared" ca="1" si="7"/>
        <v>87539.0942284747</v>
      </c>
      <c r="AR46" s="4">
        <f t="shared" ca="1" si="8"/>
        <v>9.7833049033349846E-3</v>
      </c>
      <c r="AS46" s="65" t="str">
        <f>IFERROR(VLOOKUP($AO46,'General Lookups'!$A$1:$F$113,2,FALSE),"")</f>
        <v>RA</v>
      </c>
      <c r="AT46" s="65">
        <f>IFERROR(VLOOKUP($AO46,'General Lookups'!$A$1:$F$113,4,FALSE),"")</f>
        <v>27</v>
      </c>
      <c r="AU46" s="65">
        <f>IFERROR(VLOOKUP($AO46,'General Lookups'!$A$1:$F$113,5,FALSE),"")</f>
        <v>2</v>
      </c>
      <c r="AV46" s="65" t="s">
        <v>399</v>
      </c>
      <c r="AX46" s="67"/>
      <c r="AY46" s="67"/>
      <c r="AZ46" s="67"/>
      <c r="BA46" s="67"/>
      <c r="BB46" s="67"/>
      <c r="BC46" s="230" t="str">
        <f t="shared" si="15"/>
        <v/>
      </c>
      <c r="BD46" s="250" t="str">
        <f t="shared" si="16"/>
        <v/>
      </c>
    </row>
    <row r="47" spans="31:56" x14ac:dyDescent="0.3">
      <c r="AE47" s="204" t="s">
        <v>398</v>
      </c>
      <c r="AF47" s="204" t="s">
        <v>398</v>
      </c>
      <c r="AG47" s="204" t="s">
        <v>398</v>
      </c>
      <c r="AH47" s="8" t="s">
        <v>277</v>
      </c>
      <c r="AI47" s="65">
        <f t="shared" ca="1" si="17"/>
        <v>673.69353237996575</v>
      </c>
      <c r="AJ47" s="65">
        <f t="shared" ca="1" si="17"/>
        <v>656.91634051431322</v>
      </c>
      <c r="AK47" s="65">
        <f t="shared" ca="1" si="17"/>
        <v>8.6107716859005201</v>
      </c>
      <c r="AL47" s="65">
        <f t="shared" ca="1" si="17"/>
        <v>23.019190926292122</v>
      </c>
      <c r="AM47" s="65">
        <f t="shared" ca="1" si="17"/>
        <v>838.5345968688182</v>
      </c>
      <c r="AN47" s="229"/>
      <c r="AO47" s="12" t="s">
        <v>277</v>
      </c>
      <c r="AP47" s="227">
        <f t="shared" ca="1" si="6"/>
        <v>772.25298862815237</v>
      </c>
      <c r="AQ47" s="227">
        <f t="shared" ca="1" si="7"/>
        <v>3073.6386186991149</v>
      </c>
      <c r="AR47" s="4">
        <f t="shared" ca="1" si="8"/>
        <v>0.25125041829250583</v>
      </c>
      <c r="AS47" s="65" t="str">
        <f>IFERROR(VLOOKUP($AO47,'General Lookups'!$A$1:$F$113,2,FALSE),"")</f>
        <v>RA</v>
      </c>
      <c r="AT47" s="65">
        <f>IFERROR(VLOOKUP($AO47,'General Lookups'!$A$1:$F$113,4,FALSE),"")</f>
        <v>9</v>
      </c>
      <c r="AU47" s="65">
        <f>IFERROR(VLOOKUP($AO47,'General Lookups'!$A$1:$F$113,5,FALSE),"")</f>
        <v>2</v>
      </c>
      <c r="AV47" s="65" t="s">
        <v>399</v>
      </c>
      <c r="AX47" s="67"/>
      <c r="AY47" s="67"/>
      <c r="AZ47" s="67"/>
      <c r="BA47" s="67"/>
      <c r="BB47" s="67"/>
      <c r="BC47" s="230" t="str">
        <f t="shared" si="15"/>
        <v/>
      </c>
      <c r="BD47" s="250" t="str">
        <f t="shared" si="16"/>
        <v/>
      </c>
    </row>
    <row r="48" spans="31:56" x14ac:dyDescent="0.3">
      <c r="AE48" s="204" t="s">
        <v>398</v>
      </c>
      <c r="AF48" s="204" t="s">
        <v>398</v>
      </c>
      <c r="AG48" s="204" t="s">
        <v>398</v>
      </c>
      <c r="AH48" s="8" t="s">
        <v>278</v>
      </c>
      <c r="AI48" s="65">
        <f t="shared" ca="1" si="17"/>
        <v>385.17461275202169</v>
      </c>
      <c r="AJ48" s="65">
        <f t="shared" ca="1" si="17"/>
        <v>969.11684793857228</v>
      </c>
      <c r="AK48" s="65">
        <f t="shared" ca="1" si="17"/>
        <v>87.034870168624764</v>
      </c>
      <c r="AL48" s="65">
        <f t="shared" ca="1" si="17"/>
        <v>901.59272939962511</v>
      </c>
      <c r="AM48" s="65">
        <f t="shared" ca="1" si="17"/>
        <v>588.35973984336522</v>
      </c>
      <c r="AN48" s="229"/>
      <c r="AO48" s="12" t="s">
        <v>278</v>
      </c>
      <c r="AP48" s="227">
        <f t="shared" ca="1" si="6"/>
        <v>1662.7904679811511</v>
      </c>
      <c r="AQ48" s="227">
        <f t="shared" ca="1" si="7"/>
        <v>12949.543256573448</v>
      </c>
      <c r="AR48" s="4">
        <f t="shared" ca="1" si="8"/>
        <v>0.12840533716407992</v>
      </c>
      <c r="AS48" s="65" t="str">
        <f>IFERROR(VLOOKUP($AO48,'General Lookups'!$A$1:$F$113,2,FALSE),"")</f>
        <v>RA</v>
      </c>
      <c r="AT48" s="65">
        <f>IFERROR(VLOOKUP($AO48,'General Lookups'!$A$1:$F$113,4,FALSE),"")</f>
        <v>0</v>
      </c>
      <c r="AU48" s="65">
        <f>IFERROR(VLOOKUP($AO48,'General Lookups'!$A$1:$F$113,5,FALSE),"")</f>
        <v>3</v>
      </c>
      <c r="AV48" s="65" t="s">
        <v>399</v>
      </c>
      <c r="AX48" s="67"/>
      <c r="AY48" s="67"/>
      <c r="AZ48" s="67"/>
      <c r="BA48" s="67"/>
      <c r="BB48" s="67"/>
      <c r="BC48" s="230" t="str">
        <f t="shared" si="15"/>
        <v/>
      </c>
      <c r="BD48" s="250" t="str">
        <f t="shared" si="16"/>
        <v/>
      </c>
    </row>
    <row r="49" spans="31:56" x14ac:dyDescent="0.3">
      <c r="AE49" s="204" t="s">
        <v>398</v>
      </c>
      <c r="AF49" s="204" t="s">
        <v>398</v>
      </c>
      <c r="AG49" s="204" t="s">
        <v>398</v>
      </c>
      <c r="AH49" s="8" t="s">
        <v>279</v>
      </c>
      <c r="AI49" s="65">
        <f t="shared" ca="1" si="17"/>
        <v>875.7051891128848</v>
      </c>
      <c r="AJ49" s="65">
        <f t="shared" ca="1" si="17"/>
        <v>881.29511768141458</v>
      </c>
      <c r="AK49" s="65">
        <f t="shared" ca="1" si="17"/>
        <v>712.84006594964069</v>
      </c>
      <c r="AL49" s="65">
        <f t="shared" ca="1" si="17"/>
        <v>733.67046257840718</v>
      </c>
      <c r="AM49" s="65">
        <f t="shared" ca="1" si="17"/>
        <v>709.93616571661516</v>
      </c>
      <c r="AN49" s="229"/>
      <c r="AO49" s="12" t="s">
        <v>279</v>
      </c>
      <c r="AP49" s="227">
        <f t="shared" ca="1" si="6"/>
        <v>1577.3818486917746</v>
      </c>
      <c r="AQ49" s="227">
        <f t="shared" ca="1" si="7"/>
        <v>181333.29401429411</v>
      </c>
      <c r="AR49" s="4">
        <f t="shared" ca="1" si="8"/>
        <v>8.6987988458833883E-3</v>
      </c>
      <c r="AS49" s="65" t="str">
        <f>IFERROR(VLOOKUP($AO49,'General Lookups'!$A$1:$F$113,2,FALSE),"")</f>
        <v>RA</v>
      </c>
      <c r="AT49" s="65">
        <f>IFERROR(VLOOKUP($AO49,'General Lookups'!$A$1:$F$113,4,FALSE),"")</f>
        <v>3</v>
      </c>
      <c r="AU49" s="65">
        <f>IFERROR(VLOOKUP($AO49,'General Lookups'!$A$1:$F$113,5,FALSE),"")</f>
        <v>3</v>
      </c>
      <c r="AV49" s="65" t="s">
        <v>399</v>
      </c>
      <c r="AX49" s="67"/>
      <c r="AY49" s="67"/>
      <c r="AZ49" s="67"/>
      <c r="BA49" s="67"/>
      <c r="BB49" s="67"/>
      <c r="BC49" s="230" t="str">
        <f t="shared" si="15"/>
        <v/>
      </c>
      <c r="BD49" s="250" t="str">
        <f t="shared" si="16"/>
        <v/>
      </c>
    </row>
    <row r="50" spans="31:56" x14ac:dyDescent="0.3">
      <c r="AE50" s="204" t="s">
        <v>398</v>
      </c>
      <c r="AF50" s="204" t="s">
        <v>398</v>
      </c>
      <c r="AG50" s="204" t="s">
        <v>398</v>
      </c>
      <c r="AH50" s="8" t="s">
        <v>280</v>
      </c>
      <c r="AI50" s="65">
        <f t="shared" ca="1" si="17"/>
        <v>922.82962264047967</v>
      </c>
      <c r="AJ50" s="65">
        <f t="shared" ca="1" si="17"/>
        <v>243.14635368948367</v>
      </c>
      <c r="AK50" s="65">
        <f t="shared" ca="1" si="17"/>
        <v>515.05352748041798</v>
      </c>
      <c r="AL50" s="65">
        <f t="shared" ca="1" si="17"/>
        <v>450.96023689558626</v>
      </c>
      <c r="AM50" s="65">
        <f t="shared" ca="1" si="17"/>
        <v>546.65790226368074</v>
      </c>
      <c r="AN50" s="229"/>
      <c r="AO50" s="12" t="s">
        <v>280</v>
      </c>
      <c r="AP50" s="227">
        <f t="shared" ca="1" si="6"/>
        <v>1604.7689132232363</v>
      </c>
      <c r="AQ50" s="227">
        <f t="shared" ca="1" si="7"/>
        <v>28318.22419628971</v>
      </c>
      <c r="AR50" s="4">
        <f t="shared" ca="1" si="8"/>
        <v>5.6669122403285976E-2</v>
      </c>
      <c r="AS50" s="65" t="str">
        <f>IFERROR(VLOOKUP($AO50,'General Lookups'!$A$1:$F$113,2,FALSE),"")</f>
        <v>RA</v>
      </c>
      <c r="AT50" s="65">
        <f>IFERROR(VLOOKUP($AO50,'General Lookups'!$A$1:$F$113,4,FALSE),"")</f>
        <v>108</v>
      </c>
      <c r="AU50" s="65">
        <f>IFERROR(VLOOKUP($AO50,'General Lookups'!$A$1:$F$113,5,FALSE),"")</f>
        <v>4</v>
      </c>
      <c r="AV50" s="65" t="s">
        <v>399</v>
      </c>
      <c r="AX50" s="67"/>
      <c r="AY50" s="67"/>
      <c r="AZ50" s="67"/>
      <c r="BA50" s="67"/>
      <c r="BB50" s="67"/>
      <c r="BC50" s="230" t="str">
        <f t="shared" si="15"/>
        <v/>
      </c>
      <c r="BD50" s="250" t="str">
        <f t="shared" si="16"/>
        <v/>
      </c>
    </row>
    <row r="51" spans="31:56" x14ac:dyDescent="0.3">
      <c r="AE51" s="204" t="s">
        <v>398</v>
      </c>
      <c r="AF51" s="204" t="s">
        <v>398</v>
      </c>
      <c r="AG51" s="204" t="s">
        <v>398</v>
      </c>
      <c r="AH51" s="8" t="s">
        <v>281</v>
      </c>
      <c r="AI51" s="65">
        <f t="shared" ca="1" si="17"/>
        <v>224.46467930203585</v>
      </c>
      <c r="AJ51" s="65">
        <f t="shared" ca="1" si="17"/>
        <v>320.86044309633331</v>
      </c>
      <c r="AK51" s="65">
        <f t="shared" ca="1" si="17"/>
        <v>502.06709490473202</v>
      </c>
      <c r="AL51" s="65">
        <f t="shared" ca="1" si="17"/>
        <v>151.90583175531424</v>
      </c>
      <c r="AM51" s="65">
        <f t="shared" ca="1" si="17"/>
        <v>527.08509284289141</v>
      </c>
      <c r="AN51" s="229"/>
      <c r="AO51" s="12" t="s">
        <v>281</v>
      </c>
      <c r="AP51" s="227">
        <f t="shared" ca="1" si="6"/>
        <v>1384.4199435102043</v>
      </c>
      <c r="AQ51" s="227">
        <f t="shared" ca="1" si="7"/>
        <v>41867.816782383939</v>
      </c>
      <c r="AR51" s="4">
        <f t="shared" ca="1" si="8"/>
        <v>3.3066446973005405E-2</v>
      </c>
      <c r="AS51" s="65" t="str">
        <f>IFERROR(VLOOKUP($AO51,'General Lookups'!$A$1:$F$113,2,FALSE),"")</f>
        <v>RB</v>
      </c>
      <c r="AT51" s="65">
        <f>IFERROR(VLOOKUP($AO51,'General Lookups'!$A$1:$F$113,4,FALSE),"")</f>
        <v>88</v>
      </c>
      <c r="AU51" s="65">
        <f>IFERROR(VLOOKUP($AO51,'General Lookups'!$A$1:$F$113,5,FALSE),"")</f>
        <v>3</v>
      </c>
      <c r="AV51" s="65" t="s">
        <v>399</v>
      </c>
      <c r="AX51" s="67"/>
      <c r="AY51" s="67"/>
      <c r="AZ51" s="67"/>
      <c r="BA51" s="67"/>
      <c r="BB51" s="67"/>
      <c r="BC51" s="230" t="str">
        <f t="shared" si="15"/>
        <v/>
      </c>
      <c r="BD51" s="250" t="str">
        <f t="shared" si="16"/>
        <v/>
      </c>
    </row>
    <row r="52" spans="31:56" x14ac:dyDescent="0.3">
      <c r="AE52" s="204" t="s">
        <v>398</v>
      </c>
      <c r="AF52" s="204" t="s">
        <v>398</v>
      </c>
      <c r="AG52" s="204" t="s">
        <v>398</v>
      </c>
      <c r="AH52" s="8" t="s">
        <v>282</v>
      </c>
      <c r="AI52" s="65">
        <f t="shared" ca="1" si="17"/>
        <v>727.1586785052408</v>
      </c>
      <c r="AJ52" s="65">
        <f t="shared" ca="1" si="17"/>
        <v>528.23682546890609</v>
      </c>
      <c r="AK52" s="65">
        <f t="shared" ca="1" si="17"/>
        <v>306.14521901951872</v>
      </c>
      <c r="AL52" s="65">
        <f t="shared" ca="1" si="17"/>
        <v>277.10062304305762</v>
      </c>
      <c r="AM52" s="65">
        <f t="shared" ca="1" si="17"/>
        <v>278.46994841420957</v>
      </c>
      <c r="AN52" s="229"/>
      <c r="AO52" s="12" t="s">
        <v>282</v>
      </c>
      <c r="AP52" s="227">
        <f t="shared" ca="1" si="6"/>
        <v>1285.2718978338407</v>
      </c>
      <c r="AQ52" s="227">
        <f t="shared" ca="1" si="7"/>
        <v>36974.948821871621</v>
      </c>
      <c r="AR52" s="4">
        <f t="shared" ca="1" si="8"/>
        <v>3.476061330133795E-2</v>
      </c>
      <c r="AS52" s="65" t="str">
        <f>IFERROR(VLOOKUP($AO52,'General Lookups'!$A$1:$F$113,2,FALSE),"")</f>
        <v>RB</v>
      </c>
      <c r="AT52" s="65">
        <f>IFERROR(VLOOKUP($AO52,'General Lookups'!$A$1:$F$113,4,FALSE),"")</f>
        <v>2</v>
      </c>
      <c r="AU52" s="65">
        <f>IFERROR(VLOOKUP($AO52,'General Lookups'!$A$1:$F$113,5,FALSE),"")</f>
        <v>3</v>
      </c>
      <c r="AV52" s="65" t="s">
        <v>399</v>
      </c>
      <c r="AX52" s="67"/>
      <c r="AY52" s="67"/>
      <c r="AZ52" s="67"/>
      <c r="BA52" s="67"/>
      <c r="BB52" s="67"/>
      <c r="BC52" s="230" t="str">
        <f t="shared" si="15"/>
        <v/>
      </c>
      <c r="BD52" s="250" t="str">
        <f t="shared" si="16"/>
        <v/>
      </c>
    </row>
    <row r="53" spans="31:56" x14ac:dyDescent="0.3">
      <c r="AE53" s="204" t="s">
        <v>398</v>
      </c>
      <c r="AF53" s="204" t="s">
        <v>398</v>
      </c>
      <c r="AG53" s="204" t="s">
        <v>398</v>
      </c>
      <c r="AH53" s="8" t="s">
        <v>283</v>
      </c>
      <c r="AI53" s="65">
        <f t="shared" ca="1" si="17"/>
        <v>667.21267713546615</v>
      </c>
      <c r="AJ53" s="65">
        <f t="shared" ca="1" si="17"/>
        <v>125.4709275264746</v>
      </c>
      <c r="AK53" s="65">
        <f t="shared" ca="1" si="17"/>
        <v>687.14565082743331</v>
      </c>
      <c r="AL53" s="65">
        <f t="shared" ca="1" si="17"/>
        <v>182.44285046394148</v>
      </c>
      <c r="AM53" s="65">
        <f t="shared" ca="1" si="17"/>
        <v>999.44384480958399</v>
      </c>
      <c r="AN53" s="229"/>
      <c r="AO53" s="12" t="s">
        <v>283</v>
      </c>
      <c r="AP53" s="227">
        <f t="shared" ca="1" si="6"/>
        <v>987.51326646690734</v>
      </c>
      <c r="AQ53" s="227">
        <f t="shared" ca="1" si="7"/>
        <v>182233.51808481532</v>
      </c>
      <c r="AR53" s="4">
        <f t="shared" ca="1" si="8"/>
        <v>5.4189442032683459E-3</v>
      </c>
      <c r="AS53" s="65" t="str">
        <f>IFERROR(VLOOKUP($AO53,'General Lookups'!$A$1:$F$113,2,FALSE),"")</f>
        <v>RB</v>
      </c>
      <c r="AT53" s="65">
        <f>IFERROR(VLOOKUP($AO53,'General Lookups'!$A$1:$F$113,4,FALSE),"")</f>
        <v>55</v>
      </c>
      <c r="AU53" s="65">
        <f>IFERROR(VLOOKUP($AO53,'General Lookups'!$A$1:$F$113,5,FALSE),"")</f>
        <v>3</v>
      </c>
      <c r="AV53" s="65" t="s">
        <v>399</v>
      </c>
      <c r="AX53" s="67"/>
      <c r="AY53" s="67"/>
      <c r="AZ53" s="67"/>
      <c r="BA53" s="67"/>
      <c r="BB53" s="67"/>
      <c r="BC53" s="230" t="str">
        <f t="shared" si="15"/>
        <v/>
      </c>
      <c r="BD53" s="250" t="str">
        <f t="shared" si="16"/>
        <v/>
      </c>
    </row>
    <row r="54" spans="31:56" x14ac:dyDescent="0.3">
      <c r="AE54" s="204" t="s">
        <v>398</v>
      </c>
      <c r="AF54" s="204" t="s">
        <v>398</v>
      </c>
      <c r="AG54" s="204" t="s">
        <v>398</v>
      </c>
      <c r="AH54" s="8" t="s">
        <v>284</v>
      </c>
      <c r="AI54" s="65">
        <f t="shared" ca="1" si="17"/>
        <v>919.28900429221983</v>
      </c>
      <c r="AJ54" s="65">
        <f t="shared" ca="1" si="17"/>
        <v>596.09260205546923</v>
      </c>
      <c r="AK54" s="65">
        <f t="shared" ca="1" si="17"/>
        <v>249.88292020725356</v>
      </c>
      <c r="AL54" s="65">
        <f t="shared" ca="1" si="17"/>
        <v>191.3255691205573</v>
      </c>
      <c r="AM54" s="65">
        <f t="shared" ca="1" si="17"/>
        <v>660.76070773452818</v>
      </c>
      <c r="AN54" s="229"/>
      <c r="AO54" s="12" t="s">
        <v>284</v>
      </c>
      <c r="AP54" s="227">
        <f t="shared" ca="1" si="6"/>
        <v>1359.2188236422301</v>
      </c>
      <c r="AQ54" s="227">
        <f t="shared" ca="1" si="7"/>
        <v>195572.87030142822</v>
      </c>
      <c r="AR54" s="4">
        <f t="shared" ca="1" si="8"/>
        <v>6.9499354462984738E-3</v>
      </c>
      <c r="AS54" s="65" t="str">
        <f>IFERROR(VLOOKUP($AO54,'General Lookups'!$A$1:$F$113,2,FALSE),"")</f>
        <v>RB</v>
      </c>
      <c r="AT54" s="65">
        <f>IFERROR(VLOOKUP($AO54,'General Lookups'!$A$1:$F$113,4,FALSE),"")</f>
        <v>14</v>
      </c>
      <c r="AU54" s="65">
        <f>IFERROR(VLOOKUP($AO54,'General Lookups'!$A$1:$F$113,5,FALSE),"")</f>
        <v>4</v>
      </c>
      <c r="AV54" s="65" t="s">
        <v>399</v>
      </c>
      <c r="AX54" s="67"/>
      <c r="AY54" s="67"/>
      <c r="AZ54" s="67"/>
      <c r="BA54" s="67"/>
      <c r="BB54" s="67"/>
      <c r="BC54" s="230" t="str">
        <f t="shared" si="15"/>
        <v/>
      </c>
      <c r="BD54" s="250" t="str">
        <f t="shared" si="16"/>
        <v/>
      </c>
    </row>
    <row r="55" spans="31:56" x14ac:dyDescent="0.3">
      <c r="AE55" s="204" t="s">
        <v>398</v>
      </c>
      <c r="AF55" s="204" t="s">
        <v>398</v>
      </c>
      <c r="AG55" s="204" t="s">
        <v>398</v>
      </c>
      <c r="AH55" s="8" t="s">
        <v>285</v>
      </c>
      <c r="AI55" s="65">
        <f t="shared" ca="1" si="17"/>
        <v>898.32342916983828</v>
      </c>
      <c r="AJ55" s="65">
        <f t="shared" ca="1" si="17"/>
        <v>387.6885342594428</v>
      </c>
      <c r="AK55" s="65">
        <f t="shared" ca="1" si="17"/>
        <v>379.8313307329588</v>
      </c>
      <c r="AL55" s="65">
        <f t="shared" ca="1" si="17"/>
        <v>376.45881043254911</v>
      </c>
      <c r="AM55" s="65">
        <f t="shared" ca="1" si="17"/>
        <v>680.2365360228581</v>
      </c>
      <c r="AN55" s="229"/>
      <c r="AO55" s="12" t="s">
        <v>285</v>
      </c>
      <c r="AP55" s="227">
        <f t="shared" ca="1" si="6"/>
        <v>1978.3792338193889</v>
      </c>
      <c r="AQ55" s="227">
        <f t="shared" ca="1" si="7"/>
        <v>169281.14348959699</v>
      </c>
      <c r="AR55" s="4">
        <f t="shared" ca="1" si="8"/>
        <v>1.1686943938566721E-2</v>
      </c>
      <c r="AS55" s="65" t="str">
        <f>IFERROR(VLOOKUP($AO55,'General Lookups'!$A$1:$F$113,2,FALSE),"")</f>
        <v>RB</v>
      </c>
      <c r="AT55" s="65">
        <f>IFERROR(VLOOKUP($AO55,'General Lookups'!$A$1:$F$113,4,FALSE),"")</f>
        <v>10</v>
      </c>
      <c r="AU55" s="65">
        <f>IFERROR(VLOOKUP($AO55,'General Lookups'!$A$1:$F$113,5,FALSE),"")</f>
        <v>4</v>
      </c>
      <c r="AV55" s="65" t="s">
        <v>399</v>
      </c>
      <c r="AX55" s="67"/>
      <c r="AY55" s="67"/>
      <c r="AZ55" s="67"/>
      <c r="BA55" s="67"/>
      <c r="BB55" s="67"/>
      <c r="BC55" s="230" t="str">
        <f t="shared" si="15"/>
        <v/>
      </c>
      <c r="BD55" s="250" t="str">
        <f t="shared" si="16"/>
        <v/>
      </c>
    </row>
    <row r="56" spans="31:56" x14ac:dyDescent="0.3">
      <c r="AE56" s="204" t="s">
        <v>398</v>
      </c>
      <c r="AF56" s="204" t="s">
        <v>398</v>
      </c>
      <c r="AG56" s="204" t="s">
        <v>398</v>
      </c>
      <c r="AH56" s="8" t="s">
        <v>286</v>
      </c>
      <c r="AI56" s="65">
        <f t="shared" ca="1" si="17"/>
        <v>158.04861088235523</v>
      </c>
      <c r="AJ56" s="65">
        <f t="shared" ca="1" si="17"/>
        <v>870.72382855679996</v>
      </c>
      <c r="AK56" s="65">
        <f t="shared" ca="1" si="17"/>
        <v>260.12674730078976</v>
      </c>
      <c r="AL56" s="65">
        <f t="shared" ca="1" si="17"/>
        <v>617.40029817114248</v>
      </c>
      <c r="AM56" s="65">
        <f t="shared" ca="1" si="17"/>
        <v>601.19021852200433</v>
      </c>
      <c r="AN56" s="229"/>
      <c r="AO56" s="12" t="s">
        <v>286</v>
      </c>
      <c r="AP56" s="227">
        <f t="shared" ca="1" si="6"/>
        <v>1826.5596590773214</v>
      </c>
      <c r="AQ56" s="227">
        <f t="shared" ca="1" si="7"/>
        <v>25699.278204277685</v>
      </c>
      <c r="AR56" s="4">
        <f t="shared" ca="1" si="8"/>
        <v>7.1074356429718238E-2</v>
      </c>
      <c r="AS56" s="65" t="str">
        <f>IFERROR(VLOOKUP($AO56,'General Lookups'!$A$1:$F$113,2,FALSE),"")</f>
        <v>RB</v>
      </c>
      <c r="AT56" s="65">
        <f>IFERROR(VLOOKUP($AO56,'General Lookups'!$A$1:$F$113,4,FALSE),"")</f>
        <v>113</v>
      </c>
      <c r="AU56" s="65">
        <f>IFERROR(VLOOKUP($AO56,'General Lookups'!$A$1:$F$113,5,FALSE),"")</f>
        <v>2</v>
      </c>
      <c r="AV56" s="65" t="s">
        <v>399</v>
      </c>
      <c r="AX56" s="67"/>
      <c r="AY56" s="67"/>
      <c r="AZ56" s="67"/>
      <c r="BA56" s="67"/>
      <c r="BB56" s="67"/>
      <c r="BC56" s="230" t="str">
        <f t="shared" si="15"/>
        <v/>
      </c>
      <c r="BD56" s="250" t="str">
        <f t="shared" si="16"/>
        <v/>
      </c>
    </row>
    <row r="57" spans="31:56" x14ac:dyDescent="0.3">
      <c r="AE57" s="204" t="s">
        <v>398</v>
      </c>
      <c r="AF57" s="204" t="s">
        <v>398</v>
      </c>
      <c r="AG57" s="204" t="s">
        <v>398</v>
      </c>
      <c r="AH57" s="8" t="s">
        <v>287</v>
      </c>
      <c r="AI57" s="65">
        <f t="shared" ca="1" si="17"/>
        <v>610.99810611497912</v>
      </c>
      <c r="AJ57" s="65">
        <f t="shared" ca="1" si="17"/>
        <v>86.162696537160016</v>
      </c>
      <c r="AK57" s="65">
        <f t="shared" ca="1" si="17"/>
        <v>830.65768255909597</v>
      </c>
      <c r="AL57" s="65">
        <f t="shared" ca="1" si="17"/>
        <v>74.346750826025598</v>
      </c>
      <c r="AM57" s="65">
        <f t="shared" ca="1" si="17"/>
        <v>781.94452012221518</v>
      </c>
      <c r="AN57" s="229"/>
      <c r="AO57" s="12" t="s">
        <v>287</v>
      </c>
      <c r="AP57" s="227">
        <f t="shared" ca="1" si="6"/>
        <v>676.65176061496379</v>
      </c>
      <c r="AQ57" s="227">
        <f t="shared" ca="1" si="7"/>
        <v>119968.33836952793</v>
      </c>
      <c r="AR57" s="4">
        <f t="shared" ca="1" si="8"/>
        <v>5.6402528351333237E-3</v>
      </c>
      <c r="AS57" s="65" t="str">
        <f>IFERROR(VLOOKUP($AO57,'General Lookups'!$A$1:$F$113,2,FALSE),"")</f>
        <v>RA</v>
      </c>
      <c r="AT57" s="65">
        <f>IFERROR(VLOOKUP($AO57,'General Lookups'!$A$1:$F$113,4,FALSE),"")</f>
        <v>18</v>
      </c>
      <c r="AU57" s="65">
        <f>IFERROR(VLOOKUP($AO57,'General Lookups'!$A$1:$F$113,5,FALSE),"")</f>
        <v>3</v>
      </c>
      <c r="AV57" s="65" t="s">
        <v>399</v>
      </c>
      <c r="AX57" s="67"/>
      <c r="AY57" s="67"/>
      <c r="AZ57" s="67"/>
      <c r="BA57" s="67"/>
      <c r="BB57" s="67"/>
      <c r="BC57" s="230" t="str">
        <f t="shared" si="15"/>
        <v/>
      </c>
      <c r="BD57" s="250" t="str">
        <f t="shared" si="16"/>
        <v/>
      </c>
    </row>
    <row r="58" spans="31:56" x14ac:dyDescent="0.3">
      <c r="AE58" s="204" t="s">
        <v>398</v>
      </c>
      <c r="AF58" s="204" t="s">
        <v>398</v>
      </c>
      <c r="AG58" s="204" t="s">
        <v>398</v>
      </c>
      <c r="AH58" s="8" t="s">
        <v>288</v>
      </c>
      <c r="AI58" s="65">
        <f t="shared" ca="1" si="17"/>
        <v>111.64057325401511</v>
      </c>
      <c r="AJ58" s="65">
        <f t="shared" ca="1" si="17"/>
        <v>570.06315702115842</v>
      </c>
      <c r="AK58" s="65">
        <f t="shared" ca="1" si="17"/>
        <v>642.81744807682674</v>
      </c>
      <c r="AL58" s="65">
        <f t="shared" ca="1" si="17"/>
        <v>793.44541191840881</v>
      </c>
      <c r="AM58" s="65">
        <f t="shared" ca="1" si="17"/>
        <v>384.51939527593879</v>
      </c>
      <c r="AN58" s="229"/>
      <c r="AO58" s="12" t="s">
        <v>288</v>
      </c>
      <c r="AP58" s="227">
        <f t="shared" ca="1" si="6"/>
        <v>58.829864634425853</v>
      </c>
      <c r="AQ58" s="227">
        <f t="shared" ca="1" si="7"/>
        <v>74364.967995515137</v>
      </c>
      <c r="AR58" s="4">
        <f t="shared" ca="1" si="8"/>
        <v>7.9109648292962102E-4</v>
      </c>
      <c r="AS58" s="65" t="str">
        <f>IFERROR(VLOOKUP($AO58,'General Lookups'!$A$1:$F$113,2,FALSE),"")</f>
        <v>RA</v>
      </c>
      <c r="AT58" s="65">
        <f>IFERROR(VLOOKUP($AO58,'General Lookups'!$A$1:$F$113,4,FALSE),"")</f>
        <v>93</v>
      </c>
      <c r="AU58" s="65">
        <f>IFERROR(VLOOKUP($AO58,'General Lookups'!$A$1:$F$113,5,FALSE),"")</f>
        <v>2</v>
      </c>
      <c r="AV58" s="65" t="s">
        <v>399</v>
      </c>
      <c r="AX58" s="67"/>
      <c r="AY58" s="67"/>
      <c r="AZ58" s="67"/>
      <c r="BA58" s="67"/>
      <c r="BB58" s="67"/>
      <c r="BC58" s="230" t="str">
        <f t="shared" si="15"/>
        <v/>
      </c>
      <c r="BD58" s="250" t="str">
        <f t="shared" si="16"/>
        <v/>
      </c>
    </row>
    <row r="59" spans="31:56" x14ac:dyDescent="0.3">
      <c r="AE59" s="204" t="s">
        <v>398</v>
      </c>
      <c r="AF59" s="204" t="s">
        <v>398</v>
      </c>
      <c r="AG59" s="204" t="s">
        <v>398</v>
      </c>
      <c r="AH59" s="8" t="s">
        <v>289</v>
      </c>
      <c r="AI59" s="65">
        <f t="shared" ca="1" si="17"/>
        <v>102.82579970204797</v>
      </c>
      <c r="AJ59" s="65">
        <f t="shared" ca="1" si="17"/>
        <v>372.45751633957804</v>
      </c>
      <c r="AK59" s="65">
        <f t="shared" ca="1" si="17"/>
        <v>167.31024143052099</v>
      </c>
      <c r="AL59" s="65">
        <f t="shared" ca="1" si="17"/>
        <v>429.1271412047646</v>
      </c>
      <c r="AM59" s="65">
        <f t="shared" ca="1" si="17"/>
        <v>231.01425055950364</v>
      </c>
      <c r="AN59" s="229"/>
      <c r="AO59" s="12" t="s">
        <v>289</v>
      </c>
      <c r="AP59" s="227">
        <f t="shared" ca="1" si="6"/>
        <v>1691.8759918368251</v>
      </c>
      <c r="AQ59" s="227">
        <f t="shared" ca="1" si="7"/>
        <v>164607.68108631001</v>
      </c>
      <c r="AR59" s="4">
        <f t="shared" ca="1" si="8"/>
        <v>1.027823234414991E-2</v>
      </c>
      <c r="AS59" s="65" t="str">
        <f>IFERROR(VLOOKUP($AO59,'General Lookups'!$A$1:$F$113,2,FALSE),"")</f>
        <v>RA</v>
      </c>
      <c r="AT59" s="65">
        <f>IFERROR(VLOOKUP($AO59,'General Lookups'!$A$1:$F$113,4,FALSE),"")</f>
        <v>10</v>
      </c>
      <c r="AU59" s="65">
        <f>IFERROR(VLOOKUP($AO59,'General Lookups'!$A$1:$F$113,5,FALSE),"")</f>
        <v>3</v>
      </c>
      <c r="AV59" s="65" t="s">
        <v>399</v>
      </c>
      <c r="AX59" s="67"/>
      <c r="AY59" s="67"/>
      <c r="AZ59" s="67"/>
      <c r="BA59" s="67"/>
      <c r="BB59" s="67"/>
      <c r="BC59" s="230" t="str">
        <f t="shared" si="15"/>
        <v/>
      </c>
      <c r="BD59" s="250" t="str">
        <f t="shared" si="16"/>
        <v/>
      </c>
    </row>
    <row r="60" spans="31:56" x14ac:dyDescent="0.3">
      <c r="AE60" s="204" t="s">
        <v>398</v>
      </c>
      <c r="AF60" s="204" t="s">
        <v>398</v>
      </c>
      <c r="AG60" s="204" t="s">
        <v>398</v>
      </c>
      <c r="AH60" s="8" t="s">
        <v>290</v>
      </c>
      <c r="AI60" s="65">
        <f t="shared" ca="1" si="17"/>
        <v>334.76279538531759</v>
      </c>
      <c r="AJ60" s="65">
        <f t="shared" ca="1" si="17"/>
        <v>108.19719676453477</v>
      </c>
      <c r="AK60" s="65">
        <f t="shared" ca="1" si="17"/>
        <v>795.96834740858242</v>
      </c>
      <c r="AL60" s="65">
        <f t="shared" ca="1" si="17"/>
        <v>165.05356030150975</v>
      </c>
      <c r="AM60" s="65">
        <f t="shared" ca="1" si="17"/>
        <v>169.13127644516513</v>
      </c>
      <c r="AN60" s="229"/>
      <c r="AO60" s="12" t="s">
        <v>290</v>
      </c>
      <c r="AP60" s="227">
        <f t="shared" ca="1" si="6"/>
        <v>629.55419671408606</v>
      </c>
      <c r="AQ60" s="227">
        <f t="shared" ca="1" si="7"/>
        <v>154162.73687307379</v>
      </c>
      <c r="AR60" s="4">
        <f t="shared" ca="1" si="8"/>
        <v>4.083698885239787E-3</v>
      </c>
      <c r="AS60" s="65" t="str">
        <f>IFERROR(VLOOKUP($AO60,'General Lookups'!$A$1:$F$113,2,FALSE),"")</f>
        <v>RA</v>
      </c>
      <c r="AT60" s="65">
        <f>IFERROR(VLOOKUP($AO60,'General Lookups'!$A$1:$F$113,4,FALSE),"")</f>
        <v>33</v>
      </c>
      <c r="AU60" s="65">
        <f>IFERROR(VLOOKUP($AO60,'General Lookups'!$A$1:$F$113,5,FALSE),"")</f>
        <v>3</v>
      </c>
      <c r="AV60" s="65" t="s">
        <v>399</v>
      </c>
      <c r="AX60" s="67"/>
      <c r="AY60" s="67"/>
      <c r="AZ60" s="67"/>
      <c r="BA60" s="67"/>
      <c r="BB60" s="67"/>
      <c r="BC60" s="230" t="str">
        <f t="shared" si="15"/>
        <v/>
      </c>
      <c r="BD60" s="250" t="str">
        <f t="shared" si="16"/>
        <v/>
      </c>
    </row>
    <row r="61" spans="31:56" x14ac:dyDescent="0.3">
      <c r="AE61" s="204" t="s">
        <v>398</v>
      </c>
      <c r="AF61" s="204" t="s">
        <v>398</v>
      </c>
      <c r="AG61" s="204" t="s">
        <v>398</v>
      </c>
      <c r="AH61" s="8" t="s">
        <v>291</v>
      </c>
      <c r="AI61" s="65">
        <f t="shared" ca="1" si="17"/>
        <v>870.19906333239101</v>
      </c>
      <c r="AJ61" s="65">
        <f t="shared" ca="1" si="17"/>
        <v>348.1005214967908</v>
      </c>
      <c r="AK61" s="65">
        <f t="shared" ca="1" si="17"/>
        <v>55.673737759657563</v>
      </c>
      <c r="AL61" s="65">
        <f t="shared" ca="1" si="17"/>
        <v>596.00421077212116</v>
      </c>
      <c r="AM61" s="65">
        <f t="shared" ca="1" si="17"/>
        <v>937.49151359610062</v>
      </c>
      <c r="AN61" s="229"/>
      <c r="AO61" s="12" t="s">
        <v>291</v>
      </c>
      <c r="AP61" s="227">
        <f t="shared" ca="1" si="6"/>
        <v>324.53538119434342</v>
      </c>
      <c r="AQ61" s="227">
        <f t="shared" ca="1" si="7"/>
        <v>133907.52503726585</v>
      </c>
      <c r="AR61" s="4">
        <f t="shared" ca="1" si="8"/>
        <v>2.4235783695055729E-3</v>
      </c>
      <c r="AS61" s="65" t="str">
        <f>IFERROR(VLOOKUP($AO61,'General Lookups'!$A$1:$F$113,2,FALSE),"")</f>
        <v>RA</v>
      </c>
      <c r="AT61" s="65">
        <f>IFERROR(VLOOKUP($AO61,'General Lookups'!$A$1:$F$113,4,FALSE),"")</f>
        <v>4</v>
      </c>
      <c r="AU61" s="65">
        <f>IFERROR(VLOOKUP($AO61,'General Lookups'!$A$1:$F$113,5,FALSE),"")</f>
        <v>3</v>
      </c>
      <c r="AV61" s="65" t="s">
        <v>399</v>
      </c>
      <c r="AX61" s="67"/>
      <c r="AY61" s="67"/>
      <c r="AZ61" s="67"/>
      <c r="BA61" s="67"/>
      <c r="BB61" s="67"/>
      <c r="BC61" s="230" t="str">
        <f t="shared" si="15"/>
        <v/>
      </c>
      <c r="BD61" s="250" t="str">
        <f t="shared" si="16"/>
        <v/>
      </c>
    </row>
    <row r="62" spans="31:56" x14ac:dyDescent="0.3">
      <c r="AE62" s="204" t="s">
        <v>398</v>
      </c>
      <c r="AF62" s="204" t="s">
        <v>398</v>
      </c>
      <c r="AG62" s="204" t="s">
        <v>398</v>
      </c>
      <c r="AH62" s="8" t="s">
        <v>292</v>
      </c>
      <c r="AI62" s="65">
        <f t="shared" ca="1" si="17"/>
        <v>73.870830839771642</v>
      </c>
      <c r="AJ62" s="65">
        <f t="shared" ca="1" si="17"/>
        <v>756.9277440489202</v>
      </c>
      <c r="AK62" s="65">
        <f t="shared" ca="1" si="17"/>
        <v>265.71056890099186</v>
      </c>
      <c r="AL62" s="65">
        <f t="shared" ca="1" si="17"/>
        <v>29.282335548372117</v>
      </c>
      <c r="AM62" s="65">
        <f t="shared" ca="1" si="17"/>
        <v>83.119722622138298</v>
      </c>
      <c r="AN62" s="229"/>
      <c r="AO62" s="12" t="s">
        <v>292</v>
      </c>
      <c r="AP62" s="227">
        <f t="shared" ca="1" si="6"/>
        <v>1959.1801854478392</v>
      </c>
      <c r="AQ62" s="227">
        <f t="shared" ca="1" si="7"/>
        <v>59724.801324079046</v>
      </c>
      <c r="AR62" s="4">
        <f t="shared" ca="1" si="8"/>
        <v>3.2803460907587199E-2</v>
      </c>
      <c r="AS62" s="65" t="str">
        <f>IFERROR(VLOOKUP($AO62,'General Lookups'!$A$1:$F$113,2,FALSE),"")</f>
        <v>RB</v>
      </c>
      <c r="AT62" s="65">
        <f>IFERROR(VLOOKUP($AO62,'General Lookups'!$A$1:$F$113,4,FALSE),"")</f>
        <v>43</v>
      </c>
      <c r="AU62" s="65">
        <f>IFERROR(VLOOKUP($AO62,'General Lookups'!$A$1:$F$113,5,FALSE),"")</f>
        <v>4</v>
      </c>
      <c r="AV62" s="65" t="s">
        <v>399</v>
      </c>
      <c r="AX62" s="67"/>
      <c r="AY62" s="67"/>
      <c r="AZ62" s="67"/>
      <c r="BA62" s="67"/>
      <c r="BB62" s="67"/>
      <c r="BC62" s="230" t="str">
        <f t="shared" si="15"/>
        <v/>
      </c>
      <c r="BD62" s="250" t="str">
        <f t="shared" si="16"/>
        <v/>
      </c>
    </row>
    <row r="63" spans="31:56" x14ac:dyDescent="0.3">
      <c r="AE63" s="204" t="s">
        <v>398</v>
      </c>
      <c r="AF63" s="204" t="s">
        <v>398</v>
      </c>
      <c r="AG63" s="204" t="s">
        <v>398</v>
      </c>
      <c r="AH63" s="8" t="s">
        <v>293</v>
      </c>
      <c r="AI63" s="65">
        <f t="shared" ca="1" si="17"/>
        <v>985.07059944318144</v>
      </c>
      <c r="AJ63" s="65">
        <f t="shared" ca="1" si="17"/>
        <v>685.19991829564924</v>
      </c>
      <c r="AK63" s="65">
        <f t="shared" ca="1" si="17"/>
        <v>645.02961419741166</v>
      </c>
      <c r="AL63" s="65">
        <f t="shared" ca="1" si="17"/>
        <v>753.60963501251683</v>
      </c>
      <c r="AM63" s="65">
        <f t="shared" ca="1" si="17"/>
        <v>404.5892394689966</v>
      </c>
      <c r="AN63" s="229"/>
      <c r="AO63" s="12" t="s">
        <v>293</v>
      </c>
      <c r="AP63" s="227">
        <f t="shared" ca="1" si="6"/>
        <v>1095.0850164789713</v>
      </c>
      <c r="AQ63" s="227">
        <f t="shared" ca="1" si="7"/>
        <v>128805.68220380311</v>
      </c>
      <c r="AR63" s="4">
        <f t="shared" ca="1" si="8"/>
        <v>8.5018377896269384E-3</v>
      </c>
      <c r="AS63" s="65" t="str">
        <f>IFERROR(VLOOKUP($AO63,'General Lookups'!$A$1:$F$113,2,FALSE),"")</f>
        <v>RB</v>
      </c>
      <c r="AT63" s="65">
        <f>IFERROR(VLOOKUP($AO63,'General Lookups'!$A$1:$F$113,4,FALSE),"")</f>
        <v>19</v>
      </c>
      <c r="AU63" s="65">
        <f>IFERROR(VLOOKUP($AO63,'General Lookups'!$A$1:$F$113,5,FALSE),"")</f>
        <v>4</v>
      </c>
      <c r="AV63" s="65" t="s">
        <v>399</v>
      </c>
      <c r="AX63" s="67"/>
      <c r="AY63" s="67"/>
      <c r="AZ63" s="67"/>
      <c r="BA63" s="67"/>
      <c r="BB63" s="67"/>
      <c r="BC63" s="230" t="str">
        <f t="shared" si="15"/>
        <v/>
      </c>
      <c r="BD63" s="250" t="str">
        <f t="shared" si="16"/>
        <v/>
      </c>
    </row>
    <row r="64" spans="31:56" x14ac:dyDescent="0.3">
      <c r="AE64" s="204" t="s">
        <v>398</v>
      </c>
      <c r="AF64" s="204" t="s">
        <v>398</v>
      </c>
      <c r="AG64" s="204" t="s">
        <v>398</v>
      </c>
      <c r="AH64" s="8" t="s">
        <v>294</v>
      </c>
      <c r="AI64" s="65">
        <f t="shared" ca="1" si="17"/>
        <v>780.23543165041224</v>
      </c>
      <c r="AJ64" s="65">
        <f t="shared" ca="1" si="17"/>
        <v>681.7892181838281</v>
      </c>
      <c r="AK64" s="65">
        <f t="shared" ca="1" si="17"/>
        <v>706.05963968878518</v>
      </c>
      <c r="AL64" s="65">
        <f t="shared" ca="1" si="17"/>
        <v>159.0291977284337</v>
      </c>
      <c r="AM64" s="65">
        <f t="shared" ca="1" si="17"/>
        <v>462.57168984044119</v>
      </c>
      <c r="AN64" s="229"/>
      <c r="AO64" s="12" t="s">
        <v>294</v>
      </c>
      <c r="AP64" s="227">
        <f t="shared" ca="1" si="6"/>
        <v>1180.0110023011034</v>
      </c>
      <c r="AQ64" s="227">
        <f t="shared" ca="1" si="7"/>
        <v>139514.72032939366</v>
      </c>
      <c r="AR64" s="4">
        <f t="shared" ca="1" si="8"/>
        <v>8.457967729248228E-3</v>
      </c>
      <c r="AS64" s="65" t="str">
        <f>IFERROR(VLOOKUP($AO64,'General Lookups'!$A$1:$F$113,2,FALSE),"")</f>
        <v>RB</v>
      </c>
      <c r="AT64" s="65">
        <f>IFERROR(VLOOKUP($AO64,'General Lookups'!$A$1:$F$113,4,FALSE),"")</f>
        <v>113</v>
      </c>
      <c r="AU64" s="65">
        <f>IFERROR(VLOOKUP($AO64,'General Lookups'!$A$1:$F$113,5,FALSE),"")</f>
        <v>4</v>
      </c>
      <c r="AV64" s="65" t="s">
        <v>399</v>
      </c>
      <c r="AX64" s="67"/>
      <c r="AY64" s="67"/>
      <c r="AZ64" s="67"/>
      <c r="BA64" s="67"/>
      <c r="BB64" s="67"/>
      <c r="BC64" s="230" t="str">
        <f t="shared" si="15"/>
        <v/>
      </c>
      <c r="BD64" s="250" t="str">
        <f t="shared" si="16"/>
        <v/>
      </c>
    </row>
    <row r="65" spans="31:56" x14ac:dyDescent="0.3">
      <c r="AE65" s="204" t="s">
        <v>398</v>
      </c>
      <c r="AF65" s="204" t="s">
        <v>398</v>
      </c>
      <c r="AG65" s="204" t="s">
        <v>398</v>
      </c>
      <c r="AH65" s="8" t="s">
        <v>185</v>
      </c>
      <c r="AI65" s="65">
        <f t="shared" ca="1" si="17"/>
        <v>799.17156620003595</v>
      </c>
      <c r="AJ65" s="65">
        <f t="shared" ca="1" si="17"/>
        <v>621.17836165370795</v>
      </c>
      <c r="AK65" s="65">
        <f t="shared" ca="1" si="17"/>
        <v>534.50757268741438</v>
      </c>
      <c r="AL65" s="65">
        <f t="shared" ca="1" si="17"/>
        <v>21.312371437233189</v>
      </c>
      <c r="AM65" s="65">
        <f t="shared" ca="1" si="17"/>
        <v>431.28846156237245</v>
      </c>
      <c r="AN65" s="229"/>
      <c r="AO65" s="12" t="s">
        <v>185</v>
      </c>
      <c r="AP65" s="227">
        <f t="shared" ca="1" si="6"/>
        <v>185.32811171610652</v>
      </c>
      <c r="AQ65" s="227">
        <f t="shared" ca="1" si="7"/>
        <v>105897.76445771882</v>
      </c>
      <c r="AR65" s="4">
        <f t="shared" ca="1" si="8"/>
        <v>1.7500663273217764E-3</v>
      </c>
      <c r="AS65" s="65" t="str">
        <f>IFERROR(VLOOKUP($AO65,'General Lookups'!$A$1:$F$113,2,FALSE),"")</f>
        <v>RB</v>
      </c>
      <c r="AT65" s="65">
        <f>IFERROR(VLOOKUP($AO65,'General Lookups'!$A$1:$F$113,4,FALSE),"")</f>
        <v>2</v>
      </c>
      <c r="AU65" s="65">
        <f>IFERROR(VLOOKUP($AO65,'General Lookups'!$A$1:$F$113,5,FALSE),"")</f>
        <v>4</v>
      </c>
      <c r="AV65" s="65" t="s">
        <v>399</v>
      </c>
      <c r="AX65" s="67"/>
      <c r="AY65" s="67"/>
      <c r="AZ65" s="67"/>
      <c r="BA65" s="67"/>
      <c r="BB65" s="67"/>
      <c r="BC65" s="230" t="str">
        <f t="shared" si="15"/>
        <v/>
      </c>
      <c r="BD65" s="250" t="str">
        <f t="shared" si="16"/>
        <v/>
      </c>
    </row>
    <row r="66" spans="31:56" x14ac:dyDescent="0.3">
      <c r="AE66" s="204" t="s">
        <v>398</v>
      </c>
      <c r="AF66" s="204" t="s">
        <v>398</v>
      </c>
      <c r="AG66" s="204" t="s">
        <v>398</v>
      </c>
      <c r="AH66" s="8" t="s">
        <v>186</v>
      </c>
      <c r="AI66" s="65">
        <f t="shared" ca="1" si="17"/>
        <v>420.42739458333568</v>
      </c>
      <c r="AJ66" s="65">
        <f t="shared" ca="1" si="17"/>
        <v>595.45183461860984</v>
      </c>
      <c r="AK66" s="65">
        <f t="shared" ca="1" si="17"/>
        <v>627.78280269127038</v>
      </c>
      <c r="AL66" s="65">
        <f t="shared" ca="1" si="17"/>
        <v>34.183484536329686</v>
      </c>
      <c r="AM66" s="65">
        <f t="shared" ca="1" si="17"/>
        <v>430.80592784947868</v>
      </c>
      <c r="AN66" s="229"/>
      <c r="AO66" s="12" t="s">
        <v>186</v>
      </c>
      <c r="AP66" s="227">
        <f t="shared" ca="1" si="6"/>
        <v>1792.3337103406891</v>
      </c>
      <c r="AQ66" s="227">
        <f t="shared" ca="1" si="7"/>
        <v>44916.77910317338</v>
      </c>
      <c r="AR66" s="4">
        <f t="shared" ca="1" si="8"/>
        <v>3.9903433552608857E-2</v>
      </c>
      <c r="AS66" s="65" t="str">
        <f>IFERROR(VLOOKUP($AO66,'General Lookups'!$A$1:$F$113,2,FALSE),"")</f>
        <v>RA</v>
      </c>
      <c r="AT66" s="65">
        <f>IFERROR(VLOOKUP($AO66,'General Lookups'!$A$1:$F$113,4,FALSE),"")</f>
        <v>9</v>
      </c>
      <c r="AU66" s="65">
        <f>IFERROR(VLOOKUP($AO66,'General Lookups'!$A$1:$F$113,5,FALSE),"")</f>
        <v>3</v>
      </c>
      <c r="AV66" s="65" t="s">
        <v>399</v>
      </c>
      <c r="AX66" s="67"/>
      <c r="AY66" s="67"/>
      <c r="AZ66" s="67"/>
      <c r="BA66" s="67"/>
      <c r="BB66" s="67"/>
      <c r="BC66" s="230" t="str">
        <f t="shared" si="15"/>
        <v/>
      </c>
      <c r="BD66" s="250" t="str">
        <f t="shared" si="16"/>
        <v/>
      </c>
    </row>
    <row r="67" spans="31:56" x14ac:dyDescent="0.3">
      <c r="AE67" s="204" t="s">
        <v>398</v>
      </c>
      <c r="AF67" s="204" t="s">
        <v>398</v>
      </c>
      <c r="AG67" s="204" t="s">
        <v>398</v>
      </c>
      <c r="AH67" s="8" t="s">
        <v>187</v>
      </c>
      <c r="AI67" s="65">
        <f t="shared" ca="1" si="17"/>
        <v>722.3984436436981</v>
      </c>
      <c r="AJ67" s="65">
        <f t="shared" ca="1" si="17"/>
        <v>508.49657279549865</v>
      </c>
      <c r="AK67" s="65">
        <f t="shared" ca="1" si="17"/>
        <v>519.91144137839137</v>
      </c>
      <c r="AL67" s="65">
        <f t="shared" ca="1" si="17"/>
        <v>71.745728879058944</v>
      </c>
      <c r="AM67" s="65">
        <f t="shared" ca="1" si="17"/>
        <v>320.25927566948508</v>
      </c>
      <c r="AN67" s="229"/>
      <c r="AO67" s="12" t="s">
        <v>187</v>
      </c>
      <c r="AP67" s="227">
        <f t="shared" ca="1" si="6"/>
        <v>398.9399304507848</v>
      </c>
      <c r="AQ67" s="227">
        <f t="shared" ca="1" si="7"/>
        <v>186678.09895123894</v>
      </c>
      <c r="AR67" s="4">
        <f t="shared" ca="1" si="8"/>
        <v>2.1370473167020491E-3</v>
      </c>
      <c r="AS67" s="65" t="str">
        <f>IFERROR(VLOOKUP($AO67,'General Lookups'!$A$1:$F$113,2,FALSE),"")</f>
        <v>RA</v>
      </c>
      <c r="AT67" s="65">
        <f>IFERROR(VLOOKUP($AO67,'General Lookups'!$A$1:$F$113,4,FALSE),"")</f>
        <v>10</v>
      </c>
      <c r="AU67" s="65">
        <f>IFERROR(VLOOKUP($AO67,'General Lookups'!$A$1:$F$113,5,FALSE),"")</f>
        <v>2</v>
      </c>
      <c r="AV67" s="65" t="s">
        <v>399</v>
      </c>
      <c r="AX67" s="67"/>
      <c r="AY67" s="67"/>
      <c r="AZ67" s="67"/>
      <c r="BA67" s="67"/>
      <c r="BB67" s="67"/>
      <c r="BC67" s="230" t="str">
        <f t="shared" si="15"/>
        <v/>
      </c>
      <c r="BD67" s="250" t="str">
        <f t="shared" si="16"/>
        <v/>
      </c>
    </row>
    <row r="68" spans="31:56" x14ac:dyDescent="0.3">
      <c r="AE68" s="204" t="s">
        <v>398</v>
      </c>
      <c r="AF68" s="204" t="s">
        <v>398</v>
      </c>
      <c r="AG68" s="204" t="s">
        <v>398</v>
      </c>
      <c r="AH68" s="8" t="s">
        <v>188</v>
      </c>
      <c r="AI68" s="65">
        <f t="shared" ca="1" si="17"/>
        <v>96.406059770421606</v>
      </c>
      <c r="AJ68" s="65">
        <f t="shared" ca="1" si="17"/>
        <v>275.75481640491472</v>
      </c>
      <c r="AK68" s="65">
        <f t="shared" ca="1" si="17"/>
        <v>835.11821070406972</v>
      </c>
      <c r="AL68" s="65">
        <f t="shared" ca="1" si="17"/>
        <v>193.45608661825341</v>
      </c>
      <c r="AM68" s="65">
        <f t="shared" ca="1" si="17"/>
        <v>519.79026071269743</v>
      </c>
      <c r="AN68" s="229"/>
      <c r="AO68" s="12" t="s">
        <v>188</v>
      </c>
      <c r="AP68" s="227">
        <f t="shared" ca="1" si="6"/>
        <v>795.76297291108062</v>
      </c>
      <c r="AQ68" s="227">
        <f t="shared" ca="1" si="7"/>
        <v>189127.08090151634</v>
      </c>
      <c r="AR68" s="4">
        <f t="shared" ca="1" si="8"/>
        <v>4.2075569988068301E-3</v>
      </c>
      <c r="AS68" s="65" t="str">
        <f>IFERROR(VLOOKUP($AO68,'General Lookups'!$A$1:$F$113,2,FALSE),"")</f>
        <v>RA</v>
      </c>
      <c r="AT68" s="65">
        <f>IFERROR(VLOOKUP($AO68,'General Lookups'!$A$1:$F$113,4,FALSE),"")</f>
        <v>9</v>
      </c>
      <c r="AU68" s="65">
        <f>IFERROR(VLOOKUP($AO68,'General Lookups'!$A$1:$F$113,5,FALSE),"")</f>
        <v>2</v>
      </c>
      <c r="AV68" s="65" t="s">
        <v>399</v>
      </c>
      <c r="AX68" s="67"/>
      <c r="AY68" s="67"/>
      <c r="AZ68" s="67"/>
      <c r="BA68" s="67"/>
      <c r="BB68" s="67"/>
      <c r="BC68" s="230" t="str">
        <f t="shared" si="15"/>
        <v/>
      </c>
      <c r="BD68" s="250" t="str">
        <f t="shared" si="16"/>
        <v/>
      </c>
    </row>
    <row r="69" spans="31:56" x14ac:dyDescent="0.3">
      <c r="AE69" s="204" t="s">
        <v>398</v>
      </c>
      <c r="AF69" s="204" t="s">
        <v>398</v>
      </c>
      <c r="AG69" s="204" t="s">
        <v>398</v>
      </c>
      <c r="AH69" s="8" t="s">
        <v>189</v>
      </c>
      <c r="AI69" s="65">
        <f t="shared" ca="1" si="17"/>
        <v>848.723159070311</v>
      </c>
      <c r="AJ69" s="65">
        <f t="shared" ca="1" si="17"/>
        <v>783.86699619881233</v>
      </c>
      <c r="AK69" s="65">
        <f t="shared" ca="1" si="17"/>
        <v>273.5071815865976</v>
      </c>
      <c r="AL69" s="65">
        <f t="shared" ca="1" si="17"/>
        <v>638.8400425995635</v>
      </c>
      <c r="AM69" s="65">
        <f t="shared" ca="1" si="17"/>
        <v>11.496319271532274</v>
      </c>
      <c r="AN69" s="229"/>
      <c r="AO69" s="12" t="s">
        <v>189</v>
      </c>
      <c r="AP69" s="227">
        <f t="shared" ca="1" si="6"/>
        <v>1014.8251251815266</v>
      </c>
      <c r="AQ69" s="227">
        <f t="shared" ca="1" si="7"/>
        <v>132523.41651694846</v>
      </c>
      <c r="AR69" s="4">
        <f t="shared" ca="1" si="8"/>
        <v>7.6577042144981245E-3</v>
      </c>
      <c r="AS69" s="65" t="str">
        <f>IFERROR(VLOOKUP($AO69,'General Lookups'!$A$1:$F$113,2,FALSE),"")</f>
        <v>RA</v>
      </c>
      <c r="AT69" s="65">
        <f>IFERROR(VLOOKUP($AO69,'General Lookups'!$A$1:$F$113,4,FALSE),"")</f>
        <v>337</v>
      </c>
      <c r="AU69" s="65">
        <f>IFERROR(VLOOKUP($AO69,'General Lookups'!$A$1:$F$113,5,FALSE),"")</f>
        <v>1</v>
      </c>
      <c r="AV69" s="65" t="s">
        <v>399</v>
      </c>
      <c r="AX69" s="67"/>
      <c r="AY69" s="67"/>
      <c r="AZ69" s="67"/>
      <c r="BA69" s="67"/>
      <c r="BB69" s="67"/>
      <c r="BC69" s="230" t="str">
        <f t="shared" si="15"/>
        <v/>
      </c>
      <c r="BD69" s="250" t="str">
        <f t="shared" si="16"/>
        <v/>
      </c>
    </row>
    <row r="70" spans="31:56" x14ac:dyDescent="0.3">
      <c r="AE70" s="204" t="s">
        <v>398</v>
      </c>
      <c r="AF70" s="204" t="s">
        <v>398</v>
      </c>
      <c r="AG70" s="204" t="s">
        <v>398</v>
      </c>
      <c r="AH70" s="8" t="s">
        <v>190</v>
      </c>
      <c r="AI70" s="65">
        <f t="shared" ca="1" si="17"/>
        <v>385.58521129113143</v>
      </c>
      <c r="AJ70" s="65">
        <f t="shared" ca="1" si="17"/>
        <v>252.04789149174044</v>
      </c>
      <c r="AK70" s="65">
        <f t="shared" ca="1" si="17"/>
        <v>547.1029587176223</v>
      </c>
      <c r="AL70" s="65">
        <f t="shared" ca="1" si="17"/>
        <v>714.4156453786037</v>
      </c>
      <c r="AM70" s="65">
        <f t="shared" ca="1" si="17"/>
        <v>316.59500232501267</v>
      </c>
      <c r="AN70" s="229"/>
      <c r="AO70" s="12" t="s">
        <v>190</v>
      </c>
      <c r="AP70" s="227">
        <f t="shared" ca="1" si="6"/>
        <v>529.49722450643048</v>
      </c>
      <c r="AQ70" s="227">
        <f t="shared" ca="1" si="7"/>
        <v>3620.0861582860844</v>
      </c>
      <c r="AR70" s="4">
        <f t="shared" ca="1" si="8"/>
        <v>0.1462664702867511</v>
      </c>
      <c r="AS70" s="65" t="str">
        <f>IFERROR(VLOOKUP($AO70,'General Lookups'!$A$1:$F$113,2,FALSE),"")</f>
        <v>RA</v>
      </c>
      <c r="AT70" s="65">
        <f>IFERROR(VLOOKUP($AO70,'General Lookups'!$A$1:$F$113,4,FALSE),"")</f>
        <v>109</v>
      </c>
      <c r="AU70" s="65">
        <f>IFERROR(VLOOKUP($AO70,'General Lookups'!$A$1:$F$113,5,FALSE),"")</f>
        <v>4</v>
      </c>
      <c r="AV70" s="65" t="s">
        <v>399</v>
      </c>
      <c r="AX70" s="67"/>
      <c r="AY70" s="67"/>
      <c r="AZ70" s="67"/>
      <c r="BA70" s="67"/>
      <c r="BB70" s="67"/>
      <c r="BC70" s="230" t="str">
        <f t="shared" si="15"/>
        <v/>
      </c>
      <c r="BD70" s="250" t="str">
        <f t="shared" si="16"/>
        <v/>
      </c>
    </row>
    <row r="71" spans="31:56" x14ac:dyDescent="0.3">
      <c r="AE71" s="204" t="s">
        <v>398</v>
      </c>
      <c r="AF71" s="204" t="s">
        <v>398</v>
      </c>
      <c r="AG71" s="204" t="s">
        <v>398</v>
      </c>
      <c r="AH71" s="8" t="s">
        <v>191</v>
      </c>
      <c r="AI71" s="65">
        <f t="shared" ca="1" si="17"/>
        <v>232.30774982185477</v>
      </c>
      <c r="AJ71" s="65">
        <f t="shared" ca="1" si="17"/>
        <v>602.91985215422926</v>
      </c>
      <c r="AK71" s="65">
        <f t="shared" ca="1" si="17"/>
        <v>451.15203958301566</v>
      </c>
      <c r="AL71" s="65">
        <f t="shared" ca="1" si="17"/>
        <v>945.63548255188562</v>
      </c>
      <c r="AM71" s="65">
        <f t="shared" ca="1" si="17"/>
        <v>63.79636330423466</v>
      </c>
      <c r="AN71" s="229"/>
      <c r="AO71" s="12" t="s">
        <v>191</v>
      </c>
      <c r="AP71" s="227">
        <f t="shared" ca="1" si="6"/>
        <v>1363.1114008392851</v>
      </c>
      <c r="AQ71" s="227">
        <f t="shared" ca="1" si="7"/>
        <v>88813.313450025918</v>
      </c>
      <c r="AR71" s="4">
        <f t="shared" ca="1" si="8"/>
        <v>1.5348052537261656E-2</v>
      </c>
      <c r="AS71" s="65" t="str">
        <f>IFERROR(VLOOKUP($AO71,'General Lookups'!$A$1:$F$113,2,FALSE),"")</f>
        <v>RA</v>
      </c>
      <c r="AT71" s="65">
        <f>IFERROR(VLOOKUP($AO71,'General Lookups'!$A$1:$F$113,4,FALSE),"")</f>
        <v>0</v>
      </c>
      <c r="AU71" s="65">
        <f>IFERROR(VLOOKUP($AO71,'General Lookups'!$A$1:$F$113,5,FALSE),"")</f>
        <v>2</v>
      </c>
      <c r="AV71" s="65" t="s">
        <v>399</v>
      </c>
      <c r="AX71" s="67"/>
      <c r="AY71" s="67"/>
      <c r="AZ71" s="67"/>
      <c r="BA71" s="67"/>
      <c r="BB71" s="67"/>
      <c r="BC71" s="230" t="str">
        <f t="shared" si="15"/>
        <v/>
      </c>
      <c r="BD71" s="250" t="str">
        <f t="shared" si="16"/>
        <v/>
      </c>
    </row>
    <row r="72" spans="31:56" x14ac:dyDescent="0.3">
      <c r="AE72" s="204" t="s">
        <v>398</v>
      </c>
      <c r="AF72" s="204" t="s">
        <v>398</v>
      </c>
      <c r="AG72" s="204" t="s">
        <v>398</v>
      </c>
      <c r="AH72" s="8" t="s">
        <v>192</v>
      </c>
      <c r="AI72" s="65">
        <f t="shared" ca="1" si="17"/>
        <v>571.31458140452321</v>
      </c>
      <c r="AJ72" s="65">
        <f t="shared" ca="1" si="17"/>
        <v>69.618506117903763</v>
      </c>
      <c r="AK72" s="65">
        <f t="shared" ca="1" si="17"/>
        <v>377.45552767177014</v>
      </c>
      <c r="AL72" s="65">
        <f t="shared" ca="1" si="17"/>
        <v>715.28879886658979</v>
      </c>
      <c r="AM72" s="65">
        <f t="shared" ca="1" si="17"/>
        <v>791.74959109564168</v>
      </c>
      <c r="AN72" s="229"/>
      <c r="AO72" s="12" t="s">
        <v>192</v>
      </c>
      <c r="AP72" s="227">
        <f t="shared" ca="1" si="6"/>
        <v>970.7271295721298</v>
      </c>
      <c r="AQ72" s="227">
        <f t="shared" ca="1" si="7"/>
        <v>116241.58435296408</v>
      </c>
      <c r="AR72" s="4">
        <f t="shared" ca="1" si="8"/>
        <v>8.3509454467219409E-3</v>
      </c>
      <c r="AS72" s="65" t="str">
        <f>IFERROR(VLOOKUP($AO72,'General Lookups'!$A$1:$F$113,2,FALSE),"")</f>
        <v>RA</v>
      </c>
      <c r="AT72" s="65">
        <f>IFERROR(VLOOKUP($AO72,'General Lookups'!$A$1:$F$113,4,FALSE),"")</f>
        <v>68</v>
      </c>
      <c r="AU72" s="65">
        <f>IFERROR(VLOOKUP($AO72,'General Lookups'!$A$1:$F$113,5,FALSE),"")</f>
        <v>1</v>
      </c>
      <c r="AV72" s="65" t="s">
        <v>399</v>
      </c>
      <c r="AX72" s="67"/>
      <c r="AY72" s="67"/>
      <c r="AZ72" s="67"/>
      <c r="BA72" s="67"/>
      <c r="BB72" s="67"/>
      <c r="BC72" s="230" t="str">
        <f t="shared" si="15"/>
        <v/>
      </c>
      <c r="BD72" s="250" t="str">
        <f t="shared" si="16"/>
        <v/>
      </c>
    </row>
    <row r="73" spans="31:56" x14ac:dyDescent="0.3">
      <c r="AE73" s="204" t="s">
        <v>398</v>
      </c>
      <c r="AF73" s="204" t="s">
        <v>398</v>
      </c>
      <c r="AG73" s="204" t="s">
        <v>398</v>
      </c>
      <c r="AH73" s="8" t="s">
        <v>193</v>
      </c>
      <c r="AI73" s="65">
        <f t="shared" ca="1" si="17"/>
        <v>982.55029674646971</v>
      </c>
      <c r="AJ73" s="65">
        <f t="shared" ca="1" si="17"/>
        <v>336.67250106910393</v>
      </c>
      <c r="AK73" s="65">
        <f t="shared" ca="1" si="17"/>
        <v>248.4700531928321</v>
      </c>
      <c r="AL73" s="65">
        <f t="shared" ca="1" si="17"/>
        <v>866.16441492670833</v>
      </c>
      <c r="AM73" s="65">
        <f t="shared" ca="1" si="17"/>
        <v>818.38070047305109</v>
      </c>
      <c r="AN73" s="229"/>
      <c r="AO73" s="12" t="s">
        <v>193</v>
      </c>
      <c r="AP73" s="227">
        <f t="shared" ca="1" si="6"/>
        <v>393.74250949981928</v>
      </c>
      <c r="AQ73" s="227">
        <f t="shared" ca="1" si="7"/>
        <v>146582.35258887228</v>
      </c>
      <c r="AR73" s="4">
        <f t="shared" ca="1" si="8"/>
        <v>2.6861522041754298E-3</v>
      </c>
      <c r="AS73" s="65" t="str">
        <f>IFERROR(VLOOKUP($AO73,'General Lookups'!$A$1:$F$113,2,FALSE),"")</f>
        <v>RC</v>
      </c>
      <c r="AT73" s="65">
        <f>IFERROR(VLOOKUP($AO73,'General Lookups'!$A$1:$F$113,4,FALSE),"")</f>
        <v>2</v>
      </c>
      <c r="AU73" s="65">
        <f>IFERROR(VLOOKUP($AO73,'General Lookups'!$A$1:$F$113,5,FALSE),"")</f>
        <v>4</v>
      </c>
      <c r="AV73" s="65" t="s">
        <v>399</v>
      </c>
      <c r="AX73" s="67"/>
      <c r="AY73" s="67"/>
      <c r="AZ73" s="67"/>
      <c r="BA73" s="67"/>
      <c r="BB73" s="67"/>
      <c r="BC73" s="230" t="str">
        <f t="shared" si="15"/>
        <v/>
      </c>
      <c r="BD73" s="250" t="str">
        <f t="shared" si="16"/>
        <v/>
      </c>
    </row>
    <row r="74" spans="31:56" x14ac:dyDescent="0.3">
      <c r="AE74" s="204" t="s">
        <v>398</v>
      </c>
      <c r="AF74" s="204" t="s">
        <v>398</v>
      </c>
      <c r="AG74" s="204" t="s">
        <v>398</v>
      </c>
      <c r="AH74" s="8" t="s">
        <v>194</v>
      </c>
      <c r="AI74" s="65">
        <f t="shared" ca="1" si="17"/>
        <v>444.32811978383768</v>
      </c>
      <c r="AJ74" s="65">
        <f t="shared" ca="1" si="17"/>
        <v>583.63148643727368</v>
      </c>
      <c r="AK74" s="65">
        <f t="shared" ca="1" si="17"/>
        <v>55.395017954475215</v>
      </c>
      <c r="AL74" s="65">
        <f t="shared" ca="1" si="17"/>
        <v>224.41180937947635</v>
      </c>
      <c r="AM74" s="65">
        <f t="shared" ca="1" si="17"/>
        <v>503.88696119273703</v>
      </c>
      <c r="AN74" s="229"/>
      <c r="AO74" s="12" t="s">
        <v>194</v>
      </c>
      <c r="AP74" s="227">
        <f t="shared" ca="1" si="6"/>
        <v>464.66406812108897</v>
      </c>
      <c r="AQ74" s="227">
        <f t="shared" ca="1" si="7"/>
        <v>171863.22482719162</v>
      </c>
      <c r="AR74" s="4">
        <f t="shared" ca="1" si="8"/>
        <v>2.7036852624423196E-3</v>
      </c>
      <c r="AS74" s="65" t="str">
        <f>IFERROR(VLOOKUP($AO74,'General Lookups'!$A$1:$F$113,2,FALSE),"")</f>
        <v>RC</v>
      </c>
      <c r="AT74" s="65">
        <f>IFERROR(VLOOKUP($AO74,'General Lookups'!$A$1:$F$113,4,FALSE),"")</f>
        <v>9</v>
      </c>
      <c r="AU74" s="65">
        <f>IFERROR(VLOOKUP($AO74,'General Lookups'!$A$1:$F$113,5,FALSE),"")</f>
        <v>3</v>
      </c>
      <c r="AV74" s="65" t="s">
        <v>399</v>
      </c>
      <c r="AX74" s="67"/>
      <c r="AY74" s="67"/>
      <c r="AZ74" s="67"/>
      <c r="BA74" s="67"/>
      <c r="BB74" s="67"/>
      <c r="BC74" s="230" t="str">
        <f t="shared" si="15"/>
        <v/>
      </c>
      <c r="BD74" s="250" t="str">
        <f t="shared" si="16"/>
        <v/>
      </c>
    </row>
    <row r="75" spans="31:56" x14ac:dyDescent="0.3">
      <c r="AE75" s="204" t="s">
        <v>398</v>
      </c>
      <c r="AF75" s="204" t="s">
        <v>398</v>
      </c>
      <c r="AG75" s="204" t="s">
        <v>398</v>
      </c>
      <c r="AH75" s="8" t="s">
        <v>195</v>
      </c>
      <c r="AI75" s="65">
        <f t="shared" ca="1" si="17"/>
        <v>499.24061174050581</v>
      </c>
      <c r="AJ75" s="65">
        <f t="shared" ca="1" si="17"/>
        <v>382.97805824472664</v>
      </c>
      <c r="AK75" s="65">
        <f t="shared" ca="1" si="17"/>
        <v>522.19729999403523</v>
      </c>
      <c r="AL75" s="65">
        <f t="shared" ca="1" si="17"/>
        <v>572.44095358321999</v>
      </c>
      <c r="AM75" s="65">
        <f t="shared" ca="1" si="17"/>
        <v>119.17337041663623</v>
      </c>
      <c r="AN75" s="229"/>
      <c r="AO75" s="12" t="s">
        <v>195</v>
      </c>
      <c r="AP75" s="227">
        <f t="shared" ca="1" si="6"/>
        <v>756.84412724149388</v>
      </c>
      <c r="AQ75" s="227">
        <f t="shared" ca="1" si="7"/>
        <v>160096.27587615716</v>
      </c>
      <c r="AR75" s="4">
        <f t="shared" ca="1" si="8"/>
        <v>4.7274311853884249E-3</v>
      </c>
      <c r="AS75" s="65" t="str">
        <f>IFERROR(VLOOKUP($AO75,'General Lookups'!$A$1:$F$113,2,FALSE),"")</f>
        <v>RC</v>
      </c>
      <c r="AT75" s="65">
        <f>IFERROR(VLOOKUP($AO75,'General Lookups'!$A$1:$F$113,4,FALSE),"")</f>
        <v>9</v>
      </c>
      <c r="AU75" s="65">
        <f>IFERROR(VLOOKUP($AO75,'General Lookups'!$A$1:$F$113,5,FALSE),"")</f>
        <v>1</v>
      </c>
      <c r="AV75" s="65" t="s">
        <v>399</v>
      </c>
      <c r="AX75" s="67"/>
      <c r="AY75" s="67"/>
      <c r="AZ75" s="67"/>
      <c r="BA75" s="67"/>
      <c r="BB75" s="67"/>
      <c r="BC75" s="230" t="str">
        <f t="shared" si="15"/>
        <v/>
      </c>
      <c r="BD75" s="250" t="str">
        <f t="shared" si="16"/>
        <v/>
      </c>
    </row>
    <row r="76" spans="31:56" x14ac:dyDescent="0.3">
      <c r="AE76" s="204" t="s">
        <v>398</v>
      </c>
      <c r="AF76" s="204" t="s">
        <v>398</v>
      </c>
      <c r="AG76" s="204" t="s">
        <v>398</v>
      </c>
      <c r="AH76" s="8" t="s">
        <v>196</v>
      </c>
      <c r="AI76" s="65">
        <f t="shared" ca="1" si="17"/>
        <v>447.96985121972631</v>
      </c>
      <c r="AJ76" s="65">
        <f t="shared" ca="1" si="17"/>
        <v>542.19566571132532</v>
      </c>
      <c r="AK76" s="65">
        <f t="shared" ca="1" si="17"/>
        <v>167.56145270180457</v>
      </c>
      <c r="AL76" s="65">
        <f t="shared" ca="1" si="17"/>
        <v>351.54231567765714</v>
      </c>
      <c r="AM76" s="65">
        <f t="shared" ca="1" si="17"/>
        <v>951.19399370254143</v>
      </c>
      <c r="AN76" s="229"/>
      <c r="AO76" s="12" t="s">
        <v>196</v>
      </c>
      <c r="AP76" s="227">
        <f t="shared" ca="1" si="6"/>
        <v>616.41267378255122</v>
      </c>
      <c r="AQ76" s="227">
        <f t="shared" ca="1" si="7"/>
        <v>59833.61870201167</v>
      </c>
      <c r="AR76" s="4">
        <f t="shared" ca="1" si="8"/>
        <v>1.0302112543994046E-2</v>
      </c>
      <c r="AS76" s="65" t="str">
        <f>IFERROR(VLOOKUP($AO76,'General Lookups'!$A$1:$F$113,2,FALSE),"")</f>
        <v>RC</v>
      </c>
      <c r="AT76" s="65">
        <f>IFERROR(VLOOKUP($AO76,'General Lookups'!$A$1:$F$113,4,FALSE),"")</f>
        <v>3</v>
      </c>
      <c r="AU76" s="65">
        <f>IFERROR(VLOOKUP($AO76,'General Lookups'!$A$1:$F$113,5,FALSE),"")</f>
        <v>1</v>
      </c>
      <c r="AV76" s="65" t="s">
        <v>399</v>
      </c>
      <c r="AX76" s="67"/>
      <c r="AY76" s="67"/>
      <c r="AZ76" s="67"/>
      <c r="BA76" s="67"/>
      <c r="BB76" s="67"/>
    </row>
    <row r="77" spans="31:56" x14ac:dyDescent="0.3">
      <c r="AE77" s="204" t="s">
        <v>398</v>
      </c>
      <c r="AF77" s="204" t="s">
        <v>398</v>
      </c>
      <c r="AG77" s="204" t="s">
        <v>398</v>
      </c>
      <c r="AH77" s="8" t="s">
        <v>197</v>
      </c>
      <c r="AI77" s="65">
        <f t="shared" ca="1" si="17"/>
        <v>165.76544655378967</v>
      </c>
      <c r="AJ77" s="65">
        <f t="shared" ca="1" si="17"/>
        <v>527.35732095726246</v>
      </c>
      <c r="AK77" s="65">
        <f t="shared" ca="1" si="17"/>
        <v>124.85986108920322</v>
      </c>
      <c r="AL77" s="65">
        <f t="shared" ca="1" si="17"/>
        <v>536.53390073077912</v>
      </c>
      <c r="AM77" s="65">
        <f t="shared" ca="1" si="17"/>
        <v>737.98643552451892</v>
      </c>
      <c r="AN77" s="229"/>
      <c r="AO77" s="12" t="s">
        <v>197</v>
      </c>
      <c r="AP77" s="227">
        <f t="shared" ca="1" si="6"/>
        <v>675.98282575232065</v>
      </c>
      <c r="AQ77" s="227">
        <f t="shared" ca="1" si="7"/>
        <v>140017.09898864728</v>
      </c>
      <c r="AR77" s="4">
        <f t="shared" ca="1" si="8"/>
        <v>4.827859101745352E-3</v>
      </c>
      <c r="AS77" s="65" t="str">
        <f>IFERROR(VLOOKUP($AO77,'General Lookups'!$A$1:$F$113,2,FALSE),"")</f>
        <v>RC</v>
      </c>
      <c r="AT77" s="65">
        <f>IFERROR(VLOOKUP($AO77,'General Lookups'!$A$1:$F$113,4,FALSE),"")</f>
        <v>6</v>
      </c>
      <c r="AU77" s="65">
        <f>IFERROR(VLOOKUP($AO77,'General Lookups'!$A$1:$F$113,5,FALSE),"")</f>
        <v>2</v>
      </c>
      <c r="AV77" s="65" t="s">
        <v>399</v>
      </c>
    </row>
    <row r="78" spans="31:56" x14ac:dyDescent="0.3">
      <c r="AE78" s="204" t="s">
        <v>398</v>
      </c>
      <c r="AF78" s="204" t="s">
        <v>398</v>
      </c>
      <c r="AG78" s="204" t="s">
        <v>398</v>
      </c>
      <c r="AH78" s="8" t="s">
        <v>198</v>
      </c>
      <c r="AI78" s="65">
        <f t="shared" ref="AI78:AM124" ca="1" si="18">RAND()*1000</f>
        <v>542.96080781294461</v>
      </c>
      <c r="AJ78" s="65">
        <f t="shared" ca="1" si="18"/>
        <v>274.08984569342533</v>
      </c>
      <c r="AK78" s="65">
        <f t="shared" ca="1" si="18"/>
        <v>46.540713515268891</v>
      </c>
      <c r="AL78" s="65">
        <f t="shared" ca="1" si="18"/>
        <v>325.18646516563354</v>
      </c>
      <c r="AM78" s="65">
        <f t="shared" ca="1" si="18"/>
        <v>983.40988484270213</v>
      </c>
      <c r="AN78" s="229"/>
      <c r="AO78" s="12" t="s">
        <v>198</v>
      </c>
      <c r="AP78" s="227">
        <f t="shared" ref="AP78:AP124" ca="1" si="19">RAND()*2000</f>
        <v>1846.768818281967</v>
      </c>
      <c r="AQ78" s="227">
        <f t="shared" ref="AQ78:AQ124" ca="1" si="20">RAND()*200000</f>
        <v>42938.202506517431</v>
      </c>
      <c r="AR78" s="4">
        <f t="shared" ref="AR78:AR124" ca="1" si="21">AP78/AQ78</f>
        <v>4.3009923808563083E-2</v>
      </c>
      <c r="AS78" s="65" t="str">
        <f>IFERROR(VLOOKUP($AO78,'General Lookups'!$A$1:$F$113,2,FALSE),"")</f>
        <v>RB</v>
      </c>
      <c r="AT78" s="65">
        <f>IFERROR(VLOOKUP($AO78,'General Lookups'!$A$1:$F$113,4,FALSE),"")</f>
        <v>4</v>
      </c>
      <c r="AU78" s="65">
        <f>IFERROR(VLOOKUP($AO78,'General Lookups'!$A$1:$F$113,5,FALSE),"")</f>
        <v>4</v>
      </c>
      <c r="AV78" s="65" t="s">
        <v>399</v>
      </c>
    </row>
    <row r="79" spans="31:56" x14ac:dyDescent="0.3">
      <c r="AE79" s="204" t="s">
        <v>398</v>
      </c>
      <c r="AF79" s="204" t="s">
        <v>398</v>
      </c>
      <c r="AG79" s="204" t="s">
        <v>398</v>
      </c>
      <c r="AH79" s="8" t="s">
        <v>199</v>
      </c>
      <c r="AI79" s="65">
        <f t="shared" ca="1" si="18"/>
        <v>46.387633113553761</v>
      </c>
      <c r="AJ79" s="65">
        <f t="shared" ca="1" si="18"/>
        <v>477.96886037413731</v>
      </c>
      <c r="AK79" s="65">
        <f t="shared" ca="1" si="18"/>
        <v>579.05424951514328</v>
      </c>
      <c r="AL79" s="65">
        <f t="shared" ca="1" si="18"/>
        <v>956.87872765310601</v>
      </c>
      <c r="AM79" s="65">
        <f t="shared" ca="1" si="18"/>
        <v>649.16348644901063</v>
      </c>
      <c r="AN79" s="229"/>
      <c r="AO79" s="12" t="s">
        <v>199</v>
      </c>
      <c r="AP79" s="227">
        <f t="shared" ca="1" si="19"/>
        <v>1228.9600410595019</v>
      </c>
      <c r="AQ79" s="227">
        <f t="shared" ca="1" si="20"/>
        <v>125998.91345000247</v>
      </c>
      <c r="AR79" s="4">
        <f t="shared" ca="1" si="21"/>
        <v>9.7537352300039043E-3</v>
      </c>
      <c r="AS79" s="65" t="str">
        <f>IFERROR(VLOOKUP($AO79,'General Lookups'!$A$1:$F$113,2,FALSE),"")</f>
        <v>RB</v>
      </c>
      <c r="AT79" s="65">
        <f>IFERROR(VLOOKUP($AO79,'General Lookups'!$A$1:$F$113,4,FALSE),"")</f>
        <v>64</v>
      </c>
      <c r="AU79" s="65">
        <f>IFERROR(VLOOKUP($AO79,'General Lookups'!$A$1:$F$113,5,FALSE),"")</f>
        <v>3</v>
      </c>
      <c r="AV79" s="65" t="s">
        <v>399</v>
      </c>
    </row>
    <row r="80" spans="31:56" x14ac:dyDescent="0.3">
      <c r="AE80" s="204" t="s">
        <v>398</v>
      </c>
      <c r="AF80" s="204" t="s">
        <v>398</v>
      </c>
      <c r="AG80" s="204" t="s">
        <v>398</v>
      </c>
      <c r="AH80" s="8" t="s">
        <v>200</v>
      </c>
      <c r="AI80" s="65">
        <f t="shared" ca="1" si="18"/>
        <v>108.96729325055709</v>
      </c>
      <c r="AJ80" s="65">
        <f t="shared" ca="1" si="18"/>
        <v>716.14244462268346</v>
      </c>
      <c r="AK80" s="65">
        <f t="shared" ca="1" si="18"/>
        <v>218.45311292626002</v>
      </c>
      <c r="AL80" s="65">
        <f t="shared" ca="1" si="18"/>
        <v>131.67092102436439</v>
      </c>
      <c r="AM80" s="65">
        <f t="shared" ca="1" si="18"/>
        <v>175.87637419278602</v>
      </c>
      <c r="AN80" s="229"/>
      <c r="AO80" s="12" t="s">
        <v>200</v>
      </c>
      <c r="AP80" s="227">
        <f t="shared" ca="1" si="19"/>
        <v>145.28002435865139</v>
      </c>
      <c r="AQ80" s="227">
        <f t="shared" ca="1" si="20"/>
        <v>78281.372043230018</v>
      </c>
      <c r="AR80" s="4">
        <f t="shared" ca="1" si="21"/>
        <v>1.855869673291139E-3</v>
      </c>
      <c r="AS80" s="65" t="str">
        <f>IFERROR(VLOOKUP($AO80,'General Lookups'!$A$1:$F$113,2,FALSE),"")</f>
        <v>RB</v>
      </c>
      <c r="AT80" s="65">
        <f>IFERROR(VLOOKUP($AO80,'General Lookups'!$A$1:$F$113,4,FALSE),"")</f>
        <v>27</v>
      </c>
      <c r="AU80" s="65">
        <f>IFERROR(VLOOKUP($AO80,'General Lookups'!$A$1:$F$113,5,FALSE),"")</f>
        <v>1</v>
      </c>
      <c r="AV80" s="65" t="s">
        <v>399</v>
      </c>
    </row>
    <row r="81" spans="31:48" x14ac:dyDescent="0.3">
      <c r="AE81" s="204" t="s">
        <v>398</v>
      </c>
      <c r="AF81" s="204" t="s">
        <v>398</v>
      </c>
      <c r="AG81" s="204" t="s">
        <v>398</v>
      </c>
      <c r="AH81" s="8" t="s">
        <v>201</v>
      </c>
      <c r="AI81" s="65">
        <f t="shared" ca="1" si="18"/>
        <v>39.844736082896958</v>
      </c>
      <c r="AJ81" s="65">
        <f t="shared" ca="1" si="18"/>
        <v>122.31306450602585</v>
      </c>
      <c r="AK81" s="65">
        <f t="shared" ca="1" si="18"/>
        <v>891.34427272311609</v>
      </c>
      <c r="AL81" s="65">
        <f t="shared" ca="1" si="18"/>
        <v>83.67000004363689</v>
      </c>
      <c r="AM81" s="65">
        <f t="shared" ca="1" si="18"/>
        <v>777.59423560381197</v>
      </c>
      <c r="AN81" s="229"/>
      <c r="AO81" s="12" t="s">
        <v>201</v>
      </c>
      <c r="AP81" s="227">
        <f t="shared" ca="1" si="19"/>
        <v>545.43619675951754</v>
      </c>
      <c r="AQ81" s="227">
        <f t="shared" ca="1" si="20"/>
        <v>23428.225301270511</v>
      </c>
      <c r="AR81" s="4">
        <f t="shared" ca="1" si="21"/>
        <v>2.3281157225764709E-2</v>
      </c>
      <c r="AS81" s="65" t="str">
        <f>IFERROR(VLOOKUP($AO81,'General Lookups'!$A$1:$F$113,2,FALSE),"")</f>
        <v>RB</v>
      </c>
      <c r="AT81" s="65">
        <f>IFERROR(VLOOKUP($AO81,'General Lookups'!$A$1:$F$113,4,FALSE),"")</f>
        <v>29</v>
      </c>
      <c r="AU81" s="65">
        <f>IFERROR(VLOOKUP($AO81,'General Lookups'!$A$1:$F$113,5,FALSE),"")</f>
        <v>3</v>
      </c>
      <c r="AV81" s="65" t="s">
        <v>399</v>
      </c>
    </row>
    <row r="82" spans="31:48" x14ac:dyDescent="0.3">
      <c r="AE82" s="204" t="s">
        <v>398</v>
      </c>
      <c r="AF82" s="204" t="s">
        <v>398</v>
      </c>
      <c r="AG82" s="204" t="s">
        <v>398</v>
      </c>
      <c r="AH82" s="8" t="s">
        <v>202</v>
      </c>
      <c r="AI82" s="65">
        <f t="shared" ca="1" si="18"/>
        <v>185.31726375862411</v>
      </c>
      <c r="AJ82" s="65">
        <f t="shared" ca="1" si="18"/>
        <v>284.9915611184465</v>
      </c>
      <c r="AK82" s="65">
        <f t="shared" ca="1" si="18"/>
        <v>263.32201093290917</v>
      </c>
      <c r="AL82" s="65">
        <f t="shared" ca="1" si="18"/>
        <v>768.67722435377993</v>
      </c>
      <c r="AM82" s="65">
        <f t="shared" ca="1" si="18"/>
        <v>534.50472897615077</v>
      </c>
      <c r="AN82" s="229"/>
      <c r="AO82" s="12" t="s">
        <v>202</v>
      </c>
      <c r="AP82" s="227">
        <f t="shared" ca="1" si="19"/>
        <v>287.41676599306822</v>
      </c>
      <c r="AQ82" s="227">
        <f t="shared" ca="1" si="20"/>
        <v>106325.12397970029</v>
      </c>
      <c r="AR82" s="4">
        <f t="shared" ca="1" si="21"/>
        <v>2.703187687304669E-3</v>
      </c>
      <c r="AS82" s="65" t="str">
        <f>IFERROR(VLOOKUP($AO82,'General Lookups'!$A$1:$F$113,2,FALSE),"")</f>
        <v>RB</v>
      </c>
      <c r="AT82" s="65">
        <f>IFERROR(VLOOKUP($AO82,'General Lookups'!$A$1:$F$113,4,FALSE),"")</f>
        <v>92</v>
      </c>
      <c r="AU82" s="65">
        <f>IFERROR(VLOOKUP($AO82,'General Lookups'!$A$1:$F$113,5,FALSE),"")</f>
        <v>1</v>
      </c>
      <c r="AV82" s="65" t="s">
        <v>399</v>
      </c>
    </row>
    <row r="83" spans="31:48" x14ac:dyDescent="0.3">
      <c r="AE83" s="204" t="s">
        <v>398</v>
      </c>
      <c r="AF83" s="204" t="s">
        <v>398</v>
      </c>
      <c r="AG83" s="204" t="s">
        <v>398</v>
      </c>
      <c r="AH83" s="8" t="s">
        <v>203</v>
      </c>
      <c r="AI83" s="65">
        <f t="shared" ca="1" si="18"/>
        <v>466.80272370933261</v>
      </c>
      <c r="AJ83" s="65">
        <f t="shared" ca="1" si="18"/>
        <v>968.22362235388152</v>
      </c>
      <c r="AK83" s="65">
        <f t="shared" ca="1" si="18"/>
        <v>234.82860434513532</v>
      </c>
      <c r="AL83" s="65">
        <f t="shared" ca="1" si="18"/>
        <v>443.80026980377875</v>
      </c>
      <c r="AM83" s="65">
        <f t="shared" ca="1" si="18"/>
        <v>905.80075939900451</v>
      </c>
      <c r="AN83" s="229"/>
      <c r="AO83" s="12" t="s">
        <v>203</v>
      </c>
      <c r="AP83" s="227">
        <f t="shared" ca="1" si="19"/>
        <v>1386.4376271902197</v>
      </c>
      <c r="AQ83" s="227">
        <f t="shared" ca="1" si="20"/>
        <v>65822.581105694859</v>
      </c>
      <c r="AR83" s="4">
        <f t="shared" ca="1" si="21"/>
        <v>2.1063252213764486E-2</v>
      </c>
      <c r="AS83" s="65" t="str">
        <f>IFERROR(VLOOKUP($AO83,'General Lookups'!$A$1:$F$113,2,FALSE),"")</f>
        <v>RA</v>
      </c>
      <c r="AT83" s="65">
        <f>IFERROR(VLOOKUP($AO83,'General Lookups'!$A$1:$F$113,4,FALSE),"")</f>
        <v>7</v>
      </c>
      <c r="AU83" s="65">
        <f>IFERROR(VLOOKUP($AO83,'General Lookups'!$A$1:$F$113,5,FALSE),"")</f>
        <v>3</v>
      </c>
      <c r="AV83" s="65" t="s">
        <v>399</v>
      </c>
    </row>
    <row r="84" spans="31:48" x14ac:dyDescent="0.3">
      <c r="AE84" s="204" t="s">
        <v>398</v>
      </c>
      <c r="AF84" s="204" t="s">
        <v>398</v>
      </c>
      <c r="AG84" s="204" t="s">
        <v>398</v>
      </c>
      <c r="AH84" s="8" t="s">
        <v>204</v>
      </c>
      <c r="AI84" s="65">
        <f t="shared" ca="1" si="18"/>
        <v>488.00525468844603</v>
      </c>
      <c r="AJ84" s="65">
        <f t="shared" ca="1" si="18"/>
        <v>302.18881825463598</v>
      </c>
      <c r="AK84" s="65">
        <f t="shared" ca="1" si="18"/>
        <v>605.13900606146535</v>
      </c>
      <c r="AL84" s="65">
        <f t="shared" ca="1" si="18"/>
        <v>321.12589557347712</v>
      </c>
      <c r="AM84" s="65">
        <f t="shared" ca="1" si="18"/>
        <v>805.24050835165781</v>
      </c>
      <c r="AN84" s="229"/>
      <c r="AO84" s="12" t="s">
        <v>204</v>
      </c>
      <c r="AP84" s="227">
        <f t="shared" ca="1" si="19"/>
        <v>1912.1449677745418</v>
      </c>
      <c r="AQ84" s="227">
        <f t="shared" ca="1" si="20"/>
        <v>22180.527605876032</v>
      </c>
      <c r="AR84" s="4">
        <f t="shared" ca="1" si="21"/>
        <v>8.6208272487980825E-2</v>
      </c>
      <c r="AS84" s="65" t="str">
        <f>IFERROR(VLOOKUP($AO84,'General Lookups'!$A$1:$F$113,2,FALSE),"")</f>
        <v>RA</v>
      </c>
      <c r="AT84" s="65">
        <f>IFERROR(VLOOKUP($AO84,'General Lookups'!$A$1:$F$113,4,FALSE),"")</f>
        <v>8</v>
      </c>
      <c r="AU84" s="65">
        <f>IFERROR(VLOOKUP($AO84,'General Lookups'!$A$1:$F$113,5,FALSE),"")</f>
        <v>3</v>
      </c>
      <c r="AV84" s="65" t="s">
        <v>399</v>
      </c>
    </row>
    <row r="85" spans="31:48" x14ac:dyDescent="0.3">
      <c r="AE85" s="204" t="s">
        <v>398</v>
      </c>
      <c r="AF85" s="204" t="s">
        <v>398</v>
      </c>
      <c r="AG85" s="204" t="s">
        <v>398</v>
      </c>
      <c r="AH85" s="8" t="s">
        <v>205</v>
      </c>
      <c r="AI85" s="65">
        <f t="shared" ca="1" si="18"/>
        <v>376.93999808419267</v>
      </c>
      <c r="AJ85" s="65">
        <f t="shared" ca="1" si="18"/>
        <v>811.94670825311948</v>
      </c>
      <c r="AK85" s="65">
        <f t="shared" ca="1" si="18"/>
        <v>339.95256564007104</v>
      </c>
      <c r="AL85" s="65">
        <f t="shared" ca="1" si="18"/>
        <v>775.76071536856068</v>
      </c>
      <c r="AM85" s="65">
        <f t="shared" ca="1" si="18"/>
        <v>46.870549092364215</v>
      </c>
      <c r="AN85" s="229"/>
      <c r="AO85" s="12" t="s">
        <v>205</v>
      </c>
      <c r="AP85" s="227">
        <f t="shared" ca="1" si="19"/>
        <v>1158.5290608178491</v>
      </c>
      <c r="AQ85" s="227">
        <f t="shared" ca="1" si="20"/>
        <v>63453.689254731515</v>
      </c>
      <c r="AR85" s="4">
        <f t="shared" ca="1" si="21"/>
        <v>1.8257867657891329E-2</v>
      </c>
      <c r="AS85" s="65" t="str">
        <f>IFERROR(VLOOKUP($AO85,'General Lookups'!$A$1:$F$113,2,FALSE),"")</f>
        <v>RA</v>
      </c>
      <c r="AT85" s="65">
        <f>IFERROR(VLOOKUP($AO85,'General Lookups'!$A$1:$F$113,4,FALSE),"")</f>
        <v>52</v>
      </c>
      <c r="AU85" s="65">
        <f>IFERROR(VLOOKUP($AO85,'General Lookups'!$A$1:$F$113,5,FALSE),"")</f>
        <v>2</v>
      </c>
      <c r="AV85" s="65" t="s">
        <v>399</v>
      </c>
    </row>
    <row r="86" spans="31:48" x14ac:dyDescent="0.3">
      <c r="AE86" s="204" t="s">
        <v>398</v>
      </c>
      <c r="AF86" s="204" t="s">
        <v>398</v>
      </c>
      <c r="AG86" s="204" t="s">
        <v>398</v>
      </c>
      <c r="AH86" s="8" t="s">
        <v>206</v>
      </c>
      <c r="AI86" s="65">
        <f t="shared" ca="1" si="18"/>
        <v>605.23692246514327</v>
      </c>
      <c r="AJ86" s="65">
        <f t="shared" ca="1" si="18"/>
        <v>711.11348858583005</v>
      </c>
      <c r="AK86" s="65">
        <f t="shared" ca="1" si="18"/>
        <v>378.98162588326022</v>
      </c>
      <c r="AL86" s="65">
        <f t="shared" ca="1" si="18"/>
        <v>401.11057948081077</v>
      </c>
      <c r="AM86" s="65">
        <f t="shared" ca="1" si="18"/>
        <v>728.30386262291654</v>
      </c>
      <c r="AN86" s="229"/>
      <c r="AO86" s="12" t="s">
        <v>206</v>
      </c>
      <c r="AP86" s="227">
        <f t="shared" ca="1" si="19"/>
        <v>1005.7990503547744</v>
      </c>
      <c r="AQ86" s="227">
        <f t="shared" ca="1" si="20"/>
        <v>106452.8174249385</v>
      </c>
      <c r="AR86" s="4">
        <f t="shared" ca="1" si="21"/>
        <v>9.4483084119777148E-3</v>
      </c>
      <c r="AS86" s="65" t="str">
        <f>IFERROR(VLOOKUP($AO86,'General Lookups'!$A$1:$F$113,2,FALSE),"")</f>
        <v>RA</v>
      </c>
      <c r="AT86" s="65">
        <f>IFERROR(VLOOKUP($AO86,'General Lookups'!$A$1:$F$113,4,FALSE),"")</f>
        <v>14</v>
      </c>
      <c r="AU86" s="65">
        <f>IFERROR(VLOOKUP($AO86,'General Lookups'!$A$1:$F$113,5,FALSE),"")</f>
        <v>2</v>
      </c>
      <c r="AV86" s="65" t="s">
        <v>399</v>
      </c>
    </row>
    <row r="87" spans="31:48" x14ac:dyDescent="0.3">
      <c r="AE87" s="204" t="s">
        <v>398</v>
      </c>
      <c r="AF87" s="204" t="s">
        <v>398</v>
      </c>
      <c r="AG87" s="204" t="s">
        <v>398</v>
      </c>
      <c r="AH87" s="8" t="s">
        <v>207</v>
      </c>
      <c r="AI87" s="65">
        <f t="shared" ca="1" si="18"/>
        <v>378.3841156057124</v>
      </c>
      <c r="AJ87" s="65">
        <f t="shared" ca="1" si="18"/>
        <v>790.41407546822711</v>
      </c>
      <c r="AK87" s="65">
        <f t="shared" ca="1" si="18"/>
        <v>114.14844867578822</v>
      </c>
      <c r="AL87" s="65">
        <f t="shared" ca="1" si="18"/>
        <v>593.12033328701807</v>
      </c>
      <c r="AM87" s="65">
        <f t="shared" ca="1" si="18"/>
        <v>813.124499736752</v>
      </c>
      <c r="AN87" s="229"/>
      <c r="AO87" s="12" t="s">
        <v>207</v>
      </c>
      <c r="AP87" s="227">
        <f t="shared" ca="1" si="19"/>
        <v>1150.8546326194066</v>
      </c>
      <c r="AQ87" s="227">
        <f t="shared" ca="1" si="20"/>
        <v>154683.57191444308</v>
      </c>
      <c r="AR87" s="4">
        <f t="shared" ca="1" si="21"/>
        <v>7.4400572625511587E-3</v>
      </c>
      <c r="AS87" s="65" t="str">
        <f>IFERROR(VLOOKUP($AO87,'General Lookups'!$A$1:$F$113,2,FALSE),"")</f>
        <v>RB</v>
      </c>
      <c r="AT87" s="65">
        <f>IFERROR(VLOOKUP($AO87,'General Lookups'!$A$1:$F$113,4,FALSE),"")</f>
        <v>80</v>
      </c>
      <c r="AU87" s="65">
        <f>IFERROR(VLOOKUP($AO87,'General Lookups'!$A$1:$F$113,5,FALSE),"")</f>
        <v>3</v>
      </c>
      <c r="AV87" s="65" t="s">
        <v>399</v>
      </c>
    </row>
    <row r="88" spans="31:48" x14ac:dyDescent="0.3">
      <c r="AE88" s="204" t="s">
        <v>398</v>
      </c>
      <c r="AF88" s="204" t="s">
        <v>398</v>
      </c>
      <c r="AG88" s="204" t="s">
        <v>398</v>
      </c>
      <c r="AH88" s="8" t="s">
        <v>208</v>
      </c>
      <c r="AI88" s="65">
        <f t="shared" ca="1" si="18"/>
        <v>911.05355175834916</v>
      </c>
      <c r="AJ88" s="65">
        <f t="shared" ca="1" si="18"/>
        <v>16.855646514263189</v>
      </c>
      <c r="AK88" s="65">
        <f t="shared" ca="1" si="18"/>
        <v>498.08037900302014</v>
      </c>
      <c r="AL88" s="65">
        <f t="shared" ca="1" si="18"/>
        <v>500.36044188889508</v>
      </c>
      <c r="AM88" s="65">
        <f t="shared" ca="1" si="18"/>
        <v>465.31940572058483</v>
      </c>
      <c r="AN88" s="229"/>
      <c r="AO88" s="12" t="s">
        <v>208</v>
      </c>
      <c r="AP88" s="227">
        <f t="shared" ca="1" si="19"/>
        <v>321.21808074613864</v>
      </c>
      <c r="AQ88" s="227">
        <f t="shared" ca="1" si="20"/>
        <v>91569.640724328914</v>
      </c>
      <c r="AR88" s="4">
        <f t="shared" ca="1" si="21"/>
        <v>3.5079102441077396E-3</v>
      </c>
      <c r="AS88" s="65" t="str">
        <f>IFERROR(VLOOKUP($AO88,'General Lookups'!$A$1:$F$113,2,FALSE),"")</f>
        <v>RB</v>
      </c>
      <c r="AT88" s="65">
        <f>IFERROR(VLOOKUP($AO88,'General Lookups'!$A$1:$F$113,4,FALSE),"")</f>
        <v>44</v>
      </c>
      <c r="AU88" s="65">
        <f>IFERROR(VLOOKUP($AO88,'General Lookups'!$A$1:$F$113,5,FALSE),"")</f>
        <v>3</v>
      </c>
      <c r="AV88" s="65" t="s">
        <v>399</v>
      </c>
    </row>
    <row r="89" spans="31:48" x14ac:dyDescent="0.3">
      <c r="AE89" s="204" t="s">
        <v>398</v>
      </c>
      <c r="AF89" s="204" t="s">
        <v>398</v>
      </c>
      <c r="AG89" s="204" t="s">
        <v>398</v>
      </c>
      <c r="AH89" s="8" t="s">
        <v>209</v>
      </c>
      <c r="AI89" s="65">
        <f t="shared" ca="1" si="18"/>
        <v>701.09589836914756</v>
      </c>
      <c r="AJ89" s="65">
        <f t="shared" ca="1" si="18"/>
        <v>834.88037370166739</v>
      </c>
      <c r="AK89" s="65">
        <f t="shared" ca="1" si="18"/>
        <v>945.74892168652786</v>
      </c>
      <c r="AL89" s="65">
        <f t="shared" ca="1" si="18"/>
        <v>869.66155501155833</v>
      </c>
      <c r="AM89" s="65">
        <f t="shared" ca="1" si="18"/>
        <v>850.04625269916721</v>
      </c>
      <c r="AN89" s="229"/>
      <c r="AO89" s="12" t="s">
        <v>209</v>
      </c>
      <c r="AP89" s="227">
        <f t="shared" ca="1" si="19"/>
        <v>178.69954746344052</v>
      </c>
      <c r="AQ89" s="227">
        <f t="shared" ca="1" si="20"/>
        <v>95622.936753099406</v>
      </c>
      <c r="AR89" s="4">
        <f t="shared" ca="1" si="21"/>
        <v>1.86879375943919E-3</v>
      </c>
      <c r="AS89" s="65" t="str">
        <f>IFERROR(VLOOKUP($AO89,'General Lookups'!$A$1:$F$113,2,FALSE),"")</f>
        <v>RA</v>
      </c>
      <c r="AT89" s="65">
        <f>IFERROR(VLOOKUP($AO89,'General Lookups'!$A$1:$F$113,4,FALSE),"")</f>
        <v>37</v>
      </c>
      <c r="AU89" s="65">
        <f>IFERROR(VLOOKUP($AO89,'General Lookups'!$A$1:$F$113,5,FALSE),"")</f>
        <v>4</v>
      </c>
      <c r="AV89" s="65" t="s">
        <v>399</v>
      </c>
    </row>
    <row r="90" spans="31:48" x14ac:dyDescent="0.3">
      <c r="AE90" s="204" t="s">
        <v>398</v>
      </c>
      <c r="AF90" s="204" t="s">
        <v>398</v>
      </c>
      <c r="AG90" s="204" t="s">
        <v>398</v>
      </c>
      <c r="AH90" s="8" t="s">
        <v>210</v>
      </c>
      <c r="AI90" s="65">
        <f t="shared" ca="1" si="18"/>
        <v>402.73076199055527</v>
      </c>
      <c r="AJ90" s="65">
        <f t="shared" ca="1" si="18"/>
        <v>38.869030291818653</v>
      </c>
      <c r="AK90" s="65">
        <f t="shared" ca="1" si="18"/>
        <v>249.49949810984685</v>
      </c>
      <c r="AL90" s="65">
        <f t="shared" ca="1" si="18"/>
        <v>816.34717220573134</v>
      </c>
      <c r="AM90" s="65">
        <f t="shared" ca="1" si="18"/>
        <v>322.34240981129591</v>
      </c>
      <c r="AN90" s="229"/>
      <c r="AO90" s="12" t="s">
        <v>210</v>
      </c>
      <c r="AP90" s="227">
        <f t="shared" ca="1" si="19"/>
        <v>647.31630770550771</v>
      </c>
      <c r="AQ90" s="227">
        <f t="shared" ca="1" si="20"/>
        <v>118787.76141729367</v>
      </c>
      <c r="AR90" s="4">
        <f t="shared" ca="1" si="21"/>
        <v>5.4493518522630265E-3</v>
      </c>
      <c r="AS90" s="65" t="str">
        <f>IFERROR(VLOOKUP($AO90,'General Lookups'!$A$1:$F$113,2,FALSE),"")</f>
        <v>RA</v>
      </c>
      <c r="AT90" s="65">
        <f>IFERROR(VLOOKUP($AO90,'General Lookups'!$A$1:$F$113,4,FALSE),"")</f>
        <v>36</v>
      </c>
      <c r="AU90" s="65">
        <f>IFERROR(VLOOKUP($AO90,'General Lookups'!$A$1:$F$113,5,FALSE),"")</f>
        <v>3</v>
      </c>
      <c r="AV90" s="65" t="s">
        <v>399</v>
      </c>
    </row>
    <row r="91" spans="31:48" x14ac:dyDescent="0.3">
      <c r="AE91" s="204" t="s">
        <v>398</v>
      </c>
      <c r="AF91" s="204" t="s">
        <v>398</v>
      </c>
      <c r="AG91" s="204" t="s">
        <v>398</v>
      </c>
      <c r="AH91" s="8" t="s">
        <v>185</v>
      </c>
      <c r="AI91" s="65">
        <f t="shared" ca="1" si="18"/>
        <v>446.20254377648638</v>
      </c>
      <c r="AJ91" s="65">
        <f t="shared" ca="1" si="18"/>
        <v>777.15214860263893</v>
      </c>
      <c r="AK91" s="65">
        <f t="shared" ca="1" si="18"/>
        <v>422.75289594498003</v>
      </c>
      <c r="AL91" s="65">
        <f t="shared" ca="1" si="18"/>
        <v>966.95686270725878</v>
      </c>
      <c r="AM91" s="65">
        <f t="shared" ca="1" si="18"/>
        <v>115.75278346000972</v>
      </c>
      <c r="AN91" s="229"/>
      <c r="AO91" s="12" t="s">
        <v>185</v>
      </c>
      <c r="AP91" s="227">
        <f t="shared" ca="1" si="19"/>
        <v>1144.9035945920225</v>
      </c>
      <c r="AQ91" s="227">
        <f t="shared" ca="1" si="20"/>
        <v>23424.131233528646</v>
      </c>
      <c r="AR91" s="4">
        <f t="shared" ca="1" si="21"/>
        <v>4.8877099567869543E-2</v>
      </c>
      <c r="AS91" s="65" t="str">
        <f>IFERROR(VLOOKUP($AO91,'General Lookups'!$A$1:$F$113,2,FALSE),"")</f>
        <v>RB</v>
      </c>
      <c r="AT91" s="65">
        <f>IFERROR(VLOOKUP($AO91,'General Lookups'!$A$1:$F$113,4,FALSE),"")</f>
        <v>2</v>
      </c>
      <c r="AU91" s="65">
        <f>IFERROR(VLOOKUP($AO91,'General Lookups'!$A$1:$F$113,5,FALSE),"")</f>
        <v>4</v>
      </c>
      <c r="AV91" s="65" t="s">
        <v>399</v>
      </c>
    </row>
    <row r="92" spans="31:48" x14ac:dyDescent="0.3">
      <c r="AE92" s="204" t="s">
        <v>398</v>
      </c>
      <c r="AF92" s="204" t="s">
        <v>398</v>
      </c>
      <c r="AG92" s="204" t="s">
        <v>398</v>
      </c>
      <c r="AH92" s="8" t="s">
        <v>186</v>
      </c>
      <c r="AI92" s="65">
        <f t="shared" ca="1" si="18"/>
        <v>545.96105740276005</v>
      </c>
      <c r="AJ92" s="65">
        <f t="shared" ca="1" si="18"/>
        <v>746.39150682539628</v>
      </c>
      <c r="AK92" s="65">
        <f t="shared" ca="1" si="18"/>
        <v>207.45914342718729</v>
      </c>
      <c r="AL92" s="65">
        <f t="shared" ca="1" si="18"/>
        <v>230.57112199213049</v>
      </c>
      <c r="AM92" s="65">
        <f t="shared" ca="1" si="18"/>
        <v>295.31459089196943</v>
      </c>
      <c r="AN92" s="229"/>
      <c r="AO92" s="12" t="s">
        <v>186</v>
      </c>
      <c r="AP92" s="227">
        <f t="shared" ca="1" si="19"/>
        <v>1145.799106142716</v>
      </c>
      <c r="AQ92" s="227">
        <f t="shared" ca="1" si="20"/>
        <v>189927.97414992543</v>
      </c>
      <c r="AR92" s="4">
        <f t="shared" ca="1" si="21"/>
        <v>6.0328085489831243E-3</v>
      </c>
      <c r="AS92" s="65" t="str">
        <f>IFERROR(VLOOKUP($AO92,'General Lookups'!$A$1:$F$113,2,FALSE),"")</f>
        <v>RA</v>
      </c>
      <c r="AT92" s="65">
        <f>IFERROR(VLOOKUP($AO92,'General Lookups'!$A$1:$F$113,4,FALSE),"")</f>
        <v>9</v>
      </c>
      <c r="AU92" s="65">
        <f>IFERROR(VLOOKUP($AO92,'General Lookups'!$A$1:$F$113,5,FALSE),"")</f>
        <v>3</v>
      </c>
      <c r="AV92" s="65" t="s">
        <v>399</v>
      </c>
    </row>
    <row r="93" spans="31:48" x14ac:dyDescent="0.3">
      <c r="AE93" s="204" t="s">
        <v>398</v>
      </c>
      <c r="AF93" s="204" t="s">
        <v>398</v>
      </c>
      <c r="AG93" s="204" t="s">
        <v>398</v>
      </c>
      <c r="AH93" s="8" t="s">
        <v>187</v>
      </c>
      <c r="AI93" s="65">
        <f t="shared" ca="1" si="18"/>
        <v>893.85669713708114</v>
      </c>
      <c r="AJ93" s="65">
        <f t="shared" ca="1" si="18"/>
        <v>424.55086017298305</v>
      </c>
      <c r="AK93" s="65">
        <f t="shared" ca="1" si="18"/>
        <v>14.497423332577753</v>
      </c>
      <c r="AL93" s="65">
        <f t="shared" ca="1" si="18"/>
        <v>385.23445235477305</v>
      </c>
      <c r="AM93" s="65">
        <f t="shared" ca="1" si="18"/>
        <v>405.38040138269946</v>
      </c>
      <c r="AN93" s="229"/>
      <c r="AO93" s="12" t="s">
        <v>187</v>
      </c>
      <c r="AP93" s="227">
        <f t="shared" ca="1" si="19"/>
        <v>503.784835124393</v>
      </c>
      <c r="AQ93" s="227">
        <f t="shared" ca="1" si="20"/>
        <v>82279.268872308181</v>
      </c>
      <c r="AR93" s="4">
        <f t="shared" ca="1" si="21"/>
        <v>6.1228647510982717E-3</v>
      </c>
      <c r="AS93" s="65" t="str">
        <f>IFERROR(VLOOKUP($AO93,'General Lookups'!$A$1:$F$113,2,FALSE),"")</f>
        <v>RA</v>
      </c>
      <c r="AT93" s="65">
        <f>IFERROR(VLOOKUP($AO93,'General Lookups'!$A$1:$F$113,4,FALSE),"")</f>
        <v>10</v>
      </c>
      <c r="AU93" s="65">
        <f>IFERROR(VLOOKUP($AO93,'General Lookups'!$A$1:$F$113,5,FALSE),"")</f>
        <v>2</v>
      </c>
      <c r="AV93" s="65" t="s">
        <v>399</v>
      </c>
    </row>
    <row r="94" spans="31:48" x14ac:dyDescent="0.3">
      <c r="AE94" s="204" t="s">
        <v>398</v>
      </c>
      <c r="AF94" s="204" t="s">
        <v>398</v>
      </c>
      <c r="AG94" s="204" t="s">
        <v>398</v>
      </c>
      <c r="AH94" s="8" t="s">
        <v>188</v>
      </c>
      <c r="AI94" s="65">
        <f t="shared" ca="1" si="18"/>
        <v>253.35530500633473</v>
      </c>
      <c r="AJ94" s="65">
        <f t="shared" ca="1" si="18"/>
        <v>256.64754929893087</v>
      </c>
      <c r="AK94" s="65">
        <f t="shared" ca="1" si="18"/>
        <v>112.52981393988604</v>
      </c>
      <c r="AL94" s="65">
        <f t="shared" ca="1" si="18"/>
        <v>121.70504065335408</v>
      </c>
      <c r="AM94" s="65">
        <f t="shared" ca="1" si="18"/>
        <v>657.82972616579207</v>
      </c>
      <c r="AN94" s="229"/>
      <c r="AO94" s="12" t="s">
        <v>188</v>
      </c>
      <c r="AP94" s="227">
        <f t="shared" ca="1" si="19"/>
        <v>760.41966957304408</v>
      </c>
      <c r="AQ94" s="227">
        <f t="shared" ca="1" si="20"/>
        <v>39675.564113107263</v>
      </c>
      <c r="AR94" s="4">
        <f t="shared" ca="1" si="21"/>
        <v>1.9165944746374279E-2</v>
      </c>
      <c r="AS94" s="65" t="str">
        <f>IFERROR(VLOOKUP($AO94,'General Lookups'!$A$1:$F$113,2,FALSE),"")</f>
        <v>RA</v>
      </c>
      <c r="AT94" s="65">
        <f>IFERROR(VLOOKUP($AO94,'General Lookups'!$A$1:$F$113,4,FALSE),"")</f>
        <v>9</v>
      </c>
      <c r="AU94" s="65">
        <f>IFERROR(VLOOKUP($AO94,'General Lookups'!$A$1:$F$113,5,FALSE),"")</f>
        <v>2</v>
      </c>
      <c r="AV94" s="65" t="s">
        <v>399</v>
      </c>
    </row>
    <row r="95" spans="31:48" x14ac:dyDescent="0.3">
      <c r="AE95" s="204" t="s">
        <v>398</v>
      </c>
      <c r="AF95" s="204" t="s">
        <v>398</v>
      </c>
      <c r="AG95" s="204" t="s">
        <v>398</v>
      </c>
      <c r="AH95" s="8" t="s">
        <v>189</v>
      </c>
      <c r="AI95" s="65">
        <f t="shared" ca="1" si="18"/>
        <v>382.08592002583777</v>
      </c>
      <c r="AJ95" s="65">
        <f t="shared" ca="1" si="18"/>
        <v>749.06817936288917</v>
      </c>
      <c r="AK95" s="65">
        <f t="shared" ca="1" si="18"/>
        <v>936.57374992980169</v>
      </c>
      <c r="AL95" s="65">
        <f t="shared" ca="1" si="18"/>
        <v>518.858775088475</v>
      </c>
      <c r="AM95" s="65">
        <f t="shared" ca="1" si="18"/>
        <v>748.69985477907687</v>
      </c>
      <c r="AN95" s="229"/>
      <c r="AO95" s="12" t="s">
        <v>189</v>
      </c>
      <c r="AP95" s="227">
        <f t="shared" ca="1" si="19"/>
        <v>1308.6765353154237</v>
      </c>
      <c r="AQ95" s="227">
        <f t="shared" ca="1" si="20"/>
        <v>48747.371832999685</v>
      </c>
      <c r="AR95" s="4">
        <f t="shared" ca="1" si="21"/>
        <v>2.6846094181215141E-2</v>
      </c>
      <c r="AS95" s="65" t="str">
        <f>IFERROR(VLOOKUP($AO95,'General Lookups'!$A$1:$F$113,2,FALSE),"")</f>
        <v>RA</v>
      </c>
      <c r="AT95" s="65">
        <f>IFERROR(VLOOKUP($AO95,'General Lookups'!$A$1:$F$113,4,FALSE),"")</f>
        <v>337</v>
      </c>
      <c r="AU95" s="65">
        <f>IFERROR(VLOOKUP($AO95,'General Lookups'!$A$1:$F$113,5,FALSE),"")</f>
        <v>1</v>
      </c>
      <c r="AV95" s="65" t="s">
        <v>399</v>
      </c>
    </row>
    <row r="96" spans="31:48" x14ac:dyDescent="0.3">
      <c r="AE96" s="204" t="s">
        <v>398</v>
      </c>
      <c r="AF96" s="204" t="s">
        <v>398</v>
      </c>
      <c r="AG96" s="204" t="s">
        <v>398</v>
      </c>
      <c r="AH96" s="8" t="s">
        <v>190</v>
      </c>
      <c r="AI96" s="65">
        <f t="shared" ca="1" si="18"/>
        <v>266.11251359831709</v>
      </c>
      <c r="AJ96" s="65">
        <f t="shared" ca="1" si="18"/>
        <v>521.69029497880251</v>
      </c>
      <c r="AK96" s="65">
        <f t="shared" ca="1" si="18"/>
        <v>513.00081987878605</v>
      </c>
      <c r="AL96" s="65">
        <f t="shared" ca="1" si="18"/>
        <v>795.23466477679358</v>
      </c>
      <c r="AM96" s="65">
        <f t="shared" ca="1" si="18"/>
        <v>548.51607688944625</v>
      </c>
      <c r="AN96" s="229"/>
      <c r="AO96" s="12" t="s">
        <v>190</v>
      </c>
      <c r="AP96" s="227">
        <f t="shared" ca="1" si="19"/>
        <v>536.73027967485564</v>
      </c>
      <c r="AQ96" s="227">
        <f t="shared" ca="1" si="20"/>
        <v>86227.478596084868</v>
      </c>
      <c r="AR96" s="4">
        <f t="shared" ca="1" si="21"/>
        <v>6.2245851138598143E-3</v>
      </c>
      <c r="AS96" s="65" t="str">
        <f>IFERROR(VLOOKUP($AO96,'General Lookups'!$A$1:$F$113,2,FALSE),"")</f>
        <v>RA</v>
      </c>
      <c r="AT96" s="65">
        <f>IFERROR(VLOOKUP($AO96,'General Lookups'!$A$1:$F$113,4,FALSE),"")</f>
        <v>109</v>
      </c>
      <c r="AU96" s="65">
        <f>IFERROR(VLOOKUP($AO96,'General Lookups'!$A$1:$F$113,5,FALSE),"")</f>
        <v>4</v>
      </c>
      <c r="AV96" s="65" t="s">
        <v>399</v>
      </c>
    </row>
    <row r="97" spans="31:48" x14ac:dyDescent="0.3">
      <c r="AE97" s="204" t="s">
        <v>398</v>
      </c>
      <c r="AF97" s="204" t="s">
        <v>398</v>
      </c>
      <c r="AG97" s="204" t="s">
        <v>398</v>
      </c>
      <c r="AH97" s="8" t="s">
        <v>191</v>
      </c>
      <c r="AI97" s="65">
        <f t="shared" ca="1" si="18"/>
        <v>974.00887606383264</v>
      </c>
      <c r="AJ97" s="65">
        <f t="shared" ca="1" si="18"/>
        <v>11.683983340503246</v>
      </c>
      <c r="AK97" s="65">
        <f t="shared" ca="1" si="18"/>
        <v>213.22476644633159</v>
      </c>
      <c r="AL97" s="65">
        <f t="shared" ca="1" si="18"/>
        <v>453.7596860133084</v>
      </c>
      <c r="AM97" s="65">
        <f t="shared" ca="1" si="18"/>
        <v>168.71681034483578</v>
      </c>
      <c r="AN97" s="229"/>
      <c r="AO97" s="12" t="s">
        <v>191</v>
      </c>
      <c r="AP97" s="227">
        <f t="shared" ca="1" si="19"/>
        <v>163.6413217376298</v>
      </c>
      <c r="AQ97" s="227">
        <f t="shared" ca="1" si="20"/>
        <v>51953.545247630318</v>
      </c>
      <c r="AR97" s="4">
        <f t="shared" ca="1" si="21"/>
        <v>3.1497623686247618E-3</v>
      </c>
      <c r="AS97" s="65" t="str">
        <f>IFERROR(VLOOKUP($AO97,'General Lookups'!$A$1:$F$113,2,FALSE),"")</f>
        <v>RA</v>
      </c>
      <c r="AT97" s="65">
        <f>IFERROR(VLOOKUP($AO97,'General Lookups'!$A$1:$F$113,4,FALSE),"")</f>
        <v>0</v>
      </c>
      <c r="AU97" s="65">
        <f>IFERROR(VLOOKUP($AO97,'General Lookups'!$A$1:$F$113,5,FALSE),"")</f>
        <v>2</v>
      </c>
      <c r="AV97" s="65" t="s">
        <v>399</v>
      </c>
    </row>
    <row r="98" spans="31:48" x14ac:dyDescent="0.3">
      <c r="AE98" s="204" t="s">
        <v>398</v>
      </c>
      <c r="AF98" s="204" t="s">
        <v>398</v>
      </c>
      <c r="AG98" s="204" t="s">
        <v>398</v>
      </c>
      <c r="AH98" s="8" t="s">
        <v>192</v>
      </c>
      <c r="AI98" s="65">
        <f t="shared" ca="1" si="18"/>
        <v>302.14654696809549</v>
      </c>
      <c r="AJ98" s="65">
        <f t="shared" ca="1" si="18"/>
        <v>375.80761440699905</v>
      </c>
      <c r="AK98" s="65">
        <f t="shared" ca="1" si="18"/>
        <v>660.88106433542509</v>
      </c>
      <c r="AL98" s="65">
        <f t="shared" ca="1" si="18"/>
        <v>119.54023469780961</v>
      </c>
      <c r="AM98" s="65">
        <f t="shared" ca="1" si="18"/>
        <v>886.13524690235101</v>
      </c>
      <c r="AN98" s="229"/>
      <c r="AO98" s="12" t="s">
        <v>192</v>
      </c>
      <c r="AP98" s="227">
        <f t="shared" ca="1" si="19"/>
        <v>171.08258416057964</v>
      </c>
      <c r="AQ98" s="227">
        <f t="shared" ca="1" si="20"/>
        <v>117483.18375089324</v>
      </c>
      <c r="AR98" s="4">
        <f t="shared" ca="1" si="21"/>
        <v>1.4562304042026685E-3</v>
      </c>
      <c r="AS98" s="65" t="str">
        <f>IFERROR(VLOOKUP($AO98,'General Lookups'!$A$1:$F$113,2,FALSE),"")</f>
        <v>RA</v>
      </c>
      <c r="AT98" s="65">
        <f>IFERROR(VLOOKUP($AO98,'General Lookups'!$A$1:$F$113,4,FALSE),"")</f>
        <v>68</v>
      </c>
      <c r="AU98" s="65">
        <f>IFERROR(VLOOKUP($AO98,'General Lookups'!$A$1:$F$113,5,FALSE),"")</f>
        <v>1</v>
      </c>
      <c r="AV98" s="65" t="s">
        <v>399</v>
      </c>
    </row>
    <row r="99" spans="31:48" x14ac:dyDescent="0.3">
      <c r="AE99" s="204" t="s">
        <v>398</v>
      </c>
      <c r="AF99" s="204" t="s">
        <v>398</v>
      </c>
      <c r="AG99" s="204" t="s">
        <v>398</v>
      </c>
      <c r="AH99" s="8" t="s">
        <v>193</v>
      </c>
      <c r="AI99" s="65">
        <f t="shared" ca="1" si="18"/>
        <v>960.25650367432502</v>
      </c>
      <c r="AJ99" s="65">
        <f t="shared" ca="1" si="18"/>
        <v>336.82966727174801</v>
      </c>
      <c r="AK99" s="65">
        <f t="shared" ca="1" si="18"/>
        <v>471.51789239933385</v>
      </c>
      <c r="AL99" s="65">
        <f t="shared" ca="1" si="18"/>
        <v>16.799825832828574</v>
      </c>
      <c r="AM99" s="65">
        <f t="shared" ca="1" si="18"/>
        <v>187.35425993073639</v>
      </c>
      <c r="AN99" s="229"/>
      <c r="AO99" s="12" t="s">
        <v>193</v>
      </c>
      <c r="AP99" s="227">
        <f t="shared" ca="1" si="19"/>
        <v>333.20005540784848</v>
      </c>
      <c r="AQ99" s="227">
        <f t="shared" ca="1" si="20"/>
        <v>27736.65738248343</v>
      </c>
      <c r="AR99" s="4">
        <f t="shared" ca="1" si="21"/>
        <v>1.2012985227927096E-2</v>
      </c>
      <c r="AS99" s="65" t="str">
        <f>IFERROR(VLOOKUP($AO99,'General Lookups'!$A$1:$F$113,2,FALSE),"")</f>
        <v>RC</v>
      </c>
      <c r="AT99" s="65">
        <f>IFERROR(VLOOKUP($AO99,'General Lookups'!$A$1:$F$113,4,FALSE),"")</f>
        <v>2</v>
      </c>
      <c r="AU99" s="65">
        <f>IFERROR(VLOOKUP($AO99,'General Lookups'!$A$1:$F$113,5,FALSE),"")</f>
        <v>4</v>
      </c>
      <c r="AV99" s="65" t="s">
        <v>399</v>
      </c>
    </row>
    <row r="100" spans="31:48" x14ac:dyDescent="0.3">
      <c r="AE100" s="204" t="s">
        <v>398</v>
      </c>
      <c r="AF100" s="204" t="s">
        <v>398</v>
      </c>
      <c r="AG100" s="204" t="s">
        <v>398</v>
      </c>
      <c r="AH100" s="8" t="s">
        <v>194</v>
      </c>
      <c r="AI100" s="65">
        <f t="shared" ca="1" si="18"/>
        <v>821.39505883131039</v>
      </c>
      <c r="AJ100" s="65">
        <f t="shared" ca="1" si="18"/>
        <v>838.12150773442636</v>
      </c>
      <c r="AK100" s="65">
        <f t="shared" ca="1" si="18"/>
        <v>195.97338276903008</v>
      </c>
      <c r="AL100" s="65">
        <f t="shared" ca="1" si="18"/>
        <v>626.81532953663634</v>
      </c>
      <c r="AM100" s="65">
        <f t="shared" ca="1" si="18"/>
        <v>654.62602063857298</v>
      </c>
      <c r="AN100" s="229"/>
      <c r="AO100" s="12" t="s">
        <v>194</v>
      </c>
      <c r="AP100" s="227">
        <f t="shared" ca="1" si="19"/>
        <v>142.55078431081225</v>
      </c>
      <c r="AQ100" s="227">
        <f t="shared" ca="1" si="20"/>
        <v>61781.802880469862</v>
      </c>
      <c r="AR100" s="4">
        <f t="shared" ca="1" si="21"/>
        <v>2.3073263916659616E-3</v>
      </c>
      <c r="AS100" s="65" t="str">
        <f>IFERROR(VLOOKUP($AO100,'General Lookups'!$A$1:$F$113,2,FALSE),"")</f>
        <v>RC</v>
      </c>
      <c r="AT100" s="65">
        <f>IFERROR(VLOOKUP($AO100,'General Lookups'!$A$1:$F$113,4,FALSE),"")</f>
        <v>9</v>
      </c>
      <c r="AU100" s="65">
        <f>IFERROR(VLOOKUP($AO100,'General Lookups'!$A$1:$F$113,5,FALSE),"")</f>
        <v>3</v>
      </c>
      <c r="AV100" s="65" t="s">
        <v>399</v>
      </c>
    </row>
    <row r="101" spans="31:48" x14ac:dyDescent="0.3">
      <c r="AE101" s="204" t="s">
        <v>398</v>
      </c>
      <c r="AF101" s="204" t="s">
        <v>398</v>
      </c>
      <c r="AG101" s="204" t="s">
        <v>398</v>
      </c>
      <c r="AH101" s="8" t="s">
        <v>195</v>
      </c>
      <c r="AI101" s="65">
        <f t="shared" ca="1" si="18"/>
        <v>598.27717452967204</v>
      </c>
      <c r="AJ101" s="65">
        <f t="shared" ca="1" si="18"/>
        <v>544.68581320894998</v>
      </c>
      <c r="AK101" s="65">
        <f t="shared" ca="1" si="18"/>
        <v>23.126030103061911</v>
      </c>
      <c r="AL101" s="65">
        <f t="shared" ca="1" si="18"/>
        <v>985.64011870518414</v>
      </c>
      <c r="AM101" s="65">
        <f t="shared" ca="1" si="18"/>
        <v>925.52728955651446</v>
      </c>
      <c r="AN101" s="229"/>
      <c r="AO101" s="12" t="s">
        <v>195</v>
      </c>
      <c r="AP101" s="227">
        <f t="shared" ca="1" si="19"/>
        <v>979.63264505047243</v>
      </c>
      <c r="AQ101" s="227">
        <f t="shared" ca="1" si="20"/>
        <v>80144.417541385599</v>
      </c>
      <c r="AR101" s="4">
        <f t="shared" ca="1" si="21"/>
        <v>1.2223342250189817E-2</v>
      </c>
      <c r="AS101" s="65" t="str">
        <f>IFERROR(VLOOKUP($AO101,'General Lookups'!$A$1:$F$113,2,FALSE),"")</f>
        <v>RC</v>
      </c>
      <c r="AT101" s="65">
        <f>IFERROR(VLOOKUP($AO101,'General Lookups'!$A$1:$F$113,4,FALSE),"")</f>
        <v>9</v>
      </c>
      <c r="AU101" s="65">
        <f>IFERROR(VLOOKUP($AO101,'General Lookups'!$A$1:$F$113,5,FALSE),"")</f>
        <v>1</v>
      </c>
      <c r="AV101" s="65" t="s">
        <v>399</v>
      </c>
    </row>
    <row r="102" spans="31:48" x14ac:dyDescent="0.3">
      <c r="AE102" s="204" t="s">
        <v>398</v>
      </c>
      <c r="AF102" s="204" t="s">
        <v>398</v>
      </c>
      <c r="AG102" s="204" t="s">
        <v>398</v>
      </c>
      <c r="AH102" s="8" t="s">
        <v>196</v>
      </c>
      <c r="AI102" s="65">
        <f t="shared" ca="1" si="18"/>
        <v>417.41526841324151</v>
      </c>
      <c r="AJ102" s="65">
        <f t="shared" ca="1" si="18"/>
        <v>177.01282264694117</v>
      </c>
      <c r="AK102" s="65">
        <f t="shared" ca="1" si="18"/>
        <v>831.40897792721239</v>
      </c>
      <c r="AL102" s="65">
        <f t="shared" ca="1" si="18"/>
        <v>222.42773492782396</v>
      </c>
      <c r="AM102" s="65">
        <f t="shared" ca="1" si="18"/>
        <v>315.85933407142198</v>
      </c>
      <c r="AN102" s="229"/>
      <c r="AO102" s="12" t="s">
        <v>196</v>
      </c>
      <c r="AP102" s="227">
        <f t="shared" ca="1" si="19"/>
        <v>799.14025696132978</v>
      </c>
      <c r="AQ102" s="227">
        <f t="shared" ca="1" si="20"/>
        <v>70464.584101501227</v>
      </c>
      <c r="AR102" s="4">
        <f t="shared" ca="1" si="21"/>
        <v>1.1341019991123517E-2</v>
      </c>
      <c r="AS102" s="65" t="str">
        <f>IFERROR(VLOOKUP($AO102,'General Lookups'!$A$1:$F$113,2,FALSE),"")</f>
        <v>RC</v>
      </c>
      <c r="AT102" s="65">
        <f>IFERROR(VLOOKUP($AO102,'General Lookups'!$A$1:$F$113,4,FALSE),"")</f>
        <v>3</v>
      </c>
      <c r="AU102" s="65">
        <f>IFERROR(VLOOKUP($AO102,'General Lookups'!$A$1:$F$113,5,FALSE),"")</f>
        <v>1</v>
      </c>
      <c r="AV102" s="65" t="s">
        <v>399</v>
      </c>
    </row>
    <row r="103" spans="31:48" x14ac:dyDescent="0.3">
      <c r="AE103" s="204" t="s">
        <v>398</v>
      </c>
      <c r="AF103" s="204" t="s">
        <v>398</v>
      </c>
      <c r="AG103" s="204" t="s">
        <v>398</v>
      </c>
      <c r="AH103" s="8" t="s">
        <v>197</v>
      </c>
      <c r="AI103" s="65">
        <f t="shared" ca="1" si="18"/>
        <v>663.91221927233562</v>
      </c>
      <c r="AJ103" s="65">
        <f t="shared" ca="1" si="18"/>
        <v>773.75136302896453</v>
      </c>
      <c r="AK103" s="65">
        <f t="shared" ca="1" si="18"/>
        <v>572.58771304839775</v>
      </c>
      <c r="AL103" s="65">
        <f t="shared" ca="1" si="18"/>
        <v>199.25637188448187</v>
      </c>
      <c r="AM103" s="65">
        <f t="shared" ca="1" si="18"/>
        <v>265.12361762242784</v>
      </c>
      <c r="AN103" s="229"/>
      <c r="AO103" s="12" t="s">
        <v>197</v>
      </c>
      <c r="AP103" s="227">
        <f t="shared" ca="1" si="19"/>
        <v>1175.3268690635293</v>
      </c>
      <c r="AQ103" s="227">
        <f t="shared" ca="1" si="20"/>
        <v>84463.004572738515</v>
      </c>
      <c r="AR103" s="4">
        <f t="shared" ca="1" si="21"/>
        <v>1.3915286047530456E-2</v>
      </c>
      <c r="AS103" s="65" t="str">
        <f>IFERROR(VLOOKUP($AO103,'General Lookups'!$A$1:$F$113,2,FALSE),"")</f>
        <v>RC</v>
      </c>
      <c r="AT103" s="65">
        <f>IFERROR(VLOOKUP($AO103,'General Lookups'!$A$1:$F$113,4,FALSE),"")</f>
        <v>6</v>
      </c>
      <c r="AU103" s="65">
        <f>IFERROR(VLOOKUP($AO103,'General Lookups'!$A$1:$F$113,5,FALSE),"")</f>
        <v>2</v>
      </c>
      <c r="AV103" s="65" t="s">
        <v>399</v>
      </c>
    </row>
    <row r="104" spans="31:48" x14ac:dyDescent="0.3">
      <c r="AE104" s="204" t="s">
        <v>398</v>
      </c>
      <c r="AF104" s="204" t="s">
        <v>398</v>
      </c>
      <c r="AG104" s="204" t="s">
        <v>398</v>
      </c>
      <c r="AH104" s="8" t="s">
        <v>198</v>
      </c>
      <c r="AI104" s="65">
        <f t="shared" ca="1" si="18"/>
        <v>189.35227379062491</v>
      </c>
      <c r="AJ104" s="65">
        <f t="shared" ca="1" si="18"/>
        <v>213.01598836865011</v>
      </c>
      <c r="AK104" s="65">
        <f t="shared" ca="1" si="18"/>
        <v>564.8018696861094</v>
      </c>
      <c r="AL104" s="65">
        <f t="shared" ca="1" si="18"/>
        <v>447.3524607525884</v>
      </c>
      <c r="AM104" s="65">
        <f t="shared" ca="1" si="18"/>
        <v>612.04569957669719</v>
      </c>
      <c r="AN104" s="229"/>
      <c r="AO104" s="12" t="s">
        <v>198</v>
      </c>
      <c r="AP104" s="227">
        <f t="shared" ca="1" si="19"/>
        <v>166.50851590833571</v>
      </c>
      <c r="AQ104" s="227">
        <f t="shared" ca="1" si="20"/>
        <v>471.51061885635227</v>
      </c>
      <c r="AR104" s="4">
        <f t="shared" ca="1" si="21"/>
        <v>0.35313842201942697</v>
      </c>
      <c r="AS104" s="65" t="str">
        <f>IFERROR(VLOOKUP($AO104,'General Lookups'!$A$1:$F$113,2,FALSE),"")</f>
        <v>RB</v>
      </c>
      <c r="AT104" s="65">
        <f>IFERROR(VLOOKUP($AO104,'General Lookups'!$A$1:$F$113,4,FALSE),"")</f>
        <v>4</v>
      </c>
      <c r="AU104" s="65">
        <f>IFERROR(VLOOKUP($AO104,'General Lookups'!$A$1:$F$113,5,FALSE),"")</f>
        <v>4</v>
      </c>
      <c r="AV104" s="65" t="s">
        <v>399</v>
      </c>
    </row>
    <row r="105" spans="31:48" x14ac:dyDescent="0.3">
      <c r="AE105" s="204" t="s">
        <v>398</v>
      </c>
      <c r="AF105" s="204" t="s">
        <v>398</v>
      </c>
      <c r="AG105" s="204" t="s">
        <v>398</v>
      </c>
      <c r="AH105" s="8" t="s">
        <v>199</v>
      </c>
      <c r="AI105" s="65">
        <f t="shared" ca="1" si="18"/>
        <v>409.13383985311771</v>
      </c>
      <c r="AJ105" s="65">
        <f t="shared" ca="1" si="18"/>
        <v>386.03856696593255</v>
      </c>
      <c r="AK105" s="65">
        <f t="shared" ca="1" si="18"/>
        <v>386.37261992923931</v>
      </c>
      <c r="AL105" s="65">
        <f t="shared" ca="1" si="18"/>
        <v>830.78136868072431</v>
      </c>
      <c r="AM105" s="65">
        <f t="shared" ca="1" si="18"/>
        <v>700.54811433050349</v>
      </c>
      <c r="AN105" s="229"/>
      <c r="AO105" s="12" t="s">
        <v>199</v>
      </c>
      <c r="AP105" s="227">
        <f t="shared" ca="1" si="19"/>
        <v>908.48263929146117</v>
      </c>
      <c r="AQ105" s="227">
        <f t="shared" ca="1" si="20"/>
        <v>151050.35510065153</v>
      </c>
      <c r="AR105" s="4">
        <f t="shared" ca="1" si="21"/>
        <v>6.0144356409231811E-3</v>
      </c>
      <c r="AS105" s="65" t="str">
        <f>IFERROR(VLOOKUP($AO105,'General Lookups'!$A$1:$F$113,2,FALSE),"")</f>
        <v>RB</v>
      </c>
      <c r="AT105" s="65">
        <f>IFERROR(VLOOKUP($AO105,'General Lookups'!$A$1:$F$113,4,FALSE),"")</f>
        <v>64</v>
      </c>
      <c r="AU105" s="65">
        <f>IFERROR(VLOOKUP($AO105,'General Lookups'!$A$1:$F$113,5,FALSE),"")</f>
        <v>3</v>
      </c>
      <c r="AV105" s="65" t="s">
        <v>399</v>
      </c>
    </row>
    <row r="106" spans="31:48" x14ac:dyDescent="0.3">
      <c r="AE106" s="204" t="s">
        <v>398</v>
      </c>
      <c r="AF106" s="204" t="s">
        <v>398</v>
      </c>
      <c r="AG106" s="204" t="s">
        <v>398</v>
      </c>
      <c r="AH106" s="8" t="s">
        <v>200</v>
      </c>
      <c r="AI106" s="65">
        <f t="shared" ca="1" si="18"/>
        <v>477.77816480238334</v>
      </c>
      <c r="AJ106" s="65">
        <f t="shared" ca="1" si="18"/>
        <v>708.20372478405261</v>
      </c>
      <c r="AK106" s="65">
        <f t="shared" ca="1" si="18"/>
        <v>287.92888220339239</v>
      </c>
      <c r="AL106" s="65">
        <f t="shared" ca="1" si="18"/>
        <v>74.80503236094826</v>
      </c>
      <c r="AM106" s="65">
        <f t="shared" ca="1" si="18"/>
        <v>873.27916660628239</v>
      </c>
      <c r="AN106" s="229"/>
      <c r="AO106" s="12" t="s">
        <v>200</v>
      </c>
      <c r="AP106" s="227">
        <f t="shared" ca="1" si="19"/>
        <v>1568.5744815228675</v>
      </c>
      <c r="AQ106" s="227">
        <f t="shared" ca="1" si="20"/>
        <v>61279.818194753279</v>
      </c>
      <c r="AR106" s="4">
        <f t="shared" ca="1" si="21"/>
        <v>2.5596918002233359E-2</v>
      </c>
      <c r="AS106" s="65" t="str">
        <f>IFERROR(VLOOKUP($AO106,'General Lookups'!$A$1:$F$113,2,FALSE),"")</f>
        <v>RB</v>
      </c>
      <c r="AT106" s="65">
        <f>IFERROR(VLOOKUP($AO106,'General Lookups'!$A$1:$F$113,4,FALSE),"")</f>
        <v>27</v>
      </c>
      <c r="AU106" s="65">
        <f>IFERROR(VLOOKUP($AO106,'General Lookups'!$A$1:$F$113,5,FALSE),"")</f>
        <v>1</v>
      </c>
      <c r="AV106" s="65" t="s">
        <v>399</v>
      </c>
    </row>
    <row r="107" spans="31:48" x14ac:dyDescent="0.3">
      <c r="AE107" s="204" t="s">
        <v>398</v>
      </c>
      <c r="AF107" s="204" t="s">
        <v>398</v>
      </c>
      <c r="AG107" s="204" t="s">
        <v>398</v>
      </c>
      <c r="AH107" s="8" t="s">
        <v>201</v>
      </c>
      <c r="AI107" s="65">
        <f t="shared" ca="1" si="18"/>
        <v>251.20683958284508</v>
      </c>
      <c r="AJ107" s="65">
        <f t="shared" ca="1" si="18"/>
        <v>459.07406685181263</v>
      </c>
      <c r="AK107" s="65">
        <f t="shared" ca="1" si="18"/>
        <v>87.713755507275891</v>
      </c>
      <c r="AL107" s="65">
        <f t="shared" ca="1" si="18"/>
        <v>153.21502864518988</v>
      </c>
      <c r="AM107" s="65">
        <f t="shared" ca="1" si="18"/>
        <v>174.97279071378546</v>
      </c>
      <c r="AN107" s="229"/>
      <c r="AO107" s="12" t="s">
        <v>201</v>
      </c>
      <c r="AP107" s="227">
        <f t="shared" ca="1" si="19"/>
        <v>1873.0226277246193</v>
      </c>
      <c r="AQ107" s="227">
        <f t="shared" ca="1" si="20"/>
        <v>169939.66098922046</v>
      </c>
      <c r="AR107" s="4">
        <f t="shared" ca="1" si="21"/>
        <v>1.1021692151330278E-2</v>
      </c>
      <c r="AS107" s="65" t="str">
        <f>IFERROR(VLOOKUP($AO107,'General Lookups'!$A$1:$F$113,2,FALSE),"")</f>
        <v>RB</v>
      </c>
      <c r="AT107" s="65">
        <f>IFERROR(VLOOKUP($AO107,'General Lookups'!$A$1:$F$113,4,FALSE),"")</f>
        <v>29</v>
      </c>
      <c r="AU107" s="65">
        <f>IFERROR(VLOOKUP($AO107,'General Lookups'!$A$1:$F$113,5,FALSE),"")</f>
        <v>3</v>
      </c>
      <c r="AV107" s="65" t="s">
        <v>399</v>
      </c>
    </row>
    <row r="108" spans="31:48" x14ac:dyDescent="0.3">
      <c r="AE108" s="204" t="s">
        <v>398</v>
      </c>
      <c r="AF108" s="204" t="s">
        <v>398</v>
      </c>
      <c r="AG108" s="204" t="s">
        <v>398</v>
      </c>
      <c r="AH108" s="8" t="s">
        <v>202</v>
      </c>
      <c r="AI108" s="65">
        <f t="shared" ca="1" si="18"/>
        <v>829.26863641205989</v>
      </c>
      <c r="AJ108" s="65">
        <f t="shared" ca="1" si="18"/>
        <v>639.89344441990966</v>
      </c>
      <c r="AK108" s="65">
        <f t="shared" ca="1" si="18"/>
        <v>577.15999693619676</v>
      </c>
      <c r="AL108" s="65">
        <f t="shared" ca="1" si="18"/>
        <v>577.2858194322439</v>
      </c>
      <c r="AM108" s="65">
        <f t="shared" ca="1" si="18"/>
        <v>153.6621892947424</v>
      </c>
      <c r="AN108" s="229"/>
      <c r="AO108" s="12" t="s">
        <v>202</v>
      </c>
      <c r="AP108" s="227">
        <f t="shared" ca="1" si="19"/>
        <v>1370.7434578777816</v>
      </c>
      <c r="AQ108" s="227">
        <f t="shared" ca="1" si="20"/>
        <v>160164.99739278315</v>
      </c>
      <c r="AR108" s="4">
        <f t="shared" ca="1" si="21"/>
        <v>8.558320982681486E-3</v>
      </c>
      <c r="AS108" s="65" t="str">
        <f>IFERROR(VLOOKUP($AO108,'General Lookups'!$A$1:$F$113,2,FALSE),"")</f>
        <v>RB</v>
      </c>
      <c r="AT108" s="65">
        <f>IFERROR(VLOOKUP($AO108,'General Lookups'!$A$1:$F$113,4,FALSE),"")</f>
        <v>92</v>
      </c>
      <c r="AU108" s="65">
        <f>IFERROR(VLOOKUP($AO108,'General Lookups'!$A$1:$F$113,5,FALSE),"")</f>
        <v>1</v>
      </c>
      <c r="AV108" s="65" t="s">
        <v>399</v>
      </c>
    </row>
    <row r="109" spans="31:48" x14ac:dyDescent="0.3">
      <c r="AE109" s="204" t="s">
        <v>398</v>
      </c>
      <c r="AF109" s="204" t="s">
        <v>398</v>
      </c>
      <c r="AG109" s="204" t="s">
        <v>398</v>
      </c>
      <c r="AH109" s="8" t="s">
        <v>203</v>
      </c>
      <c r="AI109" s="65">
        <f t="shared" ca="1" si="18"/>
        <v>613.58173528221596</v>
      </c>
      <c r="AJ109" s="65">
        <f t="shared" ca="1" si="18"/>
        <v>624.84876291515525</v>
      </c>
      <c r="AK109" s="65">
        <f t="shared" ca="1" si="18"/>
        <v>918.55386492890898</v>
      </c>
      <c r="AL109" s="65">
        <f t="shared" ca="1" si="18"/>
        <v>343.46949415056827</v>
      </c>
      <c r="AM109" s="65">
        <f t="shared" ca="1" si="18"/>
        <v>316.12850279256446</v>
      </c>
      <c r="AN109" s="229"/>
      <c r="AO109" s="12" t="s">
        <v>203</v>
      </c>
      <c r="AP109" s="227">
        <f t="shared" ca="1" si="19"/>
        <v>174.2984253041937</v>
      </c>
      <c r="AQ109" s="227">
        <f t="shared" ca="1" si="20"/>
        <v>122110.35648723636</v>
      </c>
      <c r="AR109" s="4">
        <f t="shared" ca="1" si="21"/>
        <v>1.4273844604033427E-3</v>
      </c>
      <c r="AS109" s="65" t="str">
        <f>IFERROR(VLOOKUP($AO109,'General Lookups'!$A$1:$F$113,2,FALSE),"")</f>
        <v>RA</v>
      </c>
      <c r="AT109" s="65">
        <f>IFERROR(VLOOKUP($AO109,'General Lookups'!$A$1:$F$113,4,FALSE),"")</f>
        <v>7</v>
      </c>
      <c r="AU109" s="65">
        <f>IFERROR(VLOOKUP($AO109,'General Lookups'!$A$1:$F$113,5,FALSE),"")</f>
        <v>3</v>
      </c>
      <c r="AV109" s="65" t="s">
        <v>399</v>
      </c>
    </row>
    <row r="110" spans="31:48" x14ac:dyDescent="0.3">
      <c r="AE110" s="204" t="s">
        <v>398</v>
      </c>
      <c r="AF110" s="204" t="s">
        <v>398</v>
      </c>
      <c r="AG110" s="204" t="s">
        <v>398</v>
      </c>
      <c r="AH110" s="8" t="s">
        <v>204</v>
      </c>
      <c r="AI110" s="65">
        <f t="shared" ca="1" si="18"/>
        <v>620.24778401092931</v>
      </c>
      <c r="AJ110" s="65">
        <f t="shared" ca="1" si="18"/>
        <v>838.83689565959719</v>
      </c>
      <c r="AK110" s="65">
        <f t="shared" ca="1" si="18"/>
        <v>605.34097981443085</v>
      </c>
      <c r="AL110" s="65">
        <f t="shared" ca="1" si="18"/>
        <v>267.70908806367601</v>
      </c>
      <c r="AM110" s="65">
        <f t="shared" ca="1" si="18"/>
        <v>789.13501456272115</v>
      </c>
      <c r="AN110" s="229"/>
      <c r="AO110" s="12" t="s">
        <v>204</v>
      </c>
      <c r="AP110" s="227">
        <f t="shared" ca="1" si="19"/>
        <v>1757.0054889133787</v>
      </c>
      <c r="AQ110" s="227">
        <f t="shared" ca="1" si="20"/>
        <v>46690.537311965621</v>
      </c>
      <c r="AR110" s="4">
        <f t="shared" ca="1" si="21"/>
        <v>3.7630868909771617E-2</v>
      </c>
      <c r="AS110" s="65" t="str">
        <f>IFERROR(VLOOKUP($AO110,'General Lookups'!$A$1:$F$113,2,FALSE),"")</f>
        <v>RA</v>
      </c>
      <c r="AT110" s="65">
        <f>IFERROR(VLOOKUP($AO110,'General Lookups'!$A$1:$F$113,4,FALSE),"")</f>
        <v>8</v>
      </c>
      <c r="AU110" s="65">
        <f>IFERROR(VLOOKUP($AO110,'General Lookups'!$A$1:$F$113,5,FALSE),"")</f>
        <v>3</v>
      </c>
      <c r="AV110" s="65" t="s">
        <v>399</v>
      </c>
    </row>
    <row r="111" spans="31:48" x14ac:dyDescent="0.3">
      <c r="AE111" s="204" t="s">
        <v>398</v>
      </c>
      <c r="AF111" s="204" t="s">
        <v>398</v>
      </c>
      <c r="AG111" s="204" t="s">
        <v>398</v>
      </c>
      <c r="AH111" s="8" t="s">
        <v>205</v>
      </c>
      <c r="AI111" s="65">
        <f t="shared" ca="1" si="18"/>
        <v>185.5833595266526</v>
      </c>
      <c r="AJ111" s="65">
        <f t="shared" ca="1" si="18"/>
        <v>360.65730411869077</v>
      </c>
      <c r="AK111" s="65">
        <f t="shared" ca="1" si="18"/>
        <v>932.87017487075718</v>
      </c>
      <c r="AL111" s="65">
        <f t="shared" ca="1" si="18"/>
        <v>542.58977698060937</v>
      </c>
      <c r="AM111" s="65">
        <f t="shared" ca="1" si="18"/>
        <v>313.19269263836168</v>
      </c>
      <c r="AN111" s="229"/>
      <c r="AO111" s="12" t="s">
        <v>205</v>
      </c>
      <c r="AP111" s="227">
        <f t="shared" ca="1" si="19"/>
        <v>1211.8759450691975</v>
      </c>
      <c r="AQ111" s="227">
        <f t="shared" ca="1" si="20"/>
        <v>76950.008312689853</v>
      </c>
      <c r="AR111" s="4">
        <f t="shared" ca="1" si="21"/>
        <v>1.5748873478280658E-2</v>
      </c>
      <c r="AS111" s="65" t="str">
        <f>IFERROR(VLOOKUP($AO111,'General Lookups'!$A$1:$F$113,2,FALSE),"")</f>
        <v>RA</v>
      </c>
      <c r="AT111" s="65">
        <f>IFERROR(VLOOKUP($AO111,'General Lookups'!$A$1:$F$113,4,FALSE),"")</f>
        <v>52</v>
      </c>
      <c r="AU111" s="65">
        <f>IFERROR(VLOOKUP($AO111,'General Lookups'!$A$1:$F$113,5,FALSE),"")</f>
        <v>2</v>
      </c>
      <c r="AV111" s="65" t="s">
        <v>399</v>
      </c>
    </row>
    <row r="112" spans="31:48" x14ac:dyDescent="0.3">
      <c r="AE112" s="204" t="s">
        <v>398</v>
      </c>
      <c r="AF112" s="204" t="s">
        <v>398</v>
      </c>
      <c r="AG112" s="204" t="s">
        <v>398</v>
      </c>
      <c r="AH112" s="8" t="s">
        <v>206</v>
      </c>
      <c r="AI112" s="65">
        <f t="shared" ca="1" si="18"/>
        <v>983.40593370195143</v>
      </c>
      <c r="AJ112" s="65">
        <f t="shared" ca="1" si="18"/>
        <v>534.68127295911006</v>
      </c>
      <c r="AK112" s="65">
        <f t="shared" ca="1" si="18"/>
        <v>385.22789151360172</v>
      </c>
      <c r="AL112" s="65">
        <f t="shared" ca="1" si="18"/>
        <v>66.663136323967805</v>
      </c>
      <c r="AM112" s="65">
        <f t="shared" ca="1" si="18"/>
        <v>668.93148027672225</v>
      </c>
      <c r="AN112" s="229"/>
      <c r="AO112" s="12" t="s">
        <v>206</v>
      </c>
      <c r="AP112" s="227">
        <f t="shared" ca="1" si="19"/>
        <v>155.32873023320315</v>
      </c>
      <c r="AQ112" s="227">
        <f t="shared" ca="1" si="20"/>
        <v>81433.140985323233</v>
      </c>
      <c r="AR112" s="4">
        <f t="shared" ca="1" si="21"/>
        <v>1.9074387694464369E-3</v>
      </c>
      <c r="AS112" s="65" t="str">
        <f>IFERROR(VLOOKUP($AO112,'General Lookups'!$A$1:$F$113,2,FALSE),"")</f>
        <v>RA</v>
      </c>
      <c r="AT112" s="65">
        <f>IFERROR(VLOOKUP($AO112,'General Lookups'!$A$1:$F$113,4,FALSE),"")</f>
        <v>14</v>
      </c>
      <c r="AU112" s="65">
        <f>IFERROR(VLOOKUP($AO112,'General Lookups'!$A$1:$F$113,5,FALSE),"")</f>
        <v>2</v>
      </c>
      <c r="AV112" s="65" t="s">
        <v>399</v>
      </c>
    </row>
    <row r="113" spans="31:48" x14ac:dyDescent="0.3">
      <c r="AE113" s="204" t="s">
        <v>398</v>
      </c>
      <c r="AF113" s="204" t="s">
        <v>398</v>
      </c>
      <c r="AG113" s="204" t="s">
        <v>398</v>
      </c>
      <c r="AH113" s="8" t="s">
        <v>207</v>
      </c>
      <c r="AI113" s="65">
        <f t="shared" ca="1" si="18"/>
        <v>145.92407803646103</v>
      </c>
      <c r="AJ113" s="65">
        <f t="shared" ca="1" si="18"/>
        <v>688.12730555095425</v>
      </c>
      <c r="AK113" s="65">
        <f t="shared" ca="1" si="18"/>
        <v>761.86225027583578</v>
      </c>
      <c r="AL113" s="65">
        <f t="shared" ca="1" si="18"/>
        <v>728.35380836313607</v>
      </c>
      <c r="AM113" s="65">
        <f t="shared" ca="1" si="18"/>
        <v>605.84266666269832</v>
      </c>
      <c r="AN113" s="229"/>
      <c r="AO113" s="12" t="s">
        <v>207</v>
      </c>
      <c r="AP113" s="227">
        <f t="shared" ca="1" si="19"/>
        <v>578.77953275350501</v>
      </c>
      <c r="AQ113" s="227">
        <f t="shared" ca="1" si="20"/>
        <v>42153.825245727487</v>
      </c>
      <c r="AR113" s="4">
        <f t="shared" ca="1" si="21"/>
        <v>1.3730178207543985E-2</v>
      </c>
      <c r="AS113" s="65" t="str">
        <f>IFERROR(VLOOKUP($AO113,'General Lookups'!$A$1:$F$113,2,FALSE),"")</f>
        <v>RB</v>
      </c>
      <c r="AT113" s="65">
        <f>IFERROR(VLOOKUP($AO113,'General Lookups'!$A$1:$F$113,4,FALSE),"")</f>
        <v>80</v>
      </c>
      <c r="AU113" s="65">
        <f>IFERROR(VLOOKUP($AO113,'General Lookups'!$A$1:$F$113,5,FALSE),"")</f>
        <v>3</v>
      </c>
      <c r="AV113" s="65" t="s">
        <v>399</v>
      </c>
    </row>
    <row r="114" spans="31:48" x14ac:dyDescent="0.3">
      <c r="AE114" s="204" t="s">
        <v>398</v>
      </c>
      <c r="AF114" s="204" t="s">
        <v>398</v>
      </c>
      <c r="AG114" s="204" t="s">
        <v>398</v>
      </c>
      <c r="AH114" s="8" t="s">
        <v>208</v>
      </c>
      <c r="AI114" s="65">
        <f t="shared" ca="1" si="18"/>
        <v>173.5436257064008</v>
      </c>
      <c r="AJ114" s="65">
        <f t="shared" ca="1" si="18"/>
        <v>55.715707774671387</v>
      </c>
      <c r="AK114" s="65">
        <f t="shared" ca="1" si="18"/>
        <v>666.2775533237741</v>
      </c>
      <c r="AL114" s="65">
        <f t="shared" ca="1" si="18"/>
        <v>863.44358057971647</v>
      </c>
      <c r="AM114" s="65">
        <f t="shared" ca="1" si="18"/>
        <v>545.32028147853237</v>
      </c>
      <c r="AN114" s="229"/>
      <c r="AO114" s="12" t="s">
        <v>208</v>
      </c>
      <c r="AP114" s="227">
        <f t="shared" ca="1" si="19"/>
        <v>232.62292063329016</v>
      </c>
      <c r="AQ114" s="227">
        <f t="shared" ca="1" si="20"/>
        <v>92167.943681278091</v>
      </c>
      <c r="AR114" s="4">
        <f t="shared" ca="1" si="21"/>
        <v>2.5239026861412169E-3</v>
      </c>
      <c r="AS114" s="65" t="str">
        <f>IFERROR(VLOOKUP($AO114,'General Lookups'!$A$1:$F$113,2,FALSE),"")</f>
        <v>RB</v>
      </c>
      <c r="AT114" s="65">
        <f>IFERROR(VLOOKUP($AO114,'General Lookups'!$A$1:$F$113,4,FALSE),"")</f>
        <v>44</v>
      </c>
      <c r="AU114" s="65">
        <f>IFERROR(VLOOKUP($AO114,'General Lookups'!$A$1:$F$113,5,FALSE),"")</f>
        <v>3</v>
      </c>
      <c r="AV114" s="65" t="s">
        <v>399</v>
      </c>
    </row>
    <row r="115" spans="31:48" x14ac:dyDescent="0.3">
      <c r="AE115" s="204" t="s">
        <v>398</v>
      </c>
      <c r="AF115" s="204" t="s">
        <v>398</v>
      </c>
      <c r="AG115" s="204" t="s">
        <v>398</v>
      </c>
      <c r="AH115" s="8" t="s">
        <v>209</v>
      </c>
      <c r="AI115" s="65">
        <f t="shared" ca="1" si="18"/>
        <v>348.88612819891927</v>
      </c>
      <c r="AJ115" s="65">
        <f t="shared" ca="1" si="18"/>
        <v>323.89249822594957</v>
      </c>
      <c r="AK115" s="65">
        <f t="shared" ca="1" si="18"/>
        <v>537.31613952501095</v>
      </c>
      <c r="AL115" s="65">
        <f t="shared" ca="1" si="18"/>
        <v>464.49877178834964</v>
      </c>
      <c r="AM115" s="65">
        <f t="shared" ca="1" si="18"/>
        <v>109.68334577590022</v>
      </c>
      <c r="AN115" s="229"/>
      <c r="AO115" s="12" t="s">
        <v>209</v>
      </c>
      <c r="AP115" s="227">
        <f t="shared" ca="1" si="19"/>
        <v>193.63766779619462</v>
      </c>
      <c r="AQ115" s="227">
        <f t="shared" ca="1" si="20"/>
        <v>45362.31905096877</v>
      </c>
      <c r="AR115" s="4">
        <f t="shared" ca="1" si="21"/>
        <v>4.2686897814599107E-3</v>
      </c>
      <c r="AS115" s="65" t="str">
        <f>IFERROR(VLOOKUP($AO115,'General Lookups'!$A$1:$F$113,2,FALSE),"")</f>
        <v>RA</v>
      </c>
      <c r="AT115" s="65">
        <f>IFERROR(VLOOKUP($AO115,'General Lookups'!$A$1:$F$113,4,FALSE),"")</f>
        <v>37</v>
      </c>
      <c r="AU115" s="65">
        <f>IFERROR(VLOOKUP($AO115,'General Lookups'!$A$1:$F$113,5,FALSE),"")</f>
        <v>4</v>
      </c>
      <c r="AV115" s="65" t="s">
        <v>399</v>
      </c>
    </row>
    <row r="116" spans="31:48" x14ac:dyDescent="0.3">
      <c r="AE116" s="204" t="s">
        <v>398</v>
      </c>
      <c r="AF116" s="204" t="s">
        <v>398</v>
      </c>
      <c r="AG116" s="204" t="s">
        <v>398</v>
      </c>
      <c r="AH116" s="8" t="s">
        <v>210</v>
      </c>
      <c r="AI116" s="65">
        <f t="shared" ca="1" si="18"/>
        <v>241.09754445407839</v>
      </c>
      <c r="AJ116" s="65">
        <f t="shared" ca="1" si="18"/>
        <v>143.82119049233887</v>
      </c>
      <c r="AK116" s="65">
        <f t="shared" ca="1" si="18"/>
        <v>795.93306814186428</v>
      </c>
      <c r="AL116" s="65">
        <f t="shared" ca="1" si="18"/>
        <v>691.05312826170211</v>
      </c>
      <c r="AM116" s="65">
        <f t="shared" ca="1" si="18"/>
        <v>703.25476654651243</v>
      </c>
      <c r="AN116" s="229"/>
      <c r="AO116" s="12" t="s">
        <v>210</v>
      </c>
      <c r="AP116" s="227">
        <f t="shared" ca="1" si="19"/>
        <v>1190.4666452027843</v>
      </c>
      <c r="AQ116" s="227">
        <f t="shared" ca="1" si="20"/>
        <v>193546.00960127581</v>
      </c>
      <c r="AR116" s="4">
        <f t="shared" ca="1" si="21"/>
        <v>6.1508198885384668E-3</v>
      </c>
      <c r="AS116" s="65" t="str">
        <f>IFERROR(VLOOKUP($AO116,'General Lookups'!$A$1:$F$113,2,FALSE),"")</f>
        <v>RA</v>
      </c>
      <c r="AT116" s="65">
        <f>IFERROR(VLOOKUP($AO116,'General Lookups'!$A$1:$F$113,4,FALSE),"")</f>
        <v>36</v>
      </c>
      <c r="AU116" s="65">
        <f>IFERROR(VLOOKUP($AO116,'General Lookups'!$A$1:$F$113,5,FALSE),"")</f>
        <v>3</v>
      </c>
      <c r="AV116" s="65" t="s">
        <v>399</v>
      </c>
    </row>
    <row r="117" spans="31:48" x14ac:dyDescent="0.3">
      <c r="AE117" s="204" t="s">
        <v>398</v>
      </c>
      <c r="AF117" s="204" t="s">
        <v>398</v>
      </c>
      <c r="AG117" s="204" t="s">
        <v>398</v>
      </c>
      <c r="AH117" s="8" t="s">
        <v>211</v>
      </c>
      <c r="AI117" s="65">
        <f t="shared" ca="1" si="18"/>
        <v>68.78788646064082</v>
      </c>
      <c r="AJ117" s="65">
        <f t="shared" ca="1" si="18"/>
        <v>971.63158288577301</v>
      </c>
      <c r="AK117" s="65">
        <f t="shared" ca="1" si="18"/>
        <v>240.13316269666694</v>
      </c>
      <c r="AL117" s="65">
        <f t="shared" ca="1" si="18"/>
        <v>663.88703400108011</v>
      </c>
      <c r="AM117" s="65">
        <f t="shared" ca="1" si="18"/>
        <v>713.08989128148869</v>
      </c>
      <c r="AN117" s="229"/>
      <c r="AO117" s="12" t="s">
        <v>211</v>
      </c>
      <c r="AP117" s="227">
        <f t="shared" ca="1" si="19"/>
        <v>1789.3027444842585</v>
      </c>
      <c r="AQ117" s="227">
        <f t="shared" ca="1" si="20"/>
        <v>32563.66975866245</v>
      </c>
      <c r="AR117" s="4">
        <f t="shared" ca="1" si="21"/>
        <v>5.4947822458132983E-2</v>
      </c>
      <c r="AS117" s="65" t="str">
        <f>IFERROR(VLOOKUP($AO117,'General Lookups'!$A$1:$F$113,2,FALSE),"")</f>
        <v>RC</v>
      </c>
      <c r="AT117" s="65">
        <f>IFERROR(VLOOKUP($AO117,'General Lookups'!$A$1:$F$113,4,FALSE),"")</f>
        <v>94</v>
      </c>
      <c r="AU117" s="65">
        <f>IFERROR(VLOOKUP($AO117,'General Lookups'!$A$1:$F$113,5,FALSE),"")</f>
        <v>4</v>
      </c>
      <c r="AV117" s="65" t="s">
        <v>399</v>
      </c>
    </row>
    <row r="118" spans="31:48" x14ac:dyDescent="0.3">
      <c r="AE118" s="204" t="s">
        <v>398</v>
      </c>
      <c r="AF118" s="204" t="s">
        <v>398</v>
      </c>
      <c r="AG118" s="204" t="s">
        <v>398</v>
      </c>
      <c r="AH118" s="8" t="s">
        <v>212</v>
      </c>
      <c r="AI118" s="65">
        <f t="shared" ca="1" si="18"/>
        <v>981.27144676269097</v>
      </c>
      <c r="AJ118" s="65">
        <f t="shared" ca="1" si="18"/>
        <v>222.36714272964664</v>
      </c>
      <c r="AK118" s="65">
        <f t="shared" ca="1" si="18"/>
        <v>932.03380922911629</v>
      </c>
      <c r="AL118" s="65">
        <f t="shared" ca="1" si="18"/>
        <v>337.84905412542275</v>
      </c>
      <c r="AM118" s="65">
        <f t="shared" ca="1" si="18"/>
        <v>568.81035349003446</v>
      </c>
      <c r="AN118" s="229"/>
      <c r="AO118" s="12" t="s">
        <v>212</v>
      </c>
      <c r="AP118" s="227">
        <f t="shared" ca="1" si="19"/>
        <v>509.1299186264784</v>
      </c>
      <c r="AQ118" s="227">
        <f t="shared" ca="1" si="20"/>
        <v>135959.34265202031</v>
      </c>
      <c r="AR118" s="4">
        <f t="shared" ca="1" si="21"/>
        <v>3.7447218315078616E-3</v>
      </c>
      <c r="AS118" s="65" t="str">
        <f>IFERROR(VLOOKUP($AO118,'General Lookups'!$A$1:$F$113,2,FALSE),"")</f>
        <v>RA</v>
      </c>
      <c r="AT118" s="65">
        <f>IFERROR(VLOOKUP($AO118,'General Lookups'!$A$1:$F$113,4,FALSE),"")</f>
        <v>14</v>
      </c>
      <c r="AU118" s="65">
        <f>IFERROR(VLOOKUP($AO118,'General Lookups'!$A$1:$F$113,5,FALSE),"")</f>
        <v>3</v>
      </c>
      <c r="AV118" s="65" t="s">
        <v>399</v>
      </c>
    </row>
    <row r="119" spans="31:48" x14ac:dyDescent="0.3">
      <c r="AE119" s="204" t="s">
        <v>398</v>
      </c>
      <c r="AF119" s="204" t="s">
        <v>398</v>
      </c>
      <c r="AG119" s="204" t="s">
        <v>398</v>
      </c>
      <c r="AH119" s="8" t="s">
        <v>213</v>
      </c>
      <c r="AI119" s="65">
        <f t="shared" ca="1" si="18"/>
        <v>964.23600537063317</v>
      </c>
      <c r="AJ119" s="65">
        <f t="shared" ca="1" si="18"/>
        <v>359.49877530225137</v>
      </c>
      <c r="AK119" s="65">
        <f t="shared" ca="1" si="18"/>
        <v>317.48119130672325</v>
      </c>
      <c r="AL119" s="65">
        <f t="shared" ca="1" si="18"/>
        <v>511.95351078214668</v>
      </c>
      <c r="AM119" s="65">
        <f t="shared" ca="1" si="18"/>
        <v>820.33010126608531</v>
      </c>
      <c r="AN119" s="229"/>
      <c r="AO119" s="12" t="s">
        <v>213</v>
      </c>
      <c r="AP119" s="227">
        <f t="shared" ca="1" si="19"/>
        <v>492.12820395100397</v>
      </c>
      <c r="AQ119" s="227">
        <f t="shared" ca="1" si="20"/>
        <v>107098.62662178067</v>
      </c>
      <c r="AR119" s="4">
        <f t="shared" ca="1" si="21"/>
        <v>4.5950935084252496E-3</v>
      </c>
      <c r="AS119" s="65" t="str">
        <f>IFERROR(VLOOKUP($AO119,'General Lookups'!$A$1:$F$113,2,FALSE),"")</f>
        <v>RA</v>
      </c>
      <c r="AT119" s="65">
        <f>IFERROR(VLOOKUP($AO119,'General Lookups'!$A$1:$F$113,4,FALSE),"")</f>
        <v>81</v>
      </c>
      <c r="AU119" s="65">
        <f>IFERROR(VLOOKUP($AO119,'General Lookups'!$A$1:$F$113,5,FALSE),"")</f>
        <v>2</v>
      </c>
      <c r="AV119" s="65" t="s">
        <v>399</v>
      </c>
    </row>
    <row r="120" spans="31:48" x14ac:dyDescent="0.3">
      <c r="AE120" s="204" t="s">
        <v>398</v>
      </c>
      <c r="AF120" s="204" t="s">
        <v>398</v>
      </c>
      <c r="AG120" s="204" t="s">
        <v>398</v>
      </c>
      <c r="AH120" s="8" t="s">
        <v>214</v>
      </c>
      <c r="AI120" s="65">
        <f t="shared" ca="1" si="18"/>
        <v>650.49761098404213</v>
      </c>
      <c r="AJ120" s="65">
        <f t="shared" ca="1" si="18"/>
        <v>509.5250309136764</v>
      </c>
      <c r="AK120" s="65">
        <f t="shared" ca="1" si="18"/>
        <v>507.66589635429085</v>
      </c>
      <c r="AL120" s="65">
        <f t="shared" ca="1" si="18"/>
        <v>147.14573920753472</v>
      </c>
      <c r="AM120" s="65">
        <f t="shared" ca="1" si="18"/>
        <v>128.67442529732364</v>
      </c>
      <c r="AN120" s="229"/>
      <c r="AO120" s="12" t="s">
        <v>214</v>
      </c>
      <c r="AP120" s="227">
        <f t="shared" ca="1" si="19"/>
        <v>1702.5915250584992</v>
      </c>
      <c r="AQ120" s="227">
        <f t="shared" ca="1" si="20"/>
        <v>52501.697308856325</v>
      </c>
      <c r="AR120" s="4">
        <f t="shared" ca="1" si="21"/>
        <v>3.2429266334810379E-2</v>
      </c>
      <c r="AS120" s="65" t="str">
        <f>IFERROR(VLOOKUP($AO120,'General Lookups'!$A$1:$F$113,2,FALSE),"")</f>
        <v>RA</v>
      </c>
      <c r="AT120" s="65">
        <f>IFERROR(VLOOKUP($AO120,'General Lookups'!$A$1:$F$113,4,FALSE),"")</f>
        <v>87</v>
      </c>
      <c r="AU120" s="65">
        <f>IFERROR(VLOOKUP($AO120,'General Lookups'!$A$1:$F$113,5,FALSE),"")</f>
        <v>1</v>
      </c>
      <c r="AV120" s="65" t="s">
        <v>399</v>
      </c>
    </row>
    <row r="121" spans="31:48" x14ac:dyDescent="0.3">
      <c r="AE121" s="204" t="s">
        <v>398</v>
      </c>
      <c r="AF121" s="204" t="s">
        <v>398</v>
      </c>
      <c r="AG121" s="204" t="s">
        <v>398</v>
      </c>
      <c r="AH121" s="8" t="s">
        <v>215</v>
      </c>
      <c r="AI121" s="65">
        <f t="shared" ca="1" si="18"/>
        <v>784.56913137406968</v>
      </c>
      <c r="AJ121" s="65">
        <f t="shared" ca="1" si="18"/>
        <v>504.99424064654772</v>
      </c>
      <c r="AK121" s="65">
        <f t="shared" ca="1" si="18"/>
        <v>304.05442667087823</v>
      </c>
      <c r="AL121" s="65">
        <f t="shared" ca="1" si="18"/>
        <v>69.069377458276463</v>
      </c>
      <c r="AM121" s="65">
        <f t="shared" ca="1" si="18"/>
        <v>999.02780941855599</v>
      </c>
      <c r="AN121" s="229"/>
      <c r="AO121" s="12" t="s">
        <v>215</v>
      </c>
      <c r="AP121" s="227">
        <f t="shared" ca="1" si="19"/>
        <v>586.85426183125401</v>
      </c>
      <c r="AQ121" s="227">
        <f t="shared" ca="1" si="20"/>
        <v>122562.82843490024</v>
      </c>
      <c r="AR121" s="4">
        <f t="shared" ca="1" si="21"/>
        <v>4.788191243015937E-3</v>
      </c>
      <c r="AS121" s="65" t="str">
        <f>IFERROR(VLOOKUP($AO121,'General Lookups'!$A$1:$F$113,2,FALSE),"")</f>
        <v>RA</v>
      </c>
      <c r="AT121" s="65">
        <f>IFERROR(VLOOKUP($AO121,'General Lookups'!$A$1:$F$113,4,FALSE),"")</f>
        <v>254</v>
      </c>
      <c r="AU121" s="65">
        <f>IFERROR(VLOOKUP($AO121,'General Lookups'!$A$1:$F$113,5,FALSE),"")</f>
        <v>3</v>
      </c>
      <c r="AV121" s="65" t="s">
        <v>399</v>
      </c>
    </row>
    <row r="122" spans="31:48" x14ac:dyDescent="0.3">
      <c r="AE122" s="204" t="s">
        <v>398</v>
      </c>
      <c r="AF122" s="204" t="s">
        <v>398</v>
      </c>
      <c r="AG122" s="204" t="s">
        <v>398</v>
      </c>
      <c r="AH122" s="8" t="s">
        <v>216</v>
      </c>
      <c r="AI122" s="65">
        <f t="shared" ca="1" si="18"/>
        <v>412.0934170923428</v>
      </c>
      <c r="AJ122" s="65">
        <f t="shared" ca="1" si="18"/>
        <v>561.34736642927976</v>
      </c>
      <c r="AK122" s="65">
        <f t="shared" ca="1" si="18"/>
        <v>22.91940302319173</v>
      </c>
      <c r="AL122" s="65">
        <f t="shared" ca="1" si="18"/>
        <v>865.75827551562043</v>
      </c>
      <c r="AM122" s="65">
        <f t="shared" ca="1" si="18"/>
        <v>480.18760178452789</v>
      </c>
      <c r="AN122" s="229"/>
      <c r="AO122" s="12" t="s">
        <v>216</v>
      </c>
      <c r="AP122" s="227">
        <f t="shared" ca="1" si="19"/>
        <v>585.84602146057671</v>
      </c>
      <c r="AQ122" s="227">
        <f t="shared" ca="1" si="20"/>
        <v>126482.33864081601</v>
      </c>
      <c r="AR122" s="4">
        <f t="shared" ca="1" si="21"/>
        <v>4.6318405222112446E-3</v>
      </c>
      <c r="AS122" s="65" t="str">
        <f>IFERROR(VLOOKUP($AO122,'General Lookups'!$A$1:$F$113,2,FALSE),"")</f>
        <v>RA</v>
      </c>
      <c r="AT122" s="65">
        <f>IFERROR(VLOOKUP($AO122,'General Lookups'!$A$1:$F$113,4,FALSE),"")</f>
        <v>51</v>
      </c>
      <c r="AU122" s="65">
        <f>IFERROR(VLOOKUP($AO122,'General Lookups'!$A$1:$F$113,5,FALSE),"")</f>
        <v>3</v>
      </c>
      <c r="AV122" s="65" t="s">
        <v>399</v>
      </c>
    </row>
    <row r="123" spans="31:48" x14ac:dyDescent="0.3">
      <c r="AE123" s="204" t="s">
        <v>398</v>
      </c>
      <c r="AF123" s="204" t="s">
        <v>398</v>
      </c>
      <c r="AG123" s="204" t="s">
        <v>398</v>
      </c>
      <c r="AH123" s="8" t="s">
        <v>217</v>
      </c>
      <c r="AI123" s="65">
        <f t="shared" ca="1" si="18"/>
        <v>810.67494985493477</v>
      </c>
      <c r="AJ123" s="65">
        <f t="shared" ca="1" si="18"/>
        <v>873.11964508432845</v>
      </c>
      <c r="AK123" s="65">
        <f t="shared" ca="1" si="18"/>
        <v>739.44654815667184</v>
      </c>
      <c r="AL123" s="65">
        <f t="shared" ca="1" si="18"/>
        <v>422.8760807110562</v>
      </c>
      <c r="AM123" s="65">
        <f t="shared" ca="1" si="18"/>
        <v>381.5184824914196</v>
      </c>
      <c r="AN123" s="229"/>
      <c r="AO123" s="12" t="s">
        <v>217</v>
      </c>
      <c r="AP123" s="227">
        <f t="shared" ca="1" si="19"/>
        <v>1980.2026208114928</v>
      </c>
      <c r="AQ123" s="227">
        <f t="shared" ca="1" si="20"/>
        <v>72562.141341480296</v>
      </c>
      <c r="AR123" s="4">
        <f t="shared" ca="1" si="21"/>
        <v>2.7289748954521357E-2</v>
      </c>
      <c r="AS123" s="65" t="str">
        <f>IFERROR(VLOOKUP($AO123,'General Lookups'!$A$1:$F$113,2,FALSE),"")</f>
        <v>RC</v>
      </c>
      <c r="AT123" s="65">
        <f>IFERROR(VLOOKUP($AO123,'General Lookups'!$A$1:$F$113,4,FALSE),"")</f>
        <v>22</v>
      </c>
      <c r="AU123" s="65">
        <f>IFERROR(VLOOKUP($AO123,'General Lookups'!$A$1:$F$113,5,FALSE),"")</f>
        <v>2</v>
      </c>
      <c r="AV123" s="65" t="s">
        <v>399</v>
      </c>
    </row>
    <row r="124" spans="31:48" x14ac:dyDescent="0.3">
      <c r="AE124" s="204" t="s">
        <v>398</v>
      </c>
      <c r="AF124" s="204" t="s">
        <v>398</v>
      </c>
      <c r="AG124" s="204" t="s">
        <v>398</v>
      </c>
      <c r="AH124" s="8" t="s">
        <v>218</v>
      </c>
      <c r="AI124" s="65">
        <f t="shared" ca="1" si="18"/>
        <v>658.63709315058497</v>
      </c>
      <c r="AJ124" s="65">
        <f t="shared" ca="1" si="18"/>
        <v>530.23208207726054</v>
      </c>
      <c r="AK124" s="65">
        <f t="shared" ca="1" si="18"/>
        <v>663.292685377662</v>
      </c>
      <c r="AL124" s="65">
        <f t="shared" ca="1" si="18"/>
        <v>34.61921290618308</v>
      </c>
      <c r="AM124" s="65">
        <f t="shared" ca="1" si="18"/>
        <v>718.92984031173705</v>
      </c>
      <c r="AN124" s="229"/>
      <c r="AO124" s="12" t="s">
        <v>218</v>
      </c>
      <c r="AP124" s="227">
        <f t="shared" ca="1" si="19"/>
        <v>1080.5714471824854</v>
      </c>
      <c r="AQ124" s="227">
        <f t="shared" ca="1" si="20"/>
        <v>47847.24411690118</v>
      </c>
      <c r="AR124" s="4">
        <f t="shared" ca="1" si="21"/>
        <v>2.2583776080026999E-2</v>
      </c>
      <c r="AS124" s="65" t="str">
        <f>IFERROR(VLOOKUP($AO124,'General Lookups'!$A$1:$F$113,2,FALSE),"")</f>
        <v>RC</v>
      </c>
      <c r="AT124" s="65">
        <f>IFERROR(VLOOKUP($AO124,'General Lookups'!$A$1:$F$113,4,FALSE),"")</f>
        <v>0</v>
      </c>
      <c r="AU124" s="65">
        <f>IFERROR(VLOOKUP($AO124,'General Lookups'!$A$1:$F$113,5,FALSE),"")</f>
        <v>1</v>
      </c>
      <c r="AV124" s="65" t="s">
        <v>399</v>
      </c>
    </row>
    <row r="125" spans="31:48" x14ac:dyDescent="0.3">
      <c r="AE125" s="204" t="s">
        <v>398</v>
      </c>
      <c r="AF125" s="204" t="s">
        <v>398</v>
      </c>
      <c r="AG125" s="204" t="s">
        <v>398</v>
      </c>
      <c r="AH125" s="12"/>
      <c r="AI125" s="12"/>
      <c r="AJ125" s="12"/>
      <c r="AK125" s="12"/>
      <c r="AL125" s="12"/>
      <c r="AM125" s="229"/>
      <c r="AN125" s="229"/>
      <c r="AO125" s="12"/>
      <c r="AP125" s="227"/>
      <c r="AQ125" s="227"/>
      <c r="AR125" s="4"/>
    </row>
    <row r="126" spans="31:48" x14ac:dyDescent="0.3">
      <c r="AE126" s="204" t="s">
        <v>398</v>
      </c>
      <c r="AF126" s="204" t="s">
        <v>398</v>
      </c>
      <c r="AG126" s="204" t="s">
        <v>398</v>
      </c>
      <c r="AH126" s="12"/>
      <c r="AO126"/>
      <c r="AR126" s="69"/>
      <c r="AS126" s="65" t="str">
        <f>IFERROR(VLOOKUP(#REF!,[1]Lookup!$B$2:$E$115,4,FALSE),"")</f>
        <v/>
      </c>
      <c r="AT126" s="65" t="str">
        <f>IFERROR(VLOOKUP(#REF!,[1]Lookup!$B$2:$E$115,2,FALSE),"")</f>
        <v/>
      </c>
    </row>
    <row r="127" spans="31:48" x14ac:dyDescent="0.3">
      <c r="AE127" s="204" t="s">
        <v>398</v>
      </c>
      <c r="AF127" s="204" t="s">
        <v>398</v>
      </c>
      <c r="AG127" s="204" t="s">
        <v>398</v>
      </c>
      <c r="AH127" s="12"/>
      <c r="AS127" s="65" t="str">
        <f>IFERROR(VLOOKUP(#REF!,[1]Lookup!$B$2:$E$115,4,FALSE),"")</f>
        <v/>
      </c>
      <c r="AT127" s="65" t="str">
        <f>IFERROR(VLOOKUP(#REF!,[1]Lookup!$B$2:$E$115,2,FALSE),"")</f>
        <v/>
      </c>
    </row>
    <row r="128" spans="31:48" x14ac:dyDescent="0.3">
      <c r="AE128" s="204" t="s">
        <v>398</v>
      </c>
      <c r="AF128" s="204" t="s">
        <v>398</v>
      </c>
      <c r="AG128" s="204" t="s">
        <v>398</v>
      </c>
      <c r="AH128" s="12"/>
      <c r="AS128" s="65" t="str">
        <f>IFERROR(VLOOKUP(#REF!,[1]Lookup!$B$2:$E$115,4,FALSE),"")</f>
        <v/>
      </c>
      <c r="AT128" s="65" t="str">
        <f>IFERROR(VLOOKUP(#REF!,[1]Lookup!$B$2:$E$115,2,FALSE),"")</f>
        <v/>
      </c>
    </row>
    <row r="129" spans="31:62" x14ac:dyDescent="0.3">
      <c r="AE129" s="204" t="s">
        <v>398</v>
      </c>
      <c r="AF129" s="204" t="s">
        <v>398</v>
      </c>
      <c r="AG129" s="204" t="s">
        <v>398</v>
      </c>
      <c r="AH129" s="12"/>
      <c r="AS129" s="65" t="str">
        <f>IFERROR(VLOOKUP(#REF!,[1]Lookup!$B$2:$E$115,4,FALSE),"")</f>
        <v/>
      </c>
      <c r="AT129" s="65" t="str">
        <f>IFERROR(VLOOKUP(#REF!,[1]Lookup!$B$2:$E$115,2,FALSE),"")</f>
        <v/>
      </c>
    </row>
    <row r="130" spans="31:62" x14ac:dyDescent="0.3">
      <c r="AE130" s="204" t="s">
        <v>398</v>
      </c>
      <c r="AF130" s="204" t="s">
        <v>398</v>
      </c>
      <c r="AG130" s="204" t="s">
        <v>398</v>
      </c>
      <c r="AH130" s="12"/>
      <c r="AS130" s="65" t="str">
        <f>IFERROR(VLOOKUP(#REF!,[1]Lookup!$B$2:$E$115,4,FALSE),"")</f>
        <v/>
      </c>
      <c r="AT130" s="65" t="str">
        <f>IFERROR(VLOOKUP(#REF!,[1]Lookup!$B$2:$E$115,2,FALSE),"")</f>
        <v/>
      </c>
    </row>
    <row r="131" spans="31:62" x14ac:dyDescent="0.3">
      <c r="AE131" s="204" t="s">
        <v>398</v>
      </c>
      <c r="AF131" s="204" t="s">
        <v>398</v>
      </c>
      <c r="AG131" s="204" t="s">
        <v>398</v>
      </c>
      <c r="AH131" s="12"/>
      <c r="AS131" s="65" t="str">
        <f>IFERROR(VLOOKUP(#REF!,[1]Lookup!$B$2:$E$115,4,FALSE),"")</f>
        <v/>
      </c>
      <c r="AT131" s="65" t="str">
        <f>IFERROR(VLOOKUP(#REF!,[1]Lookup!$B$2:$E$115,2,FALSE),"")</f>
        <v/>
      </c>
    </row>
    <row r="132" spans="31:62" x14ac:dyDescent="0.3">
      <c r="AE132" s="204" t="s">
        <v>398</v>
      </c>
      <c r="AF132" s="204" t="s">
        <v>398</v>
      </c>
      <c r="AG132" s="204" t="s">
        <v>398</v>
      </c>
      <c r="AH132" s="12"/>
      <c r="AS132" s="65" t="str">
        <f>IFERROR(VLOOKUP(#REF!,[1]Lookup!$B$2:$E$115,4,FALSE),"")</f>
        <v/>
      </c>
      <c r="AT132" s="65" t="str">
        <f>IFERROR(VLOOKUP(#REF!,[1]Lookup!$B$2:$E$115,2,FALSE),"")</f>
        <v/>
      </c>
    </row>
    <row r="133" spans="31:62" x14ac:dyDescent="0.3">
      <c r="AE133" s="204" t="s">
        <v>398</v>
      </c>
      <c r="AF133" s="204" t="s">
        <v>398</v>
      </c>
      <c r="AG133" s="204" t="s">
        <v>398</v>
      </c>
      <c r="AH133" s="12"/>
      <c r="AS133" s="65" t="str">
        <f>IFERROR(VLOOKUP(#REF!,[1]Lookup!$B$2:$E$115,4,FALSE),"")</f>
        <v/>
      </c>
      <c r="AT133" s="65" t="str">
        <f>IFERROR(VLOOKUP(#REF!,[1]Lookup!$B$2:$E$115,2,FALSE),"")</f>
        <v/>
      </c>
    </row>
    <row r="134" spans="31:62" x14ac:dyDescent="0.3">
      <c r="AE134" s="204" t="s">
        <v>398</v>
      </c>
      <c r="AF134" s="204" t="s">
        <v>398</v>
      </c>
      <c r="AG134" s="204" t="s">
        <v>398</v>
      </c>
      <c r="AH134"/>
      <c r="AI134"/>
      <c r="AJ134"/>
      <c r="AK134"/>
      <c r="AL134"/>
      <c r="AM134"/>
      <c r="AN134" s="202"/>
      <c r="AO134" s="202"/>
      <c r="AS134" s="65" t="str">
        <f>IFERROR(VLOOKUP(#REF!,[1]Lookup!$B$2:$E$115,4,FALSE),"")</f>
        <v/>
      </c>
      <c r="AT134" s="65" t="str">
        <f>IFERROR(VLOOKUP(#REF!,[1]Lookup!$B$2:$E$115,2,FALSE),"")</f>
        <v/>
      </c>
    </row>
    <row r="135" spans="31:62" x14ac:dyDescent="0.3">
      <c r="AE135" s="204" t="s">
        <v>398</v>
      </c>
      <c r="AF135" s="204" t="s">
        <v>398</v>
      </c>
      <c r="AG135" s="204" t="s">
        <v>398</v>
      </c>
      <c r="AH135"/>
      <c r="AI135"/>
      <c r="AJ135"/>
      <c r="AK135"/>
      <c r="AL135"/>
      <c r="AM135"/>
      <c r="AN135" s="207"/>
      <c r="AO135" s="207"/>
      <c r="AS135" s="65" t="str">
        <f>IFERROR(VLOOKUP(#REF!,[1]Lookup!$B$2:$E$115,4,FALSE),"")</f>
        <v/>
      </c>
      <c r="AT135" s="65" t="str">
        <f>IFERROR(VLOOKUP(#REF!,[1]Lookup!$B$2:$E$115,2,FALSE),"")</f>
        <v/>
      </c>
    </row>
    <row r="136" spans="31:62" x14ac:dyDescent="0.3">
      <c r="AE136" s="204" t="s">
        <v>398</v>
      </c>
      <c r="AF136" s="204" t="s">
        <v>398</v>
      </c>
      <c r="AG136" s="204" t="s">
        <v>398</v>
      </c>
      <c r="AH136"/>
      <c r="AI136"/>
      <c r="AJ136"/>
      <c r="AK136"/>
      <c r="AL136"/>
      <c r="AM136"/>
      <c r="AN136" s="202"/>
      <c r="AO136" s="202"/>
      <c r="AS136" s="65" t="str">
        <f>IFERROR(VLOOKUP(#REF!,[1]Lookup!$B$2:$E$115,4,FALSE),"")</f>
        <v/>
      </c>
      <c r="AT136" s="65" t="str">
        <f>IFERROR(VLOOKUP(#REF!,[1]Lookup!$B$2:$E$115,2,FALSE),"")</f>
        <v/>
      </c>
    </row>
    <row r="137" spans="31:62" x14ac:dyDescent="0.3">
      <c r="AE137" s="204" t="s">
        <v>398</v>
      </c>
      <c r="AF137" s="204" t="s">
        <v>398</v>
      </c>
      <c r="AG137" s="204" t="s">
        <v>398</v>
      </c>
      <c r="AH137"/>
      <c r="AI137"/>
      <c r="AJ137"/>
      <c r="AK137"/>
      <c r="AL137"/>
      <c r="AM137"/>
      <c r="AN137" s="202"/>
      <c r="AO137" s="202"/>
      <c r="AS137" s="65" t="str">
        <f>IFERROR(VLOOKUP(#REF!,[1]Lookup!$B$2:$E$115,4,FALSE),"")</f>
        <v/>
      </c>
      <c r="AT137" s="65" t="str">
        <f>IFERROR(VLOOKUP(#REF!,[1]Lookup!$B$2:$E$115,2,FALSE),"")</f>
        <v/>
      </c>
    </row>
    <row r="138" spans="31:62" x14ac:dyDescent="0.3">
      <c r="AE138" s="204" t="s">
        <v>398</v>
      </c>
      <c r="AF138" s="204" t="s">
        <v>398</v>
      </c>
      <c r="AG138" s="204" t="s">
        <v>398</v>
      </c>
      <c r="AH138"/>
      <c r="AI138"/>
      <c r="AJ138"/>
      <c r="AK138"/>
      <c r="AL138"/>
      <c r="AM138"/>
      <c r="AN138" s="202"/>
      <c r="AO138" s="202"/>
      <c r="AS138" s="65" t="str">
        <f>IFERROR(VLOOKUP(#REF!,[1]Lookup!$B$2:$E$115,4,FALSE),"")</f>
        <v/>
      </c>
      <c r="AT138" s="65" t="str">
        <f>IFERROR(VLOOKUP(#REF!,[1]Lookup!$B$2:$E$115,2,FALSE),"")</f>
        <v/>
      </c>
    </row>
    <row r="139" spans="31:62" x14ac:dyDescent="0.3">
      <c r="AE139" s="204" t="s">
        <v>398</v>
      </c>
      <c r="AF139" s="204" t="s">
        <v>398</v>
      </c>
      <c r="AG139" s="204" t="s">
        <v>398</v>
      </c>
      <c r="AH139"/>
      <c r="AI139"/>
      <c r="AJ139"/>
      <c r="AK139"/>
      <c r="AL139"/>
      <c r="AM139"/>
      <c r="AN139" s="237"/>
      <c r="AO139" s="237"/>
      <c r="AP139" s="66"/>
      <c r="AQ139" s="66"/>
      <c r="AR139" s="66"/>
      <c r="AS139" s="66" t="str">
        <f>IFERROR(VLOOKUP(#REF!,[1]Lookup!$B$2:$E$115,4,FALSE),"")</f>
        <v/>
      </c>
      <c r="AT139" s="66" t="str">
        <f>IFERROR(VLOOKUP(#REF!,[1]Lookup!$B$2:$E$115,2,FALSE),"")</f>
        <v/>
      </c>
      <c r="AW139" s="66"/>
      <c r="AX139" s="66"/>
      <c r="AY139" s="66"/>
      <c r="AZ139" s="66"/>
      <c r="BA139" s="66"/>
      <c r="BB139" s="66"/>
      <c r="BC139" s="66"/>
      <c r="BD139" s="66"/>
      <c r="BE139" s="66"/>
      <c r="BF139" s="66"/>
      <c r="BG139" s="66"/>
      <c r="BH139" s="66"/>
      <c r="BI139" s="66"/>
      <c r="BJ139" s="66"/>
    </row>
    <row r="140" spans="31:62" x14ac:dyDescent="0.3">
      <c r="AE140" s="204" t="s">
        <v>398</v>
      </c>
      <c r="AF140" s="204" t="s">
        <v>398</v>
      </c>
      <c r="AG140" s="204" t="s">
        <v>398</v>
      </c>
      <c r="AH140" s="8" t="s">
        <v>159</v>
      </c>
      <c r="AI140" s="65">
        <f ca="1">RAND()*1000</f>
        <v>693.42223888722322</v>
      </c>
      <c r="AJ140" s="65">
        <f t="shared" ref="AJ140:AM155" ca="1" si="22">RAND()*1000</f>
        <v>618.4687713194761</v>
      </c>
      <c r="AK140" s="65">
        <f t="shared" ca="1" si="22"/>
        <v>763.30273035595621</v>
      </c>
      <c r="AL140" s="65">
        <f t="shared" ca="1" si="22"/>
        <v>358.75431464682805</v>
      </c>
      <c r="AM140" s="65">
        <f t="shared" ca="1" si="22"/>
        <v>664.32315378968224</v>
      </c>
      <c r="AN140" s="202"/>
      <c r="AO140" s="202"/>
      <c r="AS140" s="65" t="str">
        <f>IFERROR(VLOOKUP(#REF!,[1]Lookup!$B$2:$E$115,4,FALSE),"")</f>
        <v/>
      </c>
      <c r="AT140" s="65" t="str">
        <f>IFERROR(VLOOKUP(#REF!,[1]Lookup!$B$2:$E$115,2,FALSE),"")</f>
        <v/>
      </c>
    </row>
    <row r="141" spans="31:62" x14ac:dyDescent="0.3">
      <c r="AE141" s="204" t="s">
        <v>398</v>
      </c>
      <c r="AF141" s="204" t="s">
        <v>398</v>
      </c>
      <c r="AG141" s="204" t="s">
        <v>398</v>
      </c>
      <c r="AH141" s="8" t="s">
        <v>175</v>
      </c>
      <c r="AI141" s="65">
        <f t="shared" ref="AI141:AM172" ca="1" si="23">RAND()*1000</f>
        <v>851.24691701301469</v>
      </c>
      <c r="AJ141" s="65">
        <f t="shared" ca="1" si="22"/>
        <v>628.03460280324111</v>
      </c>
      <c r="AK141" s="65">
        <f t="shared" ca="1" si="22"/>
        <v>236.17444446012593</v>
      </c>
      <c r="AL141" s="65">
        <f t="shared" ca="1" si="22"/>
        <v>136.26857214259914</v>
      </c>
      <c r="AM141" s="65">
        <f t="shared" ca="1" si="22"/>
        <v>447.27844725219768</v>
      </c>
      <c r="AN141" s="202"/>
      <c r="AO141" s="202"/>
      <c r="AS141" s="65" t="str">
        <f>IFERROR(VLOOKUP(#REF!,[1]Lookup!$B$2:$E$115,4,FALSE),"")</f>
        <v/>
      </c>
      <c r="AT141" s="65" t="str">
        <f>IFERROR(VLOOKUP(#REF!,[1]Lookup!$B$2:$E$115,2,FALSE),"")</f>
        <v/>
      </c>
    </row>
    <row r="142" spans="31:62" x14ac:dyDescent="0.3">
      <c r="AE142" s="204" t="s">
        <v>398</v>
      </c>
      <c r="AF142" s="204" t="s">
        <v>398</v>
      </c>
      <c r="AG142" s="204" t="s">
        <v>398</v>
      </c>
      <c r="AH142" s="8" t="s">
        <v>160</v>
      </c>
      <c r="AI142" s="65">
        <f t="shared" ca="1" si="23"/>
        <v>760.75156551750274</v>
      </c>
      <c r="AJ142" s="65">
        <f t="shared" ca="1" si="22"/>
        <v>281.50457346872815</v>
      </c>
      <c r="AK142" s="65">
        <f t="shared" ca="1" si="22"/>
        <v>171.11504421509827</v>
      </c>
      <c r="AL142" s="65">
        <f t="shared" ca="1" si="22"/>
        <v>740.66462142048761</v>
      </c>
      <c r="AM142" s="65">
        <f t="shared" ca="1" si="22"/>
        <v>609.76214891407983</v>
      </c>
      <c r="AS142" s="65" t="str">
        <f>IFERROR(VLOOKUP(#REF!,[1]Lookup!$B$2:$E$115,4,FALSE),"")</f>
        <v/>
      </c>
      <c r="AT142" s="65" t="str">
        <f>IFERROR(VLOOKUP(#REF!,[1]Lookup!$B$2:$E$115,2,FALSE),"")</f>
        <v/>
      </c>
    </row>
    <row r="143" spans="31:62" x14ac:dyDescent="0.3">
      <c r="AE143" s="204" t="s">
        <v>398</v>
      </c>
      <c r="AF143" s="204" t="s">
        <v>398</v>
      </c>
      <c r="AG143" s="204" t="s">
        <v>398</v>
      </c>
      <c r="AH143" s="8" t="s">
        <v>176</v>
      </c>
      <c r="AI143" s="65">
        <f t="shared" ca="1" si="23"/>
        <v>409.75891216359292</v>
      </c>
      <c r="AJ143" s="65">
        <f t="shared" ca="1" si="22"/>
        <v>80.481026237889779</v>
      </c>
      <c r="AK143" s="65">
        <f t="shared" ca="1" si="22"/>
        <v>836.03523231215274</v>
      </c>
      <c r="AL143" s="65">
        <f t="shared" ca="1" si="22"/>
        <v>393.73670331570474</v>
      </c>
      <c r="AM143" s="65">
        <f t="shared" ca="1" si="22"/>
        <v>304.99738133959187</v>
      </c>
      <c r="AN143" s="12"/>
      <c r="AO143"/>
      <c r="AS143" s="65" t="str">
        <f>IFERROR(VLOOKUP(#REF!,[1]Lookup!$B$2:$E$115,4,FALSE),"")</f>
        <v/>
      </c>
      <c r="AT143" s="65" t="str">
        <f>IFERROR(VLOOKUP(#REF!,[1]Lookup!$B$2:$E$115,2,FALSE),"")</f>
        <v/>
      </c>
    </row>
    <row r="144" spans="31:62" x14ac:dyDescent="0.3">
      <c r="AE144" s="204" t="s">
        <v>398</v>
      </c>
      <c r="AF144" s="204" t="s">
        <v>398</v>
      </c>
      <c r="AG144" s="204" t="s">
        <v>398</v>
      </c>
      <c r="AH144" s="8" t="s">
        <v>177</v>
      </c>
      <c r="AI144" s="65">
        <f t="shared" ca="1" si="23"/>
        <v>586.97395945262201</v>
      </c>
      <c r="AJ144" s="65">
        <f t="shared" ca="1" si="22"/>
        <v>814.53204094660691</v>
      </c>
      <c r="AK144" s="65">
        <f t="shared" ca="1" si="22"/>
        <v>38.809243965806431</v>
      </c>
      <c r="AL144" s="65">
        <f t="shared" ca="1" si="22"/>
        <v>516.30171221689068</v>
      </c>
      <c r="AM144" s="65">
        <f t="shared" ca="1" si="22"/>
        <v>782.82052710141181</v>
      </c>
      <c r="AN144" s="236"/>
      <c r="AO144" s="66"/>
      <c r="AP144" s="66"/>
      <c r="AQ144" s="66"/>
      <c r="AR144" s="66"/>
      <c r="AS144" s="66" t="str">
        <f>IFERROR(VLOOKUP(#REF!,[1]Lookup!$B$2:$E$115,4,FALSE),"")</f>
        <v/>
      </c>
      <c r="AT144" s="66" t="str">
        <f>IFERROR(VLOOKUP(#REF!,[1]Lookup!$B$2:$E$115,2,FALSE),"")</f>
        <v/>
      </c>
    </row>
    <row r="145" spans="31:46" x14ac:dyDescent="0.3">
      <c r="AE145" s="204" t="s">
        <v>398</v>
      </c>
      <c r="AF145" s="204" t="s">
        <v>398</v>
      </c>
      <c r="AG145" s="204" t="s">
        <v>398</v>
      </c>
      <c r="AH145" s="8" t="s">
        <v>161</v>
      </c>
      <c r="AI145" s="65">
        <f t="shared" ca="1" si="23"/>
        <v>227.89433759208012</v>
      </c>
      <c r="AJ145" s="65">
        <f t="shared" ca="1" si="22"/>
        <v>500.55776596835665</v>
      </c>
      <c r="AK145" s="65">
        <f t="shared" ca="1" si="22"/>
        <v>222.39911471770523</v>
      </c>
      <c r="AL145" s="65">
        <f t="shared" ca="1" si="22"/>
        <v>587.61710444526068</v>
      </c>
      <c r="AM145" s="65">
        <f t="shared" ca="1" si="22"/>
        <v>409.92553108146581</v>
      </c>
      <c r="AN145" s="229"/>
      <c r="AO145"/>
      <c r="AS145" s="65" t="str">
        <f>IFERROR(VLOOKUP(#REF!,[1]Lookup!$B$2:$E$115,4,FALSE),"")</f>
        <v/>
      </c>
      <c r="AT145" s="65" t="str">
        <f>IFERROR(VLOOKUP(#REF!,[1]Lookup!$B$2:$E$115,2,FALSE),"")</f>
        <v/>
      </c>
    </row>
    <row r="146" spans="31:46" x14ac:dyDescent="0.3">
      <c r="AE146" s="204" t="s">
        <v>398</v>
      </c>
      <c r="AF146" s="204" t="s">
        <v>398</v>
      </c>
      <c r="AG146" s="204" t="s">
        <v>398</v>
      </c>
      <c r="AH146" s="8" t="s">
        <v>162</v>
      </c>
      <c r="AI146" s="65">
        <f t="shared" ca="1" si="23"/>
        <v>774.52838583045866</v>
      </c>
      <c r="AJ146" s="65">
        <f t="shared" ca="1" si="22"/>
        <v>491.6527747204438</v>
      </c>
      <c r="AK146" s="65">
        <f t="shared" ca="1" si="22"/>
        <v>236.26107118607587</v>
      </c>
      <c r="AL146" s="65">
        <f t="shared" ca="1" si="22"/>
        <v>952.6228504902565</v>
      </c>
      <c r="AM146" s="65">
        <f t="shared" ca="1" si="22"/>
        <v>164.83044009907744</v>
      </c>
      <c r="AN146" s="229"/>
      <c r="AO146"/>
      <c r="AS146" s="65" t="str">
        <f>IFERROR(VLOOKUP(#REF!,[1]Lookup!$B$2:$E$115,4,FALSE),"")</f>
        <v/>
      </c>
      <c r="AT146" s="65" t="str">
        <f>IFERROR(VLOOKUP(#REF!,[1]Lookup!$B$2:$E$115,2,FALSE),"")</f>
        <v/>
      </c>
    </row>
    <row r="147" spans="31:46" x14ac:dyDescent="0.3">
      <c r="AE147" s="204" t="s">
        <v>398</v>
      </c>
      <c r="AF147" s="204" t="s">
        <v>398</v>
      </c>
      <c r="AG147" s="204" t="s">
        <v>398</v>
      </c>
      <c r="AH147" s="8" t="s">
        <v>163</v>
      </c>
      <c r="AI147" s="65">
        <f t="shared" ca="1" si="23"/>
        <v>718.09185301466596</v>
      </c>
      <c r="AJ147" s="65">
        <f t="shared" ca="1" si="22"/>
        <v>230.21139672665402</v>
      </c>
      <c r="AK147" s="65">
        <f t="shared" ca="1" si="22"/>
        <v>437.5009174357607</v>
      </c>
      <c r="AL147" s="65">
        <f t="shared" ca="1" si="22"/>
        <v>911.92247926139282</v>
      </c>
      <c r="AM147" s="65">
        <f t="shared" ca="1" si="22"/>
        <v>365.12205620060104</v>
      </c>
      <c r="AN147" s="229"/>
      <c r="AO147"/>
      <c r="AS147" s="65" t="str">
        <f>IFERROR(VLOOKUP(#REF!,[1]Lookup!$B$2:$E$115,4,FALSE),"")</f>
        <v/>
      </c>
      <c r="AT147" s="65" t="str">
        <f>IFERROR(VLOOKUP(#REF!,[1]Lookup!$B$2:$E$115,2,FALSE),"")</f>
        <v/>
      </c>
    </row>
    <row r="148" spans="31:46" x14ac:dyDescent="0.3">
      <c r="AE148" s="204" t="s">
        <v>398</v>
      </c>
      <c r="AF148" s="204" t="s">
        <v>398</v>
      </c>
      <c r="AG148" s="204" t="s">
        <v>398</v>
      </c>
      <c r="AH148" s="8" t="s">
        <v>164</v>
      </c>
      <c r="AI148" s="65">
        <f t="shared" ca="1" si="23"/>
        <v>947.56343556242336</v>
      </c>
      <c r="AJ148" s="65">
        <f t="shared" ca="1" si="22"/>
        <v>400.1345553438702</v>
      </c>
      <c r="AK148" s="65">
        <f t="shared" ca="1" si="22"/>
        <v>15.047891446013706</v>
      </c>
      <c r="AL148" s="65">
        <f t="shared" ca="1" si="22"/>
        <v>43.007699914149768</v>
      </c>
      <c r="AM148" s="65">
        <f t="shared" ca="1" si="22"/>
        <v>11.884801050981109</v>
      </c>
      <c r="AN148" s="229"/>
      <c r="AO148"/>
      <c r="AS148" s="65" t="str">
        <f>IFERROR(VLOOKUP(#REF!,[1]Lookup!$B$2:$E$115,4,FALSE),"")</f>
        <v/>
      </c>
      <c r="AT148" s="65" t="str">
        <f>IFERROR(VLOOKUP(#REF!,[1]Lookup!$B$2:$E$115,2,FALSE),"")</f>
        <v/>
      </c>
    </row>
    <row r="149" spans="31:46" x14ac:dyDescent="0.3">
      <c r="AE149" s="204" t="s">
        <v>398</v>
      </c>
      <c r="AF149" s="204" t="s">
        <v>398</v>
      </c>
      <c r="AG149" s="204" t="s">
        <v>398</v>
      </c>
      <c r="AH149" s="8" t="s">
        <v>178</v>
      </c>
      <c r="AI149" s="65">
        <f t="shared" ca="1" si="23"/>
        <v>352.31345230088783</v>
      </c>
      <c r="AJ149" s="65">
        <f t="shared" ca="1" si="22"/>
        <v>297.76814685909915</v>
      </c>
      <c r="AK149" s="65">
        <f t="shared" ca="1" si="22"/>
        <v>838.43776625831879</v>
      </c>
      <c r="AL149" s="65">
        <f t="shared" ca="1" si="22"/>
        <v>509.2660144169231</v>
      </c>
      <c r="AM149" s="65">
        <f t="shared" ca="1" si="22"/>
        <v>118.99841617918283</v>
      </c>
      <c r="AN149" s="229"/>
      <c r="AO149"/>
      <c r="AS149" s="65" t="str">
        <f>IFERROR(VLOOKUP(#REF!,[1]Lookup!$B$2:$E$115,4,FALSE),"")</f>
        <v/>
      </c>
      <c r="AT149" s="65" t="str">
        <f>IFERROR(VLOOKUP(#REF!,[1]Lookup!$B$2:$E$115,2,FALSE),"")</f>
        <v/>
      </c>
    </row>
    <row r="150" spans="31:46" x14ac:dyDescent="0.3">
      <c r="AE150" s="204" t="s">
        <v>398</v>
      </c>
      <c r="AF150" s="204" t="s">
        <v>398</v>
      </c>
      <c r="AG150" s="204" t="s">
        <v>398</v>
      </c>
      <c r="AH150" s="8" t="s">
        <v>165</v>
      </c>
      <c r="AI150" s="65">
        <f t="shared" ca="1" si="23"/>
        <v>415.5856633518008</v>
      </c>
      <c r="AJ150" s="65">
        <f t="shared" ca="1" si="22"/>
        <v>683.09240822943116</v>
      </c>
      <c r="AK150" s="65">
        <f t="shared" ca="1" si="22"/>
        <v>952.18322749078914</v>
      </c>
      <c r="AL150" s="65">
        <f t="shared" ca="1" si="22"/>
        <v>132.59417082923207</v>
      </c>
      <c r="AM150" s="65">
        <f t="shared" ca="1" si="22"/>
        <v>739.98262504443028</v>
      </c>
      <c r="AN150" s="229"/>
      <c r="AO150"/>
      <c r="AS150" s="65" t="str">
        <f>IFERROR(VLOOKUP(#REF!,[1]Lookup!$B$2:$E$115,4,FALSE),"")</f>
        <v/>
      </c>
      <c r="AT150" s="65" t="str">
        <f>IFERROR(VLOOKUP(#REF!,[1]Lookup!$B$2:$E$115,2,FALSE),"")</f>
        <v/>
      </c>
    </row>
    <row r="151" spans="31:46" x14ac:dyDescent="0.3">
      <c r="AE151" s="204" t="s">
        <v>398</v>
      </c>
      <c r="AF151" s="204" t="s">
        <v>398</v>
      </c>
      <c r="AG151" s="204" t="s">
        <v>398</v>
      </c>
      <c r="AH151" s="8" t="s">
        <v>166</v>
      </c>
      <c r="AI151" s="65">
        <f t="shared" ca="1" si="23"/>
        <v>414.50699382762843</v>
      </c>
      <c r="AJ151" s="65">
        <f t="shared" ca="1" si="22"/>
        <v>505.45160628357922</v>
      </c>
      <c r="AK151" s="65">
        <f t="shared" ca="1" si="22"/>
        <v>62.481191928009935</v>
      </c>
      <c r="AL151" s="65">
        <f t="shared" ca="1" si="22"/>
        <v>378.63478390625448</v>
      </c>
      <c r="AM151" s="65">
        <f t="shared" ca="1" si="22"/>
        <v>301.77638839232191</v>
      </c>
      <c r="AN151" s="229"/>
      <c r="AO151"/>
      <c r="AS151" s="65" t="str">
        <f>IFERROR(VLOOKUP(#REF!,[1]Lookup!$B$2:$E$115,4,FALSE),"")</f>
        <v/>
      </c>
      <c r="AT151" s="65" t="str">
        <f>IFERROR(VLOOKUP(#REF!,[1]Lookup!$B$2:$E$115,2,FALSE),"")</f>
        <v/>
      </c>
    </row>
    <row r="152" spans="31:46" x14ac:dyDescent="0.3">
      <c r="AE152" s="204" t="s">
        <v>398</v>
      </c>
      <c r="AF152" s="204" t="s">
        <v>398</v>
      </c>
      <c r="AG152" s="204" t="s">
        <v>398</v>
      </c>
      <c r="AH152" s="8" t="s">
        <v>167</v>
      </c>
      <c r="AI152" s="65">
        <f t="shared" ca="1" si="23"/>
        <v>431.27112900563338</v>
      </c>
      <c r="AJ152" s="65">
        <f t="shared" ca="1" si="22"/>
        <v>835.0793998660007</v>
      </c>
      <c r="AK152" s="65">
        <f t="shared" ca="1" si="22"/>
        <v>869.19407255658541</v>
      </c>
      <c r="AL152" s="65">
        <f t="shared" ca="1" si="22"/>
        <v>790.54020457552406</v>
      </c>
      <c r="AM152" s="65">
        <f t="shared" ca="1" si="22"/>
        <v>905.21034468175083</v>
      </c>
      <c r="AN152" s="229"/>
      <c r="AO152"/>
      <c r="AS152" s="65" t="str">
        <f>IFERROR(VLOOKUP(#REF!,[1]Lookup!$B$2:$E$115,4,FALSE),"")</f>
        <v/>
      </c>
      <c r="AT152" s="65" t="str">
        <f>IFERROR(VLOOKUP(#REF!,[1]Lookup!$B$2:$E$115,2,FALSE),"")</f>
        <v/>
      </c>
    </row>
    <row r="153" spans="31:46" x14ac:dyDescent="0.3">
      <c r="AE153" s="204" t="s">
        <v>398</v>
      </c>
      <c r="AF153" s="204" t="s">
        <v>398</v>
      </c>
      <c r="AG153" s="204" t="s">
        <v>398</v>
      </c>
      <c r="AH153" s="8" t="s">
        <v>168</v>
      </c>
      <c r="AI153" s="65">
        <f t="shared" ca="1" si="23"/>
        <v>880.930463108514</v>
      </c>
      <c r="AJ153" s="65">
        <f t="shared" ca="1" si="22"/>
        <v>135.86120560810099</v>
      </c>
      <c r="AK153" s="65">
        <f t="shared" ca="1" si="22"/>
        <v>383.08946370751028</v>
      </c>
      <c r="AL153" s="65">
        <f t="shared" ca="1" si="22"/>
        <v>320.88339533487266</v>
      </c>
      <c r="AM153" s="65">
        <f t="shared" ca="1" si="22"/>
        <v>573.58331652050026</v>
      </c>
      <c r="AN153" s="229"/>
      <c r="AO153"/>
      <c r="AS153" s="65" t="str">
        <f>IFERROR(VLOOKUP(#REF!,[1]Lookup!$B$2:$E$115,4,FALSE),"")</f>
        <v/>
      </c>
      <c r="AT153" s="65" t="str">
        <f>IFERROR(VLOOKUP(#REF!,[1]Lookup!$B$2:$E$115,2,FALSE),"")</f>
        <v/>
      </c>
    </row>
    <row r="154" spans="31:46" x14ac:dyDescent="0.3">
      <c r="AE154" s="204" t="s">
        <v>398</v>
      </c>
      <c r="AF154" s="204" t="s">
        <v>398</v>
      </c>
      <c r="AG154" s="204" t="s">
        <v>398</v>
      </c>
      <c r="AH154" s="8" t="s">
        <v>169</v>
      </c>
      <c r="AI154" s="65">
        <f t="shared" ca="1" si="23"/>
        <v>941.36884761215185</v>
      </c>
      <c r="AJ154" s="65">
        <f t="shared" ca="1" si="22"/>
        <v>52.474457000950771</v>
      </c>
      <c r="AK154" s="65">
        <f t="shared" ca="1" si="22"/>
        <v>554.80586982528666</v>
      </c>
      <c r="AL154" s="65">
        <f t="shared" ca="1" si="22"/>
        <v>896.4030141450279</v>
      </c>
      <c r="AM154" s="65">
        <f t="shared" ca="1" si="22"/>
        <v>649.05629128993951</v>
      </c>
      <c r="AN154" s="229"/>
      <c r="AO154"/>
      <c r="AS154" s="65" t="str">
        <f>IFERROR(VLOOKUP(#REF!,[1]Lookup!$B$2:$E$115,4,FALSE),"")</f>
        <v/>
      </c>
      <c r="AT154" s="65" t="str">
        <f>IFERROR(VLOOKUP(#REF!,[1]Lookup!$B$2:$E$115,2,FALSE),"")</f>
        <v/>
      </c>
    </row>
    <row r="155" spans="31:46" x14ac:dyDescent="0.3">
      <c r="AE155" s="204" t="s">
        <v>398</v>
      </c>
      <c r="AF155" s="204" t="s">
        <v>398</v>
      </c>
      <c r="AG155" s="204" t="s">
        <v>398</v>
      </c>
      <c r="AH155" s="8" t="s">
        <v>179</v>
      </c>
      <c r="AI155" s="65">
        <f t="shared" ca="1" si="23"/>
        <v>492.45708141598857</v>
      </c>
      <c r="AJ155" s="65">
        <f t="shared" ca="1" si="22"/>
        <v>710.32180198139224</v>
      </c>
      <c r="AK155" s="65">
        <f t="shared" ca="1" si="22"/>
        <v>36.541995388433278</v>
      </c>
      <c r="AL155" s="65">
        <f t="shared" ca="1" si="22"/>
        <v>483.08612105631011</v>
      </c>
      <c r="AM155" s="65">
        <f t="shared" ca="1" si="22"/>
        <v>863.63353294973695</v>
      </c>
      <c r="AN155" s="229"/>
      <c r="AO155"/>
      <c r="AS155" s="65" t="str">
        <f>IFERROR(VLOOKUP(#REF!,[1]Lookup!$B$2:$E$115,4,FALSE),"")</f>
        <v/>
      </c>
      <c r="AT155" s="65" t="str">
        <f>IFERROR(VLOOKUP(#REF!,[1]Lookup!$B$2:$E$115,2,FALSE),"")</f>
        <v/>
      </c>
    </row>
    <row r="156" spans="31:46" x14ac:dyDescent="0.3">
      <c r="AE156" s="204" t="s">
        <v>398</v>
      </c>
      <c r="AF156" s="204" t="s">
        <v>398</v>
      </c>
      <c r="AG156" s="204" t="s">
        <v>398</v>
      </c>
      <c r="AH156" s="8" t="s">
        <v>180</v>
      </c>
      <c r="AI156" s="65">
        <f t="shared" ca="1" si="23"/>
        <v>698.03005531748443</v>
      </c>
      <c r="AJ156" s="65">
        <f t="shared" ca="1" si="23"/>
        <v>272.64970046925532</v>
      </c>
      <c r="AK156" s="65">
        <f t="shared" ca="1" si="23"/>
        <v>430.32190838940829</v>
      </c>
      <c r="AL156" s="65">
        <f t="shared" ca="1" si="23"/>
        <v>500.4061371486863</v>
      </c>
      <c r="AM156" s="65">
        <f t="shared" ca="1" si="23"/>
        <v>47.457010742448567</v>
      </c>
      <c r="AN156" s="229"/>
      <c r="AO156"/>
      <c r="AS156" s="65" t="str">
        <f>IFERROR(VLOOKUP(#REF!,[1]Lookup!$B$2:$E$115,4,FALSE),"")</f>
        <v/>
      </c>
      <c r="AT156" s="65" t="str">
        <f>IFERROR(VLOOKUP(#REF!,[1]Lookup!$B$2:$E$115,2,FALSE),"")</f>
        <v/>
      </c>
    </row>
    <row r="157" spans="31:46" x14ac:dyDescent="0.3">
      <c r="AE157" s="204" t="s">
        <v>398</v>
      </c>
      <c r="AF157" s="204" t="s">
        <v>398</v>
      </c>
      <c r="AG157" s="204" t="s">
        <v>398</v>
      </c>
      <c r="AH157" s="8" t="s">
        <v>181</v>
      </c>
      <c r="AI157" s="65">
        <f t="shared" ca="1" si="23"/>
        <v>14.395460818074856</v>
      </c>
      <c r="AJ157" s="65">
        <f t="shared" ca="1" si="23"/>
        <v>894.19044815660061</v>
      </c>
      <c r="AK157" s="65">
        <f t="shared" ca="1" si="23"/>
        <v>368.05298867185485</v>
      </c>
      <c r="AL157" s="65">
        <f t="shared" ca="1" si="23"/>
        <v>89.361375121426718</v>
      </c>
      <c r="AM157" s="65">
        <f t="shared" ca="1" si="23"/>
        <v>522.3541618910956</v>
      </c>
      <c r="AN157" s="229"/>
      <c r="AO157"/>
      <c r="AS157" s="65" t="str">
        <f>IFERROR(VLOOKUP(#REF!,[1]Lookup!$B$2:$E$115,4,FALSE),"")</f>
        <v/>
      </c>
      <c r="AT157" s="65" t="str">
        <f>IFERROR(VLOOKUP(#REF!,[1]Lookup!$B$2:$E$115,2,FALSE),"")</f>
        <v/>
      </c>
    </row>
    <row r="158" spans="31:46" x14ac:dyDescent="0.3">
      <c r="AE158" s="204" t="s">
        <v>398</v>
      </c>
      <c r="AF158" s="204" t="s">
        <v>398</v>
      </c>
      <c r="AG158" s="204" t="s">
        <v>398</v>
      </c>
      <c r="AH158" s="8" t="s">
        <v>170</v>
      </c>
      <c r="AI158" s="65">
        <f t="shared" ca="1" si="23"/>
        <v>292.00628035736241</v>
      </c>
      <c r="AJ158" s="65">
        <f t="shared" ca="1" si="23"/>
        <v>838.40172091486033</v>
      </c>
      <c r="AK158" s="65">
        <f t="shared" ca="1" si="23"/>
        <v>175.87942992553084</v>
      </c>
      <c r="AL158" s="65">
        <f t="shared" ca="1" si="23"/>
        <v>623.1022617540383</v>
      </c>
      <c r="AM158" s="65">
        <f t="shared" ca="1" si="23"/>
        <v>368.94098338552408</v>
      </c>
      <c r="AN158" s="229"/>
      <c r="AO158"/>
      <c r="AS158" s="65" t="str">
        <f>IFERROR(VLOOKUP(#REF!,[1]Lookup!$B$2:$E$115,4,FALSE),"")</f>
        <v/>
      </c>
      <c r="AT158" s="65" t="str">
        <f>IFERROR(VLOOKUP(#REF!,[1]Lookup!$B$2:$E$115,2,FALSE),"")</f>
        <v/>
      </c>
    </row>
    <row r="159" spans="31:46" x14ac:dyDescent="0.3">
      <c r="AE159" s="204" t="s">
        <v>398</v>
      </c>
      <c r="AF159" s="204" t="s">
        <v>398</v>
      </c>
      <c r="AG159" s="204" t="s">
        <v>398</v>
      </c>
      <c r="AH159" s="8" t="s">
        <v>171</v>
      </c>
      <c r="AI159" s="65">
        <f t="shared" ca="1" si="23"/>
        <v>591.03030317259925</v>
      </c>
      <c r="AJ159" s="65">
        <f t="shared" ca="1" si="23"/>
        <v>435.96096906981927</v>
      </c>
      <c r="AK159" s="65">
        <f t="shared" ca="1" si="23"/>
        <v>122.92726600839399</v>
      </c>
      <c r="AL159" s="65">
        <f t="shared" ca="1" si="23"/>
        <v>600.57994194111416</v>
      </c>
      <c r="AM159" s="65">
        <f t="shared" ca="1" si="23"/>
        <v>981.60577496701399</v>
      </c>
      <c r="AN159" s="229"/>
      <c r="AO159"/>
      <c r="AS159" s="65" t="str">
        <f>IFERROR(VLOOKUP(#REF!,[1]Lookup!$B$2:$E$115,4,FALSE),"")</f>
        <v/>
      </c>
      <c r="AT159" s="65" t="str">
        <f>IFERROR(VLOOKUP(#REF!,[1]Lookup!$B$2:$E$115,2,FALSE),"")</f>
        <v/>
      </c>
    </row>
    <row r="160" spans="31:46" x14ac:dyDescent="0.3">
      <c r="AE160" s="204" t="s">
        <v>398</v>
      </c>
      <c r="AF160" s="204" t="s">
        <v>398</v>
      </c>
      <c r="AG160" s="204" t="s">
        <v>398</v>
      </c>
      <c r="AH160" s="8" t="s">
        <v>172</v>
      </c>
      <c r="AI160" s="65">
        <f t="shared" ca="1" si="23"/>
        <v>441.05417364853037</v>
      </c>
      <c r="AJ160" s="65">
        <f t="shared" ca="1" si="23"/>
        <v>992.6570382577263</v>
      </c>
      <c r="AK160" s="65">
        <f t="shared" ca="1" si="23"/>
        <v>653.74718266672437</v>
      </c>
      <c r="AL160" s="65">
        <f t="shared" ca="1" si="23"/>
        <v>813.25003537970269</v>
      </c>
      <c r="AM160" s="65">
        <f t="shared" ca="1" si="23"/>
        <v>948.0533330376735</v>
      </c>
      <c r="AN160" s="229"/>
      <c r="AO160"/>
      <c r="AS160" s="65" t="str">
        <f>IFERROR(VLOOKUP(#REF!,[1]Lookup!$B$2:$E$115,4,FALSE),"")</f>
        <v/>
      </c>
      <c r="AT160" s="65" t="str">
        <f>IFERROR(VLOOKUP(#REF!,[1]Lookup!$B$2:$E$115,2,FALSE),"")</f>
        <v/>
      </c>
    </row>
    <row r="161" spans="31:46" x14ac:dyDescent="0.3">
      <c r="AE161" s="204" t="s">
        <v>398</v>
      </c>
      <c r="AF161" s="204" t="s">
        <v>398</v>
      </c>
      <c r="AG161" s="204" t="s">
        <v>398</v>
      </c>
      <c r="AH161" s="8" t="s">
        <v>173</v>
      </c>
      <c r="AI161" s="65">
        <f t="shared" ca="1" si="23"/>
        <v>848.74968837484323</v>
      </c>
      <c r="AJ161" s="65">
        <f t="shared" ca="1" si="23"/>
        <v>523.0136134222987</v>
      </c>
      <c r="AK161" s="65">
        <f t="shared" ca="1" si="23"/>
        <v>217.8965137697646</v>
      </c>
      <c r="AL161" s="65">
        <f t="shared" ca="1" si="23"/>
        <v>981.66150487970299</v>
      </c>
      <c r="AM161" s="65">
        <f t="shared" ca="1" si="23"/>
        <v>218.55139662802537</v>
      </c>
      <c r="AN161" s="229"/>
      <c r="AO161"/>
      <c r="AS161" s="65" t="str">
        <f>IFERROR(VLOOKUP(#REF!,[1]Lookup!$B$2:$E$115,4,FALSE),"")</f>
        <v/>
      </c>
      <c r="AT161" s="65" t="str">
        <f>IFERROR(VLOOKUP(#REF!,[1]Lookup!$B$2:$E$115,2,FALSE),"")</f>
        <v/>
      </c>
    </row>
    <row r="162" spans="31:46" x14ac:dyDescent="0.3">
      <c r="AE162" s="204" t="s">
        <v>398</v>
      </c>
      <c r="AF162" s="204" t="s">
        <v>398</v>
      </c>
      <c r="AG162" s="204" t="s">
        <v>398</v>
      </c>
      <c r="AH162" s="8" t="s">
        <v>174</v>
      </c>
      <c r="AI162" s="65">
        <f t="shared" ca="1" si="23"/>
        <v>737.27075186658396</v>
      </c>
      <c r="AJ162" s="65">
        <f t="shared" ca="1" si="23"/>
        <v>767.92741492576931</v>
      </c>
      <c r="AK162" s="65">
        <f t="shared" ca="1" si="23"/>
        <v>174.56626575330591</v>
      </c>
      <c r="AL162" s="65">
        <f t="shared" ca="1" si="23"/>
        <v>389.68984251594395</v>
      </c>
      <c r="AM162" s="65">
        <f t="shared" ca="1" si="23"/>
        <v>17.85928615171073</v>
      </c>
      <c r="AN162" s="229"/>
      <c r="AO162"/>
      <c r="AS162" s="65" t="str">
        <f>IFERROR(VLOOKUP(#REF!,[1]Lookup!$B$2:$E$115,4,FALSE),"")</f>
        <v/>
      </c>
      <c r="AT162" s="65" t="str">
        <f>IFERROR(VLOOKUP(#REF!,[1]Lookup!$B$2:$E$115,2,FALSE),"")</f>
        <v/>
      </c>
    </row>
    <row r="163" spans="31:46" x14ac:dyDescent="0.3">
      <c r="AE163" s="204" t="s">
        <v>398</v>
      </c>
      <c r="AF163" s="204" t="s">
        <v>398</v>
      </c>
      <c r="AG163" s="204" t="s">
        <v>398</v>
      </c>
      <c r="AH163" s="8" t="s">
        <v>182</v>
      </c>
      <c r="AI163" s="65">
        <f t="shared" ca="1" si="23"/>
        <v>996.9571865157443</v>
      </c>
      <c r="AJ163" s="65">
        <f t="shared" ca="1" si="23"/>
        <v>860.73138984844002</v>
      </c>
      <c r="AK163" s="65">
        <f t="shared" ca="1" si="23"/>
        <v>958.66875610324507</v>
      </c>
      <c r="AL163" s="65">
        <f t="shared" ca="1" si="23"/>
        <v>664.28462948533388</v>
      </c>
      <c r="AM163" s="65">
        <f t="shared" ca="1" si="23"/>
        <v>955.94200746908894</v>
      </c>
      <c r="AN163" s="229"/>
      <c r="AO163"/>
      <c r="AS163" s="65" t="str">
        <f>IFERROR(VLOOKUP(#REF!,[1]Lookup!$B$2:$E$115,4,FALSE),"")</f>
        <v/>
      </c>
      <c r="AT163" s="65" t="str">
        <f>IFERROR(VLOOKUP(#REF!,[1]Lookup!$B$2:$E$115,2,FALSE),"")</f>
        <v/>
      </c>
    </row>
    <row r="164" spans="31:46" x14ac:dyDescent="0.3">
      <c r="AE164" s="204" t="s">
        <v>398</v>
      </c>
      <c r="AF164" s="204" t="s">
        <v>398</v>
      </c>
      <c r="AG164" s="204" t="s">
        <v>398</v>
      </c>
      <c r="AH164" s="8" t="s">
        <v>183</v>
      </c>
      <c r="AI164" s="65">
        <f t="shared" ca="1" si="23"/>
        <v>681.54000947599104</v>
      </c>
      <c r="AJ164" s="65">
        <f t="shared" ca="1" si="23"/>
        <v>966.38680709379037</v>
      </c>
      <c r="AK164" s="65">
        <f t="shared" ca="1" si="23"/>
        <v>263.5001814102099</v>
      </c>
      <c r="AL164" s="65">
        <f t="shared" ca="1" si="23"/>
        <v>359.03874493104848</v>
      </c>
      <c r="AM164" s="65">
        <f t="shared" ca="1" si="23"/>
        <v>563.43035130830219</v>
      </c>
      <c r="AN164" s="229"/>
      <c r="AO164"/>
      <c r="AS164" s="65" t="str">
        <f>IFERROR(VLOOKUP(#REF!,[1]Lookup!$B$2:$E$115,4,FALSE),"")</f>
        <v/>
      </c>
      <c r="AT164" s="65" t="str">
        <f>IFERROR(VLOOKUP(#REF!,[1]Lookup!$B$2:$E$115,2,FALSE),"")</f>
        <v/>
      </c>
    </row>
    <row r="165" spans="31:46" x14ac:dyDescent="0.3">
      <c r="AE165" s="204" t="s">
        <v>398</v>
      </c>
      <c r="AF165" s="204" t="s">
        <v>398</v>
      </c>
      <c r="AG165" s="204" t="s">
        <v>398</v>
      </c>
      <c r="AH165" s="8" t="s">
        <v>184</v>
      </c>
      <c r="AI165" s="65">
        <f t="shared" ca="1" si="23"/>
        <v>2.5091963451355781</v>
      </c>
      <c r="AJ165" s="65">
        <f t="shared" ca="1" si="23"/>
        <v>830.47046099929162</v>
      </c>
      <c r="AK165" s="65">
        <f t="shared" ca="1" si="23"/>
        <v>288.91333893167757</v>
      </c>
      <c r="AL165" s="65">
        <f t="shared" ca="1" si="23"/>
        <v>324.66882411900491</v>
      </c>
      <c r="AM165" s="65">
        <f t="shared" ca="1" si="23"/>
        <v>259.96654926482177</v>
      </c>
      <c r="AN165" s="229"/>
      <c r="AO165"/>
      <c r="AS165" s="65" t="str">
        <f>IFERROR(VLOOKUP(#REF!,[1]Lookup!$B$2:$E$115,4,FALSE),"")</f>
        <v/>
      </c>
      <c r="AT165" s="65" t="str">
        <f>IFERROR(VLOOKUP(#REF!,[1]Lookup!$B$2:$E$115,2,FALSE),"")</f>
        <v/>
      </c>
    </row>
    <row r="166" spans="31:46" x14ac:dyDescent="0.3">
      <c r="AE166" s="204" t="s">
        <v>398</v>
      </c>
      <c r="AF166" s="204" t="s">
        <v>398</v>
      </c>
      <c r="AG166" s="204" t="s">
        <v>398</v>
      </c>
      <c r="AH166" s="8" t="s">
        <v>269</v>
      </c>
      <c r="AI166" s="65">
        <f t="shared" ca="1" si="23"/>
        <v>660.26431638672943</v>
      </c>
      <c r="AJ166" s="65">
        <f t="shared" ca="1" si="23"/>
        <v>347.33673397071885</v>
      </c>
      <c r="AK166" s="65">
        <f t="shared" ca="1" si="23"/>
        <v>376.66842406141024</v>
      </c>
      <c r="AL166" s="65">
        <f t="shared" ca="1" si="23"/>
        <v>642.82432966184183</v>
      </c>
      <c r="AM166" s="65">
        <f t="shared" ca="1" si="23"/>
        <v>737.41081596850063</v>
      </c>
      <c r="AN166" s="229"/>
      <c r="AO166"/>
      <c r="AS166" s="65" t="str">
        <f>IFERROR(VLOOKUP(#REF!,[1]Lookup!$B$2:$E$115,4,FALSE),"")</f>
        <v/>
      </c>
      <c r="AT166" s="65" t="str">
        <f>IFERROR(VLOOKUP(#REF!,[1]Lookup!$B$2:$E$115,2,FALSE),"")</f>
        <v/>
      </c>
    </row>
    <row r="167" spans="31:46" x14ac:dyDescent="0.3">
      <c r="AE167" s="204" t="s">
        <v>398</v>
      </c>
      <c r="AF167" s="204" t="s">
        <v>398</v>
      </c>
      <c r="AG167" s="204" t="s">
        <v>398</v>
      </c>
      <c r="AH167" s="8" t="s">
        <v>270</v>
      </c>
      <c r="AI167" s="65">
        <f t="shared" ca="1" si="23"/>
        <v>96.466898912518474</v>
      </c>
      <c r="AJ167" s="65">
        <f t="shared" ca="1" si="23"/>
        <v>160.28835678049157</v>
      </c>
      <c r="AK167" s="65">
        <f t="shared" ca="1" si="23"/>
        <v>587.28050958132451</v>
      </c>
      <c r="AL167" s="65">
        <f t="shared" ca="1" si="23"/>
        <v>43.643080167789392</v>
      </c>
      <c r="AM167" s="65">
        <f t="shared" ca="1" si="23"/>
        <v>359.8175965804524</v>
      </c>
      <c r="AN167" s="229"/>
      <c r="AO167"/>
      <c r="AS167" s="65" t="str">
        <f>IFERROR(VLOOKUP(#REF!,[1]Lookup!$B$2:$E$115,4,FALSE),"")</f>
        <v/>
      </c>
      <c r="AT167" s="65" t="str">
        <f>IFERROR(VLOOKUP(#REF!,[1]Lookup!$B$2:$E$115,2,FALSE),"")</f>
        <v/>
      </c>
    </row>
    <row r="168" spans="31:46" x14ac:dyDescent="0.3">
      <c r="AE168" s="204" t="s">
        <v>398</v>
      </c>
      <c r="AF168" s="204" t="s">
        <v>398</v>
      </c>
      <c r="AG168" s="204" t="s">
        <v>398</v>
      </c>
      <c r="AH168" s="8" t="s">
        <v>271</v>
      </c>
      <c r="AI168" s="65">
        <f t="shared" ca="1" si="23"/>
        <v>918.09397778091852</v>
      </c>
      <c r="AJ168" s="65">
        <f t="shared" ca="1" si="23"/>
        <v>555.57331513898339</v>
      </c>
      <c r="AK168" s="65">
        <f t="shared" ca="1" si="23"/>
        <v>519.85094519415156</v>
      </c>
      <c r="AL168" s="65">
        <f t="shared" ca="1" si="23"/>
        <v>692.81184242364088</v>
      </c>
      <c r="AM168" s="65">
        <f t="shared" ca="1" si="23"/>
        <v>989.31140692800795</v>
      </c>
      <c r="AN168" s="229"/>
      <c r="AO168"/>
      <c r="AS168" s="65" t="str">
        <f>IFERROR(VLOOKUP(#REF!,[1]Lookup!$B$2:$E$115,4,FALSE),"")</f>
        <v/>
      </c>
      <c r="AT168" s="65" t="str">
        <f>IFERROR(VLOOKUP(#REF!,[1]Lookup!$B$2:$E$115,2,FALSE),"")</f>
        <v/>
      </c>
    </row>
    <row r="169" spans="31:46" x14ac:dyDescent="0.3">
      <c r="AE169" s="204" t="s">
        <v>398</v>
      </c>
      <c r="AF169" s="204" t="s">
        <v>398</v>
      </c>
      <c r="AG169" s="204" t="s">
        <v>398</v>
      </c>
      <c r="AH169" s="8" t="s">
        <v>272</v>
      </c>
      <c r="AI169" s="65">
        <f t="shared" ca="1" si="23"/>
        <v>726.46107764885414</v>
      </c>
      <c r="AJ169" s="65">
        <f t="shared" ca="1" si="23"/>
        <v>575.36346222786494</v>
      </c>
      <c r="AK169" s="65">
        <f t="shared" ca="1" si="23"/>
        <v>217.93088734528877</v>
      </c>
      <c r="AL169" s="65">
        <f t="shared" ca="1" si="23"/>
        <v>9.3879841693359509</v>
      </c>
      <c r="AM169" s="65">
        <f t="shared" ca="1" si="23"/>
        <v>274.39403485872407</v>
      </c>
      <c r="AN169" s="229"/>
      <c r="AO169"/>
      <c r="AS169" s="65" t="str">
        <f>IFERROR(VLOOKUP(#REF!,[1]Lookup!$B$2:$E$115,4,FALSE),"")</f>
        <v/>
      </c>
      <c r="AT169" s="65" t="str">
        <f>IFERROR(VLOOKUP(#REF!,[1]Lookup!$B$2:$E$115,2,FALSE),"")</f>
        <v/>
      </c>
    </row>
    <row r="170" spans="31:46" x14ac:dyDescent="0.3">
      <c r="AE170" s="204" t="s">
        <v>398</v>
      </c>
      <c r="AF170" s="204" t="s">
        <v>398</v>
      </c>
      <c r="AG170" s="204" t="s">
        <v>398</v>
      </c>
      <c r="AH170" s="8" t="s">
        <v>273</v>
      </c>
      <c r="AI170" s="65">
        <f t="shared" ca="1" si="23"/>
        <v>995.97169059677412</v>
      </c>
      <c r="AJ170" s="65">
        <f t="shared" ca="1" si="23"/>
        <v>3.9223585861140053</v>
      </c>
      <c r="AK170" s="65">
        <f t="shared" ca="1" si="23"/>
        <v>724.43533865766403</v>
      </c>
      <c r="AL170" s="65">
        <f t="shared" ca="1" si="23"/>
        <v>588.47949080410945</v>
      </c>
      <c r="AM170" s="65">
        <f t="shared" ca="1" si="23"/>
        <v>384.00810113689221</v>
      </c>
      <c r="AN170" s="229"/>
      <c r="AO170"/>
      <c r="AS170" s="65" t="str">
        <f>IFERROR(VLOOKUP(#REF!,[1]Lookup!$B$2:$E$115,4,FALSE),"")</f>
        <v/>
      </c>
      <c r="AT170" s="65" t="str">
        <f>IFERROR(VLOOKUP(#REF!,[1]Lookup!$B$2:$E$115,2,FALSE),"")</f>
        <v/>
      </c>
    </row>
    <row r="171" spans="31:46" x14ac:dyDescent="0.3">
      <c r="AE171" s="204" t="s">
        <v>398</v>
      </c>
      <c r="AF171" s="204" t="s">
        <v>398</v>
      </c>
      <c r="AG171" s="204" t="s">
        <v>398</v>
      </c>
      <c r="AH171" s="8" t="s">
        <v>274</v>
      </c>
      <c r="AI171" s="65">
        <f t="shared" ca="1" si="23"/>
        <v>733.63480947810115</v>
      </c>
      <c r="AJ171" s="65">
        <f t="shared" ca="1" si="23"/>
        <v>38.459134178746915</v>
      </c>
      <c r="AK171" s="65">
        <f t="shared" ca="1" si="23"/>
        <v>907.68804005892616</v>
      </c>
      <c r="AL171" s="65">
        <f t="shared" ca="1" si="23"/>
        <v>815.93013573413043</v>
      </c>
      <c r="AM171" s="65">
        <f t="shared" ca="1" si="23"/>
        <v>517.38428318633851</v>
      </c>
      <c r="AN171" s="229"/>
      <c r="AO171"/>
      <c r="AS171" s="65" t="str">
        <f>IFERROR(VLOOKUP(#REF!,[1]Lookup!$B$2:$E$115,4,FALSE),"")</f>
        <v/>
      </c>
      <c r="AT171" s="65" t="str">
        <f>IFERROR(VLOOKUP(#REF!,[1]Lookup!$B$2:$E$115,2,FALSE),"")</f>
        <v/>
      </c>
    </row>
    <row r="172" spans="31:46" x14ac:dyDescent="0.3">
      <c r="AE172" s="204" t="s">
        <v>398</v>
      </c>
      <c r="AF172" s="204" t="s">
        <v>398</v>
      </c>
      <c r="AG172" s="204" t="s">
        <v>398</v>
      </c>
      <c r="AH172" s="8" t="s">
        <v>275</v>
      </c>
      <c r="AI172" s="65">
        <f t="shared" ca="1" si="23"/>
        <v>170.54032155566679</v>
      </c>
      <c r="AJ172" s="65">
        <f t="shared" ca="1" si="23"/>
        <v>915.35155687333088</v>
      </c>
      <c r="AK172" s="65">
        <f t="shared" ca="1" si="23"/>
        <v>631.54080942384962</v>
      </c>
      <c r="AL172" s="65">
        <f t="shared" ca="1" si="23"/>
        <v>130.02592140568748</v>
      </c>
      <c r="AM172" s="65">
        <f t="shared" ca="1" si="23"/>
        <v>78.92838312587736</v>
      </c>
      <c r="AN172" s="229"/>
      <c r="AO172"/>
      <c r="AS172" s="65" t="str">
        <f>IFERROR(VLOOKUP(#REF!,[1]Lookup!$B$2:$E$115,4,FALSE),"")</f>
        <v/>
      </c>
      <c r="AT172" s="65" t="str">
        <f>IFERROR(VLOOKUP(#REF!,[1]Lookup!$B$2:$E$115,2,FALSE),"")</f>
        <v/>
      </c>
    </row>
    <row r="173" spans="31:46" x14ac:dyDescent="0.3">
      <c r="AE173" s="204" t="s">
        <v>398</v>
      </c>
      <c r="AF173" s="204" t="s">
        <v>398</v>
      </c>
      <c r="AG173" s="204" t="s">
        <v>398</v>
      </c>
      <c r="AH173" s="8" t="s">
        <v>276</v>
      </c>
      <c r="AI173" s="65">
        <f t="shared" ref="AI173:AM204" ca="1" si="24">RAND()*1000</f>
        <v>184.04744270568639</v>
      </c>
      <c r="AJ173" s="65">
        <f t="shared" ca="1" si="24"/>
        <v>298.15876472766934</v>
      </c>
      <c r="AK173" s="65">
        <f t="shared" ca="1" si="24"/>
        <v>157.96937114126652</v>
      </c>
      <c r="AL173" s="65">
        <f t="shared" ca="1" si="24"/>
        <v>76.931855170619627</v>
      </c>
      <c r="AM173" s="65">
        <f t="shared" ca="1" si="24"/>
        <v>926.68033967943256</v>
      </c>
      <c r="AN173" s="229"/>
      <c r="AO173"/>
      <c r="AS173" s="65" t="str">
        <f>IFERROR(VLOOKUP(#REF!,[1]Lookup!$B$2:$E$115,4,FALSE),"")</f>
        <v/>
      </c>
      <c r="AT173" s="65" t="str">
        <f>IFERROR(VLOOKUP(#REF!,[1]Lookup!$B$2:$E$115,2,FALSE),"")</f>
        <v/>
      </c>
    </row>
    <row r="174" spans="31:46" x14ac:dyDescent="0.3">
      <c r="AE174" s="204" t="s">
        <v>398</v>
      </c>
      <c r="AF174" s="204" t="s">
        <v>398</v>
      </c>
      <c r="AG174" s="204" t="s">
        <v>398</v>
      </c>
      <c r="AH174" s="8" t="s">
        <v>277</v>
      </c>
      <c r="AI174" s="65">
        <f t="shared" ca="1" si="24"/>
        <v>880.6909418434924</v>
      </c>
      <c r="AJ174" s="65">
        <f t="shared" ca="1" si="24"/>
        <v>895.36247702674325</v>
      </c>
      <c r="AK174" s="65">
        <f t="shared" ca="1" si="24"/>
        <v>358.01465430839795</v>
      </c>
      <c r="AL174" s="65">
        <f t="shared" ca="1" si="24"/>
        <v>996.1247974132076</v>
      </c>
      <c r="AM174" s="65">
        <f t="shared" ca="1" si="24"/>
        <v>288.76384143560796</v>
      </c>
      <c r="AN174" s="229"/>
      <c r="AO174"/>
      <c r="AS174" s="65" t="str">
        <f>IFERROR(VLOOKUP(#REF!,[1]Lookup!$B$2:$E$115,4,FALSE),"")</f>
        <v/>
      </c>
      <c r="AT174" s="65" t="str">
        <f>IFERROR(VLOOKUP(#REF!,[1]Lookup!$B$2:$E$115,2,FALSE),"")</f>
        <v/>
      </c>
    </row>
    <row r="175" spans="31:46" x14ac:dyDescent="0.3">
      <c r="AE175" s="204" t="s">
        <v>398</v>
      </c>
      <c r="AF175" s="204" t="s">
        <v>398</v>
      </c>
      <c r="AG175" s="204" t="s">
        <v>398</v>
      </c>
      <c r="AH175" s="8" t="s">
        <v>278</v>
      </c>
      <c r="AI175" s="65">
        <f t="shared" ca="1" si="24"/>
        <v>108.464206267328</v>
      </c>
      <c r="AJ175" s="65">
        <f t="shared" ca="1" si="24"/>
        <v>217.21230226913747</v>
      </c>
      <c r="AK175" s="65">
        <f t="shared" ca="1" si="24"/>
        <v>892.07540963066629</v>
      </c>
      <c r="AL175" s="65">
        <f t="shared" ca="1" si="24"/>
        <v>108.08372929316579</v>
      </c>
      <c r="AM175" s="65">
        <f t="shared" ca="1" si="24"/>
        <v>665.25066251014846</v>
      </c>
      <c r="AN175" s="229"/>
      <c r="AO175"/>
      <c r="AS175" s="65" t="str">
        <f>IFERROR(VLOOKUP(#REF!,[1]Lookup!$B$2:$E$115,4,FALSE),"")</f>
        <v/>
      </c>
      <c r="AT175" s="65" t="str">
        <f>IFERROR(VLOOKUP(#REF!,[1]Lookup!$B$2:$E$115,2,FALSE),"")</f>
        <v/>
      </c>
    </row>
    <row r="176" spans="31:46" x14ac:dyDescent="0.3">
      <c r="AE176" s="204" t="s">
        <v>398</v>
      </c>
      <c r="AF176" s="204" t="s">
        <v>398</v>
      </c>
      <c r="AG176" s="204" t="s">
        <v>398</v>
      </c>
      <c r="AH176" s="8" t="s">
        <v>279</v>
      </c>
      <c r="AI176" s="65">
        <f t="shared" ca="1" si="24"/>
        <v>951.96239074009611</v>
      </c>
      <c r="AJ176" s="65">
        <f t="shared" ca="1" si="24"/>
        <v>629.86558452544728</v>
      </c>
      <c r="AK176" s="65">
        <f t="shared" ca="1" si="24"/>
        <v>166.88586343633426</v>
      </c>
      <c r="AL176" s="65">
        <f t="shared" ca="1" si="24"/>
        <v>355.35927850981852</v>
      </c>
      <c r="AM176" s="65">
        <f t="shared" ca="1" si="24"/>
        <v>655.86446098649731</v>
      </c>
      <c r="AN176" s="229"/>
      <c r="AO176"/>
      <c r="AS176" s="65" t="str">
        <f>IFERROR(VLOOKUP(#REF!,[1]Lookup!$B$2:$E$115,4,FALSE),"")</f>
        <v/>
      </c>
      <c r="AT176" s="65" t="str">
        <f>IFERROR(VLOOKUP(#REF!,[1]Lookup!$B$2:$E$115,2,FALSE),"")</f>
        <v/>
      </c>
    </row>
    <row r="177" spans="31:46" x14ac:dyDescent="0.3">
      <c r="AE177" s="204" t="s">
        <v>398</v>
      </c>
      <c r="AF177" s="204" t="s">
        <v>398</v>
      </c>
      <c r="AG177" s="204" t="s">
        <v>398</v>
      </c>
      <c r="AH177" s="8" t="s">
        <v>280</v>
      </c>
      <c r="AI177" s="65">
        <f t="shared" ca="1" si="24"/>
        <v>484.14097868735917</v>
      </c>
      <c r="AJ177" s="65">
        <f t="shared" ca="1" si="24"/>
        <v>521.95414487334278</v>
      </c>
      <c r="AK177" s="65">
        <f t="shared" ca="1" si="24"/>
        <v>134.0686080025263</v>
      </c>
      <c r="AL177" s="65">
        <f t="shared" ca="1" si="24"/>
        <v>607.24912194532124</v>
      </c>
      <c r="AM177" s="65">
        <f t="shared" ca="1" si="24"/>
        <v>360.92488481921703</v>
      </c>
      <c r="AN177" s="229"/>
      <c r="AO177"/>
      <c r="AS177" s="65" t="str">
        <f>IFERROR(VLOOKUP(#REF!,[1]Lookup!$B$2:$E$115,4,FALSE),"")</f>
        <v/>
      </c>
      <c r="AT177" s="65" t="str">
        <f>IFERROR(VLOOKUP(#REF!,[1]Lookup!$B$2:$E$115,2,FALSE),"")</f>
        <v/>
      </c>
    </row>
    <row r="178" spans="31:46" x14ac:dyDescent="0.3">
      <c r="AE178" s="204" t="s">
        <v>398</v>
      </c>
      <c r="AF178" s="204" t="s">
        <v>398</v>
      </c>
      <c r="AG178" s="204" t="s">
        <v>398</v>
      </c>
      <c r="AH178" s="8" t="s">
        <v>281</v>
      </c>
      <c r="AI178" s="65">
        <f t="shared" ca="1" si="24"/>
        <v>16.63618742833528</v>
      </c>
      <c r="AJ178" s="65">
        <f t="shared" ca="1" si="24"/>
        <v>92.777898970025305</v>
      </c>
      <c r="AK178" s="65">
        <f t="shared" ca="1" si="24"/>
        <v>576.51348679669206</v>
      </c>
      <c r="AL178" s="65">
        <f t="shared" ca="1" si="24"/>
        <v>112.29004492339345</v>
      </c>
      <c r="AM178" s="65">
        <f t="shared" ca="1" si="24"/>
        <v>592.77157259321132</v>
      </c>
      <c r="AN178" s="229"/>
      <c r="AO178"/>
      <c r="AS178" s="65" t="str">
        <f>IFERROR(VLOOKUP(#REF!,[1]Lookup!$B$2:$E$115,4,FALSE),"")</f>
        <v/>
      </c>
      <c r="AT178" s="65" t="str">
        <f>IFERROR(VLOOKUP(#REF!,[1]Lookup!$B$2:$E$115,2,FALSE),"")</f>
        <v/>
      </c>
    </row>
    <row r="179" spans="31:46" x14ac:dyDescent="0.3">
      <c r="AE179" s="204" t="s">
        <v>398</v>
      </c>
      <c r="AF179" s="204" t="s">
        <v>398</v>
      </c>
      <c r="AG179" s="204" t="s">
        <v>398</v>
      </c>
      <c r="AH179" s="8" t="s">
        <v>282</v>
      </c>
      <c r="AI179" s="65">
        <f t="shared" ca="1" si="24"/>
        <v>358.6408099155517</v>
      </c>
      <c r="AJ179" s="65">
        <f t="shared" ca="1" si="24"/>
        <v>553.51641264099305</v>
      </c>
      <c r="AK179" s="65">
        <f t="shared" ca="1" si="24"/>
        <v>200.4164942789599</v>
      </c>
      <c r="AL179" s="65">
        <f t="shared" ca="1" si="24"/>
        <v>160.23848445309741</v>
      </c>
      <c r="AM179" s="65">
        <f t="shared" ca="1" si="24"/>
        <v>572.72159795769198</v>
      </c>
      <c r="AN179" s="229"/>
      <c r="AO179"/>
      <c r="AS179" s="65" t="str">
        <f>IFERROR(VLOOKUP(#REF!,[1]Lookup!$B$2:$E$115,4,FALSE),"")</f>
        <v/>
      </c>
      <c r="AT179" s="65" t="str">
        <f>IFERROR(VLOOKUP(#REF!,[1]Lookup!$B$2:$E$115,2,FALSE),"")</f>
        <v/>
      </c>
    </row>
    <row r="180" spans="31:46" x14ac:dyDescent="0.3">
      <c r="AE180" s="204" t="s">
        <v>398</v>
      </c>
      <c r="AF180" s="204" t="s">
        <v>398</v>
      </c>
      <c r="AG180" s="204" t="s">
        <v>398</v>
      </c>
      <c r="AH180" s="8" t="s">
        <v>283</v>
      </c>
      <c r="AI180" s="65">
        <f t="shared" ca="1" si="24"/>
        <v>628.84965421158824</v>
      </c>
      <c r="AJ180" s="65">
        <f t="shared" ca="1" si="24"/>
        <v>822.50195560278689</v>
      </c>
      <c r="AK180" s="65">
        <f t="shared" ca="1" si="24"/>
        <v>274.21613319603944</v>
      </c>
      <c r="AL180" s="65">
        <f t="shared" ca="1" si="24"/>
        <v>497.25927207801914</v>
      </c>
      <c r="AM180" s="65">
        <f t="shared" ca="1" si="24"/>
        <v>170.83133436110586</v>
      </c>
      <c r="AN180" s="229"/>
      <c r="AO180"/>
      <c r="AS180" s="65" t="str">
        <f>IFERROR(VLOOKUP(#REF!,[1]Lookup!$B$2:$E$115,4,FALSE),"")</f>
        <v/>
      </c>
      <c r="AT180" s="65" t="str">
        <f>IFERROR(VLOOKUP(#REF!,[1]Lookup!$B$2:$E$115,2,FALSE),"")</f>
        <v/>
      </c>
    </row>
    <row r="181" spans="31:46" x14ac:dyDescent="0.3">
      <c r="AE181" s="204" t="s">
        <v>398</v>
      </c>
      <c r="AF181" s="204" t="s">
        <v>398</v>
      </c>
      <c r="AG181" s="204" t="s">
        <v>398</v>
      </c>
      <c r="AH181" s="8" t="s">
        <v>284</v>
      </c>
      <c r="AI181" s="65">
        <f t="shared" ca="1" si="24"/>
        <v>219.1977465437931</v>
      </c>
      <c r="AJ181" s="65">
        <f t="shared" ca="1" si="24"/>
        <v>329.53186023692103</v>
      </c>
      <c r="AK181" s="65">
        <f t="shared" ca="1" si="24"/>
        <v>366.64398910781205</v>
      </c>
      <c r="AL181" s="65">
        <f t="shared" ca="1" si="24"/>
        <v>258.76740789662034</v>
      </c>
      <c r="AM181" s="65">
        <f t="shared" ca="1" si="24"/>
        <v>798.04892357112396</v>
      </c>
      <c r="AN181" s="229"/>
      <c r="AO181"/>
      <c r="AS181" s="65" t="str">
        <f>IFERROR(VLOOKUP(#REF!,[1]Lookup!$B$2:$E$115,4,FALSE),"")</f>
        <v/>
      </c>
      <c r="AT181" s="65" t="str">
        <f>IFERROR(VLOOKUP(#REF!,[1]Lookup!$B$2:$E$115,2,FALSE),"")</f>
        <v/>
      </c>
    </row>
    <row r="182" spans="31:46" x14ac:dyDescent="0.3">
      <c r="AE182" s="204" t="s">
        <v>398</v>
      </c>
      <c r="AF182" s="204" t="s">
        <v>398</v>
      </c>
      <c r="AG182" s="204" t="s">
        <v>398</v>
      </c>
      <c r="AH182" s="8" t="s">
        <v>285</v>
      </c>
      <c r="AI182" s="65">
        <f t="shared" ca="1" si="24"/>
        <v>569.09433133453945</v>
      </c>
      <c r="AJ182" s="65">
        <f t="shared" ca="1" si="24"/>
        <v>356.85978681560823</v>
      </c>
      <c r="AK182" s="65">
        <f t="shared" ca="1" si="24"/>
        <v>479.20389246576678</v>
      </c>
      <c r="AL182" s="65">
        <f t="shared" ca="1" si="24"/>
        <v>291.19132321507647</v>
      </c>
      <c r="AM182" s="65">
        <f t="shared" ca="1" si="24"/>
        <v>224.28413778716083</v>
      </c>
      <c r="AN182" s="229"/>
      <c r="AO182"/>
      <c r="AS182" s="65" t="str">
        <f>IFERROR(VLOOKUP(#REF!,[1]Lookup!$B$2:$E$115,4,FALSE),"")</f>
        <v/>
      </c>
      <c r="AT182" s="65" t="str">
        <f>IFERROR(VLOOKUP(#REF!,[1]Lookup!$B$2:$E$115,2,FALSE),"")</f>
        <v/>
      </c>
    </row>
    <row r="183" spans="31:46" x14ac:dyDescent="0.3">
      <c r="AE183" s="204" t="s">
        <v>398</v>
      </c>
      <c r="AF183" s="204" t="s">
        <v>398</v>
      </c>
      <c r="AG183" s="204" t="s">
        <v>398</v>
      </c>
      <c r="AH183" s="8" t="s">
        <v>286</v>
      </c>
      <c r="AI183" s="65">
        <f t="shared" ca="1" si="24"/>
        <v>834.00073957738607</v>
      </c>
      <c r="AJ183" s="65">
        <f t="shared" ca="1" si="24"/>
        <v>426.64955023313553</v>
      </c>
      <c r="AK183" s="65">
        <f t="shared" ca="1" si="24"/>
        <v>539.05942757554794</v>
      </c>
      <c r="AL183" s="65">
        <f t="shared" ca="1" si="24"/>
        <v>9.4308846039844454</v>
      </c>
      <c r="AM183" s="65">
        <f t="shared" ca="1" si="24"/>
        <v>267.88580991692203</v>
      </c>
      <c r="AN183" s="229"/>
      <c r="AO183"/>
      <c r="AS183" s="65" t="str">
        <f>IFERROR(VLOOKUP(#REF!,[1]Lookup!$B$2:$E$115,4,FALSE),"")</f>
        <v/>
      </c>
      <c r="AT183" s="65" t="str">
        <f>IFERROR(VLOOKUP(#REF!,[1]Lookup!$B$2:$E$115,2,FALSE),"")</f>
        <v/>
      </c>
    </row>
    <row r="184" spans="31:46" x14ac:dyDescent="0.3">
      <c r="AE184" s="204" t="s">
        <v>398</v>
      </c>
      <c r="AF184" s="204" t="s">
        <v>398</v>
      </c>
      <c r="AG184" s="204" t="s">
        <v>398</v>
      </c>
      <c r="AH184" s="8" t="s">
        <v>287</v>
      </c>
      <c r="AI184" s="65">
        <f t="shared" ca="1" si="24"/>
        <v>756.14120362073686</v>
      </c>
      <c r="AJ184" s="65">
        <f t="shared" ca="1" si="24"/>
        <v>660.10913101970107</v>
      </c>
      <c r="AK184" s="65">
        <f t="shared" ca="1" si="24"/>
        <v>185.43347772268061</v>
      </c>
      <c r="AL184" s="65">
        <f t="shared" ca="1" si="24"/>
        <v>843.52834885594302</v>
      </c>
      <c r="AM184" s="65">
        <f t="shared" ca="1" si="24"/>
        <v>773.10130982237104</v>
      </c>
      <c r="AN184" s="229"/>
      <c r="AO184"/>
      <c r="AS184" s="65" t="str">
        <f>IFERROR(VLOOKUP(#REF!,[1]Lookup!$B$2:$E$115,4,FALSE),"")</f>
        <v/>
      </c>
      <c r="AT184" s="65" t="str">
        <f>IFERROR(VLOOKUP(#REF!,[1]Lookup!$B$2:$E$115,2,FALSE),"")</f>
        <v/>
      </c>
    </row>
    <row r="185" spans="31:46" x14ac:dyDescent="0.3">
      <c r="AE185" s="204" t="s">
        <v>398</v>
      </c>
      <c r="AF185" s="204" t="s">
        <v>398</v>
      </c>
      <c r="AG185" s="204" t="s">
        <v>398</v>
      </c>
      <c r="AH185" s="8" t="s">
        <v>288</v>
      </c>
      <c r="AI185" s="65">
        <f t="shared" ca="1" si="24"/>
        <v>658.16511447485743</v>
      </c>
      <c r="AJ185" s="65">
        <f t="shared" ca="1" si="24"/>
        <v>452.37646562794254</v>
      </c>
      <c r="AK185" s="65">
        <f t="shared" ca="1" si="24"/>
        <v>969.59627553409905</v>
      </c>
      <c r="AL185" s="65">
        <f t="shared" ca="1" si="24"/>
        <v>767.05670567311347</v>
      </c>
      <c r="AM185" s="65">
        <f t="shared" ca="1" si="24"/>
        <v>673.81827353423068</v>
      </c>
      <c r="AN185" s="229"/>
      <c r="AO185"/>
      <c r="AS185" s="65" t="str">
        <f>IFERROR(VLOOKUP(#REF!,[1]Lookup!$B$2:$E$115,4,FALSE),"")</f>
        <v/>
      </c>
      <c r="AT185" s="65" t="str">
        <f>IFERROR(VLOOKUP(#REF!,[1]Lookup!$B$2:$E$115,2,FALSE),"")</f>
        <v/>
      </c>
    </row>
    <row r="186" spans="31:46" x14ac:dyDescent="0.3">
      <c r="AE186" s="204" t="s">
        <v>398</v>
      </c>
      <c r="AF186" s="204" t="s">
        <v>398</v>
      </c>
      <c r="AG186" s="204" t="s">
        <v>398</v>
      </c>
      <c r="AH186" s="8" t="s">
        <v>289</v>
      </c>
      <c r="AI186" s="65">
        <f t="shared" ca="1" si="24"/>
        <v>98.575191386150678</v>
      </c>
      <c r="AJ186" s="65">
        <f t="shared" ca="1" si="24"/>
        <v>318.0548678407763</v>
      </c>
      <c r="AK186" s="65">
        <f t="shared" ca="1" si="24"/>
        <v>116.06111388492468</v>
      </c>
      <c r="AL186" s="65">
        <f t="shared" ca="1" si="24"/>
        <v>422.14879147611816</v>
      </c>
      <c r="AM186" s="65">
        <f t="shared" ca="1" si="24"/>
        <v>250.89577114961205</v>
      </c>
      <c r="AN186" s="229"/>
      <c r="AO186"/>
      <c r="AS186" s="65" t="str">
        <f>IFERROR(VLOOKUP(#REF!,[1]Lookup!$B$2:$E$115,4,FALSE),"")</f>
        <v/>
      </c>
      <c r="AT186" s="65" t="str">
        <f>IFERROR(VLOOKUP(#REF!,[1]Lookup!$B$2:$E$115,2,FALSE),"")</f>
        <v/>
      </c>
    </row>
    <row r="187" spans="31:46" x14ac:dyDescent="0.3">
      <c r="AE187" s="204" t="s">
        <v>398</v>
      </c>
      <c r="AF187" s="204" t="s">
        <v>398</v>
      </c>
      <c r="AG187" s="204" t="s">
        <v>398</v>
      </c>
      <c r="AH187" s="8" t="s">
        <v>290</v>
      </c>
      <c r="AI187" s="65">
        <f t="shared" ca="1" si="24"/>
        <v>958.66361117787733</v>
      </c>
      <c r="AJ187" s="65">
        <f t="shared" ca="1" si="24"/>
        <v>913.08772975423994</v>
      </c>
      <c r="AK187" s="65">
        <f t="shared" ca="1" si="24"/>
        <v>158.19266924177521</v>
      </c>
      <c r="AL187" s="65">
        <f t="shared" ca="1" si="24"/>
        <v>816.52778820931667</v>
      </c>
      <c r="AM187" s="65">
        <f t="shared" ca="1" si="24"/>
        <v>828.3062910871422</v>
      </c>
      <c r="AN187" s="229"/>
      <c r="AO187"/>
      <c r="AS187" s="65" t="str">
        <f>IFERROR(VLOOKUP(#REF!,[1]Lookup!$B$2:$E$115,4,FALSE),"")</f>
        <v/>
      </c>
      <c r="AT187" s="65" t="str">
        <f>IFERROR(VLOOKUP(#REF!,[1]Lookup!$B$2:$E$115,2,FALSE),"")</f>
        <v/>
      </c>
    </row>
    <row r="188" spans="31:46" x14ac:dyDescent="0.3">
      <c r="AE188" s="204" t="s">
        <v>398</v>
      </c>
      <c r="AF188" s="204" t="s">
        <v>398</v>
      </c>
      <c r="AG188" s="204" t="s">
        <v>398</v>
      </c>
      <c r="AH188" s="8" t="s">
        <v>291</v>
      </c>
      <c r="AI188" s="65">
        <f t="shared" ca="1" si="24"/>
        <v>855.59015486260591</v>
      </c>
      <c r="AJ188" s="65">
        <f t="shared" ca="1" si="24"/>
        <v>633.14127264445005</v>
      </c>
      <c r="AK188" s="65">
        <f t="shared" ca="1" si="24"/>
        <v>877.02438479666341</v>
      </c>
      <c r="AL188" s="65">
        <f t="shared" ca="1" si="24"/>
        <v>380.36877355811072</v>
      </c>
      <c r="AM188" s="65">
        <f t="shared" ca="1" si="24"/>
        <v>232.68376913024079</v>
      </c>
      <c r="AN188" s="229"/>
      <c r="AO188"/>
      <c r="AS188" s="65" t="str">
        <f>IFERROR(VLOOKUP(#REF!,[1]Lookup!$B$2:$E$115,4,FALSE),"")</f>
        <v/>
      </c>
      <c r="AT188" s="65" t="str">
        <f>IFERROR(VLOOKUP(#REF!,[1]Lookup!$B$2:$E$115,2,FALSE),"")</f>
        <v/>
      </c>
    </row>
    <row r="189" spans="31:46" x14ac:dyDescent="0.3">
      <c r="AE189" s="204" t="s">
        <v>398</v>
      </c>
      <c r="AF189" s="204" t="s">
        <v>398</v>
      </c>
      <c r="AG189" s="204" t="s">
        <v>398</v>
      </c>
      <c r="AH189" s="8" t="s">
        <v>292</v>
      </c>
      <c r="AI189" s="65">
        <f t="shared" ca="1" si="24"/>
        <v>263.23853853806503</v>
      </c>
      <c r="AJ189" s="65">
        <f t="shared" ca="1" si="24"/>
        <v>429.07500633450326</v>
      </c>
      <c r="AK189" s="65">
        <f t="shared" ca="1" si="24"/>
        <v>115.63376037843076</v>
      </c>
      <c r="AL189" s="65">
        <f t="shared" ca="1" si="24"/>
        <v>834.24640089265995</v>
      </c>
      <c r="AM189" s="65">
        <f t="shared" ca="1" si="24"/>
        <v>630.8352902598732</v>
      </c>
      <c r="AN189" s="229"/>
      <c r="AO189"/>
      <c r="AS189" s="65" t="str">
        <f>IFERROR(VLOOKUP(#REF!,[1]Lookup!$B$2:$E$115,4,FALSE),"")</f>
        <v/>
      </c>
      <c r="AT189" s="65" t="str">
        <f>IFERROR(VLOOKUP(#REF!,[1]Lookup!$B$2:$E$115,2,FALSE),"")</f>
        <v/>
      </c>
    </row>
    <row r="190" spans="31:46" x14ac:dyDescent="0.3">
      <c r="AE190" s="204" t="s">
        <v>398</v>
      </c>
      <c r="AF190" s="204" t="s">
        <v>398</v>
      </c>
      <c r="AG190" s="204" t="s">
        <v>398</v>
      </c>
      <c r="AH190" s="8" t="s">
        <v>293</v>
      </c>
      <c r="AI190" s="65">
        <f t="shared" ca="1" si="24"/>
        <v>344.59108253169535</v>
      </c>
      <c r="AJ190" s="65">
        <f t="shared" ca="1" si="24"/>
        <v>388.49825350623189</v>
      </c>
      <c r="AK190" s="65">
        <f t="shared" ca="1" si="24"/>
        <v>164.42830824516585</v>
      </c>
      <c r="AL190" s="65">
        <f t="shared" ca="1" si="24"/>
        <v>486.6450365394839</v>
      </c>
      <c r="AM190" s="65">
        <f t="shared" ca="1" si="24"/>
        <v>291.20609611327922</v>
      </c>
      <c r="AN190" s="229"/>
      <c r="AO190"/>
      <c r="AS190" s="65" t="str">
        <f>IFERROR(VLOOKUP(#REF!,[1]Lookup!$B$2:$E$115,4,FALSE),"")</f>
        <v/>
      </c>
      <c r="AT190" s="65" t="str">
        <f>IFERROR(VLOOKUP(#REF!,[1]Lookup!$B$2:$E$115,2,FALSE),"")</f>
        <v/>
      </c>
    </row>
    <row r="191" spans="31:46" x14ac:dyDescent="0.3">
      <c r="AE191" s="204" t="s">
        <v>398</v>
      </c>
      <c r="AF191" s="204" t="s">
        <v>398</v>
      </c>
      <c r="AG191" s="204" t="s">
        <v>398</v>
      </c>
      <c r="AH191" s="8" t="s">
        <v>294</v>
      </c>
      <c r="AI191" s="65">
        <f t="shared" ca="1" si="24"/>
        <v>372.88477557726861</v>
      </c>
      <c r="AJ191" s="65">
        <f t="shared" ca="1" si="24"/>
        <v>437.61977693597555</v>
      </c>
      <c r="AK191" s="65">
        <f t="shared" ca="1" si="24"/>
        <v>610.16669867545977</v>
      </c>
      <c r="AL191" s="65">
        <f t="shared" ca="1" si="24"/>
        <v>268.92783937042719</v>
      </c>
      <c r="AM191" s="65">
        <f t="shared" ca="1" si="24"/>
        <v>985.00585079789869</v>
      </c>
      <c r="AN191" s="229"/>
      <c r="AO191"/>
      <c r="AS191" s="65" t="str">
        <f>IFERROR(VLOOKUP(#REF!,[1]Lookup!$B$2:$E$115,4,FALSE),"")</f>
        <v/>
      </c>
      <c r="AT191" s="65" t="str">
        <f>IFERROR(VLOOKUP(#REF!,[1]Lookup!$B$2:$E$115,2,FALSE),"")</f>
        <v/>
      </c>
    </row>
    <row r="192" spans="31:46" x14ac:dyDescent="0.3">
      <c r="AE192" s="204" t="s">
        <v>398</v>
      </c>
      <c r="AF192" s="204" t="s">
        <v>398</v>
      </c>
      <c r="AG192" s="204" t="s">
        <v>398</v>
      </c>
      <c r="AH192" s="8" t="s">
        <v>185</v>
      </c>
      <c r="AI192" s="65">
        <f t="shared" ca="1" si="24"/>
        <v>824.45583249216747</v>
      </c>
      <c r="AJ192" s="65">
        <f t="shared" ca="1" si="24"/>
        <v>986.87444713817695</v>
      </c>
      <c r="AK192" s="65">
        <f t="shared" ca="1" si="24"/>
        <v>297.8751421252731</v>
      </c>
      <c r="AL192" s="65">
        <f t="shared" ca="1" si="24"/>
        <v>435.55865879236796</v>
      </c>
      <c r="AM192" s="65">
        <f t="shared" ca="1" si="24"/>
        <v>266.88408952520291</v>
      </c>
      <c r="AN192" s="229"/>
      <c r="AO192"/>
      <c r="AS192" s="65" t="str">
        <f>IFERROR(VLOOKUP(#REF!,[1]Lookup!$B$2:$E$115,4,FALSE),"")</f>
        <v/>
      </c>
      <c r="AT192" s="65" t="str">
        <f>IFERROR(VLOOKUP(#REF!,[1]Lookup!$B$2:$E$115,2,FALSE),"")</f>
        <v/>
      </c>
    </row>
    <row r="193" spans="31:46" x14ac:dyDescent="0.3">
      <c r="AE193" s="204" t="s">
        <v>398</v>
      </c>
      <c r="AF193" s="204" t="s">
        <v>398</v>
      </c>
      <c r="AG193" s="204" t="s">
        <v>398</v>
      </c>
      <c r="AH193" s="8" t="s">
        <v>186</v>
      </c>
      <c r="AI193" s="65">
        <f t="shared" ca="1" si="24"/>
        <v>353.97552791837126</v>
      </c>
      <c r="AJ193" s="65">
        <f t="shared" ca="1" si="24"/>
        <v>993.51532684186077</v>
      </c>
      <c r="AK193" s="65">
        <f t="shared" ca="1" si="24"/>
        <v>789.94076798425749</v>
      </c>
      <c r="AL193" s="65">
        <f t="shared" ca="1" si="24"/>
        <v>349.10233115811815</v>
      </c>
      <c r="AM193" s="65">
        <f t="shared" ca="1" si="24"/>
        <v>823.03268837570704</v>
      </c>
      <c r="AN193" s="229"/>
      <c r="AO193"/>
      <c r="AS193" s="65" t="str">
        <f>IFERROR(VLOOKUP(#REF!,[1]Lookup!$B$2:$E$115,4,FALSE),"")</f>
        <v/>
      </c>
      <c r="AT193" s="65" t="str">
        <f>IFERROR(VLOOKUP(#REF!,[1]Lookup!$B$2:$E$115,2,FALSE),"")</f>
        <v/>
      </c>
    </row>
    <row r="194" spans="31:46" x14ac:dyDescent="0.3">
      <c r="AE194" s="204" t="s">
        <v>398</v>
      </c>
      <c r="AF194" s="204" t="s">
        <v>398</v>
      </c>
      <c r="AG194" s="204" t="s">
        <v>398</v>
      </c>
      <c r="AH194" s="8" t="s">
        <v>187</v>
      </c>
      <c r="AI194" s="65">
        <f t="shared" ca="1" si="24"/>
        <v>272.9485780619392</v>
      </c>
      <c r="AJ194" s="65">
        <f t="shared" ca="1" si="24"/>
        <v>853.88762148019202</v>
      </c>
      <c r="AK194" s="65">
        <f t="shared" ca="1" si="24"/>
        <v>451.15820821505162</v>
      </c>
      <c r="AL194" s="65">
        <f t="shared" ca="1" si="24"/>
        <v>728.69768524352685</v>
      </c>
      <c r="AM194" s="65">
        <f t="shared" ca="1" si="24"/>
        <v>588.06598814166023</v>
      </c>
      <c r="AN194" s="229"/>
      <c r="AO194"/>
      <c r="AS194" s="65" t="str">
        <f>IFERROR(VLOOKUP(#REF!,[1]Lookup!$B$2:$E$115,4,FALSE),"")</f>
        <v/>
      </c>
      <c r="AT194" s="65" t="str">
        <f>IFERROR(VLOOKUP(#REF!,[1]Lookup!$B$2:$E$115,2,FALSE),"")</f>
        <v/>
      </c>
    </row>
    <row r="195" spans="31:46" x14ac:dyDescent="0.3">
      <c r="AE195" s="204" t="s">
        <v>398</v>
      </c>
      <c r="AF195" s="204" t="s">
        <v>398</v>
      </c>
      <c r="AG195" s="204" t="s">
        <v>398</v>
      </c>
      <c r="AH195" s="8" t="s">
        <v>188</v>
      </c>
      <c r="AI195" s="65">
        <f t="shared" ca="1" si="24"/>
        <v>743.56530376321916</v>
      </c>
      <c r="AJ195" s="65">
        <f t="shared" ca="1" si="24"/>
        <v>692.18480457103237</v>
      </c>
      <c r="AK195" s="65">
        <f t="shared" ca="1" si="24"/>
        <v>302.25373513715334</v>
      </c>
      <c r="AL195" s="65">
        <f t="shared" ca="1" si="24"/>
        <v>306.37176227870464</v>
      </c>
      <c r="AM195" s="65">
        <f t="shared" ca="1" si="24"/>
        <v>650.09065345197462</v>
      </c>
      <c r="AN195" s="229"/>
      <c r="AO195"/>
      <c r="AS195" s="65" t="str">
        <f>IFERROR(VLOOKUP(#REF!,[1]Lookup!$B$2:$E$115,4,FALSE),"")</f>
        <v/>
      </c>
      <c r="AT195" s="65" t="str">
        <f>IFERROR(VLOOKUP(#REF!,[1]Lookup!$B$2:$E$115,2,FALSE),"")</f>
        <v/>
      </c>
    </row>
    <row r="196" spans="31:46" x14ac:dyDescent="0.3">
      <c r="AE196" s="204" t="s">
        <v>398</v>
      </c>
      <c r="AF196" s="204" t="s">
        <v>398</v>
      </c>
      <c r="AG196" s="204" t="s">
        <v>398</v>
      </c>
      <c r="AH196" s="8" t="s">
        <v>189</v>
      </c>
      <c r="AI196" s="65">
        <f t="shared" ca="1" si="24"/>
        <v>872.87701478618521</v>
      </c>
      <c r="AJ196" s="65">
        <f t="shared" ca="1" si="24"/>
        <v>364.0881494217748</v>
      </c>
      <c r="AK196" s="65">
        <f t="shared" ca="1" si="24"/>
        <v>255.77936539750613</v>
      </c>
      <c r="AL196" s="65">
        <f t="shared" ca="1" si="24"/>
        <v>511.06627616393882</v>
      </c>
      <c r="AM196" s="65">
        <f t="shared" ca="1" si="24"/>
        <v>93.354384264733525</v>
      </c>
      <c r="AN196" s="229"/>
      <c r="AO196"/>
      <c r="AS196" s="65" t="str">
        <f>IFERROR(VLOOKUP(#REF!,[1]Lookup!$B$2:$E$115,4,FALSE),"")</f>
        <v/>
      </c>
      <c r="AT196" s="65" t="str">
        <f>IFERROR(VLOOKUP(#REF!,[1]Lookup!$B$2:$E$115,2,FALSE),"")</f>
        <v/>
      </c>
    </row>
    <row r="197" spans="31:46" x14ac:dyDescent="0.3">
      <c r="AE197" s="204" t="s">
        <v>398</v>
      </c>
      <c r="AF197" s="204" t="s">
        <v>398</v>
      </c>
      <c r="AG197" s="204" t="s">
        <v>398</v>
      </c>
      <c r="AH197" s="8" t="s">
        <v>190</v>
      </c>
      <c r="AI197" s="65">
        <f t="shared" ca="1" si="24"/>
        <v>666.66287912738608</v>
      </c>
      <c r="AJ197" s="65">
        <f t="shared" ca="1" si="24"/>
        <v>739.79806884162872</v>
      </c>
      <c r="AK197" s="65">
        <f t="shared" ca="1" si="24"/>
        <v>268.25505748130161</v>
      </c>
      <c r="AL197" s="65">
        <f t="shared" ca="1" si="24"/>
        <v>143.77239112434259</v>
      </c>
      <c r="AM197" s="65">
        <f t="shared" ca="1" si="24"/>
        <v>719.37967187965398</v>
      </c>
      <c r="AN197" s="229"/>
      <c r="AO197"/>
      <c r="AS197" s="65" t="str">
        <f>IFERROR(VLOOKUP(#REF!,[1]Lookup!$B$2:$E$115,4,FALSE),"")</f>
        <v/>
      </c>
      <c r="AT197" s="65" t="str">
        <f>IFERROR(VLOOKUP(#REF!,[1]Lookup!$B$2:$E$115,2,FALSE),"")</f>
        <v/>
      </c>
    </row>
    <row r="198" spans="31:46" x14ac:dyDescent="0.3">
      <c r="AE198" s="204" t="s">
        <v>398</v>
      </c>
      <c r="AF198" s="204" t="s">
        <v>398</v>
      </c>
      <c r="AG198" s="204" t="s">
        <v>398</v>
      </c>
      <c r="AH198" s="8" t="s">
        <v>191</v>
      </c>
      <c r="AI198" s="65">
        <f t="shared" ca="1" si="24"/>
        <v>910.14024171816266</v>
      </c>
      <c r="AJ198" s="65">
        <f t="shared" ca="1" si="24"/>
        <v>450.74146412981133</v>
      </c>
      <c r="AK198" s="65">
        <f t="shared" ca="1" si="24"/>
        <v>116.42727631655036</v>
      </c>
      <c r="AL198" s="65">
        <f t="shared" ca="1" si="24"/>
        <v>749.42531604288229</v>
      </c>
      <c r="AM198" s="65">
        <f t="shared" ca="1" si="24"/>
        <v>650.24488603341013</v>
      </c>
      <c r="AN198" s="229"/>
      <c r="AO198"/>
      <c r="AS198" s="65" t="str">
        <f>IFERROR(VLOOKUP(#REF!,[1]Lookup!$B$2:$E$115,4,FALSE),"")</f>
        <v/>
      </c>
      <c r="AT198" s="65" t="str">
        <f>IFERROR(VLOOKUP(#REF!,[1]Lookup!$B$2:$E$115,2,FALSE),"")</f>
        <v/>
      </c>
    </row>
    <row r="199" spans="31:46" x14ac:dyDescent="0.3">
      <c r="AE199" s="204" t="s">
        <v>398</v>
      </c>
      <c r="AF199" s="204" t="s">
        <v>398</v>
      </c>
      <c r="AG199" s="204" t="s">
        <v>398</v>
      </c>
      <c r="AH199" s="8" t="s">
        <v>192</v>
      </c>
      <c r="AI199" s="65">
        <f t="shared" ca="1" si="24"/>
        <v>16.891583698910306</v>
      </c>
      <c r="AJ199" s="65">
        <f t="shared" ca="1" si="24"/>
        <v>172.66087522428296</v>
      </c>
      <c r="AK199" s="65">
        <f t="shared" ca="1" si="24"/>
        <v>374.48000392904032</v>
      </c>
      <c r="AL199" s="65">
        <f t="shared" ca="1" si="24"/>
        <v>456.20713623871734</v>
      </c>
      <c r="AM199" s="65">
        <f t="shared" ca="1" si="24"/>
        <v>417.93885402164267</v>
      </c>
      <c r="AN199" s="229"/>
      <c r="AO199"/>
      <c r="AS199" s="65" t="str">
        <f>IFERROR(VLOOKUP(#REF!,[1]Lookup!$B$2:$E$115,4,FALSE),"")</f>
        <v/>
      </c>
      <c r="AT199" s="65" t="str">
        <f>IFERROR(VLOOKUP(#REF!,[1]Lookup!$B$2:$E$115,2,FALSE),"")</f>
        <v/>
      </c>
    </row>
    <row r="200" spans="31:46" x14ac:dyDescent="0.3">
      <c r="AE200" s="204" t="s">
        <v>398</v>
      </c>
      <c r="AF200" s="204" t="s">
        <v>398</v>
      </c>
      <c r="AG200" s="204" t="s">
        <v>398</v>
      </c>
      <c r="AH200" s="8" t="s">
        <v>193</v>
      </c>
      <c r="AI200" s="65">
        <f t="shared" ca="1" si="24"/>
        <v>47.525791784825522</v>
      </c>
      <c r="AJ200" s="65">
        <f t="shared" ca="1" si="24"/>
        <v>297.13637124113433</v>
      </c>
      <c r="AK200" s="65">
        <f t="shared" ca="1" si="24"/>
        <v>766.77958223153371</v>
      </c>
      <c r="AL200" s="65">
        <f t="shared" ca="1" si="24"/>
        <v>833.92376954671124</v>
      </c>
      <c r="AM200" s="65">
        <f t="shared" ca="1" si="24"/>
        <v>28.366645082096742</v>
      </c>
      <c r="AN200" s="229"/>
      <c r="AO200"/>
      <c r="AS200" s="65" t="str">
        <f>IFERROR(VLOOKUP(#REF!,[1]Lookup!$B$2:$E$115,4,FALSE),"")</f>
        <v/>
      </c>
      <c r="AT200" s="65" t="str">
        <f>IFERROR(VLOOKUP(#REF!,[1]Lookup!$B$2:$E$115,2,FALSE),"")</f>
        <v/>
      </c>
    </row>
    <row r="201" spans="31:46" x14ac:dyDescent="0.3">
      <c r="AE201" s="204" t="s">
        <v>398</v>
      </c>
      <c r="AF201" s="204" t="s">
        <v>398</v>
      </c>
      <c r="AG201" s="204" t="s">
        <v>398</v>
      </c>
      <c r="AH201" s="8" t="s">
        <v>194</v>
      </c>
      <c r="AI201" s="65">
        <f t="shared" ca="1" si="24"/>
        <v>65.961723119472126</v>
      </c>
      <c r="AJ201" s="65">
        <f t="shared" ca="1" si="24"/>
        <v>180.59709881442265</v>
      </c>
      <c r="AK201" s="65">
        <f t="shared" ca="1" si="24"/>
        <v>644.62339871221138</v>
      </c>
      <c r="AL201" s="65">
        <f t="shared" ca="1" si="24"/>
        <v>494.42897383219787</v>
      </c>
      <c r="AM201" s="65">
        <f t="shared" ca="1" si="24"/>
        <v>334.99702107085506</v>
      </c>
      <c r="AN201" s="229"/>
      <c r="AO201"/>
      <c r="AS201" s="65" t="str">
        <f>IFERROR(VLOOKUP(#REF!,[1]Lookup!$B$2:$E$115,4,FALSE),"")</f>
        <v/>
      </c>
      <c r="AT201" s="65" t="str">
        <f>IFERROR(VLOOKUP(#REF!,[1]Lookup!$B$2:$E$115,2,FALSE),"")</f>
        <v/>
      </c>
    </row>
    <row r="202" spans="31:46" x14ac:dyDescent="0.3">
      <c r="AE202" s="204" t="s">
        <v>398</v>
      </c>
      <c r="AF202" s="204" t="s">
        <v>398</v>
      </c>
      <c r="AG202" s="204" t="s">
        <v>398</v>
      </c>
      <c r="AH202" s="8" t="s">
        <v>195</v>
      </c>
      <c r="AI202" s="65">
        <f t="shared" ca="1" si="24"/>
        <v>120.48759838163303</v>
      </c>
      <c r="AJ202" s="65">
        <f t="shared" ca="1" si="24"/>
        <v>813.98909214537707</v>
      </c>
      <c r="AK202" s="65">
        <f t="shared" ca="1" si="24"/>
        <v>438.99190082498552</v>
      </c>
      <c r="AL202" s="65">
        <f t="shared" ca="1" si="24"/>
        <v>881.3400039268181</v>
      </c>
      <c r="AM202" s="65">
        <f t="shared" ca="1" si="24"/>
        <v>137.47290694090043</v>
      </c>
      <c r="AN202" s="229"/>
      <c r="AO202"/>
      <c r="AS202" s="65" t="str">
        <f>IFERROR(VLOOKUP(#REF!,[1]Lookup!$B$2:$E$115,4,FALSE),"")</f>
        <v/>
      </c>
      <c r="AT202" s="65" t="str">
        <f>IFERROR(VLOOKUP(#REF!,[1]Lookup!$B$2:$E$115,2,FALSE),"")</f>
        <v/>
      </c>
    </row>
    <row r="203" spans="31:46" x14ac:dyDescent="0.3">
      <c r="AE203" s="204" t="s">
        <v>398</v>
      </c>
      <c r="AF203" s="204" t="s">
        <v>398</v>
      </c>
      <c r="AG203" s="204" t="s">
        <v>398</v>
      </c>
      <c r="AH203" s="8" t="s">
        <v>196</v>
      </c>
      <c r="AI203" s="65">
        <f t="shared" ca="1" si="24"/>
        <v>863.44616548501051</v>
      </c>
      <c r="AJ203" s="65">
        <f t="shared" ca="1" si="24"/>
        <v>154.11101258448957</v>
      </c>
      <c r="AK203" s="65">
        <f t="shared" ca="1" si="24"/>
        <v>584.16941371751557</v>
      </c>
      <c r="AL203" s="65">
        <f t="shared" ca="1" si="24"/>
        <v>956.49701722853661</v>
      </c>
      <c r="AM203" s="65">
        <f t="shared" ca="1" si="24"/>
        <v>847.66561140249303</v>
      </c>
      <c r="AN203" s="229"/>
      <c r="AO203"/>
      <c r="AS203" s="65" t="str">
        <f>IFERROR(VLOOKUP(#REF!,[1]Lookup!$B$2:$E$115,4,FALSE),"")</f>
        <v/>
      </c>
      <c r="AT203" s="65" t="str">
        <f>IFERROR(VLOOKUP(#REF!,[1]Lookup!$B$2:$E$115,2,FALSE),"")</f>
        <v/>
      </c>
    </row>
    <row r="204" spans="31:46" x14ac:dyDescent="0.3">
      <c r="AE204" s="204" t="s">
        <v>398</v>
      </c>
      <c r="AF204" s="204" t="s">
        <v>398</v>
      </c>
      <c r="AG204" s="204" t="s">
        <v>398</v>
      </c>
      <c r="AH204" s="8" t="s">
        <v>197</v>
      </c>
      <c r="AI204" s="65">
        <f t="shared" ca="1" si="24"/>
        <v>546.12856644430497</v>
      </c>
      <c r="AJ204" s="65">
        <f t="shared" ca="1" si="24"/>
        <v>318.3640933494496</v>
      </c>
      <c r="AK204" s="65">
        <f t="shared" ca="1" si="24"/>
        <v>330.11669392606825</v>
      </c>
      <c r="AL204" s="65">
        <f t="shared" ca="1" si="24"/>
        <v>980.00223674755853</v>
      </c>
      <c r="AM204" s="65">
        <f t="shared" ca="1" si="24"/>
        <v>304.16282659864271</v>
      </c>
      <c r="AN204" s="229"/>
      <c r="AO204"/>
      <c r="AS204" s="65" t="str">
        <f>IFERROR(VLOOKUP(#REF!,[1]Lookup!$B$2:$E$115,4,FALSE),"")</f>
        <v/>
      </c>
      <c r="AT204" s="65" t="str">
        <f>IFERROR(VLOOKUP(#REF!,[1]Lookup!$B$2:$E$115,2,FALSE),"")</f>
        <v/>
      </c>
    </row>
    <row r="205" spans="31:46" x14ac:dyDescent="0.3">
      <c r="AE205" s="204" t="s">
        <v>398</v>
      </c>
      <c r="AF205" s="204" t="s">
        <v>398</v>
      </c>
      <c r="AG205" s="204" t="s">
        <v>398</v>
      </c>
      <c r="AH205" s="8" t="s">
        <v>198</v>
      </c>
      <c r="AI205" s="65">
        <f t="shared" ref="AI205:AM251" ca="1" si="25">RAND()*1000</f>
        <v>903.65031280533503</v>
      </c>
      <c r="AJ205" s="65">
        <f t="shared" ca="1" si="25"/>
        <v>287.7468216588527</v>
      </c>
      <c r="AK205" s="65">
        <f t="shared" ca="1" si="25"/>
        <v>261.70750200350136</v>
      </c>
      <c r="AL205" s="65">
        <f t="shared" ca="1" si="25"/>
        <v>438.80179256757179</v>
      </c>
      <c r="AM205" s="65">
        <f t="shared" ca="1" si="25"/>
        <v>904.6267766749238</v>
      </c>
      <c r="AN205" s="229"/>
      <c r="AO205"/>
      <c r="AS205" s="65" t="str">
        <f>IFERROR(VLOOKUP(#REF!,[1]Lookup!$B$2:$E$115,4,FALSE),"")</f>
        <v/>
      </c>
      <c r="AT205" s="65" t="str">
        <f>IFERROR(VLOOKUP(#REF!,[1]Lookup!$B$2:$E$115,2,FALSE),"")</f>
        <v/>
      </c>
    </row>
    <row r="206" spans="31:46" x14ac:dyDescent="0.3">
      <c r="AE206" s="204" t="s">
        <v>398</v>
      </c>
      <c r="AF206" s="204" t="s">
        <v>398</v>
      </c>
      <c r="AG206" s="204" t="s">
        <v>398</v>
      </c>
      <c r="AH206" s="8" t="s">
        <v>199</v>
      </c>
      <c r="AI206" s="65">
        <f t="shared" ca="1" si="25"/>
        <v>38.615899543829599</v>
      </c>
      <c r="AJ206" s="65">
        <f t="shared" ca="1" si="25"/>
        <v>763.14770880020296</v>
      </c>
      <c r="AK206" s="65">
        <f t="shared" ca="1" si="25"/>
        <v>338.67312391864334</v>
      </c>
      <c r="AL206" s="65">
        <f t="shared" ca="1" si="25"/>
        <v>601.6743424830853</v>
      </c>
      <c r="AM206" s="65">
        <f t="shared" ca="1" si="25"/>
        <v>841.1457222343829</v>
      </c>
      <c r="AN206" s="229"/>
      <c r="AO206"/>
      <c r="AS206" s="65" t="str">
        <f>IFERROR(VLOOKUP(#REF!,[1]Lookup!$B$2:$E$115,4,FALSE),"")</f>
        <v/>
      </c>
      <c r="AT206" s="65" t="str">
        <f>IFERROR(VLOOKUP(#REF!,[1]Lookup!$B$2:$E$115,2,FALSE),"")</f>
        <v/>
      </c>
    </row>
    <row r="207" spans="31:46" x14ac:dyDescent="0.3">
      <c r="AE207" s="204" t="s">
        <v>398</v>
      </c>
      <c r="AF207" s="204" t="s">
        <v>398</v>
      </c>
      <c r="AG207" s="204" t="s">
        <v>398</v>
      </c>
      <c r="AH207" s="8" t="s">
        <v>200</v>
      </c>
      <c r="AI207" s="65">
        <f t="shared" ca="1" si="25"/>
        <v>364.42673113417192</v>
      </c>
      <c r="AJ207" s="65">
        <f t="shared" ca="1" si="25"/>
        <v>539.51459188845286</v>
      </c>
      <c r="AK207" s="65">
        <f t="shared" ca="1" si="25"/>
        <v>407.98480222904743</v>
      </c>
      <c r="AL207" s="65">
        <f t="shared" ca="1" si="25"/>
        <v>133.09194332065022</v>
      </c>
      <c r="AM207" s="65">
        <f t="shared" ca="1" si="25"/>
        <v>237.56486670867093</v>
      </c>
      <c r="AN207" s="229"/>
      <c r="AO207"/>
      <c r="AS207" s="65" t="str">
        <f>IFERROR(VLOOKUP(#REF!,[1]Lookup!$B$2:$E$115,4,FALSE),"")</f>
        <v/>
      </c>
      <c r="AT207" s="65" t="str">
        <f>IFERROR(VLOOKUP(#REF!,[1]Lookup!$B$2:$E$115,2,FALSE),"")</f>
        <v/>
      </c>
    </row>
    <row r="208" spans="31:46" x14ac:dyDescent="0.3">
      <c r="AE208" s="204" t="s">
        <v>398</v>
      </c>
      <c r="AF208" s="204" t="s">
        <v>398</v>
      </c>
      <c r="AG208" s="204" t="s">
        <v>398</v>
      </c>
      <c r="AH208" s="8" t="s">
        <v>201</v>
      </c>
      <c r="AI208" s="65">
        <f t="shared" ca="1" si="25"/>
        <v>214.63252594533134</v>
      </c>
      <c r="AJ208" s="65">
        <f t="shared" ca="1" si="25"/>
        <v>404.38979474301806</v>
      </c>
      <c r="AK208" s="65">
        <f t="shared" ca="1" si="25"/>
        <v>210.49352828660884</v>
      </c>
      <c r="AL208" s="65">
        <f t="shared" ca="1" si="25"/>
        <v>832.86787452723581</v>
      </c>
      <c r="AM208" s="65">
        <f t="shared" ca="1" si="25"/>
        <v>273.7698877418747</v>
      </c>
      <c r="AN208" s="229"/>
      <c r="AO208"/>
      <c r="AS208" s="65" t="str">
        <f>IFERROR(VLOOKUP(#REF!,[1]Lookup!$B$2:$E$115,4,FALSE),"")</f>
        <v/>
      </c>
      <c r="AT208" s="65" t="str">
        <f>IFERROR(VLOOKUP(#REF!,[1]Lookup!$B$2:$E$115,2,FALSE),"")</f>
        <v/>
      </c>
    </row>
    <row r="209" spans="31:46" x14ac:dyDescent="0.3">
      <c r="AE209" s="204" t="s">
        <v>398</v>
      </c>
      <c r="AF209" s="204" t="s">
        <v>398</v>
      </c>
      <c r="AG209" s="204" t="s">
        <v>398</v>
      </c>
      <c r="AH209" s="8" t="s">
        <v>202</v>
      </c>
      <c r="AI209" s="65">
        <f t="shared" ca="1" si="25"/>
        <v>480.07999675505908</v>
      </c>
      <c r="AJ209" s="65">
        <f t="shared" ca="1" si="25"/>
        <v>108.75365547946436</v>
      </c>
      <c r="AK209" s="65">
        <f t="shared" ca="1" si="25"/>
        <v>70.307048300739638</v>
      </c>
      <c r="AL209" s="65">
        <f t="shared" ca="1" si="25"/>
        <v>459.93066246974189</v>
      </c>
      <c r="AM209" s="65">
        <f t="shared" ca="1" si="25"/>
        <v>132.93748525775771</v>
      </c>
      <c r="AN209" s="229"/>
      <c r="AO209"/>
      <c r="AS209" s="65" t="str">
        <f>IFERROR(VLOOKUP(#REF!,[1]Lookup!$B$2:$E$115,4,FALSE),"")</f>
        <v/>
      </c>
      <c r="AT209" s="65" t="str">
        <f>IFERROR(VLOOKUP(#REF!,[1]Lookup!$B$2:$E$115,2,FALSE),"")</f>
        <v/>
      </c>
    </row>
    <row r="210" spans="31:46" x14ac:dyDescent="0.3">
      <c r="AE210" s="204" t="s">
        <v>398</v>
      </c>
      <c r="AF210" s="204" t="s">
        <v>398</v>
      </c>
      <c r="AG210" s="204" t="s">
        <v>398</v>
      </c>
      <c r="AH210" s="8" t="s">
        <v>203</v>
      </c>
      <c r="AI210" s="65">
        <f t="shared" ca="1" si="25"/>
        <v>160.49998562732014</v>
      </c>
      <c r="AJ210" s="65">
        <f t="shared" ca="1" si="25"/>
        <v>338.85834524941316</v>
      </c>
      <c r="AK210" s="65">
        <f t="shared" ca="1" si="25"/>
        <v>297.01917307958661</v>
      </c>
      <c r="AL210" s="65">
        <f t="shared" ca="1" si="25"/>
        <v>748.31920300704053</v>
      </c>
      <c r="AM210" s="65">
        <f t="shared" ca="1" si="25"/>
        <v>243.22388178871711</v>
      </c>
      <c r="AN210" s="229"/>
      <c r="AO210"/>
      <c r="AS210" s="65" t="str">
        <f>IFERROR(VLOOKUP(#REF!,[1]Lookup!$B$2:$E$115,4,FALSE),"")</f>
        <v/>
      </c>
      <c r="AT210" s="65" t="str">
        <f>IFERROR(VLOOKUP(#REF!,[1]Lookup!$B$2:$E$115,2,FALSE),"")</f>
        <v/>
      </c>
    </row>
    <row r="211" spans="31:46" x14ac:dyDescent="0.3">
      <c r="AE211" s="204" t="s">
        <v>398</v>
      </c>
      <c r="AF211" s="204" t="s">
        <v>398</v>
      </c>
      <c r="AG211" s="204" t="s">
        <v>398</v>
      </c>
      <c r="AH211" s="8" t="s">
        <v>204</v>
      </c>
      <c r="AI211" s="65">
        <f t="shared" ca="1" si="25"/>
        <v>736.31509026626122</v>
      </c>
      <c r="AJ211" s="65">
        <f t="shared" ca="1" si="25"/>
        <v>187.38773333970605</v>
      </c>
      <c r="AK211" s="65">
        <f t="shared" ca="1" si="25"/>
        <v>788.91828068336611</v>
      </c>
      <c r="AL211" s="65">
        <f t="shared" ca="1" si="25"/>
        <v>389.9495062365944</v>
      </c>
      <c r="AM211" s="65">
        <f t="shared" ca="1" si="25"/>
        <v>51.836415288893711</v>
      </c>
      <c r="AN211" s="229"/>
      <c r="AO211"/>
      <c r="AS211" s="65" t="str">
        <f>IFERROR(VLOOKUP(#REF!,[1]Lookup!$B$2:$E$115,4,FALSE),"")</f>
        <v/>
      </c>
      <c r="AT211" s="65" t="str">
        <f>IFERROR(VLOOKUP(#REF!,[1]Lookup!$B$2:$E$115,2,FALSE),"")</f>
        <v/>
      </c>
    </row>
    <row r="212" spans="31:46" x14ac:dyDescent="0.3">
      <c r="AE212" s="204" t="s">
        <v>398</v>
      </c>
      <c r="AF212" s="204" t="s">
        <v>398</v>
      </c>
      <c r="AG212" s="204" t="s">
        <v>398</v>
      </c>
      <c r="AH212" s="8" t="s">
        <v>205</v>
      </c>
      <c r="AI212" s="65">
        <f t="shared" ca="1" si="25"/>
        <v>215.27171715776262</v>
      </c>
      <c r="AJ212" s="65">
        <f t="shared" ca="1" si="25"/>
        <v>561.19206753368906</v>
      </c>
      <c r="AK212" s="65">
        <f t="shared" ca="1" si="25"/>
        <v>339.4394414008429</v>
      </c>
      <c r="AL212" s="65">
        <f t="shared" ca="1" si="25"/>
        <v>1.0087250742057963</v>
      </c>
      <c r="AM212" s="65">
        <f t="shared" ca="1" si="25"/>
        <v>822.99364690568484</v>
      </c>
      <c r="AN212" s="229"/>
      <c r="AO212"/>
      <c r="AS212" s="65" t="str">
        <f>IFERROR(VLOOKUP(#REF!,[1]Lookup!$B$2:$E$115,4,FALSE),"")</f>
        <v/>
      </c>
      <c r="AT212" s="65" t="str">
        <f>IFERROR(VLOOKUP(#REF!,[1]Lookup!$B$2:$E$115,2,FALSE),"")</f>
        <v/>
      </c>
    </row>
    <row r="213" spans="31:46" x14ac:dyDescent="0.3">
      <c r="AE213" s="204" t="s">
        <v>398</v>
      </c>
      <c r="AF213" s="204" t="s">
        <v>398</v>
      </c>
      <c r="AG213" s="204" t="s">
        <v>398</v>
      </c>
      <c r="AH213" s="8" t="s">
        <v>206</v>
      </c>
      <c r="AI213" s="65">
        <f t="shared" ca="1" si="25"/>
        <v>34.824318098430119</v>
      </c>
      <c r="AJ213" s="65">
        <f t="shared" ca="1" si="25"/>
        <v>904.58040825793967</v>
      </c>
      <c r="AK213" s="65">
        <f t="shared" ca="1" si="25"/>
        <v>426.64564939360474</v>
      </c>
      <c r="AL213" s="65">
        <f t="shared" ca="1" si="25"/>
        <v>400.85445855551637</v>
      </c>
      <c r="AM213" s="65">
        <f t="shared" ca="1" si="25"/>
        <v>198.68794271579105</v>
      </c>
      <c r="AN213" s="229"/>
      <c r="AO213"/>
      <c r="AS213" s="65" t="str">
        <f>IFERROR(VLOOKUP(#REF!,[1]Lookup!$B$2:$E$115,4,FALSE),"")</f>
        <v/>
      </c>
      <c r="AT213" s="65" t="str">
        <f>IFERROR(VLOOKUP(#REF!,[1]Lookup!$B$2:$E$115,2,FALSE),"")</f>
        <v/>
      </c>
    </row>
    <row r="214" spans="31:46" x14ac:dyDescent="0.3">
      <c r="AE214" s="204" t="s">
        <v>398</v>
      </c>
      <c r="AF214" s="204" t="s">
        <v>398</v>
      </c>
      <c r="AG214" s="204" t="s">
        <v>398</v>
      </c>
      <c r="AH214" s="8" t="s">
        <v>207</v>
      </c>
      <c r="AI214" s="65">
        <f t="shared" ca="1" si="25"/>
        <v>123.04823687729561</v>
      </c>
      <c r="AJ214" s="65">
        <f t="shared" ca="1" si="25"/>
        <v>413.09497700784272</v>
      </c>
      <c r="AK214" s="65">
        <f t="shared" ca="1" si="25"/>
        <v>544.81841537831099</v>
      </c>
      <c r="AL214" s="65">
        <f t="shared" ca="1" si="25"/>
        <v>189.06156845003542</v>
      </c>
      <c r="AM214" s="65">
        <f t="shared" ca="1" si="25"/>
        <v>753.01512118794938</v>
      </c>
      <c r="AN214" s="229"/>
      <c r="AO214"/>
      <c r="AS214" s="65" t="str">
        <f>IFERROR(VLOOKUP(#REF!,[1]Lookup!$B$2:$E$115,4,FALSE),"")</f>
        <v/>
      </c>
      <c r="AT214" s="65" t="str">
        <f>IFERROR(VLOOKUP(#REF!,[1]Lookup!$B$2:$E$115,2,FALSE),"")</f>
        <v/>
      </c>
    </row>
    <row r="215" spans="31:46" x14ac:dyDescent="0.3">
      <c r="AE215" s="204" t="s">
        <v>398</v>
      </c>
      <c r="AF215" s="204" t="s">
        <v>398</v>
      </c>
      <c r="AG215" s="204" t="s">
        <v>398</v>
      </c>
      <c r="AH215" s="8" t="s">
        <v>208</v>
      </c>
      <c r="AI215" s="65">
        <f t="shared" ca="1" si="25"/>
        <v>938.87818321098746</v>
      </c>
      <c r="AJ215" s="65">
        <f t="shared" ca="1" si="25"/>
        <v>951.70287426158347</v>
      </c>
      <c r="AK215" s="65">
        <f t="shared" ca="1" si="25"/>
        <v>837.62575839333999</v>
      </c>
      <c r="AL215" s="65">
        <f t="shared" ca="1" si="25"/>
        <v>583.29306714578229</v>
      </c>
      <c r="AM215" s="65">
        <f t="shared" ca="1" si="25"/>
        <v>856.9831375658988</v>
      </c>
      <c r="AN215" s="229"/>
      <c r="AO215"/>
      <c r="AS215" s="65" t="str">
        <f>IFERROR(VLOOKUP(#REF!,[1]Lookup!$B$2:$E$115,4,FALSE),"")</f>
        <v/>
      </c>
      <c r="AT215" s="65" t="str">
        <f>IFERROR(VLOOKUP(#REF!,[1]Lookup!$B$2:$E$115,2,FALSE),"")</f>
        <v/>
      </c>
    </row>
    <row r="216" spans="31:46" x14ac:dyDescent="0.3">
      <c r="AE216" s="204" t="s">
        <v>398</v>
      </c>
      <c r="AF216" s="204" t="s">
        <v>398</v>
      </c>
      <c r="AG216" s="204" t="s">
        <v>398</v>
      </c>
      <c r="AH216" s="8" t="s">
        <v>209</v>
      </c>
      <c r="AI216" s="65">
        <f t="shared" ca="1" si="25"/>
        <v>587.65874455146343</v>
      </c>
      <c r="AJ216" s="65">
        <f t="shared" ca="1" si="25"/>
        <v>464.62029823098783</v>
      </c>
      <c r="AK216" s="65">
        <f t="shared" ca="1" si="25"/>
        <v>560.16246469534053</v>
      </c>
      <c r="AL216" s="65">
        <f t="shared" ca="1" si="25"/>
        <v>585.12968459042963</v>
      </c>
      <c r="AM216" s="65">
        <f t="shared" ca="1" si="25"/>
        <v>895.11436904412369</v>
      </c>
      <c r="AN216" s="229"/>
      <c r="AO216"/>
      <c r="AS216" s="65" t="str">
        <f>IFERROR(VLOOKUP(#REF!,[1]Lookup!$B$2:$E$115,4,FALSE),"")</f>
        <v/>
      </c>
      <c r="AT216" s="65" t="str">
        <f>IFERROR(VLOOKUP(#REF!,[1]Lookup!$B$2:$E$115,2,FALSE),"")</f>
        <v/>
      </c>
    </row>
    <row r="217" spans="31:46" x14ac:dyDescent="0.3">
      <c r="AE217" s="204" t="s">
        <v>398</v>
      </c>
      <c r="AF217" s="204" t="s">
        <v>398</v>
      </c>
      <c r="AG217" s="204" t="s">
        <v>398</v>
      </c>
      <c r="AH217" s="8" t="s">
        <v>210</v>
      </c>
      <c r="AI217" s="65">
        <f t="shared" ca="1" si="25"/>
        <v>310.20311307990789</v>
      </c>
      <c r="AJ217" s="65">
        <f t="shared" ca="1" si="25"/>
        <v>10.273786454082057</v>
      </c>
      <c r="AK217" s="65">
        <f t="shared" ca="1" si="25"/>
        <v>679.34094518000597</v>
      </c>
      <c r="AL217" s="65">
        <f t="shared" ca="1" si="25"/>
        <v>280.01933125527279</v>
      </c>
      <c r="AM217" s="65">
        <f t="shared" ca="1" si="25"/>
        <v>755.61486190428889</v>
      </c>
      <c r="AN217" s="229"/>
      <c r="AO217"/>
      <c r="AS217" s="65" t="str">
        <f>IFERROR(VLOOKUP(#REF!,[1]Lookup!$B$2:$E$115,4,FALSE),"")</f>
        <v/>
      </c>
      <c r="AT217" s="65" t="str">
        <f>IFERROR(VLOOKUP(#REF!,[1]Lookup!$B$2:$E$115,2,FALSE),"")</f>
        <v/>
      </c>
    </row>
    <row r="218" spans="31:46" x14ac:dyDescent="0.3">
      <c r="AE218" s="204" t="s">
        <v>398</v>
      </c>
      <c r="AF218" s="204" t="s">
        <v>398</v>
      </c>
      <c r="AG218" s="204" t="s">
        <v>398</v>
      </c>
      <c r="AH218" s="8" t="s">
        <v>185</v>
      </c>
      <c r="AI218" s="65">
        <f t="shared" ca="1" si="25"/>
        <v>305.11173172324482</v>
      </c>
      <c r="AJ218" s="65">
        <f t="shared" ca="1" si="25"/>
        <v>807.23455486238379</v>
      </c>
      <c r="AK218" s="65">
        <f t="shared" ca="1" si="25"/>
        <v>8.4308454347004069</v>
      </c>
      <c r="AL218" s="65">
        <f t="shared" ca="1" si="25"/>
        <v>216.6579953520077</v>
      </c>
      <c r="AM218" s="65">
        <f t="shared" ca="1" si="25"/>
        <v>253.61204318926045</v>
      </c>
      <c r="AN218" s="229"/>
      <c r="AO218"/>
      <c r="AS218" s="65" t="str">
        <f>IFERROR(VLOOKUP(#REF!,[1]Lookup!$B$2:$E$115,4,FALSE),"")</f>
        <v/>
      </c>
      <c r="AT218" s="65" t="str">
        <f>IFERROR(VLOOKUP(#REF!,[1]Lookup!$B$2:$E$115,2,FALSE),"")</f>
        <v/>
      </c>
    </row>
    <row r="219" spans="31:46" x14ac:dyDescent="0.3">
      <c r="AE219" s="204" t="s">
        <v>398</v>
      </c>
      <c r="AF219" s="204" t="s">
        <v>398</v>
      </c>
      <c r="AG219" s="204" t="s">
        <v>398</v>
      </c>
      <c r="AH219" s="8" t="s">
        <v>186</v>
      </c>
      <c r="AI219" s="65">
        <f t="shared" ca="1" si="25"/>
        <v>458.06626021991502</v>
      </c>
      <c r="AJ219" s="65">
        <f t="shared" ca="1" si="25"/>
        <v>469.01850748960538</v>
      </c>
      <c r="AK219" s="65">
        <f t="shared" ca="1" si="25"/>
        <v>486.18085364526166</v>
      </c>
      <c r="AL219" s="65">
        <f t="shared" ca="1" si="25"/>
        <v>468.79801051941359</v>
      </c>
      <c r="AM219" s="65">
        <f t="shared" ca="1" si="25"/>
        <v>329.53409508703191</v>
      </c>
      <c r="AN219" s="229"/>
      <c r="AO219"/>
      <c r="AS219" s="65" t="str">
        <f>IFERROR(VLOOKUP(#REF!,[1]Lookup!$B$2:$E$115,4,FALSE),"")</f>
        <v/>
      </c>
      <c r="AT219" s="65" t="str">
        <f>IFERROR(VLOOKUP(#REF!,[1]Lookup!$B$2:$E$115,2,FALSE),"")</f>
        <v/>
      </c>
    </row>
    <row r="220" spans="31:46" x14ac:dyDescent="0.3">
      <c r="AE220" s="204" t="s">
        <v>398</v>
      </c>
      <c r="AF220" s="204" t="s">
        <v>398</v>
      </c>
      <c r="AG220" s="204" t="s">
        <v>398</v>
      </c>
      <c r="AH220" s="8" t="s">
        <v>187</v>
      </c>
      <c r="AI220" s="65">
        <f t="shared" ca="1" si="25"/>
        <v>15.592586742341098</v>
      </c>
      <c r="AJ220" s="65">
        <f t="shared" ca="1" si="25"/>
        <v>174.59652151068994</v>
      </c>
      <c r="AK220" s="65">
        <f t="shared" ca="1" si="25"/>
        <v>160.41493821113718</v>
      </c>
      <c r="AL220" s="65">
        <f t="shared" ca="1" si="25"/>
        <v>797.51418623341192</v>
      </c>
      <c r="AM220" s="65">
        <f t="shared" ca="1" si="25"/>
        <v>203.15367249585714</v>
      </c>
      <c r="AN220" s="229"/>
      <c r="AO220"/>
      <c r="AS220" s="65" t="str">
        <f>IFERROR(VLOOKUP(#REF!,[1]Lookup!$B$2:$E$115,4,FALSE),"")</f>
        <v/>
      </c>
      <c r="AT220" s="65" t="str">
        <f>IFERROR(VLOOKUP(#REF!,[1]Lookup!$B$2:$E$115,2,FALSE),"")</f>
        <v/>
      </c>
    </row>
    <row r="221" spans="31:46" x14ac:dyDescent="0.3">
      <c r="AE221" s="204" t="s">
        <v>398</v>
      </c>
      <c r="AF221" s="204" t="s">
        <v>398</v>
      </c>
      <c r="AG221" s="204" t="s">
        <v>398</v>
      </c>
      <c r="AH221" s="8" t="s">
        <v>188</v>
      </c>
      <c r="AI221" s="65">
        <f t="shared" ca="1" si="25"/>
        <v>892.70946402110724</v>
      </c>
      <c r="AJ221" s="65">
        <f t="shared" ca="1" si="25"/>
        <v>752.39617781016636</v>
      </c>
      <c r="AK221" s="65">
        <f t="shared" ca="1" si="25"/>
        <v>123.97621183361795</v>
      </c>
      <c r="AL221" s="65">
        <f t="shared" ca="1" si="25"/>
        <v>153.48934016149306</v>
      </c>
      <c r="AM221" s="65">
        <f t="shared" ca="1" si="25"/>
        <v>787.75644457754186</v>
      </c>
      <c r="AN221" s="229"/>
      <c r="AO221"/>
      <c r="AS221" s="65" t="str">
        <f>IFERROR(VLOOKUP(#REF!,[1]Lookup!$B$2:$E$115,4,FALSE),"")</f>
        <v/>
      </c>
      <c r="AT221" s="65" t="str">
        <f>IFERROR(VLOOKUP(#REF!,[1]Lookup!$B$2:$E$115,2,FALSE),"")</f>
        <v/>
      </c>
    </row>
    <row r="222" spans="31:46" x14ac:dyDescent="0.3">
      <c r="AE222" s="204" t="s">
        <v>398</v>
      </c>
      <c r="AF222" s="204" t="s">
        <v>398</v>
      </c>
      <c r="AG222" s="204" t="s">
        <v>398</v>
      </c>
      <c r="AH222" s="8" t="s">
        <v>189</v>
      </c>
      <c r="AI222" s="65">
        <f t="shared" ca="1" si="25"/>
        <v>333.68908949742928</v>
      </c>
      <c r="AJ222" s="65">
        <f t="shared" ca="1" si="25"/>
        <v>730.22975884974346</v>
      </c>
      <c r="AK222" s="65">
        <f t="shared" ca="1" si="25"/>
        <v>798.46383114574076</v>
      </c>
      <c r="AL222" s="65">
        <f t="shared" ca="1" si="25"/>
        <v>405.52008825038996</v>
      </c>
      <c r="AM222" s="65">
        <f t="shared" ca="1" si="25"/>
        <v>523.44263990137301</v>
      </c>
      <c r="AN222" s="229"/>
      <c r="AO222"/>
      <c r="AS222" s="65" t="str">
        <f>IFERROR(VLOOKUP(#REF!,[1]Lookup!$B$2:$E$115,4,FALSE),"")</f>
        <v/>
      </c>
      <c r="AT222" s="65" t="str">
        <f>IFERROR(VLOOKUP(#REF!,[1]Lookup!$B$2:$E$115,2,FALSE),"")</f>
        <v/>
      </c>
    </row>
    <row r="223" spans="31:46" x14ac:dyDescent="0.3">
      <c r="AE223" s="204" t="s">
        <v>398</v>
      </c>
      <c r="AF223" s="204" t="s">
        <v>398</v>
      </c>
      <c r="AG223" s="204" t="s">
        <v>398</v>
      </c>
      <c r="AH223" s="8" t="s">
        <v>190</v>
      </c>
      <c r="AI223" s="65">
        <f t="shared" ca="1" si="25"/>
        <v>361.35198378217137</v>
      </c>
      <c r="AJ223" s="65">
        <f t="shared" ca="1" si="25"/>
        <v>503.18049345916438</v>
      </c>
      <c r="AK223" s="65">
        <f t="shared" ca="1" si="25"/>
        <v>103.49734170064251</v>
      </c>
      <c r="AL223" s="65">
        <f t="shared" ca="1" si="25"/>
        <v>724.66396055636051</v>
      </c>
      <c r="AM223" s="65">
        <f t="shared" ca="1" si="25"/>
        <v>948.28060134226678</v>
      </c>
      <c r="AN223" s="229"/>
      <c r="AO223"/>
      <c r="AS223" s="65" t="str">
        <f>IFERROR(VLOOKUP(#REF!,[1]Lookup!$B$2:$E$115,4,FALSE),"")</f>
        <v/>
      </c>
      <c r="AT223" s="65" t="str">
        <f>IFERROR(VLOOKUP(#REF!,[1]Lookup!$B$2:$E$115,2,FALSE),"")</f>
        <v/>
      </c>
    </row>
    <row r="224" spans="31:46" x14ac:dyDescent="0.3">
      <c r="AE224" s="204" t="s">
        <v>398</v>
      </c>
      <c r="AF224" s="204" t="s">
        <v>398</v>
      </c>
      <c r="AG224" s="204" t="s">
        <v>398</v>
      </c>
      <c r="AH224" s="8" t="s">
        <v>191</v>
      </c>
      <c r="AI224" s="65">
        <f t="shared" ca="1" si="25"/>
        <v>606.97388273802835</v>
      </c>
      <c r="AJ224" s="65">
        <f t="shared" ca="1" si="25"/>
        <v>732.86525086820598</v>
      </c>
      <c r="AK224" s="65">
        <f t="shared" ca="1" si="25"/>
        <v>469.52678862645234</v>
      </c>
      <c r="AL224" s="65">
        <f t="shared" ca="1" si="25"/>
        <v>881.9729284577819</v>
      </c>
      <c r="AM224" s="65">
        <f t="shared" ca="1" si="25"/>
        <v>382.40512076465507</v>
      </c>
      <c r="AN224" s="229"/>
      <c r="AO224"/>
      <c r="AS224" s="65" t="str">
        <f>IFERROR(VLOOKUP(#REF!,[1]Lookup!$B$2:$E$115,4,FALSE),"")</f>
        <v/>
      </c>
      <c r="AT224" s="65" t="str">
        <f>IFERROR(VLOOKUP(#REF!,[1]Lookup!$B$2:$E$115,2,FALSE),"")</f>
        <v/>
      </c>
    </row>
    <row r="225" spans="31:46" x14ac:dyDescent="0.3">
      <c r="AE225" s="204" t="s">
        <v>398</v>
      </c>
      <c r="AF225" s="204" t="s">
        <v>398</v>
      </c>
      <c r="AG225" s="204" t="s">
        <v>398</v>
      </c>
      <c r="AH225" s="8" t="s">
        <v>192</v>
      </c>
      <c r="AI225" s="65">
        <f t="shared" ca="1" si="25"/>
        <v>746.77476082898113</v>
      </c>
      <c r="AJ225" s="65">
        <f t="shared" ca="1" si="25"/>
        <v>222.77509781400829</v>
      </c>
      <c r="AK225" s="65">
        <f t="shared" ca="1" si="25"/>
        <v>277.36255539863953</v>
      </c>
      <c r="AL225" s="65">
        <f t="shared" ca="1" si="25"/>
        <v>772.37865600149041</v>
      </c>
      <c r="AM225" s="65">
        <f t="shared" ca="1" si="25"/>
        <v>360.53153978514109</v>
      </c>
      <c r="AN225" s="229"/>
      <c r="AO225"/>
      <c r="AS225" s="65" t="str">
        <f>IFERROR(VLOOKUP(#REF!,[1]Lookup!$B$2:$E$115,4,FALSE),"")</f>
        <v/>
      </c>
      <c r="AT225" s="65" t="str">
        <f>IFERROR(VLOOKUP(#REF!,[1]Lookup!$B$2:$E$115,2,FALSE),"")</f>
        <v/>
      </c>
    </row>
    <row r="226" spans="31:46" x14ac:dyDescent="0.3">
      <c r="AE226" s="204" t="s">
        <v>398</v>
      </c>
      <c r="AF226" s="204" t="s">
        <v>398</v>
      </c>
      <c r="AG226" s="204" t="s">
        <v>398</v>
      </c>
      <c r="AH226" s="8" t="s">
        <v>193</v>
      </c>
      <c r="AI226" s="65">
        <f t="shared" ca="1" si="25"/>
        <v>640.85312715062764</v>
      </c>
      <c r="AJ226" s="65">
        <f t="shared" ca="1" si="25"/>
        <v>548.50032329646297</v>
      </c>
      <c r="AK226" s="65">
        <f t="shared" ca="1" si="25"/>
        <v>115.11246339602977</v>
      </c>
      <c r="AL226" s="65">
        <f t="shared" ca="1" si="25"/>
        <v>494.66549830942006</v>
      </c>
      <c r="AM226" s="65">
        <f t="shared" ca="1" si="25"/>
        <v>605.01249531677604</v>
      </c>
      <c r="AN226" s="229"/>
      <c r="AO226"/>
      <c r="AS226" s="65" t="str">
        <f>IFERROR(VLOOKUP(#REF!,[1]Lookup!$B$2:$E$115,4,FALSE),"")</f>
        <v/>
      </c>
      <c r="AT226" s="65" t="str">
        <f>IFERROR(VLOOKUP(#REF!,[1]Lookup!$B$2:$E$115,2,FALSE),"")</f>
        <v/>
      </c>
    </row>
    <row r="227" spans="31:46" x14ac:dyDescent="0.3">
      <c r="AE227" s="204" t="s">
        <v>398</v>
      </c>
      <c r="AF227" s="204" t="s">
        <v>398</v>
      </c>
      <c r="AG227" s="204" t="s">
        <v>398</v>
      </c>
      <c r="AH227" s="8" t="s">
        <v>194</v>
      </c>
      <c r="AI227" s="65">
        <f t="shared" ca="1" si="25"/>
        <v>396.71594594329605</v>
      </c>
      <c r="AJ227" s="65">
        <f t="shared" ca="1" si="25"/>
        <v>832.99545034265896</v>
      </c>
      <c r="AK227" s="65">
        <f t="shared" ca="1" si="25"/>
        <v>888.2307082260395</v>
      </c>
      <c r="AL227" s="65">
        <f t="shared" ca="1" si="25"/>
        <v>863.51976464595089</v>
      </c>
      <c r="AM227" s="65">
        <f t="shared" ca="1" si="25"/>
        <v>271.74118709815752</v>
      </c>
      <c r="AN227" s="229"/>
      <c r="AO227"/>
      <c r="AS227" s="65" t="str">
        <f>IFERROR(VLOOKUP(#REF!,[1]Lookup!$B$2:$E$115,4,FALSE),"")</f>
        <v/>
      </c>
      <c r="AT227" s="65" t="str">
        <f>IFERROR(VLOOKUP(#REF!,[1]Lookup!$B$2:$E$115,2,FALSE),"")</f>
        <v/>
      </c>
    </row>
    <row r="228" spans="31:46" x14ac:dyDescent="0.3">
      <c r="AE228" s="204" t="s">
        <v>398</v>
      </c>
      <c r="AF228" s="204" t="s">
        <v>398</v>
      </c>
      <c r="AG228" s="204" t="s">
        <v>398</v>
      </c>
      <c r="AH228" s="8" t="s">
        <v>195</v>
      </c>
      <c r="AI228" s="65">
        <f t="shared" ca="1" si="25"/>
        <v>10.224709128760058</v>
      </c>
      <c r="AJ228" s="65">
        <f t="shared" ca="1" si="25"/>
        <v>485.63329212436781</v>
      </c>
      <c r="AK228" s="65">
        <f t="shared" ca="1" si="25"/>
        <v>399.20081479904223</v>
      </c>
      <c r="AL228" s="65">
        <f t="shared" ca="1" si="25"/>
        <v>480.16253383424203</v>
      </c>
      <c r="AM228" s="65">
        <f t="shared" ca="1" si="25"/>
        <v>19.32110904554596</v>
      </c>
      <c r="AN228" s="229"/>
      <c r="AO228"/>
      <c r="AS228" s="65" t="str">
        <f>IFERROR(VLOOKUP(#REF!,[1]Lookup!$B$2:$E$115,4,FALSE),"")</f>
        <v/>
      </c>
      <c r="AT228" s="65" t="str">
        <f>IFERROR(VLOOKUP(#REF!,[1]Lookup!$B$2:$E$115,2,FALSE),"")</f>
        <v/>
      </c>
    </row>
    <row r="229" spans="31:46" x14ac:dyDescent="0.3">
      <c r="AE229" s="204" t="s">
        <v>398</v>
      </c>
      <c r="AF229" s="204" t="s">
        <v>398</v>
      </c>
      <c r="AG229" s="204" t="s">
        <v>398</v>
      </c>
      <c r="AH229" s="8" t="s">
        <v>196</v>
      </c>
      <c r="AI229" s="65">
        <f t="shared" ca="1" si="25"/>
        <v>963.68336197014207</v>
      </c>
      <c r="AJ229" s="65">
        <f t="shared" ca="1" si="25"/>
        <v>892.38743875765238</v>
      </c>
      <c r="AK229" s="65">
        <f t="shared" ca="1" si="25"/>
        <v>929.48054320060123</v>
      </c>
      <c r="AL229" s="65">
        <f t="shared" ca="1" si="25"/>
        <v>402.75391113367988</v>
      </c>
      <c r="AM229" s="65">
        <f t="shared" ca="1" si="25"/>
        <v>362.09601604956663</v>
      </c>
      <c r="AN229" s="229"/>
      <c r="AO229"/>
      <c r="AS229" s="65" t="str">
        <f>IFERROR(VLOOKUP(#REF!,[1]Lookup!$B$2:$E$115,4,FALSE),"")</f>
        <v/>
      </c>
      <c r="AT229" s="65" t="str">
        <f>IFERROR(VLOOKUP(#REF!,[1]Lookup!$B$2:$E$115,2,FALSE),"")</f>
        <v/>
      </c>
    </row>
    <row r="230" spans="31:46" x14ac:dyDescent="0.3">
      <c r="AE230" s="204" t="s">
        <v>398</v>
      </c>
      <c r="AF230" s="204" t="s">
        <v>398</v>
      </c>
      <c r="AG230" s="204" t="s">
        <v>398</v>
      </c>
      <c r="AH230" s="8" t="s">
        <v>197</v>
      </c>
      <c r="AI230" s="65">
        <f t="shared" ca="1" si="25"/>
        <v>143.40052221014042</v>
      </c>
      <c r="AJ230" s="65">
        <f t="shared" ca="1" si="25"/>
        <v>376.67199048783351</v>
      </c>
      <c r="AK230" s="65">
        <f t="shared" ca="1" si="25"/>
        <v>456.57493994069085</v>
      </c>
      <c r="AL230" s="65">
        <f t="shared" ca="1" si="25"/>
        <v>811.61112229414346</v>
      </c>
      <c r="AM230" s="65">
        <f t="shared" ca="1" si="25"/>
        <v>142.47959723719694</v>
      </c>
      <c r="AN230" s="229"/>
      <c r="AO230"/>
      <c r="AS230" s="65" t="str">
        <f>IFERROR(VLOOKUP(#REF!,[1]Lookup!$B$2:$E$115,4,FALSE),"")</f>
        <v/>
      </c>
      <c r="AT230" s="65" t="str">
        <f>IFERROR(VLOOKUP(#REF!,[1]Lookup!$B$2:$E$115,2,FALSE),"")</f>
        <v/>
      </c>
    </row>
    <row r="231" spans="31:46" x14ac:dyDescent="0.3">
      <c r="AE231" s="204" t="s">
        <v>398</v>
      </c>
      <c r="AF231" s="204" t="s">
        <v>398</v>
      </c>
      <c r="AG231" s="204" t="s">
        <v>398</v>
      </c>
      <c r="AH231" s="8" t="s">
        <v>198</v>
      </c>
      <c r="AI231" s="65">
        <f t="shared" ca="1" si="25"/>
        <v>463.25421424345848</v>
      </c>
      <c r="AJ231" s="65">
        <f t="shared" ca="1" si="25"/>
        <v>516.66597092921029</v>
      </c>
      <c r="AK231" s="65">
        <f t="shared" ca="1" si="25"/>
        <v>877.22925499604776</v>
      </c>
      <c r="AL231" s="65">
        <f t="shared" ca="1" si="25"/>
        <v>14.594486579192157</v>
      </c>
      <c r="AM231" s="65">
        <f t="shared" ca="1" si="25"/>
        <v>449.08129222692708</v>
      </c>
      <c r="AN231" s="229"/>
      <c r="AO231"/>
      <c r="AS231" s="65" t="str">
        <f>IFERROR(VLOOKUP(#REF!,[1]Lookup!$B$2:$E$115,4,FALSE),"")</f>
        <v/>
      </c>
      <c r="AT231" s="65" t="str">
        <f>IFERROR(VLOOKUP(#REF!,[1]Lookup!$B$2:$E$115,2,FALSE),"")</f>
        <v/>
      </c>
    </row>
    <row r="232" spans="31:46" x14ac:dyDescent="0.3">
      <c r="AE232" s="204" t="s">
        <v>398</v>
      </c>
      <c r="AF232" s="204" t="s">
        <v>398</v>
      </c>
      <c r="AG232" s="204" t="s">
        <v>398</v>
      </c>
      <c r="AH232" s="8" t="s">
        <v>199</v>
      </c>
      <c r="AI232" s="65">
        <f t="shared" ca="1" si="25"/>
        <v>371.20653304710049</v>
      </c>
      <c r="AJ232" s="65">
        <f t="shared" ca="1" si="25"/>
        <v>515.73957762124508</v>
      </c>
      <c r="AK232" s="65">
        <f t="shared" ca="1" si="25"/>
        <v>866.30226633685447</v>
      </c>
      <c r="AL232" s="65">
        <f t="shared" ca="1" si="25"/>
        <v>388.36470394177991</v>
      </c>
      <c r="AM232" s="65">
        <f t="shared" ca="1" si="25"/>
        <v>838.603834101899</v>
      </c>
      <c r="AN232" s="229"/>
      <c r="AO232"/>
      <c r="AS232" s="65" t="str">
        <f>IFERROR(VLOOKUP(#REF!,[1]Lookup!$B$2:$E$115,4,FALSE),"")</f>
        <v/>
      </c>
      <c r="AT232" s="65" t="str">
        <f>IFERROR(VLOOKUP(#REF!,[1]Lookup!$B$2:$E$115,2,FALSE),"")</f>
        <v/>
      </c>
    </row>
    <row r="233" spans="31:46" x14ac:dyDescent="0.3">
      <c r="AE233" s="204" t="s">
        <v>398</v>
      </c>
      <c r="AF233" s="204" t="s">
        <v>398</v>
      </c>
      <c r="AG233" s="204" t="s">
        <v>398</v>
      </c>
      <c r="AH233" s="8" t="s">
        <v>200</v>
      </c>
      <c r="AI233" s="65">
        <f t="shared" ca="1" si="25"/>
        <v>105.49092811549843</v>
      </c>
      <c r="AJ233" s="65">
        <f t="shared" ca="1" si="25"/>
        <v>531.32588138492144</v>
      </c>
      <c r="AK233" s="65">
        <f t="shared" ca="1" si="25"/>
        <v>815.8473616150053</v>
      </c>
      <c r="AL233" s="65">
        <f t="shared" ca="1" si="25"/>
        <v>766.29598263266325</v>
      </c>
      <c r="AM233" s="65">
        <f t="shared" ca="1" si="25"/>
        <v>878.26807610248159</v>
      </c>
      <c r="AN233" s="229"/>
      <c r="AO233"/>
      <c r="AS233" s="65" t="str">
        <f>IFERROR(VLOOKUP(#REF!,[1]Lookup!$B$2:$E$115,4,FALSE),"")</f>
        <v/>
      </c>
      <c r="AT233" s="65" t="str">
        <f>IFERROR(VLOOKUP(#REF!,[1]Lookup!$B$2:$E$115,2,FALSE),"")</f>
        <v/>
      </c>
    </row>
    <row r="234" spans="31:46" x14ac:dyDescent="0.3">
      <c r="AE234" s="204" t="s">
        <v>398</v>
      </c>
      <c r="AF234" s="204" t="s">
        <v>398</v>
      </c>
      <c r="AG234" s="204" t="s">
        <v>398</v>
      </c>
      <c r="AH234" s="8" t="s">
        <v>201</v>
      </c>
      <c r="AI234" s="65">
        <f t="shared" ca="1" si="25"/>
        <v>350.43463770321824</v>
      </c>
      <c r="AJ234" s="65">
        <f t="shared" ca="1" si="25"/>
        <v>188.30251514494779</v>
      </c>
      <c r="AK234" s="65">
        <f t="shared" ca="1" si="25"/>
        <v>75.294206461450244</v>
      </c>
      <c r="AL234" s="65">
        <f t="shared" ca="1" si="25"/>
        <v>343.15509028114923</v>
      </c>
      <c r="AM234" s="65">
        <f t="shared" ca="1" si="25"/>
        <v>960.17151283011685</v>
      </c>
      <c r="AN234" s="229"/>
      <c r="AO234"/>
      <c r="AS234" s="65" t="str">
        <f>IFERROR(VLOOKUP(#REF!,[1]Lookup!$B$2:$E$115,4,FALSE),"")</f>
        <v/>
      </c>
      <c r="AT234" s="65" t="str">
        <f>IFERROR(VLOOKUP(#REF!,[1]Lookup!$B$2:$E$115,2,FALSE),"")</f>
        <v/>
      </c>
    </row>
    <row r="235" spans="31:46" x14ac:dyDescent="0.3">
      <c r="AE235" s="204" t="s">
        <v>398</v>
      </c>
      <c r="AF235" s="204" t="s">
        <v>398</v>
      </c>
      <c r="AG235" s="204" t="s">
        <v>398</v>
      </c>
      <c r="AH235" s="8" t="s">
        <v>202</v>
      </c>
      <c r="AI235" s="65">
        <f t="shared" ca="1" si="25"/>
        <v>469.56332051953251</v>
      </c>
      <c r="AJ235" s="65">
        <f t="shared" ca="1" si="25"/>
        <v>367.39187737970349</v>
      </c>
      <c r="AK235" s="65">
        <f t="shared" ca="1" si="25"/>
        <v>581.85341905129417</v>
      </c>
      <c r="AL235" s="65">
        <f t="shared" ca="1" si="25"/>
        <v>297.04770977578187</v>
      </c>
      <c r="AM235" s="65">
        <f t="shared" ca="1" si="25"/>
        <v>636.54689385077359</v>
      </c>
      <c r="AN235" s="229"/>
      <c r="AO235"/>
      <c r="AS235" s="65" t="str">
        <f>IFERROR(VLOOKUP(#REF!,[1]Lookup!$B$2:$E$115,4,FALSE),"")</f>
        <v/>
      </c>
      <c r="AT235" s="65" t="str">
        <f>IFERROR(VLOOKUP(#REF!,[1]Lookup!$B$2:$E$115,2,FALSE),"")</f>
        <v/>
      </c>
    </row>
    <row r="236" spans="31:46" x14ac:dyDescent="0.3">
      <c r="AE236" s="204" t="s">
        <v>398</v>
      </c>
      <c r="AF236" s="204" t="s">
        <v>398</v>
      </c>
      <c r="AG236" s="204" t="s">
        <v>398</v>
      </c>
      <c r="AH236" s="8" t="s">
        <v>203</v>
      </c>
      <c r="AI236" s="65">
        <f t="shared" ca="1" si="25"/>
        <v>475.25318450726218</v>
      </c>
      <c r="AJ236" s="65">
        <f t="shared" ca="1" si="25"/>
        <v>453.0917445843524</v>
      </c>
      <c r="AK236" s="65">
        <f t="shared" ca="1" si="25"/>
        <v>530.39750337247699</v>
      </c>
      <c r="AL236" s="65">
        <f t="shared" ca="1" si="25"/>
        <v>848.43946448257714</v>
      </c>
      <c r="AM236" s="65">
        <f t="shared" ca="1" si="25"/>
        <v>194.03546788192827</v>
      </c>
      <c r="AN236" s="229"/>
      <c r="AO236"/>
      <c r="AS236" s="65" t="str">
        <f>IFERROR(VLOOKUP(#REF!,[1]Lookup!$B$2:$E$115,4,FALSE),"")</f>
        <v/>
      </c>
      <c r="AT236" s="65" t="str">
        <f>IFERROR(VLOOKUP(#REF!,[1]Lookup!$B$2:$E$115,2,FALSE),"")</f>
        <v/>
      </c>
    </row>
    <row r="237" spans="31:46" x14ac:dyDescent="0.3">
      <c r="AE237" s="204" t="s">
        <v>398</v>
      </c>
      <c r="AF237" s="204" t="s">
        <v>398</v>
      </c>
      <c r="AG237" s="204" t="s">
        <v>398</v>
      </c>
      <c r="AH237" s="8" t="s">
        <v>204</v>
      </c>
      <c r="AI237" s="65">
        <f t="shared" ca="1" si="25"/>
        <v>722.40507454430872</v>
      </c>
      <c r="AJ237" s="65">
        <f t="shared" ca="1" si="25"/>
        <v>360.26387989947796</v>
      </c>
      <c r="AK237" s="65">
        <f t="shared" ca="1" si="25"/>
        <v>598.22887017051471</v>
      </c>
      <c r="AL237" s="65">
        <f t="shared" ca="1" si="25"/>
        <v>763.20384133351479</v>
      </c>
      <c r="AM237" s="65">
        <f t="shared" ca="1" si="25"/>
        <v>942.79120502625335</v>
      </c>
      <c r="AN237" s="229"/>
      <c r="AO237"/>
      <c r="AS237" s="65" t="str">
        <f>IFERROR(VLOOKUP(#REF!,[1]Lookup!$B$2:$E$115,4,FALSE),"")</f>
        <v/>
      </c>
      <c r="AT237" s="65" t="str">
        <f>IFERROR(VLOOKUP(#REF!,[1]Lookup!$B$2:$E$115,2,FALSE),"")</f>
        <v/>
      </c>
    </row>
    <row r="238" spans="31:46" x14ac:dyDescent="0.3">
      <c r="AE238" s="204" t="s">
        <v>398</v>
      </c>
      <c r="AF238" s="204" t="s">
        <v>398</v>
      </c>
      <c r="AG238" s="204" t="s">
        <v>398</v>
      </c>
      <c r="AH238" s="8" t="s">
        <v>205</v>
      </c>
      <c r="AI238" s="65">
        <f t="shared" ca="1" si="25"/>
        <v>526.07126167443494</v>
      </c>
      <c r="AJ238" s="65">
        <f t="shared" ca="1" si="25"/>
        <v>300.91321306399641</v>
      </c>
      <c r="AK238" s="65">
        <f t="shared" ca="1" si="25"/>
        <v>715.38226496038658</v>
      </c>
      <c r="AL238" s="65">
        <f t="shared" ca="1" si="25"/>
        <v>656.51291767266969</v>
      </c>
      <c r="AM238" s="65">
        <f t="shared" ca="1" si="25"/>
        <v>839.56248107161332</v>
      </c>
      <c r="AN238" s="229"/>
      <c r="AO238"/>
      <c r="AS238" s="65" t="str">
        <f>IFERROR(VLOOKUP(#REF!,[1]Lookup!$B$2:$E$115,4,FALSE),"")</f>
        <v/>
      </c>
      <c r="AT238" s="65" t="str">
        <f>IFERROR(VLOOKUP(#REF!,[1]Lookup!$B$2:$E$115,2,FALSE),"")</f>
        <v/>
      </c>
    </row>
    <row r="239" spans="31:46" x14ac:dyDescent="0.3">
      <c r="AE239" s="204" t="s">
        <v>398</v>
      </c>
      <c r="AF239" s="204" t="s">
        <v>398</v>
      </c>
      <c r="AG239" s="204" t="s">
        <v>398</v>
      </c>
      <c r="AH239" s="8" t="s">
        <v>206</v>
      </c>
      <c r="AI239" s="65">
        <f t="shared" ca="1" si="25"/>
        <v>352.38262904406349</v>
      </c>
      <c r="AJ239" s="65">
        <f t="shared" ca="1" si="25"/>
        <v>257.31769162919551</v>
      </c>
      <c r="AK239" s="65">
        <f t="shared" ca="1" si="25"/>
        <v>135.18428838733243</v>
      </c>
      <c r="AL239" s="65">
        <f t="shared" ca="1" si="25"/>
        <v>924.68090436052421</v>
      </c>
      <c r="AM239" s="65">
        <f t="shared" ca="1" si="25"/>
        <v>410.81134531020791</v>
      </c>
      <c r="AN239" s="229"/>
      <c r="AO239"/>
      <c r="AS239" s="65" t="str">
        <f>IFERROR(VLOOKUP(#REF!,[1]Lookup!$B$2:$E$115,4,FALSE),"")</f>
        <v/>
      </c>
      <c r="AT239" s="65" t="str">
        <f>IFERROR(VLOOKUP(#REF!,[1]Lookup!$B$2:$E$115,2,FALSE),"")</f>
        <v/>
      </c>
    </row>
    <row r="240" spans="31:46" x14ac:dyDescent="0.3">
      <c r="AE240" s="204" t="s">
        <v>398</v>
      </c>
      <c r="AF240" s="204" t="s">
        <v>398</v>
      </c>
      <c r="AG240" s="204" t="s">
        <v>398</v>
      </c>
      <c r="AH240" s="8" t="s">
        <v>207</v>
      </c>
      <c r="AI240" s="65">
        <f t="shared" ca="1" si="25"/>
        <v>578.93190180371312</v>
      </c>
      <c r="AJ240" s="65">
        <f t="shared" ca="1" si="25"/>
        <v>927.19769496912716</v>
      </c>
      <c r="AK240" s="65">
        <f t="shared" ca="1" si="25"/>
        <v>438.27750365701434</v>
      </c>
      <c r="AL240" s="65">
        <f t="shared" ca="1" si="25"/>
        <v>692.48448278422052</v>
      </c>
      <c r="AM240" s="65">
        <f t="shared" ca="1" si="25"/>
        <v>263.92993762146034</v>
      </c>
      <c r="AN240" s="229"/>
      <c r="AO240"/>
      <c r="AS240" s="65" t="str">
        <f>IFERROR(VLOOKUP(#REF!,[1]Lookup!$B$2:$E$115,4,FALSE),"")</f>
        <v/>
      </c>
      <c r="AT240" s="65" t="str">
        <f>IFERROR(VLOOKUP(#REF!,[1]Lookup!$B$2:$E$115,2,FALSE),"")</f>
        <v/>
      </c>
    </row>
    <row r="241" spans="31:46" x14ac:dyDescent="0.3">
      <c r="AE241" s="204" t="s">
        <v>398</v>
      </c>
      <c r="AF241" s="204" t="s">
        <v>398</v>
      </c>
      <c r="AG241" s="204" t="s">
        <v>398</v>
      </c>
      <c r="AH241" s="8" t="s">
        <v>208</v>
      </c>
      <c r="AI241" s="65">
        <f t="shared" ca="1" si="25"/>
        <v>485.24967391283712</v>
      </c>
      <c r="AJ241" s="65">
        <f t="shared" ca="1" si="25"/>
        <v>453.16169831388044</v>
      </c>
      <c r="AK241" s="65">
        <f t="shared" ca="1" si="25"/>
        <v>992.05385234350263</v>
      </c>
      <c r="AL241" s="65">
        <f t="shared" ca="1" si="25"/>
        <v>146.56920926852123</v>
      </c>
      <c r="AM241" s="65">
        <f t="shared" ca="1" si="25"/>
        <v>843.3993675462076</v>
      </c>
      <c r="AN241" s="229"/>
      <c r="AO241"/>
      <c r="AS241" s="65" t="str">
        <f>IFERROR(VLOOKUP(#REF!,[1]Lookup!$B$2:$E$115,4,FALSE),"")</f>
        <v/>
      </c>
      <c r="AT241" s="65" t="str">
        <f>IFERROR(VLOOKUP(#REF!,[1]Lookup!$B$2:$E$115,2,FALSE),"")</f>
        <v/>
      </c>
    </row>
    <row r="242" spans="31:46" x14ac:dyDescent="0.3">
      <c r="AE242" s="204" t="s">
        <v>398</v>
      </c>
      <c r="AF242" s="204" t="s">
        <v>398</v>
      </c>
      <c r="AG242" s="204" t="s">
        <v>398</v>
      </c>
      <c r="AH242" s="8" t="s">
        <v>209</v>
      </c>
      <c r="AI242" s="65">
        <f t="shared" ca="1" si="25"/>
        <v>298.59570283595883</v>
      </c>
      <c r="AJ242" s="65">
        <f t="shared" ca="1" si="25"/>
        <v>475.61081149981408</v>
      </c>
      <c r="AK242" s="65">
        <f t="shared" ca="1" si="25"/>
        <v>32.696423404922513</v>
      </c>
      <c r="AL242" s="65">
        <f t="shared" ca="1" si="25"/>
        <v>3.3946443382171232E-2</v>
      </c>
      <c r="AM242" s="65">
        <f t="shared" ca="1" si="25"/>
        <v>786.69802498659192</v>
      </c>
      <c r="AN242" s="229"/>
      <c r="AO242"/>
      <c r="AS242" s="65" t="str">
        <f>IFERROR(VLOOKUP(#REF!,[1]Lookup!$B$2:$E$115,4,FALSE),"")</f>
        <v/>
      </c>
      <c r="AT242" s="65" t="str">
        <f>IFERROR(VLOOKUP(#REF!,[1]Lookup!$B$2:$E$115,2,FALSE),"")</f>
        <v/>
      </c>
    </row>
    <row r="243" spans="31:46" x14ac:dyDescent="0.3">
      <c r="AE243" s="204" t="s">
        <v>398</v>
      </c>
      <c r="AF243" s="204" t="s">
        <v>398</v>
      </c>
      <c r="AG243" s="204" t="s">
        <v>398</v>
      </c>
      <c r="AH243" s="8" t="s">
        <v>210</v>
      </c>
      <c r="AI243" s="65">
        <f t="shared" ca="1" si="25"/>
        <v>500.05280284129327</v>
      </c>
      <c r="AJ243" s="65">
        <f t="shared" ca="1" si="25"/>
        <v>149.94439494718671</v>
      </c>
      <c r="AK243" s="65">
        <f t="shared" ca="1" si="25"/>
        <v>180.27753860371354</v>
      </c>
      <c r="AL243" s="65">
        <f t="shared" ca="1" si="25"/>
        <v>536.9302745217035</v>
      </c>
      <c r="AM243" s="65">
        <f t="shared" ca="1" si="25"/>
        <v>109.72127014890765</v>
      </c>
      <c r="AN243" s="229"/>
      <c r="AO243"/>
      <c r="AS243" s="65" t="str">
        <f>IFERROR(VLOOKUP(#REF!,[1]Lookup!$B$2:$E$115,4,FALSE),"")</f>
        <v/>
      </c>
      <c r="AT243" s="65" t="str">
        <f>IFERROR(VLOOKUP(#REF!,[1]Lookup!$B$2:$E$115,2,FALSE),"")</f>
        <v/>
      </c>
    </row>
    <row r="244" spans="31:46" x14ac:dyDescent="0.3">
      <c r="AE244" s="204" t="s">
        <v>398</v>
      </c>
      <c r="AF244" s="204" t="s">
        <v>398</v>
      </c>
      <c r="AG244" s="204" t="s">
        <v>398</v>
      </c>
      <c r="AH244" s="8" t="s">
        <v>211</v>
      </c>
      <c r="AI244" s="65">
        <f t="shared" ca="1" si="25"/>
        <v>298.2069069081731</v>
      </c>
      <c r="AJ244" s="65">
        <f t="shared" ca="1" si="25"/>
        <v>627.44176692819769</v>
      </c>
      <c r="AK244" s="65">
        <f t="shared" ca="1" si="25"/>
        <v>872.00189872255623</v>
      </c>
      <c r="AL244" s="65">
        <f t="shared" ca="1" si="25"/>
        <v>747.2199586056729</v>
      </c>
      <c r="AM244" s="65">
        <f t="shared" ca="1" si="25"/>
        <v>84.003947413278993</v>
      </c>
      <c r="AN244" s="229"/>
      <c r="AO244"/>
      <c r="AS244" s="65" t="str">
        <f>IFERROR(VLOOKUP(#REF!,[1]Lookup!$B$2:$E$115,4,FALSE),"")</f>
        <v/>
      </c>
      <c r="AT244" s="65" t="str">
        <f>IFERROR(VLOOKUP(#REF!,[1]Lookup!$B$2:$E$115,2,FALSE),"")</f>
        <v/>
      </c>
    </row>
    <row r="245" spans="31:46" x14ac:dyDescent="0.3">
      <c r="AE245" s="204" t="s">
        <v>398</v>
      </c>
      <c r="AF245" s="204" t="s">
        <v>398</v>
      </c>
      <c r="AG245" s="204" t="s">
        <v>398</v>
      </c>
      <c r="AH245" s="8" t="s">
        <v>212</v>
      </c>
      <c r="AI245" s="65">
        <f t="shared" ca="1" si="25"/>
        <v>875.25244550738137</v>
      </c>
      <c r="AJ245" s="65">
        <f t="shared" ca="1" si="25"/>
        <v>410.73540550336219</v>
      </c>
      <c r="AK245" s="65">
        <f t="shared" ca="1" si="25"/>
        <v>500.40374723323254</v>
      </c>
      <c r="AL245" s="65">
        <f t="shared" ca="1" si="25"/>
        <v>461.0514200093636</v>
      </c>
      <c r="AM245" s="65">
        <f t="shared" ca="1" si="25"/>
        <v>279.12474363975969</v>
      </c>
      <c r="AN245" s="229"/>
      <c r="AO245"/>
      <c r="AS245" s="65" t="str">
        <f>IFERROR(VLOOKUP(#REF!,[1]Lookup!$B$2:$E$115,4,FALSE),"")</f>
        <v/>
      </c>
      <c r="AT245" s="65" t="str">
        <f>IFERROR(VLOOKUP(#REF!,[1]Lookup!$B$2:$E$115,2,FALSE),"")</f>
        <v/>
      </c>
    </row>
    <row r="246" spans="31:46" x14ac:dyDescent="0.3">
      <c r="AE246" s="204" t="s">
        <v>398</v>
      </c>
      <c r="AF246" s="204" t="s">
        <v>398</v>
      </c>
      <c r="AG246" s="204" t="s">
        <v>398</v>
      </c>
      <c r="AH246" s="8" t="s">
        <v>213</v>
      </c>
      <c r="AI246" s="65">
        <f t="shared" ca="1" si="25"/>
        <v>41.286236159367327</v>
      </c>
      <c r="AJ246" s="65">
        <f t="shared" ca="1" si="25"/>
        <v>315.73790566259777</v>
      </c>
      <c r="AK246" s="65">
        <f t="shared" ca="1" si="25"/>
        <v>482.33986318759713</v>
      </c>
      <c r="AL246" s="65">
        <f t="shared" ca="1" si="25"/>
        <v>321.44065320788707</v>
      </c>
      <c r="AM246" s="65">
        <f t="shared" ca="1" si="25"/>
        <v>408.58623571068722</v>
      </c>
      <c r="AN246" s="229"/>
      <c r="AO246"/>
      <c r="AS246" s="65" t="str">
        <f>IFERROR(VLOOKUP(#REF!,[1]Lookup!$B$2:$E$115,4,FALSE),"")</f>
        <v/>
      </c>
      <c r="AT246" s="65" t="str">
        <f>IFERROR(VLOOKUP(#REF!,[1]Lookup!$B$2:$E$115,2,FALSE),"")</f>
        <v/>
      </c>
    </row>
    <row r="247" spans="31:46" x14ac:dyDescent="0.3">
      <c r="AE247" s="204" t="s">
        <v>398</v>
      </c>
      <c r="AF247" s="204" t="s">
        <v>398</v>
      </c>
      <c r="AG247" s="204" t="s">
        <v>398</v>
      </c>
      <c r="AH247" s="8" t="s">
        <v>214</v>
      </c>
      <c r="AI247" s="65">
        <f t="shared" ca="1" si="25"/>
        <v>977.58531625326987</v>
      </c>
      <c r="AJ247" s="65">
        <f t="shared" ca="1" si="25"/>
        <v>324.24435460079781</v>
      </c>
      <c r="AK247" s="65">
        <f t="shared" ca="1" si="25"/>
        <v>222.26292627216705</v>
      </c>
      <c r="AL247" s="65">
        <f t="shared" ca="1" si="25"/>
        <v>449.93743375516124</v>
      </c>
      <c r="AM247" s="65">
        <f t="shared" ca="1" si="25"/>
        <v>817.37397777697436</v>
      </c>
      <c r="AN247" s="229"/>
      <c r="AO247"/>
      <c r="AS247" s="65" t="str">
        <f>IFERROR(VLOOKUP(#REF!,[1]Lookup!$B$2:$E$115,4,FALSE),"")</f>
        <v/>
      </c>
      <c r="AT247" s="65" t="str">
        <f>IFERROR(VLOOKUP(#REF!,[1]Lookup!$B$2:$E$115,2,FALSE),"")</f>
        <v/>
      </c>
    </row>
    <row r="248" spans="31:46" x14ac:dyDescent="0.3">
      <c r="AE248" s="204" t="s">
        <v>398</v>
      </c>
      <c r="AF248" s="204" t="s">
        <v>398</v>
      </c>
      <c r="AG248" s="204" t="s">
        <v>398</v>
      </c>
      <c r="AH248" s="8" t="s">
        <v>215</v>
      </c>
      <c r="AI248" s="65">
        <f t="shared" ca="1" si="25"/>
        <v>372.7344441446553</v>
      </c>
      <c r="AJ248" s="65">
        <f t="shared" ca="1" si="25"/>
        <v>741.1211703784337</v>
      </c>
      <c r="AK248" s="65">
        <f t="shared" ca="1" si="25"/>
        <v>300.81143102796671</v>
      </c>
      <c r="AL248" s="65">
        <f t="shared" ca="1" si="25"/>
        <v>742.32727735979893</v>
      </c>
      <c r="AM248" s="65">
        <f t="shared" ca="1" si="25"/>
        <v>0.13099823656870235</v>
      </c>
      <c r="AN248" s="229"/>
      <c r="AO248"/>
      <c r="AS248" s="65" t="str">
        <f>IFERROR(VLOOKUP(#REF!,[1]Lookup!$B$2:$E$115,4,FALSE),"")</f>
        <v/>
      </c>
      <c r="AT248" s="65" t="str">
        <f>IFERROR(VLOOKUP(#REF!,[1]Lookup!$B$2:$E$115,2,FALSE),"")</f>
        <v/>
      </c>
    </row>
    <row r="249" spans="31:46" x14ac:dyDescent="0.3">
      <c r="AE249" s="204" t="s">
        <v>398</v>
      </c>
      <c r="AF249" s="204" t="s">
        <v>398</v>
      </c>
      <c r="AG249" s="204" t="s">
        <v>398</v>
      </c>
      <c r="AH249" s="8" t="s">
        <v>216</v>
      </c>
      <c r="AI249" s="65">
        <f t="shared" ca="1" si="25"/>
        <v>874.13270157135332</v>
      </c>
      <c r="AJ249" s="65">
        <f t="shared" ca="1" si="25"/>
        <v>451.14527179644529</v>
      </c>
      <c r="AK249" s="65">
        <f t="shared" ca="1" si="25"/>
        <v>916.99138283265131</v>
      </c>
      <c r="AL249" s="65">
        <f t="shared" ca="1" si="25"/>
        <v>677.70233993090096</v>
      </c>
      <c r="AM249" s="65">
        <f t="shared" ca="1" si="25"/>
        <v>330.7928625579425</v>
      </c>
      <c r="AN249" s="229"/>
      <c r="AO249"/>
      <c r="AS249" s="65" t="str">
        <f>IFERROR(VLOOKUP(#REF!,[1]Lookup!$B$2:$E$115,4,FALSE),"")</f>
        <v/>
      </c>
      <c r="AT249" s="65" t="str">
        <f>IFERROR(VLOOKUP(#REF!,[1]Lookup!$B$2:$E$115,2,FALSE),"")</f>
        <v/>
      </c>
    </row>
    <row r="250" spans="31:46" x14ac:dyDescent="0.3">
      <c r="AE250" s="204" t="s">
        <v>398</v>
      </c>
      <c r="AF250" s="204" t="s">
        <v>398</v>
      </c>
      <c r="AG250" s="204" t="s">
        <v>398</v>
      </c>
      <c r="AH250" s="8" t="s">
        <v>217</v>
      </c>
      <c r="AI250" s="65">
        <f t="shared" ca="1" si="25"/>
        <v>569.88480795968167</v>
      </c>
      <c r="AJ250" s="65">
        <f t="shared" ca="1" si="25"/>
        <v>671.21863501036103</v>
      </c>
      <c r="AK250" s="65">
        <f t="shared" ca="1" si="25"/>
        <v>368.30791037993362</v>
      </c>
      <c r="AL250" s="65">
        <f t="shared" ca="1" si="25"/>
        <v>472.56204708630679</v>
      </c>
      <c r="AM250" s="65">
        <f t="shared" ca="1" si="25"/>
        <v>172.00571779478148</v>
      </c>
      <c r="AN250" s="229"/>
      <c r="AO250"/>
      <c r="AS250" s="65" t="str">
        <f>IFERROR(VLOOKUP(#REF!,[1]Lookup!$B$2:$E$115,4,FALSE),"")</f>
        <v/>
      </c>
      <c r="AT250" s="65" t="str">
        <f>IFERROR(VLOOKUP(#REF!,[1]Lookup!$B$2:$E$115,2,FALSE),"")</f>
        <v/>
      </c>
    </row>
    <row r="251" spans="31:46" x14ac:dyDescent="0.3">
      <c r="AE251" s="204" t="s">
        <v>398</v>
      </c>
      <c r="AF251" s="204" t="s">
        <v>398</v>
      </c>
      <c r="AG251" s="204" t="s">
        <v>398</v>
      </c>
      <c r="AH251" s="8" t="s">
        <v>218</v>
      </c>
      <c r="AI251" s="65">
        <f t="shared" ca="1" si="25"/>
        <v>850.63074083512913</v>
      </c>
      <c r="AJ251" s="65">
        <f t="shared" ca="1" si="25"/>
        <v>281.31063624583277</v>
      </c>
      <c r="AK251" s="65">
        <f t="shared" ca="1" si="25"/>
        <v>815.08105563030381</v>
      </c>
      <c r="AL251" s="65">
        <f t="shared" ca="1" si="25"/>
        <v>842.89459445354669</v>
      </c>
      <c r="AM251" s="65">
        <f t="shared" ca="1" si="25"/>
        <v>835.05178017376943</v>
      </c>
      <c r="AN251" s="229"/>
      <c r="AO251"/>
      <c r="AS251" s="65" t="str">
        <f>IFERROR(VLOOKUP(#REF!,[1]Lookup!$B$2:$E$115,4,FALSE),"")</f>
        <v/>
      </c>
      <c r="AT251" s="65" t="str">
        <f>IFERROR(VLOOKUP(#REF!,[1]Lookup!$B$2:$E$115,2,FALSE),"")</f>
        <v/>
      </c>
    </row>
    <row r="252" spans="31:46" x14ac:dyDescent="0.3">
      <c r="AE252" s="204" t="s">
        <v>398</v>
      </c>
      <c r="AF252" s="204" t="s">
        <v>398</v>
      </c>
      <c r="AG252" s="204" t="s">
        <v>398</v>
      </c>
      <c r="AM252" s="229"/>
      <c r="AN252" s="229"/>
      <c r="AO252"/>
      <c r="AS252" s="65" t="str">
        <f>IFERROR(VLOOKUP(#REF!,[1]Lookup!$B$2:$E$115,4,FALSE),"")</f>
        <v/>
      </c>
      <c r="AT252" s="65" t="str">
        <f>IFERROR(VLOOKUP(#REF!,[1]Lookup!$B$2:$E$115,2,FALSE),"")</f>
        <v/>
      </c>
    </row>
    <row r="253" spans="31:46" x14ac:dyDescent="0.3">
      <c r="AE253" s="204" t="s">
        <v>398</v>
      </c>
      <c r="AF253" s="204" t="s">
        <v>398</v>
      </c>
      <c r="AG253" s="204" t="s">
        <v>398</v>
      </c>
      <c r="AM253" s="229"/>
      <c r="AN253" s="229"/>
      <c r="AO253"/>
      <c r="AS253" s="65" t="str">
        <f>IFERROR(VLOOKUP(#REF!,[1]Lookup!$B$2:$E$115,4,FALSE),"")</f>
        <v/>
      </c>
      <c r="AT253" s="65" t="str">
        <f>IFERROR(VLOOKUP(#REF!,[1]Lookup!$B$2:$E$115,2,FALSE),"")</f>
        <v/>
      </c>
    </row>
    <row r="254" spans="31:46" x14ac:dyDescent="0.3">
      <c r="AE254" s="204" t="s">
        <v>398</v>
      </c>
      <c r="AF254" s="204" t="s">
        <v>398</v>
      </c>
      <c r="AG254" s="204" t="s">
        <v>398</v>
      </c>
      <c r="AM254" s="229"/>
      <c r="AN254" s="229"/>
      <c r="AO254"/>
      <c r="AS254" s="65" t="str">
        <f>IFERROR(VLOOKUP(#REF!,[1]Lookup!$B$2:$E$115,4,FALSE),"")</f>
        <v/>
      </c>
      <c r="AT254" s="65" t="str">
        <f>IFERROR(VLOOKUP(#REF!,[1]Lookup!$B$2:$E$115,2,FALSE),"")</f>
        <v/>
      </c>
    </row>
    <row r="255" spans="31:46" x14ac:dyDescent="0.3">
      <c r="AE255" s="204" t="s">
        <v>398</v>
      </c>
      <c r="AF255" s="204" t="s">
        <v>398</v>
      </c>
      <c r="AG255" s="204" t="s">
        <v>398</v>
      </c>
      <c r="AM255" s="229"/>
      <c r="AN255" s="229"/>
      <c r="AO255"/>
      <c r="AS255" s="65" t="str">
        <f>IFERROR(VLOOKUP(#REF!,[1]Lookup!$B$2:$E$115,4,FALSE),"")</f>
        <v/>
      </c>
      <c r="AT255" s="65" t="str">
        <f>IFERROR(VLOOKUP(#REF!,[1]Lookup!$B$2:$E$115,2,FALSE),"")</f>
        <v/>
      </c>
    </row>
    <row r="256" spans="31:46" x14ac:dyDescent="0.3">
      <c r="AE256" s="204" t="s">
        <v>398</v>
      </c>
      <c r="AF256" s="204" t="s">
        <v>398</v>
      </c>
      <c r="AG256" s="204" t="s">
        <v>398</v>
      </c>
      <c r="AM256" s="229"/>
      <c r="AN256" s="229"/>
      <c r="AO256"/>
      <c r="AS256" s="65" t="str">
        <f>IFERROR(VLOOKUP(#REF!,[1]Lookup!$B$2:$E$115,4,FALSE),"")</f>
        <v/>
      </c>
      <c r="AT256" s="65" t="str">
        <f>IFERROR(VLOOKUP(#REF!,[1]Lookup!$B$2:$E$115,2,FALSE),"")</f>
        <v/>
      </c>
    </row>
    <row r="257" spans="31:46" x14ac:dyDescent="0.3">
      <c r="AE257" s="204" t="s">
        <v>398</v>
      </c>
      <c r="AF257" s="204" t="s">
        <v>398</v>
      </c>
      <c r="AG257" s="204" t="s">
        <v>398</v>
      </c>
      <c r="AM257" s="229"/>
      <c r="AN257" s="229"/>
      <c r="AO257"/>
      <c r="AS257" s="65" t="str">
        <f>IFERROR(VLOOKUP(#REF!,[1]Lookup!$B$2:$E$115,4,FALSE),"")</f>
        <v/>
      </c>
      <c r="AT257" s="65" t="str">
        <f>IFERROR(VLOOKUP(#REF!,[1]Lookup!$B$2:$E$115,2,FALSE),"")</f>
        <v/>
      </c>
    </row>
    <row r="258" spans="31:46" x14ac:dyDescent="0.3">
      <c r="AE258" s="204" t="s">
        <v>398</v>
      </c>
      <c r="AF258" s="204" t="s">
        <v>398</v>
      </c>
      <c r="AG258" s="204" t="s">
        <v>398</v>
      </c>
      <c r="AO258"/>
      <c r="AS258" s="65" t="str">
        <f>IFERROR(VLOOKUP(#REF!,[1]Lookup!$B$2:$E$115,4,FALSE),"")</f>
        <v/>
      </c>
      <c r="AT258" s="65" t="str">
        <f>IFERROR(VLOOKUP(#REF!,[1]Lookup!$B$2:$E$115,2,FALSE),"")</f>
        <v/>
      </c>
    </row>
    <row r="259" spans="31:46" x14ac:dyDescent="0.3">
      <c r="AE259" s="204" t="s">
        <v>398</v>
      </c>
      <c r="AF259" s="204" t="s">
        <v>398</v>
      </c>
      <c r="AG259" s="204" t="s">
        <v>398</v>
      </c>
      <c r="AS259" s="65" t="str">
        <f>IFERROR(VLOOKUP(#REF!,[1]Lookup!$B$2:$E$115,4,FALSE),"")</f>
        <v/>
      </c>
      <c r="AT259" s="65" t="str">
        <f>IFERROR(VLOOKUP(#REF!,[1]Lookup!$B$2:$E$115,2,FALSE),"")</f>
        <v/>
      </c>
    </row>
    <row r="260" spans="31:46" x14ac:dyDescent="0.3">
      <c r="AE260" s="204" t="s">
        <v>398</v>
      </c>
      <c r="AF260" s="204" t="s">
        <v>398</v>
      </c>
      <c r="AG260" s="204" t="s">
        <v>398</v>
      </c>
      <c r="AS260" s="65" t="str">
        <f>IFERROR(VLOOKUP(#REF!,[1]Lookup!$B$2:$E$115,4,FALSE),"")</f>
        <v/>
      </c>
      <c r="AT260" s="65" t="str">
        <f>IFERROR(VLOOKUP(#REF!,[1]Lookup!$B$2:$E$115,2,FALSE),"")</f>
        <v/>
      </c>
    </row>
    <row r="261" spans="31:46" x14ac:dyDescent="0.3">
      <c r="AE261" s="204" t="s">
        <v>398</v>
      </c>
      <c r="AF261" s="204" t="s">
        <v>398</v>
      </c>
      <c r="AG261" s="204" t="s">
        <v>398</v>
      </c>
      <c r="AS261" s="65" t="str">
        <f>IFERROR(VLOOKUP(#REF!,[1]Lookup!$B$2:$E$115,4,FALSE),"")</f>
        <v/>
      </c>
      <c r="AT261" s="65" t="str">
        <f>IFERROR(VLOOKUP(#REF!,[1]Lookup!$B$2:$E$115,2,FALSE),"")</f>
        <v/>
      </c>
    </row>
    <row r="262" spans="31:46" x14ac:dyDescent="0.3">
      <c r="AE262" s="204" t="s">
        <v>398</v>
      </c>
      <c r="AF262" s="204" t="s">
        <v>398</v>
      </c>
      <c r="AG262" s="204" t="s">
        <v>398</v>
      </c>
      <c r="AS262" s="65" t="str">
        <f>IFERROR(VLOOKUP(#REF!,[1]Lookup!$B$2:$E$115,4,FALSE),"")</f>
        <v/>
      </c>
      <c r="AT262" s="65" t="str">
        <f>IFERROR(VLOOKUP(#REF!,[1]Lookup!$B$2:$E$115,2,FALSE),"")</f>
        <v/>
      </c>
    </row>
    <row r="263" spans="31:46" x14ac:dyDescent="0.3">
      <c r="AE263" s="204" t="s">
        <v>398</v>
      </c>
      <c r="AF263" s="204" t="s">
        <v>398</v>
      </c>
      <c r="AG263" s="204" t="s">
        <v>398</v>
      </c>
      <c r="AS263" s="65" t="str">
        <f>IFERROR(VLOOKUP(#REF!,[1]Lookup!$B$2:$E$115,4,FALSE),"")</f>
        <v/>
      </c>
      <c r="AT263" s="65" t="str">
        <f>IFERROR(VLOOKUP(#REF!,[1]Lookup!$B$2:$E$115,2,FALSE),"")</f>
        <v/>
      </c>
    </row>
    <row r="264" spans="31:46" x14ac:dyDescent="0.3">
      <c r="AE264" s="204" t="s">
        <v>398</v>
      </c>
      <c r="AF264" s="204" t="s">
        <v>398</v>
      </c>
      <c r="AG264" s="204" t="s">
        <v>398</v>
      </c>
      <c r="AS264" s="65" t="str">
        <f>IFERROR(VLOOKUP(#REF!,[1]Lookup!$B$2:$E$115,4,FALSE),"")</f>
        <v/>
      </c>
      <c r="AT264" s="65" t="str">
        <f>IFERROR(VLOOKUP(#REF!,[1]Lookup!$B$2:$E$115,2,FALSE),"")</f>
        <v/>
      </c>
    </row>
    <row r="265" spans="31:46" x14ac:dyDescent="0.3">
      <c r="AE265" s="204" t="s">
        <v>398</v>
      </c>
      <c r="AF265" s="204" t="s">
        <v>398</v>
      </c>
      <c r="AG265" s="204" t="s">
        <v>398</v>
      </c>
      <c r="AS265" s="65" t="str">
        <f>IFERROR(VLOOKUP(#REF!,[1]Lookup!$B$2:$E$115,4,FALSE),"")</f>
        <v/>
      </c>
      <c r="AT265" s="65" t="str">
        <f>IFERROR(VLOOKUP(#REF!,[1]Lookup!$B$2:$E$115,2,FALSE),"")</f>
        <v/>
      </c>
    </row>
    <row r="266" spans="31:46" x14ac:dyDescent="0.3">
      <c r="AE266" s="204" t="s">
        <v>398</v>
      </c>
      <c r="AF266" s="204" t="s">
        <v>398</v>
      </c>
      <c r="AG266" s="204" t="s">
        <v>398</v>
      </c>
      <c r="AS266" s="65" t="str">
        <f>IFERROR(VLOOKUP(#REF!,[1]Lookup!$B$2:$E$115,4,FALSE),"")</f>
        <v/>
      </c>
      <c r="AT266" s="65" t="str">
        <f>IFERROR(VLOOKUP(#REF!,[1]Lookup!$B$2:$E$115,2,FALSE),"")</f>
        <v/>
      </c>
    </row>
    <row r="267" spans="31:46" x14ac:dyDescent="0.3">
      <c r="AE267" s="204" t="s">
        <v>398</v>
      </c>
      <c r="AF267" s="204" t="s">
        <v>398</v>
      </c>
      <c r="AG267" s="204" t="s">
        <v>398</v>
      </c>
      <c r="AS267" s="65" t="str">
        <f>IFERROR(VLOOKUP(#REF!,[1]Lookup!$B$2:$E$115,4,FALSE),"")</f>
        <v/>
      </c>
      <c r="AT267" s="65" t="str">
        <f>IFERROR(VLOOKUP(#REF!,[1]Lookup!$B$2:$E$115,2,FALSE),"")</f>
        <v/>
      </c>
    </row>
    <row r="268" spans="31:46" x14ac:dyDescent="0.3">
      <c r="AE268" s="204" t="s">
        <v>398</v>
      </c>
      <c r="AF268" s="204" t="s">
        <v>398</v>
      </c>
      <c r="AG268" s="204" t="s">
        <v>398</v>
      </c>
      <c r="AS268" s="65" t="str">
        <f>IFERROR(VLOOKUP(#REF!,[1]Lookup!$B$2:$E$115,4,FALSE),"")</f>
        <v/>
      </c>
      <c r="AT268" s="65" t="str">
        <f>IFERROR(VLOOKUP(#REF!,[1]Lookup!$B$2:$E$115,2,FALSE),"")</f>
        <v/>
      </c>
    </row>
    <row r="269" spans="31:46" x14ac:dyDescent="0.3">
      <c r="AE269" s="204" t="s">
        <v>398</v>
      </c>
      <c r="AF269" s="204" t="s">
        <v>398</v>
      </c>
      <c r="AG269" s="204" t="s">
        <v>398</v>
      </c>
      <c r="AS269" s="65" t="str">
        <f>IFERROR(VLOOKUP(#REF!,[1]Lookup!$B$2:$E$115,4,FALSE),"")</f>
        <v/>
      </c>
      <c r="AT269" s="65" t="str">
        <f>IFERROR(VLOOKUP(#REF!,[1]Lookup!$B$2:$E$115,2,FALSE),"")</f>
        <v/>
      </c>
    </row>
    <row r="270" spans="31:46" x14ac:dyDescent="0.3">
      <c r="AE270" s="204" t="s">
        <v>398</v>
      </c>
      <c r="AF270" s="204" t="s">
        <v>398</v>
      </c>
      <c r="AG270" s="204" t="s">
        <v>398</v>
      </c>
      <c r="AS270" s="65" t="str">
        <f>IFERROR(VLOOKUP(#REF!,[1]Lookup!$B$2:$E$115,4,FALSE),"")</f>
        <v/>
      </c>
      <c r="AT270" s="65" t="str">
        <f>IFERROR(VLOOKUP(#REF!,[1]Lookup!$B$2:$E$115,2,FALSE),"")</f>
        <v/>
      </c>
    </row>
    <row r="271" spans="31:46" x14ac:dyDescent="0.3">
      <c r="AE271" s="204" t="s">
        <v>398</v>
      </c>
      <c r="AF271" s="204" t="s">
        <v>398</v>
      </c>
      <c r="AG271" s="204" t="s">
        <v>398</v>
      </c>
      <c r="AS271" s="65" t="str">
        <f>IFERROR(VLOOKUP(#REF!,[1]Lookup!$B$2:$E$115,4,FALSE),"")</f>
        <v/>
      </c>
      <c r="AT271" s="65" t="str">
        <f>IFERROR(VLOOKUP(#REF!,[1]Lookup!$B$2:$E$115,2,FALSE),"")</f>
        <v/>
      </c>
    </row>
    <row r="272" spans="31:46" x14ac:dyDescent="0.3">
      <c r="AE272" s="204" t="s">
        <v>398</v>
      </c>
      <c r="AF272" s="204" t="s">
        <v>398</v>
      </c>
      <c r="AG272" s="204" t="s">
        <v>398</v>
      </c>
      <c r="AS272" s="65" t="str">
        <f>IFERROR(VLOOKUP(#REF!,[1]Lookup!$B$2:$E$115,4,FALSE),"")</f>
        <v/>
      </c>
      <c r="AT272" s="65" t="str">
        <f>IFERROR(VLOOKUP(#REF!,[1]Lookup!$B$2:$E$115,2,FALSE),"")</f>
        <v/>
      </c>
    </row>
    <row r="273" spans="31:46" x14ac:dyDescent="0.3">
      <c r="AE273" s="204" t="s">
        <v>398</v>
      </c>
      <c r="AF273" s="204" t="s">
        <v>398</v>
      </c>
      <c r="AG273" s="204" t="s">
        <v>398</v>
      </c>
      <c r="AS273" s="65" t="str">
        <f>IFERROR(VLOOKUP(#REF!,[1]Lookup!$B$2:$E$115,4,FALSE),"")</f>
        <v/>
      </c>
      <c r="AT273" s="65" t="str">
        <f>IFERROR(VLOOKUP(#REF!,[1]Lookup!$B$2:$E$115,2,FALSE),"")</f>
        <v/>
      </c>
    </row>
    <row r="274" spans="31:46" x14ac:dyDescent="0.3">
      <c r="AE274" s="204" t="s">
        <v>398</v>
      </c>
      <c r="AF274" s="204" t="s">
        <v>398</v>
      </c>
      <c r="AG274" s="204" t="s">
        <v>398</v>
      </c>
      <c r="AS274" s="65" t="str">
        <f>IFERROR(VLOOKUP(#REF!,[1]Lookup!$B$2:$E$115,4,FALSE),"")</f>
        <v/>
      </c>
      <c r="AT274" s="65" t="str">
        <f>IFERROR(VLOOKUP(#REF!,[1]Lookup!$B$2:$E$115,2,FALSE),"")</f>
        <v/>
      </c>
    </row>
    <row r="275" spans="31:46" x14ac:dyDescent="0.3">
      <c r="AE275" s="204" t="s">
        <v>398</v>
      </c>
      <c r="AF275" s="204" t="s">
        <v>398</v>
      </c>
      <c r="AG275" s="204" t="s">
        <v>398</v>
      </c>
      <c r="AS275" s="65" t="str">
        <f>IFERROR(VLOOKUP(#REF!,[1]Lookup!$B$2:$E$115,4,FALSE),"")</f>
        <v/>
      </c>
      <c r="AT275" s="65" t="str">
        <f>IFERROR(VLOOKUP(#REF!,[1]Lookup!$B$2:$E$115,2,FALSE),"")</f>
        <v/>
      </c>
    </row>
    <row r="276" spans="31:46" x14ac:dyDescent="0.3">
      <c r="AE276" s="204" t="s">
        <v>398</v>
      </c>
      <c r="AF276" s="204" t="s">
        <v>398</v>
      </c>
      <c r="AG276" s="204" t="s">
        <v>398</v>
      </c>
      <c r="AS276" s="65" t="str">
        <f>IFERROR(VLOOKUP(#REF!,[1]Lookup!$B$2:$E$115,4,FALSE),"")</f>
        <v/>
      </c>
      <c r="AT276" s="65" t="str">
        <f>IFERROR(VLOOKUP(#REF!,[1]Lookup!$B$2:$E$115,2,FALSE),"")</f>
        <v/>
      </c>
    </row>
    <row r="277" spans="31:46" x14ac:dyDescent="0.3">
      <c r="AE277" s="204" t="s">
        <v>398</v>
      </c>
      <c r="AF277" s="204" t="s">
        <v>398</v>
      </c>
      <c r="AG277" s="204" t="s">
        <v>398</v>
      </c>
      <c r="AS277" s="65" t="str">
        <f>IFERROR(VLOOKUP(#REF!,[1]Lookup!$B$2:$E$115,4,FALSE),"")</f>
        <v/>
      </c>
      <c r="AT277" s="65" t="str">
        <f>IFERROR(VLOOKUP(#REF!,[1]Lookup!$B$2:$E$115,2,FALSE),"")</f>
        <v/>
      </c>
    </row>
    <row r="278" spans="31:46" x14ac:dyDescent="0.3">
      <c r="AE278" s="204" t="s">
        <v>398</v>
      </c>
      <c r="AF278" s="204" t="s">
        <v>398</v>
      </c>
      <c r="AG278" s="204" t="s">
        <v>398</v>
      </c>
      <c r="AS278" s="65" t="str">
        <f>IFERROR(VLOOKUP(#REF!,[1]Lookup!$B$2:$E$115,4,FALSE),"")</f>
        <v/>
      </c>
      <c r="AT278" s="65" t="str">
        <f>IFERROR(VLOOKUP(#REF!,[1]Lookup!$B$2:$E$115,2,FALSE),"")</f>
        <v/>
      </c>
    </row>
    <row r="279" spans="31:46" x14ac:dyDescent="0.3">
      <c r="AE279" s="204" t="s">
        <v>398</v>
      </c>
      <c r="AF279" s="204" t="s">
        <v>398</v>
      </c>
      <c r="AG279" s="204" t="s">
        <v>398</v>
      </c>
      <c r="AS279" s="65" t="str">
        <f>IFERROR(VLOOKUP(#REF!,[1]Lookup!$B$2:$E$115,4,FALSE),"")</f>
        <v/>
      </c>
      <c r="AT279" s="65" t="str">
        <f>IFERROR(VLOOKUP(#REF!,[1]Lookup!$B$2:$E$115,2,FALSE),"")</f>
        <v/>
      </c>
    </row>
    <row r="280" spans="31:46" x14ac:dyDescent="0.3">
      <c r="AE280" s="204" t="s">
        <v>398</v>
      </c>
      <c r="AF280" s="204" t="s">
        <v>398</v>
      </c>
      <c r="AG280" s="204" t="s">
        <v>398</v>
      </c>
      <c r="AS280" s="65" t="str">
        <f>IFERROR(VLOOKUP(#REF!,[1]Lookup!$B$2:$E$115,4,FALSE),"")</f>
        <v/>
      </c>
      <c r="AT280" s="65" t="str">
        <f>IFERROR(VLOOKUP(#REF!,[1]Lookup!$B$2:$E$115,2,FALSE),"")</f>
        <v/>
      </c>
    </row>
    <row r="281" spans="31:46" x14ac:dyDescent="0.3">
      <c r="AE281" s="204" t="s">
        <v>398</v>
      </c>
      <c r="AF281" s="204" t="s">
        <v>398</v>
      </c>
      <c r="AG281" s="204" t="s">
        <v>398</v>
      </c>
      <c r="AS281" s="65" t="str">
        <f>IFERROR(VLOOKUP(#REF!,[1]Lookup!$B$2:$E$115,4,FALSE),"")</f>
        <v/>
      </c>
      <c r="AT281" s="65" t="str">
        <f>IFERROR(VLOOKUP(#REF!,[1]Lookup!$B$2:$E$115,2,FALSE),"")</f>
        <v/>
      </c>
    </row>
    <row r="282" spans="31:46" x14ac:dyDescent="0.3">
      <c r="AE282" s="204" t="s">
        <v>398</v>
      </c>
      <c r="AF282" s="204" t="s">
        <v>398</v>
      </c>
      <c r="AG282" s="204" t="s">
        <v>398</v>
      </c>
      <c r="AS282" s="65" t="str">
        <f>IFERROR(VLOOKUP(#REF!,[1]Lookup!$B$2:$E$115,4,FALSE),"")</f>
        <v/>
      </c>
      <c r="AT282" s="65" t="str">
        <f>IFERROR(VLOOKUP(#REF!,[1]Lookup!$B$2:$E$115,2,FALSE),"")</f>
        <v/>
      </c>
    </row>
    <row r="283" spans="31:46" x14ac:dyDescent="0.3">
      <c r="AE283" s="204" t="s">
        <v>398</v>
      </c>
      <c r="AF283" s="204" t="s">
        <v>398</v>
      </c>
      <c r="AG283" s="204" t="s">
        <v>398</v>
      </c>
      <c r="AS283" s="65" t="str">
        <f>IFERROR(VLOOKUP(#REF!,[1]Lookup!$B$2:$E$115,4,FALSE),"")</f>
        <v/>
      </c>
      <c r="AT283" s="65" t="str">
        <f>IFERROR(VLOOKUP(#REF!,[1]Lookup!$B$2:$E$115,2,FALSE),"")</f>
        <v/>
      </c>
    </row>
    <row r="284" spans="31:46" x14ac:dyDescent="0.3">
      <c r="AE284" s="204" t="s">
        <v>398</v>
      </c>
      <c r="AF284" s="204" t="s">
        <v>398</v>
      </c>
      <c r="AG284" s="204" t="s">
        <v>398</v>
      </c>
      <c r="AS284" s="65" t="str">
        <f>IFERROR(VLOOKUP(#REF!,[1]Lookup!$B$2:$E$115,4,FALSE),"")</f>
        <v/>
      </c>
      <c r="AT284" s="65" t="str">
        <f>IFERROR(VLOOKUP(#REF!,[1]Lookup!$B$2:$E$115,2,FALSE),"")</f>
        <v/>
      </c>
    </row>
    <row r="285" spans="31:46" x14ac:dyDescent="0.3">
      <c r="AE285" s="204" t="s">
        <v>398</v>
      </c>
      <c r="AF285" s="204" t="s">
        <v>398</v>
      </c>
      <c r="AG285" s="204" t="s">
        <v>398</v>
      </c>
      <c r="AS285" s="65" t="str">
        <f>IFERROR(VLOOKUP(#REF!,[1]Lookup!$B$2:$E$115,4,FALSE),"")</f>
        <v/>
      </c>
      <c r="AT285" s="65" t="str">
        <f>IFERROR(VLOOKUP(#REF!,[1]Lookup!$B$2:$E$115,2,FALSE),"")</f>
        <v/>
      </c>
    </row>
    <row r="286" spans="31:46" x14ac:dyDescent="0.3">
      <c r="AE286" s="204" t="s">
        <v>398</v>
      </c>
      <c r="AF286" s="204" t="s">
        <v>398</v>
      </c>
      <c r="AG286" s="204" t="s">
        <v>398</v>
      </c>
      <c r="AS286" s="65" t="str">
        <f>IFERROR(VLOOKUP(#REF!,[1]Lookup!$B$2:$E$115,4,FALSE),"")</f>
        <v/>
      </c>
      <c r="AT286" s="65" t="str">
        <f>IFERROR(VLOOKUP(#REF!,[1]Lookup!$B$2:$E$115,2,FALSE),"")</f>
        <v/>
      </c>
    </row>
    <row r="287" spans="31:46" x14ac:dyDescent="0.3">
      <c r="AE287" s="204" t="s">
        <v>398</v>
      </c>
      <c r="AF287" s="204" t="s">
        <v>398</v>
      </c>
      <c r="AG287" s="204" t="s">
        <v>398</v>
      </c>
      <c r="AS287" s="65" t="str">
        <f>IFERROR(VLOOKUP(#REF!,[1]Lookup!$B$2:$E$115,4,FALSE),"")</f>
        <v/>
      </c>
      <c r="AT287" s="65" t="str">
        <f>IFERROR(VLOOKUP(#REF!,[1]Lookup!$B$2:$E$115,2,FALSE),"")</f>
        <v/>
      </c>
    </row>
    <row r="288" spans="31:46" x14ac:dyDescent="0.3">
      <c r="AE288" s="204" t="s">
        <v>398</v>
      </c>
      <c r="AF288" s="204" t="s">
        <v>398</v>
      </c>
      <c r="AG288" s="204" t="s">
        <v>398</v>
      </c>
      <c r="AS288" s="65" t="str">
        <f>IFERROR(VLOOKUP(#REF!,[1]Lookup!$B$2:$E$115,4,FALSE),"")</f>
        <v/>
      </c>
      <c r="AT288" s="65" t="str">
        <f>IFERROR(VLOOKUP(#REF!,[1]Lookup!$B$2:$E$115,2,FALSE),"")</f>
        <v/>
      </c>
    </row>
    <row r="289" spans="31:46" x14ac:dyDescent="0.3">
      <c r="AE289" s="204" t="s">
        <v>398</v>
      </c>
      <c r="AF289" s="204" t="s">
        <v>398</v>
      </c>
      <c r="AG289" s="204" t="s">
        <v>398</v>
      </c>
      <c r="AS289" s="65" t="str">
        <f>IFERROR(VLOOKUP(#REF!,[1]Lookup!$B$2:$E$115,4,FALSE),"")</f>
        <v/>
      </c>
      <c r="AT289" s="65" t="str">
        <f>IFERROR(VLOOKUP(#REF!,[1]Lookup!$B$2:$E$115,2,FALSE),"")</f>
        <v/>
      </c>
    </row>
    <row r="290" spans="31:46" x14ac:dyDescent="0.3">
      <c r="AE290" s="204" t="s">
        <v>398</v>
      </c>
      <c r="AF290" s="204" t="s">
        <v>398</v>
      </c>
      <c r="AG290" s="204" t="s">
        <v>398</v>
      </c>
      <c r="AS290" s="65" t="str">
        <f>IFERROR(VLOOKUP(#REF!,[1]Lookup!$B$2:$E$115,4,FALSE),"")</f>
        <v/>
      </c>
      <c r="AT290" s="65" t="str">
        <f>IFERROR(VLOOKUP(#REF!,[1]Lookup!$B$2:$E$115,2,FALSE),"")</f>
        <v/>
      </c>
    </row>
    <row r="291" spans="31:46" x14ac:dyDescent="0.3">
      <c r="AE291" s="204" t="s">
        <v>398</v>
      </c>
      <c r="AF291" s="204" t="s">
        <v>398</v>
      </c>
      <c r="AG291" s="204" t="s">
        <v>398</v>
      </c>
      <c r="AS291" s="65" t="str">
        <f>IFERROR(VLOOKUP(#REF!,[1]Lookup!$B$2:$E$115,4,FALSE),"")</f>
        <v/>
      </c>
      <c r="AT291" s="65" t="str">
        <f>IFERROR(VLOOKUP(#REF!,[1]Lookup!$B$2:$E$115,2,FALSE),"")</f>
        <v/>
      </c>
    </row>
    <row r="292" spans="31:46" x14ac:dyDescent="0.3">
      <c r="AE292" s="204" t="s">
        <v>398</v>
      </c>
      <c r="AF292" s="204" t="s">
        <v>398</v>
      </c>
      <c r="AG292" s="204" t="s">
        <v>398</v>
      </c>
      <c r="AS292" s="65" t="str">
        <f>IFERROR(VLOOKUP(#REF!,[1]Lookup!$B$2:$E$115,4,FALSE),"")</f>
        <v/>
      </c>
      <c r="AT292" s="65" t="str">
        <f>IFERROR(VLOOKUP(#REF!,[1]Lookup!$B$2:$E$115,2,FALSE),"")</f>
        <v/>
      </c>
    </row>
    <row r="293" spans="31:46" x14ac:dyDescent="0.3">
      <c r="AE293" s="204" t="s">
        <v>398</v>
      </c>
      <c r="AF293" s="204" t="s">
        <v>398</v>
      </c>
      <c r="AG293" s="204" t="s">
        <v>398</v>
      </c>
      <c r="AS293" s="65" t="str">
        <f>IFERROR(VLOOKUP(#REF!,[1]Lookup!$B$2:$E$115,4,FALSE),"")</f>
        <v/>
      </c>
      <c r="AT293" s="65" t="str">
        <f>IFERROR(VLOOKUP(#REF!,[1]Lookup!$B$2:$E$115,2,FALSE),"")</f>
        <v/>
      </c>
    </row>
    <row r="294" spans="31:46" x14ac:dyDescent="0.3">
      <c r="AE294" s="204" t="s">
        <v>398</v>
      </c>
      <c r="AF294" s="204" t="s">
        <v>398</v>
      </c>
      <c r="AG294" s="204" t="s">
        <v>398</v>
      </c>
      <c r="AS294" s="65" t="str">
        <f>IFERROR(VLOOKUP(#REF!,[1]Lookup!$B$2:$E$115,4,FALSE),"")</f>
        <v/>
      </c>
      <c r="AT294" s="65" t="str">
        <f>IFERROR(VLOOKUP(#REF!,[1]Lookup!$B$2:$E$115,2,FALSE),"")</f>
        <v/>
      </c>
    </row>
    <row r="295" spans="31:46" x14ac:dyDescent="0.3">
      <c r="AE295" s="204" t="s">
        <v>398</v>
      </c>
      <c r="AF295" s="204" t="s">
        <v>398</v>
      </c>
      <c r="AG295" s="204" t="s">
        <v>398</v>
      </c>
      <c r="AS295" s="65" t="str">
        <f>IFERROR(VLOOKUP(#REF!,[1]Lookup!$B$2:$E$115,4,FALSE),"")</f>
        <v/>
      </c>
      <c r="AT295" s="65" t="str">
        <f>IFERROR(VLOOKUP(#REF!,[1]Lookup!$B$2:$E$115,2,FALSE),"")</f>
        <v/>
      </c>
    </row>
    <row r="296" spans="31:46" x14ac:dyDescent="0.3">
      <c r="AE296" s="204" t="s">
        <v>398</v>
      </c>
      <c r="AF296" s="204" t="s">
        <v>398</v>
      </c>
      <c r="AG296" s="204" t="s">
        <v>398</v>
      </c>
      <c r="AS296" s="65" t="str">
        <f>IFERROR(VLOOKUP(#REF!,[1]Lookup!$B$2:$E$115,4,FALSE),"")</f>
        <v/>
      </c>
      <c r="AT296" s="65" t="str">
        <f>IFERROR(VLOOKUP(#REF!,[1]Lookup!$B$2:$E$115,2,FALSE),"")</f>
        <v/>
      </c>
    </row>
    <row r="297" spans="31:46" x14ac:dyDescent="0.3">
      <c r="AE297" s="204" t="s">
        <v>398</v>
      </c>
      <c r="AF297" s="204" t="s">
        <v>398</v>
      </c>
      <c r="AG297" s="204" t="s">
        <v>398</v>
      </c>
      <c r="AS297" s="65" t="str">
        <f>IFERROR(VLOOKUP(#REF!,[1]Lookup!$B$2:$E$115,4,FALSE),"")</f>
        <v/>
      </c>
      <c r="AT297" s="65" t="str">
        <f>IFERROR(VLOOKUP(#REF!,[1]Lookup!$B$2:$E$115,2,FALSE),"")</f>
        <v/>
      </c>
    </row>
    <row r="298" spans="31:46" x14ac:dyDescent="0.3">
      <c r="AE298" s="204" t="s">
        <v>398</v>
      </c>
      <c r="AF298" s="204" t="s">
        <v>398</v>
      </c>
      <c r="AG298" s="204" t="s">
        <v>398</v>
      </c>
      <c r="AS298" s="65" t="str">
        <f>IFERROR(VLOOKUP(#REF!,[1]Lookup!$B$2:$E$115,4,FALSE),"")</f>
        <v/>
      </c>
      <c r="AT298" s="65" t="str">
        <f>IFERROR(VLOOKUP(#REF!,[1]Lookup!$B$2:$E$115,2,FALSE),"")</f>
        <v/>
      </c>
    </row>
    <row r="299" spans="31:46" x14ac:dyDescent="0.3">
      <c r="AE299" s="204" t="s">
        <v>398</v>
      </c>
      <c r="AF299" s="204" t="s">
        <v>398</v>
      </c>
      <c r="AG299" s="204" t="s">
        <v>398</v>
      </c>
      <c r="AS299" s="65" t="str">
        <f>IFERROR(VLOOKUP(#REF!,[1]Lookup!$B$2:$E$115,4,FALSE),"")</f>
        <v/>
      </c>
      <c r="AT299" s="65" t="str">
        <f>IFERROR(VLOOKUP(#REF!,[1]Lookup!$B$2:$E$115,2,FALSE),"")</f>
        <v/>
      </c>
    </row>
    <row r="300" spans="31:46" x14ac:dyDescent="0.3">
      <c r="AE300" s="204" t="s">
        <v>398</v>
      </c>
      <c r="AF300" s="204" t="s">
        <v>398</v>
      </c>
      <c r="AG300" s="204" t="s">
        <v>398</v>
      </c>
      <c r="AS300" s="65" t="str">
        <f>IFERROR(VLOOKUP(#REF!,[1]Lookup!$B$2:$E$115,4,FALSE),"")</f>
        <v/>
      </c>
      <c r="AT300" s="65" t="str">
        <f>IFERROR(VLOOKUP(#REF!,[1]Lookup!$B$2:$E$115,2,FALSE),"")</f>
        <v/>
      </c>
    </row>
    <row r="301" spans="31:46" x14ac:dyDescent="0.3">
      <c r="AE301" s="204" t="s">
        <v>398</v>
      </c>
      <c r="AF301" s="204" t="s">
        <v>398</v>
      </c>
      <c r="AG301" s="204" t="s">
        <v>398</v>
      </c>
      <c r="AS301" s="65" t="str">
        <f>IFERROR(VLOOKUP(#REF!,[1]Lookup!$B$2:$E$115,4,FALSE),"")</f>
        <v/>
      </c>
      <c r="AT301" s="65" t="str">
        <f>IFERROR(VLOOKUP(#REF!,[1]Lookup!$B$2:$E$115,2,FALSE),"")</f>
        <v/>
      </c>
    </row>
    <row r="302" spans="31:46" x14ac:dyDescent="0.3">
      <c r="AE302" s="204" t="s">
        <v>398</v>
      </c>
      <c r="AF302" s="204" t="s">
        <v>398</v>
      </c>
      <c r="AG302" s="204" t="s">
        <v>398</v>
      </c>
      <c r="AS302" s="65" t="str">
        <f>IFERROR(VLOOKUP(#REF!,[1]Lookup!$B$2:$E$115,4,FALSE),"")</f>
        <v/>
      </c>
      <c r="AT302" s="65" t="str">
        <f>IFERROR(VLOOKUP(#REF!,[1]Lookup!$B$2:$E$115,2,FALSE),"")</f>
        <v/>
      </c>
    </row>
    <row r="303" spans="31:46" x14ac:dyDescent="0.3">
      <c r="AE303" s="204" t="s">
        <v>398</v>
      </c>
      <c r="AF303" s="204" t="s">
        <v>398</v>
      </c>
      <c r="AG303" s="204" t="s">
        <v>398</v>
      </c>
      <c r="AS303" s="65" t="str">
        <f>IFERROR(VLOOKUP(#REF!,[1]Lookup!$B$2:$E$115,4,FALSE),"")</f>
        <v/>
      </c>
      <c r="AT303" s="65" t="str">
        <f>IFERROR(VLOOKUP(#REF!,[1]Lookup!$B$2:$E$115,2,FALSE),"")</f>
        <v/>
      </c>
    </row>
    <row r="304" spans="31:46" x14ac:dyDescent="0.3">
      <c r="AE304" s="204" t="s">
        <v>398</v>
      </c>
      <c r="AF304" s="204" t="s">
        <v>398</v>
      </c>
      <c r="AG304" s="204" t="s">
        <v>398</v>
      </c>
      <c r="AS304" s="65" t="str">
        <f>IFERROR(VLOOKUP(#REF!,[1]Lookup!$B$2:$E$115,4,FALSE),"")</f>
        <v/>
      </c>
      <c r="AT304" s="65" t="str">
        <f>IFERROR(VLOOKUP(#REF!,[1]Lookup!$B$2:$E$115,2,FALSE),"")</f>
        <v/>
      </c>
    </row>
    <row r="305" spans="31:46" x14ac:dyDescent="0.3">
      <c r="AE305" s="204" t="s">
        <v>398</v>
      </c>
      <c r="AF305" s="204" t="s">
        <v>398</v>
      </c>
      <c r="AG305" s="204" t="s">
        <v>398</v>
      </c>
      <c r="AS305" s="65" t="str">
        <f>IFERROR(VLOOKUP(#REF!,[1]Lookup!$B$2:$E$115,4,FALSE),"")</f>
        <v/>
      </c>
      <c r="AT305" s="65" t="str">
        <f>IFERROR(VLOOKUP(#REF!,[1]Lookup!$B$2:$E$115,2,FALSE),"")</f>
        <v/>
      </c>
    </row>
    <row r="306" spans="31:46" x14ac:dyDescent="0.3">
      <c r="AE306" s="204" t="s">
        <v>398</v>
      </c>
      <c r="AF306" s="204" t="s">
        <v>398</v>
      </c>
      <c r="AG306" s="204" t="s">
        <v>398</v>
      </c>
      <c r="AS306" s="65" t="str">
        <f>IFERROR(VLOOKUP(#REF!,[1]Lookup!$B$2:$E$115,4,FALSE),"")</f>
        <v/>
      </c>
      <c r="AT306" s="65" t="str">
        <f>IFERROR(VLOOKUP(#REF!,[1]Lookup!$B$2:$E$115,2,FALSE),"")</f>
        <v/>
      </c>
    </row>
    <row r="307" spans="31:46" x14ac:dyDescent="0.3">
      <c r="AE307" s="204" t="s">
        <v>398</v>
      </c>
      <c r="AF307" s="204" t="s">
        <v>398</v>
      </c>
      <c r="AG307" s="204" t="s">
        <v>398</v>
      </c>
      <c r="AS307" s="65" t="str">
        <f>IFERROR(VLOOKUP(#REF!,[1]Lookup!$B$2:$E$115,4,FALSE),"")</f>
        <v/>
      </c>
      <c r="AT307" s="65" t="str">
        <f>IFERROR(VLOOKUP(#REF!,[1]Lookup!$B$2:$E$115,2,FALSE),"")</f>
        <v/>
      </c>
    </row>
    <row r="308" spans="31:46" x14ac:dyDescent="0.3">
      <c r="AE308" s="204" t="s">
        <v>398</v>
      </c>
      <c r="AF308" s="204" t="s">
        <v>398</v>
      </c>
      <c r="AG308" s="204" t="s">
        <v>398</v>
      </c>
      <c r="AS308" s="65" t="str">
        <f>IFERROR(VLOOKUP(#REF!,[1]Lookup!$B$2:$E$115,4,FALSE),"")</f>
        <v/>
      </c>
      <c r="AT308" s="65" t="str">
        <f>IFERROR(VLOOKUP(#REF!,[1]Lookup!$B$2:$E$115,2,FALSE),"")</f>
        <v/>
      </c>
    </row>
    <row r="309" spans="31:46" x14ac:dyDescent="0.3">
      <c r="AE309" s="204" t="s">
        <v>398</v>
      </c>
      <c r="AF309" s="204" t="s">
        <v>398</v>
      </c>
      <c r="AG309" s="204" t="s">
        <v>398</v>
      </c>
      <c r="AS309" s="65" t="str">
        <f>IFERROR(VLOOKUP(#REF!,[1]Lookup!$B$2:$E$115,4,FALSE),"")</f>
        <v/>
      </c>
      <c r="AT309" s="65" t="str">
        <f>IFERROR(VLOOKUP(#REF!,[1]Lookup!$B$2:$E$115,2,FALSE),"")</f>
        <v/>
      </c>
    </row>
    <row r="310" spans="31:46" x14ac:dyDescent="0.3">
      <c r="AE310" s="204" t="s">
        <v>398</v>
      </c>
      <c r="AF310" s="204" t="s">
        <v>398</v>
      </c>
      <c r="AG310" s="204" t="s">
        <v>398</v>
      </c>
      <c r="AS310" s="65" t="str">
        <f>IFERROR(VLOOKUP(#REF!,[1]Lookup!$B$2:$E$115,4,FALSE),"")</f>
        <v/>
      </c>
      <c r="AT310" s="65" t="str">
        <f>IFERROR(VLOOKUP(#REF!,[1]Lookup!$B$2:$E$115,2,FALSE),"")</f>
        <v/>
      </c>
    </row>
    <row r="311" spans="31:46" x14ac:dyDescent="0.3">
      <c r="AE311" s="204" t="s">
        <v>398</v>
      </c>
      <c r="AF311" s="204" t="s">
        <v>398</v>
      </c>
      <c r="AG311" s="204" t="s">
        <v>398</v>
      </c>
      <c r="AS311" s="65" t="str">
        <f>IFERROR(VLOOKUP(#REF!,[1]Lookup!$B$2:$E$115,4,FALSE),"")</f>
        <v/>
      </c>
      <c r="AT311" s="65" t="str">
        <f>IFERROR(VLOOKUP(#REF!,[1]Lookup!$B$2:$E$115,2,FALSE),"")</f>
        <v/>
      </c>
    </row>
    <row r="312" spans="31:46" x14ac:dyDescent="0.3">
      <c r="AE312" s="204" t="s">
        <v>398</v>
      </c>
      <c r="AF312" s="204" t="s">
        <v>398</v>
      </c>
      <c r="AG312" s="204" t="s">
        <v>398</v>
      </c>
      <c r="AS312" s="65" t="str">
        <f>IFERROR(VLOOKUP(#REF!,[1]Lookup!$B$2:$E$115,4,FALSE),"")</f>
        <v/>
      </c>
      <c r="AT312" s="65" t="str">
        <f>IFERROR(VLOOKUP(#REF!,[1]Lookup!$B$2:$E$115,2,FALSE),"")</f>
        <v/>
      </c>
    </row>
    <row r="313" spans="31:46" x14ac:dyDescent="0.3">
      <c r="AE313" s="204" t="s">
        <v>398</v>
      </c>
      <c r="AF313" s="204" t="s">
        <v>398</v>
      </c>
      <c r="AG313" s="204" t="s">
        <v>398</v>
      </c>
      <c r="AS313" s="65" t="str">
        <f>IFERROR(VLOOKUP(#REF!,[1]Lookup!$B$2:$E$115,4,FALSE),"")</f>
        <v/>
      </c>
      <c r="AT313" s="65" t="str">
        <f>IFERROR(VLOOKUP(#REF!,[1]Lookup!$B$2:$E$115,2,FALSE),"")</f>
        <v/>
      </c>
    </row>
    <row r="314" spans="31:46" x14ac:dyDescent="0.3">
      <c r="AE314" s="204" t="s">
        <v>398</v>
      </c>
      <c r="AF314" s="204" t="s">
        <v>398</v>
      </c>
      <c r="AG314" s="204" t="s">
        <v>398</v>
      </c>
      <c r="AS314" s="65" t="str">
        <f>IFERROR(VLOOKUP(#REF!,[1]Lookup!$B$2:$E$115,4,FALSE),"")</f>
        <v/>
      </c>
      <c r="AT314" s="65" t="str">
        <f>IFERROR(VLOOKUP(#REF!,[1]Lookup!$B$2:$E$115,2,FALSE),"")</f>
        <v/>
      </c>
    </row>
    <row r="315" spans="31:46" x14ac:dyDescent="0.3">
      <c r="AE315" s="204" t="s">
        <v>398</v>
      </c>
      <c r="AF315" s="204" t="s">
        <v>398</v>
      </c>
      <c r="AG315" s="204" t="s">
        <v>398</v>
      </c>
      <c r="AS315" s="65" t="str">
        <f>IFERROR(VLOOKUP(#REF!,[1]Lookup!$B$2:$E$115,4,FALSE),"")</f>
        <v/>
      </c>
      <c r="AT315" s="65" t="str">
        <f>IFERROR(VLOOKUP(#REF!,[1]Lookup!$B$2:$E$115,2,FALSE),"")</f>
        <v/>
      </c>
    </row>
    <row r="316" spans="31:46" x14ac:dyDescent="0.3">
      <c r="AE316" s="204" t="s">
        <v>398</v>
      </c>
      <c r="AF316" s="204" t="s">
        <v>398</v>
      </c>
      <c r="AG316" s="204" t="s">
        <v>398</v>
      </c>
      <c r="AS316" s="65" t="str">
        <f>IFERROR(VLOOKUP(#REF!,[1]Lookup!$B$2:$E$115,4,FALSE),"")</f>
        <v/>
      </c>
      <c r="AT316" s="65" t="str">
        <f>IFERROR(VLOOKUP(#REF!,[1]Lookup!$B$2:$E$115,2,FALSE),"")</f>
        <v/>
      </c>
    </row>
    <row r="317" spans="31:46" x14ac:dyDescent="0.3">
      <c r="AE317" s="204" t="s">
        <v>398</v>
      </c>
      <c r="AF317" s="204" t="s">
        <v>398</v>
      </c>
      <c r="AG317" s="204" t="s">
        <v>398</v>
      </c>
      <c r="AS317" s="65" t="str">
        <f>IFERROR(VLOOKUP(#REF!,[1]Lookup!$B$2:$E$115,4,FALSE),"")</f>
        <v/>
      </c>
      <c r="AT317" s="65" t="str">
        <f>IFERROR(VLOOKUP(#REF!,[1]Lookup!$B$2:$E$115,2,FALSE),"")</f>
        <v/>
      </c>
    </row>
    <row r="318" spans="31:46" x14ac:dyDescent="0.3">
      <c r="AE318" s="204" t="s">
        <v>398</v>
      </c>
      <c r="AF318" s="204" t="s">
        <v>398</v>
      </c>
      <c r="AG318" s="204" t="s">
        <v>398</v>
      </c>
      <c r="AS318" s="65" t="str">
        <f>IFERROR(VLOOKUP(#REF!,[1]Lookup!$B$2:$E$115,4,FALSE),"")</f>
        <v/>
      </c>
      <c r="AT318" s="65" t="str">
        <f>IFERROR(VLOOKUP(#REF!,[1]Lookup!$B$2:$E$115,2,FALSE),"")</f>
        <v/>
      </c>
    </row>
    <row r="319" spans="31:46" x14ac:dyDescent="0.3">
      <c r="AE319" s="204" t="s">
        <v>398</v>
      </c>
      <c r="AF319" s="204" t="s">
        <v>398</v>
      </c>
      <c r="AG319" s="204" t="s">
        <v>398</v>
      </c>
      <c r="AS319" s="65" t="str">
        <f>IFERROR(VLOOKUP(#REF!,[1]Lookup!$B$2:$E$115,4,FALSE),"")</f>
        <v/>
      </c>
      <c r="AT319" s="65" t="str">
        <f>IFERROR(VLOOKUP(#REF!,[1]Lookup!$B$2:$E$115,2,FALSE),"")</f>
        <v/>
      </c>
    </row>
    <row r="320" spans="31:46" x14ac:dyDescent="0.3">
      <c r="AE320" s="204" t="s">
        <v>398</v>
      </c>
      <c r="AF320" s="204" t="s">
        <v>398</v>
      </c>
      <c r="AG320" s="204" t="s">
        <v>398</v>
      </c>
      <c r="AS320" s="65" t="str">
        <f>IFERROR(VLOOKUP(#REF!,[1]Lookup!$B$2:$E$115,4,FALSE),"")</f>
        <v/>
      </c>
      <c r="AT320" s="65" t="str">
        <f>IFERROR(VLOOKUP(#REF!,[1]Lookup!$B$2:$E$115,2,FALSE),"")</f>
        <v/>
      </c>
    </row>
    <row r="321" spans="31:46" x14ac:dyDescent="0.3">
      <c r="AE321" s="204" t="s">
        <v>398</v>
      </c>
      <c r="AF321" s="204" t="s">
        <v>398</v>
      </c>
      <c r="AG321" s="204" t="s">
        <v>398</v>
      </c>
      <c r="AS321" s="65" t="str">
        <f>IFERROR(VLOOKUP(#REF!,[1]Lookup!$B$2:$E$115,4,FALSE),"")</f>
        <v/>
      </c>
      <c r="AT321" s="65" t="str">
        <f>IFERROR(VLOOKUP(#REF!,[1]Lookup!$B$2:$E$115,2,FALSE),"")</f>
        <v/>
      </c>
    </row>
    <row r="322" spans="31:46" x14ac:dyDescent="0.3">
      <c r="AE322" s="204" t="s">
        <v>398</v>
      </c>
      <c r="AF322" s="204" t="s">
        <v>398</v>
      </c>
      <c r="AG322" s="204" t="s">
        <v>398</v>
      </c>
      <c r="AS322" s="65" t="str">
        <f>IFERROR(VLOOKUP(#REF!,[1]Lookup!$B$2:$E$115,4,FALSE),"")</f>
        <v/>
      </c>
      <c r="AT322" s="65" t="str">
        <f>IFERROR(VLOOKUP(#REF!,[1]Lookup!$B$2:$E$115,2,FALSE),"")</f>
        <v/>
      </c>
    </row>
    <row r="323" spans="31:46" x14ac:dyDescent="0.3">
      <c r="AE323" s="204" t="s">
        <v>398</v>
      </c>
      <c r="AF323" s="204" t="s">
        <v>398</v>
      </c>
      <c r="AG323" s="204" t="s">
        <v>398</v>
      </c>
      <c r="AS323" s="65" t="str">
        <f>IFERROR(VLOOKUP(#REF!,[1]Lookup!$B$2:$E$115,4,FALSE),"")</f>
        <v/>
      </c>
      <c r="AT323" s="65" t="str">
        <f>IFERROR(VLOOKUP(#REF!,[1]Lookup!$B$2:$E$115,2,FALSE),"")</f>
        <v/>
      </c>
    </row>
    <row r="324" spans="31:46" x14ac:dyDescent="0.3">
      <c r="AE324" s="204" t="s">
        <v>398</v>
      </c>
      <c r="AF324" s="204" t="s">
        <v>398</v>
      </c>
      <c r="AG324" s="204" t="s">
        <v>398</v>
      </c>
      <c r="AS324" s="65" t="str">
        <f>IFERROR(VLOOKUP(#REF!,[1]Lookup!$B$2:$E$115,4,FALSE),"")</f>
        <v/>
      </c>
      <c r="AT324" s="65" t="str">
        <f>IFERROR(VLOOKUP(#REF!,[1]Lookup!$B$2:$E$115,2,FALSE),"")</f>
        <v/>
      </c>
    </row>
    <row r="325" spans="31:46" x14ac:dyDescent="0.3">
      <c r="AE325" s="204" t="s">
        <v>398</v>
      </c>
      <c r="AF325" s="204" t="s">
        <v>398</v>
      </c>
      <c r="AG325" s="204" t="s">
        <v>398</v>
      </c>
      <c r="AS325" s="65" t="str">
        <f>IFERROR(VLOOKUP(#REF!,[1]Lookup!$B$2:$E$115,4,FALSE),"")</f>
        <v/>
      </c>
      <c r="AT325" s="65" t="str">
        <f>IFERROR(VLOOKUP(#REF!,[1]Lookup!$B$2:$E$115,2,FALSE),"")</f>
        <v/>
      </c>
    </row>
    <row r="326" spans="31:46" x14ac:dyDescent="0.3">
      <c r="AE326" s="204" t="s">
        <v>398</v>
      </c>
      <c r="AF326" s="204" t="s">
        <v>398</v>
      </c>
      <c r="AG326" s="204" t="s">
        <v>398</v>
      </c>
      <c r="AS326" s="65" t="str">
        <f>IFERROR(VLOOKUP(#REF!,[1]Lookup!$B$2:$E$115,4,FALSE),"")</f>
        <v/>
      </c>
      <c r="AT326" s="65" t="str">
        <f>IFERROR(VLOOKUP(#REF!,[1]Lookup!$B$2:$E$115,2,FALSE),"")</f>
        <v/>
      </c>
    </row>
    <row r="327" spans="31:46" x14ac:dyDescent="0.3">
      <c r="AE327" s="204" t="s">
        <v>398</v>
      </c>
      <c r="AF327" s="204" t="s">
        <v>398</v>
      </c>
      <c r="AG327" s="204" t="s">
        <v>398</v>
      </c>
      <c r="AS327" s="65" t="str">
        <f>IFERROR(VLOOKUP(#REF!,[1]Lookup!$B$2:$E$115,4,FALSE),"")</f>
        <v/>
      </c>
      <c r="AT327" s="65" t="str">
        <f>IFERROR(VLOOKUP(#REF!,[1]Lookup!$B$2:$E$115,2,FALSE),"")</f>
        <v/>
      </c>
    </row>
    <row r="328" spans="31:46" x14ac:dyDescent="0.3">
      <c r="AE328" s="204" t="s">
        <v>398</v>
      </c>
      <c r="AF328" s="204" t="s">
        <v>398</v>
      </c>
      <c r="AG328" s="204" t="s">
        <v>398</v>
      </c>
      <c r="AS328" s="65" t="str">
        <f>IFERROR(VLOOKUP(#REF!,[1]Lookup!$B$2:$E$115,4,FALSE),"")</f>
        <v/>
      </c>
      <c r="AT328" s="65" t="str">
        <f>IFERROR(VLOOKUP(#REF!,[1]Lookup!$B$2:$E$115,2,FALSE),"")</f>
        <v/>
      </c>
    </row>
    <row r="329" spans="31:46" x14ac:dyDescent="0.3">
      <c r="AE329" s="204" t="s">
        <v>398</v>
      </c>
      <c r="AF329" s="204" t="s">
        <v>398</v>
      </c>
      <c r="AG329" s="204" t="s">
        <v>398</v>
      </c>
      <c r="AS329" s="65" t="str">
        <f>IFERROR(VLOOKUP(#REF!,[1]Lookup!$B$2:$E$115,4,FALSE),"")</f>
        <v/>
      </c>
      <c r="AT329" s="65" t="str">
        <f>IFERROR(VLOOKUP(#REF!,[1]Lookup!$B$2:$E$115,2,FALSE),"")</f>
        <v/>
      </c>
    </row>
    <row r="330" spans="31:46" x14ac:dyDescent="0.3">
      <c r="AE330" s="204" t="s">
        <v>398</v>
      </c>
      <c r="AF330" s="204" t="s">
        <v>398</v>
      </c>
      <c r="AG330" s="204" t="s">
        <v>398</v>
      </c>
      <c r="AS330" s="65" t="str">
        <f>IFERROR(VLOOKUP(#REF!,[1]Lookup!$B$2:$E$115,4,FALSE),"")</f>
        <v/>
      </c>
      <c r="AT330" s="65" t="str">
        <f>IFERROR(VLOOKUP(#REF!,[1]Lookup!$B$2:$E$115,2,FALSE),"")</f>
        <v/>
      </c>
    </row>
    <row r="331" spans="31:46" x14ac:dyDescent="0.3">
      <c r="AE331" s="204" t="s">
        <v>398</v>
      </c>
      <c r="AF331" s="204" t="s">
        <v>398</v>
      </c>
      <c r="AG331" s="204" t="s">
        <v>398</v>
      </c>
      <c r="AS331" s="65" t="str">
        <f>IFERROR(VLOOKUP(#REF!,[1]Lookup!$B$2:$E$115,4,FALSE),"")</f>
        <v/>
      </c>
      <c r="AT331" s="65" t="str">
        <f>IFERROR(VLOOKUP(#REF!,[1]Lookup!$B$2:$E$115,2,FALSE),"")</f>
        <v/>
      </c>
    </row>
    <row r="332" spans="31:46" x14ac:dyDescent="0.3">
      <c r="AE332" s="204" t="s">
        <v>398</v>
      </c>
      <c r="AF332" s="204" t="s">
        <v>398</v>
      </c>
      <c r="AG332" s="204" t="s">
        <v>398</v>
      </c>
      <c r="AS332" s="65" t="str">
        <f>IFERROR(VLOOKUP(#REF!,[1]Lookup!$B$2:$E$115,4,FALSE),"")</f>
        <v/>
      </c>
      <c r="AT332" s="65" t="str">
        <f>IFERROR(VLOOKUP(#REF!,[1]Lookup!$B$2:$E$115,2,FALSE),"")</f>
        <v/>
      </c>
    </row>
    <row r="333" spans="31:46" x14ac:dyDescent="0.3">
      <c r="AE333" s="204" t="s">
        <v>398</v>
      </c>
      <c r="AF333" s="204" t="s">
        <v>398</v>
      </c>
      <c r="AG333" s="204" t="s">
        <v>398</v>
      </c>
      <c r="AS333" s="65" t="str">
        <f>IFERROR(VLOOKUP(#REF!,[1]Lookup!$B$2:$E$115,4,FALSE),"")</f>
        <v/>
      </c>
      <c r="AT333" s="65" t="str">
        <f>IFERROR(VLOOKUP(#REF!,[1]Lookup!$B$2:$E$115,2,FALSE),"")</f>
        <v/>
      </c>
    </row>
    <row r="334" spans="31:46" x14ac:dyDescent="0.3">
      <c r="AE334" s="204" t="s">
        <v>398</v>
      </c>
      <c r="AF334" s="204" t="s">
        <v>398</v>
      </c>
      <c r="AG334" s="204" t="s">
        <v>398</v>
      </c>
      <c r="AS334" s="65" t="str">
        <f>IFERROR(VLOOKUP(#REF!,[1]Lookup!$B$2:$E$115,4,FALSE),"")</f>
        <v/>
      </c>
      <c r="AT334" s="65" t="str">
        <f>IFERROR(VLOOKUP(#REF!,[1]Lookup!$B$2:$E$115,2,FALSE),"")</f>
        <v/>
      </c>
    </row>
    <row r="335" spans="31:46" x14ac:dyDescent="0.3">
      <c r="AE335" s="204" t="s">
        <v>398</v>
      </c>
      <c r="AF335" s="204" t="s">
        <v>398</v>
      </c>
      <c r="AG335" s="204" t="s">
        <v>398</v>
      </c>
      <c r="AS335" s="65" t="str">
        <f>IFERROR(VLOOKUP(#REF!,[1]Lookup!$B$2:$E$115,4,FALSE),"")</f>
        <v/>
      </c>
      <c r="AT335" s="65" t="str">
        <f>IFERROR(VLOOKUP(#REF!,[1]Lookup!$B$2:$E$115,2,FALSE),"")</f>
        <v/>
      </c>
    </row>
    <row r="336" spans="31:46" x14ac:dyDescent="0.3">
      <c r="AE336" s="204" t="s">
        <v>398</v>
      </c>
      <c r="AF336" s="204" t="s">
        <v>398</v>
      </c>
      <c r="AG336" s="204" t="s">
        <v>398</v>
      </c>
      <c r="AS336" s="65" t="str">
        <f>IFERROR(VLOOKUP(#REF!,[1]Lookup!$B$2:$E$115,4,FALSE),"")</f>
        <v/>
      </c>
      <c r="AT336" s="65" t="str">
        <f>IFERROR(VLOOKUP(#REF!,[1]Lookup!$B$2:$E$115,2,FALSE),"")</f>
        <v/>
      </c>
    </row>
    <row r="337" spans="31:46" x14ac:dyDescent="0.3">
      <c r="AE337" s="204" t="s">
        <v>398</v>
      </c>
      <c r="AF337" s="204" t="s">
        <v>398</v>
      </c>
      <c r="AG337" s="204" t="s">
        <v>398</v>
      </c>
      <c r="AS337" s="65" t="str">
        <f>IFERROR(VLOOKUP(#REF!,[1]Lookup!$B$2:$E$115,4,FALSE),"")</f>
        <v/>
      </c>
      <c r="AT337" s="65" t="str">
        <f>IFERROR(VLOOKUP(#REF!,[1]Lookup!$B$2:$E$115,2,FALSE),"")</f>
        <v/>
      </c>
    </row>
    <row r="338" spans="31:46" x14ac:dyDescent="0.3">
      <c r="AE338" s="204" t="s">
        <v>398</v>
      </c>
      <c r="AF338" s="204" t="s">
        <v>398</v>
      </c>
      <c r="AG338" s="204" t="s">
        <v>398</v>
      </c>
      <c r="AS338" s="65" t="str">
        <f>IFERROR(VLOOKUP(#REF!,[1]Lookup!$B$2:$E$115,4,FALSE),"")</f>
        <v/>
      </c>
      <c r="AT338" s="65" t="str">
        <f>IFERROR(VLOOKUP(#REF!,[1]Lookup!$B$2:$E$115,2,FALSE),"")</f>
        <v/>
      </c>
    </row>
    <row r="339" spans="31:46" x14ac:dyDescent="0.3">
      <c r="AE339" s="204" t="s">
        <v>398</v>
      </c>
      <c r="AF339" s="204" t="s">
        <v>398</v>
      </c>
      <c r="AG339" s="204" t="s">
        <v>398</v>
      </c>
      <c r="AS339" s="65" t="str">
        <f>IFERROR(VLOOKUP(#REF!,[1]Lookup!$B$2:$E$115,4,FALSE),"")</f>
        <v/>
      </c>
      <c r="AT339" s="65" t="str">
        <f>IFERROR(VLOOKUP(#REF!,[1]Lookup!$B$2:$E$115,2,FALSE),"")</f>
        <v/>
      </c>
    </row>
    <row r="340" spans="31:46" x14ac:dyDescent="0.3">
      <c r="AE340" s="204" t="s">
        <v>398</v>
      </c>
      <c r="AF340" s="204" t="s">
        <v>398</v>
      </c>
      <c r="AG340" s="204" t="s">
        <v>398</v>
      </c>
      <c r="AS340" s="65" t="str">
        <f>IFERROR(VLOOKUP(#REF!,[1]Lookup!$B$2:$E$115,4,FALSE),"")</f>
        <v/>
      </c>
      <c r="AT340" s="65" t="str">
        <f>IFERROR(VLOOKUP(#REF!,[1]Lookup!$B$2:$E$115,2,FALSE),"")</f>
        <v/>
      </c>
    </row>
    <row r="341" spans="31:46" x14ac:dyDescent="0.3">
      <c r="AE341" s="204" t="s">
        <v>398</v>
      </c>
      <c r="AF341" s="204" t="s">
        <v>398</v>
      </c>
      <c r="AG341" s="204" t="s">
        <v>398</v>
      </c>
      <c r="AS341" s="65" t="str">
        <f>IFERROR(VLOOKUP(#REF!,[1]Lookup!$B$2:$E$115,4,FALSE),"")</f>
        <v/>
      </c>
      <c r="AT341" s="65" t="str">
        <f>IFERROR(VLOOKUP(#REF!,[1]Lookup!$B$2:$E$115,2,FALSE),"")</f>
        <v/>
      </c>
    </row>
    <row r="342" spans="31:46" x14ac:dyDescent="0.3">
      <c r="AE342" s="204" t="s">
        <v>398</v>
      </c>
      <c r="AF342" s="204" t="s">
        <v>398</v>
      </c>
      <c r="AG342" s="204" t="s">
        <v>398</v>
      </c>
      <c r="AS342" s="65" t="str">
        <f>IFERROR(VLOOKUP(#REF!,[1]Lookup!$B$2:$E$115,4,FALSE),"")</f>
        <v/>
      </c>
      <c r="AT342" s="65" t="str">
        <f>IFERROR(VLOOKUP(#REF!,[1]Lookup!$B$2:$E$115,2,FALSE),"")</f>
        <v/>
      </c>
    </row>
    <row r="343" spans="31:46" x14ac:dyDescent="0.3">
      <c r="AE343" s="204" t="s">
        <v>398</v>
      </c>
      <c r="AF343" s="204" t="s">
        <v>398</v>
      </c>
      <c r="AG343" s="204" t="s">
        <v>398</v>
      </c>
      <c r="AS343" s="65" t="str">
        <f>IFERROR(VLOOKUP(#REF!,[1]Lookup!$B$2:$E$115,4,FALSE),"")</f>
        <v/>
      </c>
      <c r="AT343" s="65" t="str">
        <f>IFERROR(VLOOKUP(#REF!,[1]Lookup!$B$2:$E$115,2,FALSE),"")</f>
        <v/>
      </c>
    </row>
    <row r="344" spans="31:46" x14ac:dyDescent="0.3">
      <c r="AE344" s="204" t="s">
        <v>398</v>
      </c>
      <c r="AF344" s="204" t="s">
        <v>398</v>
      </c>
      <c r="AG344" s="204" t="s">
        <v>398</v>
      </c>
      <c r="AS344" s="65" t="str">
        <f>IFERROR(VLOOKUP(#REF!,[1]Lookup!$B$2:$E$115,4,FALSE),"")</f>
        <v/>
      </c>
      <c r="AT344" s="65" t="str">
        <f>IFERROR(VLOOKUP(#REF!,[1]Lookup!$B$2:$E$115,2,FALSE),"")</f>
        <v/>
      </c>
    </row>
    <row r="345" spans="31:46" x14ac:dyDescent="0.3">
      <c r="AE345" s="204" t="s">
        <v>398</v>
      </c>
      <c r="AF345" s="204" t="s">
        <v>398</v>
      </c>
      <c r="AG345" s="204" t="s">
        <v>398</v>
      </c>
      <c r="AS345" s="65" t="str">
        <f>IFERROR(VLOOKUP(#REF!,[1]Lookup!$B$2:$E$115,4,FALSE),"")</f>
        <v/>
      </c>
      <c r="AT345" s="65" t="str">
        <f>IFERROR(VLOOKUP(#REF!,[1]Lookup!$B$2:$E$115,2,FALSE),"")</f>
        <v/>
      </c>
    </row>
    <row r="346" spans="31:46" x14ac:dyDescent="0.3">
      <c r="AE346" s="204" t="s">
        <v>398</v>
      </c>
      <c r="AF346" s="204" t="s">
        <v>398</v>
      </c>
      <c r="AG346" s="204" t="s">
        <v>398</v>
      </c>
      <c r="AS346" s="65" t="str">
        <f>IFERROR(VLOOKUP(#REF!,[1]Lookup!$B$2:$E$115,4,FALSE),"")</f>
        <v/>
      </c>
      <c r="AT346" s="65" t="str">
        <f>IFERROR(VLOOKUP(#REF!,[1]Lookup!$B$2:$E$115,2,FALSE),"")</f>
        <v/>
      </c>
    </row>
    <row r="347" spans="31:46" x14ac:dyDescent="0.3">
      <c r="AE347" s="204" t="s">
        <v>398</v>
      </c>
      <c r="AF347" s="204" t="s">
        <v>398</v>
      </c>
      <c r="AG347" s="204" t="s">
        <v>398</v>
      </c>
      <c r="AS347" s="65" t="str">
        <f>IFERROR(VLOOKUP(#REF!,[1]Lookup!$B$2:$E$115,4,FALSE),"")</f>
        <v/>
      </c>
      <c r="AT347" s="65" t="str">
        <f>IFERROR(VLOOKUP(#REF!,[1]Lookup!$B$2:$E$115,2,FALSE),"")</f>
        <v/>
      </c>
    </row>
    <row r="348" spans="31:46" x14ac:dyDescent="0.3">
      <c r="AE348" s="204" t="s">
        <v>398</v>
      </c>
      <c r="AF348" s="204" t="s">
        <v>398</v>
      </c>
      <c r="AG348" s="204" t="s">
        <v>398</v>
      </c>
      <c r="AS348" s="65" t="str">
        <f>IFERROR(VLOOKUP(#REF!,[1]Lookup!$B$2:$E$115,4,FALSE),"")</f>
        <v/>
      </c>
      <c r="AT348" s="65" t="str">
        <f>IFERROR(VLOOKUP(#REF!,[1]Lookup!$B$2:$E$115,2,FALSE),"")</f>
        <v/>
      </c>
    </row>
    <row r="349" spans="31:46" x14ac:dyDescent="0.3">
      <c r="AE349" s="204" t="s">
        <v>398</v>
      </c>
      <c r="AF349" s="204" t="s">
        <v>398</v>
      </c>
      <c r="AG349" s="204" t="s">
        <v>398</v>
      </c>
      <c r="AS349" s="65" t="str">
        <f>IFERROR(VLOOKUP(#REF!,[1]Lookup!$B$2:$E$115,4,FALSE),"")</f>
        <v/>
      </c>
      <c r="AT349" s="65" t="str">
        <f>IFERROR(VLOOKUP(#REF!,[1]Lookup!$B$2:$E$115,2,FALSE),"")</f>
        <v/>
      </c>
    </row>
    <row r="350" spans="31:46" x14ac:dyDescent="0.3">
      <c r="AE350" s="204" t="s">
        <v>398</v>
      </c>
      <c r="AF350" s="204" t="s">
        <v>398</v>
      </c>
      <c r="AG350" s="204" t="s">
        <v>398</v>
      </c>
      <c r="AS350" s="65" t="str">
        <f>IFERROR(VLOOKUP(#REF!,[1]Lookup!$B$2:$E$115,4,FALSE),"")</f>
        <v/>
      </c>
      <c r="AT350" s="65" t="str">
        <f>IFERROR(VLOOKUP(#REF!,[1]Lookup!$B$2:$E$115,2,FALSE),"")</f>
        <v/>
      </c>
    </row>
    <row r="351" spans="31:46" x14ac:dyDescent="0.3">
      <c r="AE351" s="204" t="s">
        <v>398</v>
      </c>
      <c r="AF351" s="204" t="s">
        <v>398</v>
      </c>
      <c r="AG351" s="204" t="s">
        <v>398</v>
      </c>
      <c r="AS351" s="65" t="str">
        <f>IFERROR(VLOOKUP(#REF!,[1]Lookup!$B$2:$E$115,4,FALSE),"")</f>
        <v/>
      </c>
      <c r="AT351" s="65" t="str">
        <f>IFERROR(VLOOKUP(#REF!,[1]Lookup!$B$2:$E$115,2,FALSE),"")</f>
        <v/>
      </c>
    </row>
    <row r="352" spans="31:46" x14ac:dyDescent="0.3">
      <c r="AE352" s="204" t="s">
        <v>398</v>
      </c>
      <c r="AF352" s="204" t="s">
        <v>398</v>
      </c>
      <c r="AG352" s="204" t="s">
        <v>398</v>
      </c>
      <c r="AS352" s="65" t="str">
        <f>IFERROR(VLOOKUP(#REF!,[1]Lookup!$B$2:$E$115,4,FALSE),"")</f>
        <v/>
      </c>
      <c r="AT352" s="65" t="str">
        <f>IFERROR(VLOOKUP(#REF!,[1]Lookup!$B$2:$E$115,2,FALSE),"")</f>
        <v/>
      </c>
    </row>
    <row r="353" spans="31:46" x14ac:dyDescent="0.3">
      <c r="AE353" s="204" t="s">
        <v>398</v>
      </c>
      <c r="AF353" s="204" t="s">
        <v>398</v>
      </c>
      <c r="AG353" s="204" t="s">
        <v>398</v>
      </c>
      <c r="AS353" s="65" t="str">
        <f>IFERROR(VLOOKUP(#REF!,[1]Lookup!$B$2:$E$115,4,FALSE),"")</f>
        <v/>
      </c>
      <c r="AT353" s="65" t="str">
        <f>IFERROR(VLOOKUP(#REF!,[1]Lookup!$B$2:$E$115,2,FALSE),"")</f>
        <v/>
      </c>
    </row>
    <row r="354" spans="31:46" x14ac:dyDescent="0.3">
      <c r="AE354" s="204" t="s">
        <v>398</v>
      </c>
      <c r="AF354" s="204" t="s">
        <v>398</v>
      </c>
      <c r="AG354" s="204" t="s">
        <v>398</v>
      </c>
      <c r="AS354" s="65" t="str">
        <f>IFERROR(VLOOKUP(#REF!,[1]Lookup!$B$2:$E$115,4,FALSE),"")</f>
        <v/>
      </c>
      <c r="AT354" s="65" t="str">
        <f>IFERROR(VLOOKUP(#REF!,[1]Lookup!$B$2:$E$115,2,FALSE),"")</f>
        <v/>
      </c>
    </row>
    <row r="355" spans="31:46" x14ac:dyDescent="0.3">
      <c r="AE355" s="204" t="s">
        <v>398</v>
      </c>
      <c r="AF355" s="204" t="s">
        <v>398</v>
      </c>
      <c r="AG355" s="204" t="s">
        <v>398</v>
      </c>
      <c r="AS355" s="65" t="str">
        <f>IFERROR(VLOOKUP(#REF!,[1]Lookup!$B$2:$E$115,4,FALSE),"")</f>
        <v/>
      </c>
      <c r="AT355" s="65" t="str">
        <f>IFERROR(VLOOKUP(#REF!,[1]Lookup!$B$2:$E$115,2,FALSE),"")</f>
        <v/>
      </c>
    </row>
    <row r="356" spans="31:46" x14ac:dyDescent="0.3">
      <c r="AE356" s="204" t="s">
        <v>398</v>
      </c>
      <c r="AF356" s="204" t="s">
        <v>398</v>
      </c>
      <c r="AG356" s="204" t="s">
        <v>398</v>
      </c>
      <c r="AS356" s="65" t="str">
        <f>IFERROR(VLOOKUP(#REF!,[1]Lookup!$B$2:$E$115,4,FALSE),"")</f>
        <v/>
      </c>
      <c r="AT356" s="65" t="str">
        <f>IFERROR(VLOOKUP(#REF!,[1]Lookup!$B$2:$E$115,2,FALSE),"")</f>
        <v/>
      </c>
    </row>
    <row r="357" spans="31:46" x14ac:dyDescent="0.3">
      <c r="AE357" s="204" t="s">
        <v>398</v>
      </c>
      <c r="AF357" s="204" t="s">
        <v>398</v>
      </c>
      <c r="AG357" s="204" t="s">
        <v>398</v>
      </c>
      <c r="AS357" s="65" t="str">
        <f>IFERROR(VLOOKUP(#REF!,[1]Lookup!$B$2:$E$115,4,FALSE),"")</f>
        <v/>
      </c>
      <c r="AT357" s="65" t="str">
        <f>IFERROR(VLOOKUP(#REF!,[1]Lookup!$B$2:$E$115,2,FALSE),"")</f>
        <v/>
      </c>
    </row>
    <row r="358" spans="31:46" x14ac:dyDescent="0.3">
      <c r="AE358" s="204" t="s">
        <v>398</v>
      </c>
      <c r="AF358" s="204" t="s">
        <v>398</v>
      </c>
      <c r="AG358" s="204" t="s">
        <v>398</v>
      </c>
      <c r="AS358" s="65" t="str">
        <f>IFERROR(VLOOKUP(#REF!,[1]Lookup!$B$2:$E$115,4,FALSE),"")</f>
        <v/>
      </c>
      <c r="AT358" s="65" t="str">
        <f>IFERROR(VLOOKUP(#REF!,[1]Lookup!$B$2:$E$115,2,FALSE),"")</f>
        <v/>
      </c>
    </row>
    <row r="359" spans="31:46" x14ac:dyDescent="0.3">
      <c r="AE359" s="204" t="s">
        <v>398</v>
      </c>
      <c r="AF359" s="204" t="s">
        <v>398</v>
      </c>
      <c r="AG359" s="204" t="s">
        <v>398</v>
      </c>
      <c r="AS359" s="65" t="str">
        <f>IFERROR(VLOOKUP(#REF!,[1]Lookup!$B$2:$E$115,4,FALSE),"")</f>
        <v/>
      </c>
      <c r="AT359" s="65" t="str">
        <f>IFERROR(VLOOKUP(#REF!,[1]Lookup!$B$2:$E$115,2,FALSE),"")</f>
        <v/>
      </c>
    </row>
    <row r="360" spans="31:46" x14ac:dyDescent="0.3">
      <c r="AE360" s="204" t="s">
        <v>398</v>
      </c>
      <c r="AF360" s="204" t="s">
        <v>398</v>
      </c>
      <c r="AG360" s="204" t="s">
        <v>398</v>
      </c>
      <c r="AS360" s="65" t="str">
        <f>IFERROR(VLOOKUP(#REF!,[1]Lookup!$B$2:$E$115,4,FALSE),"")</f>
        <v/>
      </c>
      <c r="AT360" s="65" t="str">
        <f>IFERROR(VLOOKUP(#REF!,[1]Lookup!$B$2:$E$115,2,FALSE),"")</f>
        <v/>
      </c>
    </row>
    <row r="361" spans="31:46" x14ac:dyDescent="0.3">
      <c r="AE361" s="204" t="s">
        <v>398</v>
      </c>
      <c r="AF361" s="204" t="s">
        <v>398</v>
      </c>
      <c r="AG361" s="204" t="s">
        <v>398</v>
      </c>
      <c r="AS361" s="65" t="str">
        <f>IFERROR(VLOOKUP(#REF!,[1]Lookup!$B$2:$E$115,4,FALSE),"")</f>
        <v/>
      </c>
      <c r="AT361" s="65" t="str">
        <f>IFERROR(VLOOKUP(#REF!,[1]Lookup!$B$2:$E$115,2,FALSE),"")</f>
        <v/>
      </c>
    </row>
    <row r="362" spans="31:46" x14ac:dyDescent="0.3">
      <c r="AE362" s="204" t="s">
        <v>398</v>
      </c>
      <c r="AF362" s="204" t="s">
        <v>398</v>
      </c>
      <c r="AG362" s="204" t="s">
        <v>398</v>
      </c>
      <c r="AS362" s="65" t="str">
        <f>IFERROR(VLOOKUP(#REF!,[1]Lookup!$B$2:$E$115,4,FALSE),"")</f>
        <v/>
      </c>
      <c r="AT362" s="65" t="str">
        <f>IFERROR(VLOOKUP(#REF!,[1]Lookup!$B$2:$E$115,2,FALSE),"")</f>
        <v/>
      </c>
    </row>
    <row r="363" spans="31:46" x14ac:dyDescent="0.3">
      <c r="AE363" s="204" t="s">
        <v>398</v>
      </c>
      <c r="AF363" s="204" t="s">
        <v>398</v>
      </c>
      <c r="AG363" s="204" t="s">
        <v>398</v>
      </c>
      <c r="AS363" s="65" t="str">
        <f>IFERROR(VLOOKUP(#REF!,[1]Lookup!$B$2:$E$115,4,FALSE),"")</f>
        <v/>
      </c>
      <c r="AT363" s="65" t="str">
        <f>IFERROR(VLOOKUP(#REF!,[1]Lookup!$B$2:$E$115,2,FALSE),"")</f>
        <v/>
      </c>
    </row>
    <row r="364" spans="31:46" x14ac:dyDescent="0.3">
      <c r="AE364" s="204" t="s">
        <v>398</v>
      </c>
      <c r="AF364" s="204" t="s">
        <v>398</v>
      </c>
      <c r="AG364" s="204" t="s">
        <v>398</v>
      </c>
      <c r="AS364" s="65" t="str">
        <f>IFERROR(VLOOKUP(#REF!,[1]Lookup!$B$2:$E$115,4,FALSE),"")</f>
        <v/>
      </c>
      <c r="AT364" s="65" t="str">
        <f>IFERROR(VLOOKUP(#REF!,[1]Lookup!$B$2:$E$115,2,FALSE),"")</f>
        <v/>
      </c>
    </row>
    <row r="365" spans="31:46" x14ac:dyDescent="0.3">
      <c r="AE365" s="204" t="s">
        <v>398</v>
      </c>
      <c r="AF365" s="204" t="s">
        <v>398</v>
      </c>
      <c r="AG365" s="204" t="s">
        <v>398</v>
      </c>
      <c r="AS365" s="65" t="str">
        <f>IFERROR(VLOOKUP(#REF!,[1]Lookup!$B$2:$E$115,4,FALSE),"")</f>
        <v/>
      </c>
      <c r="AT365" s="65" t="str">
        <f>IFERROR(VLOOKUP(#REF!,[1]Lookup!$B$2:$E$115,2,FALSE),"")</f>
        <v/>
      </c>
    </row>
    <row r="366" spans="31:46" x14ac:dyDescent="0.3">
      <c r="AE366" s="204" t="s">
        <v>398</v>
      </c>
      <c r="AF366" s="204" t="s">
        <v>398</v>
      </c>
      <c r="AG366" s="204" t="s">
        <v>398</v>
      </c>
      <c r="AS366" s="65" t="str">
        <f>IFERROR(VLOOKUP(#REF!,[1]Lookup!$B$2:$E$115,4,FALSE),"")</f>
        <v/>
      </c>
      <c r="AT366" s="65" t="str">
        <f>IFERROR(VLOOKUP(#REF!,[1]Lookup!$B$2:$E$115,2,FALSE),"")</f>
        <v/>
      </c>
    </row>
    <row r="367" spans="31:46" x14ac:dyDescent="0.3">
      <c r="AE367" s="204" t="s">
        <v>398</v>
      </c>
      <c r="AF367" s="204" t="s">
        <v>398</v>
      </c>
      <c r="AG367" s="204" t="s">
        <v>398</v>
      </c>
      <c r="AS367" s="65" t="str">
        <f>IFERROR(VLOOKUP(#REF!,[1]Lookup!$B$2:$E$115,4,FALSE),"")</f>
        <v/>
      </c>
      <c r="AT367" s="65" t="str">
        <f>IFERROR(VLOOKUP(#REF!,[1]Lookup!$B$2:$E$115,2,FALSE),"")</f>
        <v/>
      </c>
    </row>
    <row r="368" spans="31:46" x14ac:dyDescent="0.3">
      <c r="AE368" s="204" t="s">
        <v>398</v>
      </c>
      <c r="AF368" s="204" t="s">
        <v>398</v>
      </c>
      <c r="AG368" s="204" t="s">
        <v>398</v>
      </c>
      <c r="AS368" s="65" t="str">
        <f>IFERROR(VLOOKUP(#REF!,[1]Lookup!$B$2:$E$115,4,FALSE),"")</f>
        <v/>
      </c>
      <c r="AT368" s="65" t="str">
        <f>IFERROR(VLOOKUP(#REF!,[1]Lookup!$B$2:$E$115,2,FALSE),"")</f>
        <v/>
      </c>
    </row>
    <row r="369" spans="31:46" x14ac:dyDescent="0.3">
      <c r="AE369" s="204" t="s">
        <v>398</v>
      </c>
      <c r="AF369" s="204" t="s">
        <v>398</v>
      </c>
      <c r="AG369" s="204" t="s">
        <v>398</v>
      </c>
      <c r="AS369" s="65" t="str">
        <f>IFERROR(VLOOKUP(#REF!,[1]Lookup!$B$2:$E$115,4,FALSE),"")</f>
        <v/>
      </c>
      <c r="AT369" s="65" t="str">
        <f>IFERROR(VLOOKUP(#REF!,[1]Lookup!$B$2:$E$115,2,FALSE),"")</f>
        <v/>
      </c>
    </row>
    <row r="370" spans="31:46" x14ac:dyDescent="0.3">
      <c r="AE370" s="204" t="s">
        <v>398</v>
      </c>
      <c r="AF370" s="204" t="s">
        <v>398</v>
      </c>
      <c r="AG370" s="204" t="s">
        <v>398</v>
      </c>
      <c r="AS370" s="65" t="str">
        <f>IFERROR(VLOOKUP(#REF!,[1]Lookup!$B$2:$E$115,4,FALSE),"")</f>
        <v/>
      </c>
      <c r="AT370" s="65" t="str">
        <f>IFERROR(VLOOKUP(#REF!,[1]Lookup!$B$2:$E$115,2,FALSE),"")</f>
        <v/>
      </c>
    </row>
    <row r="371" spans="31:46" x14ac:dyDescent="0.3">
      <c r="AE371" s="204" t="s">
        <v>398</v>
      </c>
      <c r="AF371" s="204" t="s">
        <v>398</v>
      </c>
      <c r="AG371" s="204" t="s">
        <v>398</v>
      </c>
      <c r="AS371" s="65" t="str">
        <f>IFERROR(VLOOKUP(#REF!,[1]Lookup!$B$2:$E$115,4,FALSE),"")</f>
        <v/>
      </c>
      <c r="AT371" s="65" t="str">
        <f>IFERROR(VLOOKUP(#REF!,[1]Lookup!$B$2:$E$115,2,FALSE),"")</f>
        <v/>
      </c>
    </row>
    <row r="372" spans="31:46" x14ac:dyDescent="0.3">
      <c r="AE372" s="204" t="s">
        <v>398</v>
      </c>
      <c r="AF372" s="204" t="s">
        <v>398</v>
      </c>
      <c r="AG372" s="204" t="s">
        <v>398</v>
      </c>
      <c r="AS372" s="65" t="str">
        <f>IFERROR(VLOOKUP(#REF!,[1]Lookup!$B$2:$E$115,4,FALSE),"")</f>
        <v/>
      </c>
      <c r="AT372" s="65" t="str">
        <f>IFERROR(VLOOKUP(#REF!,[1]Lookup!$B$2:$E$115,2,FALSE),"")</f>
        <v/>
      </c>
    </row>
    <row r="373" spans="31:46" x14ac:dyDescent="0.3">
      <c r="AE373" s="204" t="s">
        <v>398</v>
      </c>
      <c r="AF373" s="204" t="s">
        <v>398</v>
      </c>
      <c r="AG373" s="204" t="s">
        <v>398</v>
      </c>
      <c r="AS373" s="65" t="str">
        <f>IFERROR(VLOOKUP(#REF!,[1]Lookup!$B$2:$E$115,4,FALSE),"")</f>
        <v/>
      </c>
      <c r="AT373" s="65" t="str">
        <f>IFERROR(VLOOKUP(#REF!,[1]Lookup!$B$2:$E$115,2,FALSE),"")</f>
        <v/>
      </c>
    </row>
    <row r="374" spans="31:46" x14ac:dyDescent="0.3">
      <c r="AE374" s="204" t="s">
        <v>398</v>
      </c>
      <c r="AF374" s="204" t="s">
        <v>398</v>
      </c>
      <c r="AG374" s="204" t="s">
        <v>398</v>
      </c>
      <c r="AS374" s="65" t="str">
        <f>IFERROR(VLOOKUP(#REF!,[1]Lookup!$B$2:$E$115,4,FALSE),"")</f>
        <v/>
      </c>
      <c r="AT374" s="65" t="str">
        <f>IFERROR(VLOOKUP(#REF!,[1]Lookup!$B$2:$E$115,2,FALSE),"")</f>
        <v/>
      </c>
    </row>
    <row r="375" spans="31:46" x14ac:dyDescent="0.3">
      <c r="AE375" s="204" t="s">
        <v>398</v>
      </c>
      <c r="AF375" s="204" t="s">
        <v>398</v>
      </c>
      <c r="AG375" s="204" t="s">
        <v>398</v>
      </c>
      <c r="AS375" s="65" t="str">
        <f>IFERROR(VLOOKUP(#REF!,[1]Lookup!$B$2:$E$115,4,FALSE),"")</f>
        <v/>
      </c>
      <c r="AT375" s="65" t="str">
        <f>IFERROR(VLOOKUP(#REF!,[1]Lookup!$B$2:$E$115,2,FALSE),"")</f>
        <v/>
      </c>
    </row>
    <row r="376" spans="31:46" x14ac:dyDescent="0.3">
      <c r="AE376" s="204" t="s">
        <v>398</v>
      </c>
      <c r="AF376" s="204" t="s">
        <v>398</v>
      </c>
      <c r="AG376" s="204" t="s">
        <v>398</v>
      </c>
      <c r="AS376" s="65" t="str">
        <f>IFERROR(VLOOKUP(#REF!,[1]Lookup!$B$2:$E$115,4,FALSE),"")</f>
        <v/>
      </c>
      <c r="AT376" s="65" t="str">
        <f>IFERROR(VLOOKUP(#REF!,[1]Lookup!$B$2:$E$115,2,FALSE),"")</f>
        <v/>
      </c>
    </row>
    <row r="377" spans="31:46" x14ac:dyDescent="0.3">
      <c r="AE377" s="204" t="s">
        <v>398</v>
      </c>
      <c r="AF377" s="204" t="s">
        <v>398</v>
      </c>
      <c r="AG377" s="204" t="s">
        <v>398</v>
      </c>
      <c r="AS377" s="65" t="str">
        <f>IFERROR(VLOOKUP(#REF!,[1]Lookup!$B$2:$E$115,4,FALSE),"")</f>
        <v/>
      </c>
      <c r="AT377" s="65" t="str">
        <f>IFERROR(VLOOKUP(#REF!,[1]Lookup!$B$2:$E$115,2,FALSE),"")</f>
        <v/>
      </c>
    </row>
    <row r="378" spans="31:46" x14ac:dyDescent="0.3">
      <c r="AE378" s="204" t="s">
        <v>398</v>
      </c>
      <c r="AF378" s="204" t="s">
        <v>398</v>
      </c>
      <c r="AG378" s="204" t="s">
        <v>398</v>
      </c>
      <c r="AS378" s="65" t="str">
        <f>IFERROR(VLOOKUP(#REF!,[1]Lookup!$B$2:$E$115,4,FALSE),"")</f>
        <v/>
      </c>
      <c r="AT378" s="65" t="str">
        <f>IFERROR(VLOOKUP(#REF!,[1]Lookup!$B$2:$E$115,2,FALSE),"")</f>
        <v/>
      </c>
    </row>
    <row r="379" spans="31:46" x14ac:dyDescent="0.3">
      <c r="AE379" s="204" t="s">
        <v>398</v>
      </c>
      <c r="AF379" s="204" t="s">
        <v>398</v>
      </c>
      <c r="AG379" s="204" t="s">
        <v>398</v>
      </c>
      <c r="AS379" s="65" t="str">
        <f>IFERROR(VLOOKUP(#REF!,[1]Lookup!$B$2:$E$115,4,FALSE),"")</f>
        <v/>
      </c>
      <c r="AT379" s="65" t="str">
        <f>IFERROR(VLOOKUP(#REF!,[1]Lookup!$B$2:$E$115,2,FALSE),"")</f>
        <v/>
      </c>
    </row>
    <row r="380" spans="31:46" x14ac:dyDescent="0.3">
      <c r="AE380" s="204" t="s">
        <v>398</v>
      </c>
      <c r="AF380" s="204" t="s">
        <v>398</v>
      </c>
      <c r="AG380" s="204" t="s">
        <v>398</v>
      </c>
      <c r="AS380" s="65" t="str">
        <f>IFERROR(VLOOKUP(#REF!,[1]Lookup!$B$2:$E$115,4,FALSE),"")</f>
        <v/>
      </c>
      <c r="AT380" s="65" t="str">
        <f>IFERROR(VLOOKUP(#REF!,[1]Lookup!$B$2:$E$115,2,FALSE),"")</f>
        <v/>
      </c>
    </row>
    <row r="381" spans="31:46" x14ac:dyDescent="0.3">
      <c r="AE381" s="204" t="s">
        <v>398</v>
      </c>
      <c r="AF381" s="204" t="s">
        <v>398</v>
      </c>
      <c r="AG381" s="204" t="s">
        <v>398</v>
      </c>
      <c r="AS381" s="65" t="str">
        <f>IFERROR(VLOOKUP(#REF!,[1]Lookup!$B$2:$E$115,4,FALSE),"")</f>
        <v/>
      </c>
      <c r="AT381" s="65" t="str">
        <f>IFERROR(VLOOKUP(#REF!,[1]Lookup!$B$2:$E$115,2,FALSE),"")</f>
        <v/>
      </c>
    </row>
    <row r="382" spans="31:46" x14ac:dyDescent="0.3">
      <c r="AE382" s="204" t="s">
        <v>398</v>
      </c>
      <c r="AF382" s="204" t="s">
        <v>398</v>
      </c>
      <c r="AG382" s="204" t="s">
        <v>398</v>
      </c>
      <c r="AS382" s="65" t="str">
        <f>IFERROR(VLOOKUP(#REF!,[1]Lookup!$B$2:$E$115,4,FALSE),"")</f>
        <v/>
      </c>
      <c r="AT382" s="65" t="str">
        <f>IFERROR(VLOOKUP(#REF!,[1]Lookup!$B$2:$E$115,2,FALSE),"")</f>
        <v/>
      </c>
    </row>
    <row r="383" spans="31:46" x14ac:dyDescent="0.3">
      <c r="AE383" s="204" t="s">
        <v>398</v>
      </c>
      <c r="AF383" s="204" t="s">
        <v>398</v>
      </c>
      <c r="AG383" s="204" t="s">
        <v>398</v>
      </c>
      <c r="AS383" s="65" t="str">
        <f>IFERROR(VLOOKUP(#REF!,[1]Lookup!$B$2:$E$115,4,FALSE),"")</f>
        <v/>
      </c>
      <c r="AT383" s="65" t="str">
        <f>IFERROR(VLOOKUP(#REF!,[1]Lookup!$B$2:$E$115,2,FALSE),"")</f>
        <v/>
      </c>
    </row>
    <row r="384" spans="31:46" x14ac:dyDescent="0.3">
      <c r="AE384" s="204" t="s">
        <v>398</v>
      </c>
      <c r="AF384" s="204" t="s">
        <v>398</v>
      </c>
      <c r="AG384" s="204" t="s">
        <v>398</v>
      </c>
      <c r="AS384" s="65" t="str">
        <f>IFERROR(VLOOKUP(#REF!,[1]Lookup!$B$2:$E$115,4,FALSE),"")</f>
        <v/>
      </c>
      <c r="AT384" s="65" t="str">
        <f>IFERROR(VLOOKUP(#REF!,[1]Lookup!$B$2:$E$115,2,FALSE),"")</f>
        <v/>
      </c>
    </row>
    <row r="385" spans="31:46" x14ac:dyDescent="0.3">
      <c r="AE385" s="204" t="s">
        <v>398</v>
      </c>
      <c r="AF385" s="204" t="s">
        <v>398</v>
      </c>
      <c r="AG385" s="204" t="s">
        <v>398</v>
      </c>
      <c r="AS385" s="65" t="str">
        <f>IFERROR(VLOOKUP(#REF!,[1]Lookup!$B$2:$E$115,4,FALSE),"")</f>
        <v/>
      </c>
      <c r="AT385" s="65" t="str">
        <f>IFERROR(VLOOKUP(#REF!,[1]Lookup!$B$2:$E$115,2,FALSE),"")</f>
        <v/>
      </c>
    </row>
    <row r="386" spans="31:46" x14ac:dyDescent="0.3">
      <c r="AE386" s="204" t="s">
        <v>398</v>
      </c>
      <c r="AF386" s="204" t="s">
        <v>398</v>
      </c>
      <c r="AG386" s="204" t="s">
        <v>398</v>
      </c>
      <c r="AS386" s="65" t="str">
        <f>IFERROR(VLOOKUP(#REF!,[1]Lookup!$B$2:$E$115,4,FALSE),"")</f>
        <v/>
      </c>
      <c r="AT386" s="65" t="str">
        <f>IFERROR(VLOOKUP(#REF!,[1]Lookup!$B$2:$E$115,2,FALSE),"")</f>
        <v/>
      </c>
    </row>
    <row r="387" spans="31:46" x14ac:dyDescent="0.3">
      <c r="AE387" s="204" t="s">
        <v>398</v>
      </c>
      <c r="AF387" s="204" t="s">
        <v>398</v>
      </c>
      <c r="AG387" s="204" t="s">
        <v>398</v>
      </c>
      <c r="AS387" s="65" t="str">
        <f>IFERROR(VLOOKUP(#REF!,[1]Lookup!$B$2:$E$115,4,FALSE),"")</f>
        <v/>
      </c>
      <c r="AT387" s="65" t="str">
        <f>IFERROR(VLOOKUP(#REF!,[1]Lookup!$B$2:$E$115,2,FALSE),"")</f>
        <v/>
      </c>
    </row>
    <row r="388" spans="31:46" x14ac:dyDescent="0.3">
      <c r="AE388" s="204" t="s">
        <v>398</v>
      </c>
      <c r="AF388" s="204" t="s">
        <v>398</v>
      </c>
      <c r="AG388" s="204" t="s">
        <v>398</v>
      </c>
      <c r="AS388" s="65" t="str">
        <f>IFERROR(VLOOKUP(#REF!,[1]Lookup!$B$2:$E$115,4,FALSE),"")</f>
        <v/>
      </c>
      <c r="AT388" s="65" t="str">
        <f>IFERROR(VLOOKUP(#REF!,[1]Lookup!$B$2:$E$115,2,FALSE),"")</f>
        <v/>
      </c>
    </row>
    <row r="389" spans="31:46" x14ac:dyDescent="0.3">
      <c r="AE389" s="204" t="s">
        <v>398</v>
      </c>
      <c r="AF389" s="204" t="s">
        <v>398</v>
      </c>
      <c r="AG389" s="204" t="s">
        <v>398</v>
      </c>
      <c r="AS389" s="65" t="str">
        <f>IFERROR(VLOOKUP(#REF!,[1]Lookup!$B$2:$E$115,4,FALSE),"")</f>
        <v/>
      </c>
      <c r="AT389" s="65" t="str">
        <f>IFERROR(VLOOKUP(#REF!,[1]Lookup!$B$2:$E$115,2,FALSE),"")</f>
        <v/>
      </c>
    </row>
    <row r="390" spans="31:46" x14ac:dyDescent="0.3">
      <c r="AE390" s="204" t="s">
        <v>398</v>
      </c>
      <c r="AF390" s="204" t="s">
        <v>398</v>
      </c>
      <c r="AG390" s="204" t="s">
        <v>398</v>
      </c>
      <c r="AS390" s="65" t="str">
        <f>IFERROR(VLOOKUP(#REF!,[1]Lookup!$B$2:$E$115,4,FALSE),"")</f>
        <v/>
      </c>
      <c r="AT390" s="65" t="str">
        <f>IFERROR(VLOOKUP(#REF!,[1]Lookup!$B$2:$E$115,2,FALSE),"")</f>
        <v/>
      </c>
    </row>
    <row r="391" spans="31:46" x14ac:dyDescent="0.3">
      <c r="AE391" s="204" t="s">
        <v>398</v>
      </c>
      <c r="AF391" s="204" t="s">
        <v>398</v>
      </c>
      <c r="AG391" s="204" t="s">
        <v>398</v>
      </c>
      <c r="AS391" s="65" t="str">
        <f>IFERROR(VLOOKUP(#REF!,[1]Lookup!$B$2:$E$115,4,FALSE),"")</f>
        <v/>
      </c>
      <c r="AT391" s="65" t="str">
        <f>IFERROR(VLOOKUP(#REF!,[1]Lookup!$B$2:$E$115,2,FALSE),"")</f>
        <v/>
      </c>
    </row>
    <row r="392" spans="31:46" x14ac:dyDescent="0.3">
      <c r="AE392" s="204" t="s">
        <v>398</v>
      </c>
      <c r="AF392" s="204" t="s">
        <v>398</v>
      </c>
      <c r="AG392" s="204" t="s">
        <v>398</v>
      </c>
      <c r="AS392" s="65" t="str">
        <f>IFERROR(VLOOKUP(#REF!,[1]Lookup!$B$2:$E$115,4,FALSE),"")</f>
        <v/>
      </c>
      <c r="AT392" s="65" t="str">
        <f>IFERROR(VLOOKUP(#REF!,[1]Lookup!$B$2:$E$115,2,FALSE),"")</f>
        <v/>
      </c>
    </row>
    <row r="393" spans="31:46" x14ac:dyDescent="0.3">
      <c r="AE393" s="204" t="s">
        <v>398</v>
      </c>
      <c r="AF393" s="204" t="s">
        <v>398</v>
      </c>
      <c r="AG393" s="204" t="s">
        <v>398</v>
      </c>
      <c r="AS393" s="65" t="str">
        <f>IFERROR(VLOOKUP(#REF!,[1]Lookup!$B$2:$E$115,4,FALSE),"")</f>
        <v/>
      </c>
      <c r="AT393" s="65" t="str">
        <f>IFERROR(VLOOKUP(#REF!,[1]Lookup!$B$2:$E$115,2,FALSE),"")</f>
        <v/>
      </c>
    </row>
    <row r="394" spans="31:46" x14ac:dyDescent="0.3">
      <c r="AE394" s="204" t="s">
        <v>398</v>
      </c>
      <c r="AF394" s="204" t="s">
        <v>398</v>
      </c>
      <c r="AG394" s="204" t="s">
        <v>398</v>
      </c>
      <c r="AS394" s="65" t="str">
        <f>IFERROR(VLOOKUP(#REF!,[1]Lookup!$B$2:$E$115,4,FALSE),"")</f>
        <v/>
      </c>
      <c r="AT394" s="65" t="str">
        <f>IFERROR(VLOOKUP(#REF!,[1]Lookup!$B$2:$E$115,2,FALSE),"")</f>
        <v/>
      </c>
    </row>
    <row r="395" spans="31:46" x14ac:dyDescent="0.3">
      <c r="AE395" s="204" t="s">
        <v>398</v>
      </c>
      <c r="AF395" s="204" t="s">
        <v>398</v>
      </c>
      <c r="AG395" s="204" t="s">
        <v>398</v>
      </c>
      <c r="AS395" s="65" t="str">
        <f>IFERROR(VLOOKUP(#REF!,[1]Lookup!$B$2:$E$115,4,FALSE),"")</f>
        <v/>
      </c>
      <c r="AT395" s="65" t="str">
        <f>IFERROR(VLOOKUP(#REF!,[1]Lookup!$B$2:$E$115,2,FALSE),"")</f>
        <v/>
      </c>
    </row>
    <row r="396" spans="31:46" x14ac:dyDescent="0.3">
      <c r="AE396" s="204" t="s">
        <v>398</v>
      </c>
      <c r="AF396" s="204" t="s">
        <v>398</v>
      </c>
      <c r="AG396" s="204" t="s">
        <v>398</v>
      </c>
      <c r="AS396" s="65" t="str">
        <f>IFERROR(VLOOKUP(#REF!,[1]Lookup!$B$2:$E$115,4,FALSE),"")</f>
        <v/>
      </c>
      <c r="AT396" s="65" t="str">
        <f>IFERROR(VLOOKUP(#REF!,[1]Lookup!$B$2:$E$115,2,FALSE),"")</f>
        <v/>
      </c>
    </row>
    <row r="397" spans="31:46" x14ac:dyDescent="0.3">
      <c r="AE397" s="204" t="s">
        <v>398</v>
      </c>
      <c r="AF397" s="204" t="s">
        <v>398</v>
      </c>
      <c r="AG397" s="204" t="s">
        <v>398</v>
      </c>
      <c r="AS397" s="65" t="str">
        <f>IFERROR(VLOOKUP(#REF!,[1]Lookup!$B$2:$E$115,4,FALSE),"")</f>
        <v/>
      </c>
      <c r="AT397" s="65" t="str">
        <f>IFERROR(VLOOKUP(#REF!,[1]Lookup!$B$2:$E$115,2,FALSE),"")</f>
        <v/>
      </c>
    </row>
    <row r="398" spans="31:46" x14ac:dyDescent="0.3">
      <c r="AE398" s="204" t="s">
        <v>398</v>
      </c>
      <c r="AF398" s="204" t="s">
        <v>398</v>
      </c>
      <c r="AG398" s="204" t="s">
        <v>398</v>
      </c>
      <c r="AS398" s="65" t="str">
        <f>IFERROR(VLOOKUP(#REF!,[1]Lookup!$B$2:$E$115,4,FALSE),"")</f>
        <v/>
      </c>
      <c r="AT398" s="65" t="str">
        <f>IFERROR(VLOOKUP(#REF!,[1]Lookup!$B$2:$E$115,2,FALSE),"")</f>
        <v/>
      </c>
    </row>
    <row r="399" spans="31:46" x14ac:dyDescent="0.3">
      <c r="AE399" s="204" t="s">
        <v>398</v>
      </c>
      <c r="AF399" s="204" t="s">
        <v>398</v>
      </c>
      <c r="AG399" s="204" t="s">
        <v>398</v>
      </c>
      <c r="AS399" s="65" t="str">
        <f>IFERROR(VLOOKUP(#REF!,[1]Lookup!$B$2:$E$115,4,FALSE),"")</f>
        <v/>
      </c>
      <c r="AT399" s="65" t="str">
        <f>IFERROR(VLOOKUP(#REF!,[1]Lookup!$B$2:$E$115,2,FALSE),"")</f>
        <v/>
      </c>
    </row>
    <row r="400" spans="31:46" x14ac:dyDescent="0.3">
      <c r="AE400" s="204" t="s">
        <v>398</v>
      </c>
      <c r="AF400" s="204" t="s">
        <v>398</v>
      </c>
      <c r="AG400" s="204" t="s">
        <v>398</v>
      </c>
      <c r="AS400" s="65" t="str">
        <f>IFERROR(VLOOKUP(#REF!,[1]Lookup!$B$2:$E$115,4,FALSE),"")</f>
        <v/>
      </c>
      <c r="AT400" s="65" t="str">
        <f>IFERROR(VLOOKUP(#REF!,[1]Lookup!$B$2:$E$115,2,FALSE),"")</f>
        <v/>
      </c>
    </row>
    <row r="401" spans="31:46" x14ac:dyDescent="0.3">
      <c r="AE401" s="204" t="s">
        <v>398</v>
      </c>
      <c r="AF401" s="204" t="s">
        <v>398</v>
      </c>
      <c r="AG401" s="204" t="s">
        <v>398</v>
      </c>
      <c r="AS401" s="65" t="str">
        <f>IFERROR(VLOOKUP(#REF!,[1]Lookup!$B$2:$E$115,4,FALSE),"")</f>
        <v/>
      </c>
      <c r="AT401" s="65" t="str">
        <f>IFERROR(VLOOKUP(#REF!,[1]Lookup!$B$2:$E$115,2,FALSE),"")</f>
        <v/>
      </c>
    </row>
    <row r="402" spans="31:46" x14ac:dyDescent="0.3">
      <c r="AE402" s="204" t="s">
        <v>398</v>
      </c>
      <c r="AF402" s="204" t="s">
        <v>398</v>
      </c>
      <c r="AG402" s="204" t="s">
        <v>398</v>
      </c>
      <c r="AS402" s="65" t="str">
        <f>IFERROR(VLOOKUP(#REF!,[1]Lookup!$B$2:$E$115,4,FALSE),"")</f>
        <v/>
      </c>
      <c r="AT402" s="65" t="str">
        <f>IFERROR(VLOOKUP(#REF!,[1]Lookup!$B$2:$E$115,2,FALSE),"")</f>
        <v/>
      </c>
    </row>
    <row r="403" spans="31:46" x14ac:dyDescent="0.3">
      <c r="AE403" s="204" t="s">
        <v>398</v>
      </c>
      <c r="AF403" s="204" t="s">
        <v>398</v>
      </c>
      <c r="AG403" s="204" t="s">
        <v>398</v>
      </c>
      <c r="AS403" s="65" t="str">
        <f>IFERROR(VLOOKUP(#REF!,[1]Lookup!$B$2:$E$115,4,FALSE),"")</f>
        <v/>
      </c>
      <c r="AT403" s="65" t="str">
        <f>IFERROR(VLOOKUP(#REF!,[1]Lookup!$B$2:$E$115,2,FALSE),"")</f>
        <v/>
      </c>
    </row>
    <row r="404" spans="31:46" x14ac:dyDescent="0.3">
      <c r="AE404" s="204" t="s">
        <v>398</v>
      </c>
      <c r="AF404" s="204" t="s">
        <v>398</v>
      </c>
      <c r="AG404" s="204" t="s">
        <v>398</v>
      </c>
      <c r="AS404" s="65" t="str">
        <f>IFERROR(VLOOKUP(#REF!,[1]Lookup!$B$2:$E$115,4,FALSE),"")</f>
        <v/>
      </c>
      <c r="AT404" s="65" t="str">
        <f>IFERROR(VLOOKUP(#REF!,[1]Lookup!$B$2:$E$115,2,FALSE),"")</f>
        <v/>
      </c>
    </row>
    <row r="405" spans="31:46" x14ac:dyDescent="0.3">
      <c r="AE405" s="204" t="s">
        <v>398</v>
      </c>
      <c r="AF405" s="204" t="s">
        <v>398</v>
      </c>
      <c r="AG405" s="204" t="s">
        <v>398</v>
      </c>
      <c r="AS405" s="65" t="str">
        <f>IFERROR(VLOOKUP(#REF!,[1]Lookup!$B$2:$E$115,4,FALSE),"")</f>
        <v/>
      </c>
      <c r="AT405" s="65" t="str">
        <f>IFERROR(VLOOKUP(#REF!,[1]Lookup!$B$2:$E$115,2,FALSE),"")</f>
        <v/>
      </c>
    </row>
    <row r="406" spans="31:46" x14ac:dyDescent="0.3">
      <c r="AE406" s="204" t="s">
        <v>398</v>
      </c>
      <c r="AF406" s="204" t="s">
        <v>398</v>
      </c>
      <c r="AG406" s="204" t="s">
        <v>398</v>
      </c>
      <c r="AS406" s="65" t="str">
        <f>IFERROR(VLOOKUP(#REF!,[1]Lookup!$B$2:$E$115,4,FALSE),"")</f>
        <v/>
      </c>
      <c r="AT406" s="65" t="str">
        <f>IFERROR(VLOOKUP(#REF!,[1]Lookup!$B$2:$E$115,2,FALSE),"")</f>
        <v/>
      </c>
    </row>
    <row r="407" spans="31:46" x14ac:dyDescent="0.3">
      <c r="AE407" s="204" t="s">
        <v>398</v>
      </c>
      <c r="AF407" s="204" t="s">
        <v>398</v>
      </c>
      <c r="AG407" s="204" t="s">
        <v>398</v>
      </c>
      <c r="AS407" s="65" t="str">
        <f>IFERROR(VLOOKUP(#REF!,[1]Lookup!$B$2:$E$115,4,FALSE),"")</f>
        <v/>
      </c>
      <c r="AT407" s="65" t="str">
        <f>IFERROR(VLOOKUP(#REF!,[1]Lookup!$B$2:$E$115,2,FALSE),"")</f>
        <v/>
      </c>
    </row>
    <row r="408" spans="31:46" x14ac:dyDescent="0.3">
      <c r="AE408" s="204" t="s">
        <v>398</v>
      </c>
      <c r="AF408" s="204" t="s">
        <v>398</v>
      </c>
      <c r="AG408" s="204" t="s">
        <v>398</v>
      </c>
      <c r="AS408" s="65" t="str">
        <f>IFERROR(VLOOKUP(#REF!,[1]Lookup!$B$2:$E$115,4,FALSE),"")</f>
        <v/>
      </c>
      <c r="AT408" s="65" t="str">
        <f>IFERROR(VLOOKUP(#REF!,[1]Lookup!$B$2:$E$115,2,FALSE),"")</f>
        <v/>
      </c>
    </row>
    <row r="409" spans="31:46" x14ac:dyDescent="0.3">
      <c r="AE409" s="204" t="s">
        <v>398</v>
      </c>
      <c r="AF409" s="204" t="s">
        <v>398</v>
      </c>
      <c r="AG409" s="204" t="s">
        <v>398</v>
      </c>
      <c r="AS409" s="65" t="str">
        <f>IFERROR(VLOOKUP(#REF!,[1]Lookup!$B$2:$E$115,4,FALSE),"")</f>
        <v/>
      </c>
      <c r="AT409" s="65" t="str">
        <f>IFERROR(VLOOKUP(#REF!,[1]Lookup!$B$2:$E$115,2,FALSE),"")</f>
        <v/>
      </c>
    </row>
    <row r="410" spans="31:46" x14ac:dyDescent="0.3">
      <c r="AE410" s="204" t="s">
        <v>398</v>
      </c>
      <c r="AF410" s="204" t="s">
        <v>398</v>
      </c>
      <c r="AG410" s="204" t="s">
        <v>398</v>
      </c>
      <c r="AS410" s="65" t="str">
        <f>IFERROR(VLOOKUP(#REF!,[1]Lookup!$B$2:$E$115,4,FALSE),"")</f>
        <v/>
      </c>
      <c r="AT410" s="65" t="str">
        <f>IFERROR(VLOOKUP(#REF!,[1]Lookup!$B$2:$E$115,2,FALSE),"")</f>
        <v/>
      </c>
    </row>
    <row r="411" spans="31:46" x14ac:dyDescent="0.3">
      <c r="AE411" s="204" t="s">
        <v>398</v>
      </c>
      <c r="AF411" s="204" t="s">
        <v>398</v>
      </c>
      <c r="AG411" s="204" t="s">
        <v>398</v>
      </c>
      <c r="AS411" s="65" t="str">
        <f>IFERROR(VLOOKUP(#REF!,[1]Lookup!$B$2:$E$115,4,FALSE),"")</f>
        <v/>
      </c>
      <c r="AT411" s="65" t="str">
        <f>IFERROR(VLOOKUP(#REF!,[1]Lookup!$B$2:$E$115,2,FALSE),"")</f>
        <v/>
      </c>
    </row>
    <row r="412" spans="31:46" x14ac:dyDescent="0.3">
      <c r="AE412" s="204" t="s">
        <v>398</v>
      </c>
      <c r="AF412" s="204" t="s">
        <v>398</v>
      </c>
      <c r="AG412" s="204" t="s">
        <v>398</v>
      </c>
      <c r="AS412" s="65" t="str">
        <f>IFERROR(VLOOKUP(#REF!,[1]Lookup!$B$2:$E$115,4,FALSE),"")</f>
        <v/>
      </c>
      <c r="AT412" s="65" t="str">
        <f>IFERROR(VLOOKUP(#REF!,[1]Lookup!$B$2:$E$115,2,FALSE),"")</f>
        <v/>
      </c>
    </row>
    <row r="413" spans="31:46" x14ac:dyDescent="0.3">
      <c r="AE413" s="204" t="s">
        <v>398</v>
      </c>
      <c r="AF413" s="204" t="s">
        <v>398</v>
      </c>
      <c r="AG413" s="204" t="s">
        <v>398</v>
      </c>
      <c r="AS413" s="65" t="str">
        <f>IFERROR(VLOOKUP(#REF!,[1]Lookup!$B$2:$E$115,4,FALSE),"")</f>
        <v/>
      </c>
      <c r="AT413" s="65" t="str">
        <f>IFERROR(VLOOKUP(#REF!,[1]Lookup!$B$2:$E$115,2,FALSE),"")</f>
        <v/>
      </c>
    </row>
    <row r="414" spans="31:46" x14ac:dyDescent="0.3">
      <c r="AE414" s="204" t="s">
        <v>398</v>
      </c>
      <c r="AF414" s="204" t="s">
        <v>398</v>
      </c>
      <c r="AG414" s="204" t="s">
        <v>398</v>
      </c>
      <c r="AS414" s="65" t="str">
        <f>IFERROR(VLOOKUP(#REF!,[1]Lookup!$B$2:$E$115,4,FALSE),"")</f>
        <v/>
      </c>
      <c r="AT414" s="65" t="str">
        <f>IFERROR(VLOOKUP(#REF!,[1]Lookup!$B$2:$E$115,2,FALSE),"")</f>
        <v/>
      </c>
    </row>
    <row r="415" spans="31:46" x14ac:dyDescent="0.3">
      <c r="AE415" s="204" t="s">
        <v>398</v>
      </c>
      <c r="AF415" s="204" t="s">
        <v>398</v>
      </c>
      <c r="AG415" s="204" t="s">
        <v>398</v>
      </c>
      <c r="AS415" s="65" t="str">
        <f>IFERROR(VLOOKUP(#REF!,[1]Lookup!$B$2:$E$115,4,FALSE),"")</f>
        <v/>
      </c>
      <c r="AT415" s="65" t="str">
        <f>IFERROR(VLOOKUP(#REF!,[1]Lookup!$B$2:$E$115,2,FALSE),"")</f>
        <v/>
      </c>
    </row>
    <row r="416" spans="31:46" x14ac:dyDescent="0.3">
      <c r="AE416" s="204" t="s">
        <v>398</v>
      </c>
      <c r="AF416" s="204" t="s">
        <v>398</v>
      </c>
      <c r="AG416" s="204" t="s">
        <v>398</v>
      </c>
      <c r="AS416" s="65" t="str">
        <f>IFERROR(VLOOKUP(#REF!,[1]Lookup!$B$2:$E$115,4,FALSE),"")</f>
        <v/>
      </c>
      <c r="AT416" s="65" t="str">
        <f>IFERROR(VLOOKUP(#REF!,[1]Lookup!$B$2:$E$115,2,FALSE),"")</f>
        <v/>
      </c>
    </row>
    <row r="417" spans="31:46" x14ac:dyDescent="0.3">
      <c r="AE417" s="204" t="s">
        <v>398</v>
      </c>
      <c r="AF417" s="204" t="s">
        <v>398</v>
      </c>
      <c r="AG417" s="204" t="s">
        <v>398</v>
      </c>
      <c r="AS417" s="65" t="str">
        <f>IFERROR(VLOOKUP(#REF!,[1]Lookup!$B$2:$E$115,4,FALSE),"")</f>
        <v/>
      </c>
      <c r="AT417" s="65" t="str">
        <f>IFERROR(VLOOKUP(#REF!,[1]Lookup!$B$2:$E$115,2,FALSE),"")</f>
        <v/>
      </c>
    </row>
    <row r="418" spans="31:46" x14ac:dyDescent="0.3">
      <c r="AE418" s="204" t="s">
        <v>398</v>
      </c>
      <c r="AF418" s="204" t="s">
        <v>398</v>
      </c>
      <c r="AG418" s="204" t="s">
        <v>398</v>
      </c>
      <c r="AS418" s="65" t="str">
        <f>IFERROR(VLOOKUP(#REF!,[1]Lookup!$B$2:$E$115,4,FALSE),"")</f>
        <v/>
      </c>
      <c r="AT418" s="65" t="str">
        <f>IFERROR(VLOOKUP(#REF!,[1]Lookup!$B$2:$E$115,2,FALSE),"")</f>
        <v/>
      </c>
    </row>
    <row r="419" spans="31:46" x14ac:dyDescent="0.3">
      <c r="AE419" s="204" t="s">
        <v>398</v>
      </c>
      <c r="AF419" s="204" t="s">
        <v>398</v>
      </c>
      <c r="AG419" s="204" t="s">
        <v>398</v>
      </c>
      <c r="AS419" s="65" t="str">
        <f>IFERROR(VLOOKUP(#REF!,[1]Lookup!$B$2:$E$115,4,FALSE),"")</f>
        <v/>
      </c>
      <c r="AT419" s="65" t="str">
        <f>IFERROR(VLOOKUP(#REF!,[1]Lookup!$B$2:$E$115,2,FALSE),"")</f>
        <v/>
      </c>
    </row>
    <row r="420" spans="31:46" x14ac:dyDescent="0.3">
      <c r="AE420" s="204" t="s">
        <v>398</v>
      </c>
      <c r="AF420" s="204" t="s">
        <v>398</v>
      </c>
      <c r="AG420" s="204" t="s">
        <v>398</v>
      </c>
      <c r="AS420" s="65" t="str">
        <f>IFERROR(VLOOKUP(#REF!,[1]Lookup!$B$2:$E$115,4,FALSE),"")</f>
        <v/>
      </c>
      <c r="AT420" s="65" t="str">
        <f>IFERROR(VLOOKUP(#REF!,[1]Lookup!$B$2:$E$115,2,FALSE),"")</f>
        <v/>
      </c>
    </row>
    <row r="421" spans="31:46" x14ac:dyDescent="0.3">
      <c r="AE421" s="204" t="s">
        <v>398</v>
      </c>
      <c r="AF421" s="204" t="s">
        <v>398</v>
      </c>
      <c r="AG421" s="204" t="s">
        <v>398</v>
      </c>
      <c r="AS421" s="65" t="str">
        <f>IFERROR(VLOOKUP(#REF!,[1]Lookup!$B$2:$E$115,4,FALSE),"")</f>
        <v/>
      </c>
      <c r="AT421" s="65" t="str">
        <f>IFERROR(VLOOKUP(#REF!,[1]Lookup!$B$2:$E$115,2,FALSE),"")</f>
        <v/>
      </c>
    </row>
    <row r="422" spans="31:46" x14ac:dyDescent="0.3">
      <c r="AE422" s="204" t="s">
        <v>398</v>
      </c>
      <c r="AF422" s="204" t="s">
        <v>398</v>
      </c>
      <c r="AG422" s="204" t="s">
        <v>398</v>
      </c>
      <c r="AS422" s="65" t="str">
        <f>IFERROR(VLOOKUP(#REF!,[1]Lookup!$B$2:$E$115,4,FALSE),"")</f>
        <v/>
      </c>
      <c r="AT422" s="65" t="str">
        <f>IFERROR(VLOOKUP(#REF!,[1]Lookup!$B$2:$E$115,2,FALSE),"")</f>
        <v/>
      </c>
    </row>
    <row r="423" spans="31:46" x14ac:dyDescent="0.3">
      <c r="AE423" s="204" t="s">
        <v>398</v>
      </c>
      <c r="AF423" s="204" t="s">
        <v>398</v>
      </c>
      <c r="AG423" s="204" t="s">
        <v>398</v>
      </c>
      <c r="AS423" s="65" t="str">
        <f>IFERROR(VLOOKUP(#REF!,[1]Lookup!$B$2:$E$115,4,FALSE),"")</f>
        <v/>
      </c>
      <c r="AT423" s="65" t="str">
        <f>IFERROR(VLOOKUP(#REF!,[1]Lookup!$B$2:$E$115,2,FALSE),"")</f>
        <v/>
      </c>
    </row>
    <row r="424" spans="31:46" x14ac:dyDescent="0.3">
      <c r="AE424" s="204" t="s">
        <v>398</v>
      </c>
      <c r="AF424" s="204" t="s">
        <v>398</v>
      </c>
      <c r="AG424" s="204" t="s">
        <v>398</v>
      </c>
      <c r="AS424" s="65" t="str">
        <f>IFERROR(VLOOKUP(#REF!,[1]Lookup!$B$2:$E$115,4,FALSE),"")</f>
        <v/>
      </c>
      <c r="AT424" s="65" t="str">
        <f>IFERROR(VLOOKUP(#REF!,[1]Lookup!$B$2:$E$115,2,FALSE),"")</f>
        <v/>
      </c>
    </row>
    <row r="425" spans="31:46" x14ac:dyDescent="0.3">
      <c r="AE425" s="204" t="s">
        <v>398</v>
      </c>
      <c r="AF425" s="204" t="s">
        <v>398</v>
      </c>
      <c r="AG425" s="204" t="s">
        <v>398</v>
      </c>
      <c r="AS425" s="65" t="str">
        <f>IFERROR(VLOOKUP(#REF!,[1]Lookup!$B$2:$E$115,4,FALSE),"")</f>
        <v/>
      </c>
      <c r="AT425" s="65" t="str">
        <f>IFERROR(VLOOKUP(#REF!,[1]Lookup!$B$2:$E$115,2,FALSE),"")</f>
        <v/>
      </c>
    </row>
    <row r="426" spans="31:46" x14ac:dyDescent="0.3">
      <c r="AE426" s="204" t="s">
        <v>398</v>
      </c>
      <c r="AF426" s="204" t="s">
        <v>398</v>
      </c>
      <c r="AG426" s="204" t="s">
        <v>398</v>
      </c>
      <c r="AS426" s="65" t="str">
        <f>IFERROR(VLOOKUP(#REF!,[1]Lookup!$B$2:$E$115,4,FALSE),"")</f>
        <v/>
      </c>
      <c r="AT426" s="65" t="str">
        <f>IFERROR(VLOOKUP(#REF!,[1]Lookup!$B$2:$E$115,2,FALSE),"")</f>
        <v/>
      </c>
    </row>
    <row r="427" spans="31:46" x14ac:dyDescent="0.3">
      <c r="AE427" s="204" t="s">
        <v>398</v>
      </c>
      <c r="AF427" s="204" t="s">
        <v>398</v>
      </c>
      <c r="AG427" s="204" t="s">
        <v>398</v>
      </c>
      <c r="AS427" s="65" t="str">
        <f>IFERROR(VLOOKUP(#REF!,[1]Lookup!$B$2:$E$115,4,FALSE),"")</f>
        <v/>
      </c>
      <c r="AT427" s="65" t="str">
        <f>IFERROR(VLOOKUP(#REF!,[1]Lookup!$B$2:$E$115,2,FALSE),"")</f>
        <v/>
      </c>
    </row>
    <row r="428" spans="31:46" x14ac:dyDescent="0.3">
      <c r="AE428" s="204" t="s">
        <v>398</v>
      </c>
      <c r="AF428" s="204" t="s">
        <v>398</v>
      </c>
      <c r="AG428" s="204" t="s">
        <v>398</v>
      </c>
      <c r="AS428" s="65" t="str">
        <f>IFERROR(VLOOKUP(#REF!,[1]Lookup!$B$2:$E$115,4,FALSE),"")</f>
        <v/>
      </c>
      <c r="AT428" s="65" t="str">
        <f>IFERROR(VLOOKUP(#REF!,[1]Lookup!$B$2:$E$115,2,FALSE),"")</f>
        <v/>
      </c>
    </row>
    <row r="429" spans="31:46" x14ac:dyDescent="0.3">
      <c r="AE429" s="204" t="s">
        <v>398</v>
      </c>
      <c r="AF429" s="204" t="s">
        <v>398</v>
      </c>
      <c r="AG429" s="204" t="s">
        <v>398</v>
      </c>
      <c r="AS429" s="65" t="str">
        <f>IFERROR(VLOOKUP(#REF!,[1]Lookup!$B$2:$E$115,4,FALSE),"")</f>
        <v/>
      </c>
      <c r="AT429" s="65" t="str">
        <f>IFERROR(VLOOKUP(#REF!,[1]Lookup!$B$2:$E$115,2,FALSE),"")</f>
        <v/>
      </c>
    </row>
    <row r="430" spans="31:46" x14ac:dyDescent="0.3">
      <c r="AE430" s="204" t="s">
        <v>398</v>
      </c>
      <c r="AF430" s="204" t="s">
        <v>398</v>
      </c>
      <c r="AG430" s="204" t="s">
        <v>398</v>
      </c>
      <c r="AS430" s="65" t="str">
        <f>IFERROR(VLOOKUP(#REF!,[1]Lookup!$B$2:$E$115,4,FALSE),"")</f>
        <v/>
      </c>
      <c r="AT430" s="65" t="str">
        <f>IFERROR(VLOOKUP(#REF!,[1]Lookup!$B$2:$E$115,2,FALSE),"")</f>
        <v/>
      </c>
    </row>
    <row r="431" spans="31:46" x14ac:dyDescent="0.3">
      <c r="AE431" s="204" t="s">
        <v>398</v>
      </c>
      <c r="AF431" s="204" t="s">
        <v>398</v>
      </c>
      <c r="AG431" s="204" t="s">
        <v>398</v>
      </c>
      <c r="AS431" s="65" t="str">
        <f>IFERROR(VLOOKUP(#REF!,[1]Lookup!$B$2:$E$115,4,FALSE),"")</f>
        <v/>
      </c>
      <c r="AT431" s="65" t="str">
        <f>IFERROR(VLOOKUP(#REF!,[1]Lookup!$B$2:$E$115,2,FALSE),"")</f>
        <v/>
      </c>
    </row>
    <row r="432" spans="31:46" x14ac:dyDescent="0.3">
      <c r="AE432" s="204" t="s">
        <v>398</v>
      </c>
      <c r="AF432" s="204" t="s">
        <v>398</v>
      </c>
      <c r="AG432" s="204" t="s">
        <v>398</v>
      </c>
      <c r="AS432" s="65" t="str">
        <f>IFERROR(VLOOKUP(#REF!,[1]Lookup!$B$2:$E$115,4,FALSE),"")</f>
        <v/>
      </c>
      <c r="AT432" s="65" t="str">
        <f>IFERROR(VLOOKUP(#REF!,[1]Lookup!$B$2:$E$115,2,FALSE),"")</f>
        <v/>
      </c>
    </row>
    <row r="433" spans="31:46" x14ac:dyDescent="0.3">
      <c r="AE433" s="204" t="s">
        <v>398</v>
      </c>
      <c r="AF433" s="204" t="s">
        <v>398</v>
      </c>
      <c r="AG433" s="204" t="s">
        <v>398</v>
      </c>
      <c r="AS433" s="65" t="str">
        <f>IFERROR(VLOOKUP(#REF!,[1]Lookup!$B$2:$E$115,4,FALSE),"")</f>
        <v/>
      </c>
      <c r="AT433" s="65" t="str">
        <f>IFERROR(VLOOKUP(#REF!,[1]Lookup!$B$2:$E$115,2,FALSE),"")</f>
        <v/>
      </c>
    </row>
    <row r="434" spans="31:46" x14ac:dyDescent="0.3">
      <c r="AE434" s="204" t="s">
        <v>398</v>
      </c>
      <c r="AF434" s="204" t="s">
        <v>398</v>
      </c>
      <c r="AG434" s="204" t="s">
        <v>398</v>
      </c>
      <c r="AS434" s="65" t="str">
        <f>IFERROR(VLOOKUP(#REF!,[1]Lookup!$B$2:$E$115,4,FALSE),"")</f>
        <v/>
      </c>
      <c r="AT434" s="65" t="str">
        <f>IFERROR(VLOOKUP(#REF!,[1]Lookup!$B$2:$E$115,2,FALSE),"")</f>
        <v/>
      </c>
    </row>
    <row r="435" spans="31:46" x14ac:dyDescent="0.3">
      <c r="AE435" s="204" t="s">
        <v>398</v>
      </c>
      <c r="AF435" s="204" t="s">
        <v>398</v>
      </c>
      <c r="AG435" s="204" t="s">
        <v>398</v>
      </c>
      <c r="AS435" s="65" t="str">
        <f>IFERROR(VLOOKUP(#REF!,[1]Lookup!$B$2:$E$115,4,FALSE),"")</f>
        <v/>
      </c>
      <c r="AT435" s="65" t="str">
        <f>IFERROR(VLOOKUP(#REF!,[1]Lookup!$B$2:$E$115,2,FALSE),"")</f>
        <v/>
      </c>
    </row>
    <row r="436" spans="31:46" x14ac:dyDescent="0.3">
      <c r="AE436" s="204" t="s">
        <v>398</v>
      </c>
      <c r="AF436" s="204" t="s">
        <v>398</v>
      </c>
      <c r="AG436" s="204" t="s">
        <v>398</v>
      </c>
      <c r="AS436" s="65" t="str">
        <f>IFERROR(VLOOKUP(#REF!,[1]Lookup!$B$2:$E$115,4,FALSE),"")</f>
        <v/>
      </c>
      <c r="AT436" s="65" t="str">
        <f>IFERROR(VLOOKUP(#REF!,[1]Lookup!$B$2:$E$115,2,FALSE),"")</f>
        <v/>
      </c>
    </row>
    <row r="437" spans="31:46" x14ac:dyDescent="0.3">
      <c r="AE437" s="204" t="s">
        <v>398</v>
      </c>
      <c r="AF437" s="204" t="s">
        <v>398</v>
      </c>
      <c r="AG437" s="204" t="s">
        <v>398</v>
      </c>
      <c r="AS437" s="65" t="str">
        <f>IFERROR(VLOOKUP(#REF!,[1]Lookup!$B$2:$E$115,4,FALSE),"")</f>
        <v/>
      </c>
      <c r="AT437" s="65" t="str">
        <f>IFERROR(VLOOKUP(#REF!,[1]Lookup!$B$2:$E$115,2,FALSE),"")</f>
        <v/>
      </c>
    </row>
    <row r="438" spans="31:46" x14ac:dyDescent="0.3">
      <c r="AE438" s="204" t="s">
        <v>398</v>
      </c>
      <c r="AF438" s="204" t="s">
        <v>398</v>
      </c>
      <c r="AG438" s="204" t="s">
        <v>398</v>
      </c>
      <c r="AS438" s="65" t="str">
        <f>IFERROR(VLOOKUP(#REF!,[1]Lookup!$B$2:$E$115,4,FALSE),"")</f>
        <v/>
      </c>
      <c r="AT438" s="65" t="str">
        <f>IFERROR(VLOOKUP(#REF!,[1]Lookup!$B$2:$E$115,2,FALSE),"")</f>
        <v/>
      </c>
    </row>
    <row r="439" spans="31:46" x14ac:dyDescent="0.3">
      <c r="AE439" s="204" t="s">
        <v>398</v>
      </c>
      <c r="AF439" s="204" t="s">
        <v>398</v>
      </c>
      <c r="AG439" s="204" t="s">
        <v>398</v>
      </c>
      <c r="AS439" s="65" t="str">
        <f>IFERROR(VLOOKUP(#REF!,[1]Lookup!$B$2:$E$115,4,FALSE),"")</f>
        <v/>
      </c>
      <c r="AT439" s="65" t="str">
        <f>IFERROR(VLOOKUP(#REF!,[1]Lookup!$B$2:$E$115,2,FALSE),"")</f>
        <v/>
      </c>
    </row>
    <row r="440" spans="31:46" x14ac:dyDescent="0.3">
      <c r="AE440" s="204" t="s">
        <v>398</v>
      </c>
      <c r="AF440" s="204" t="s">
        <v>398</v>
      </c>
      <c r="AG440" s="204" t="s">
        <v>398</v>
      </c>
      <c r="AS440" s="65" t="str">
        <f>IFERROR(VLOOKUP(#REF!,[1]Lookup!$B$2:$E$115,4,FALSE),"")</f>
        <v/>
      </c>
      <c r="AT440" s="65" t="str">
        <f>IFERROR(VLOOKUP(#REF!,[1]Lookup!$B$2:$E$115,2,FALSE),"")</f>
        <v/>
      </c>
    </row>
    <row r="441" spans="31:46" x14ac:dyDescent="0.3">
      <c r="AE441" s="204" t="s">
        <v>398</v>
      </c>
      <c r="AF441" s="204" t="s">
        <v>398</v>
      </c>
      <c r="AG441" s="204" t="s">
        <v>398</v>
      </c>
      <c r="AS441" s="65" t="str">
        <f>IFERROR(VLOOKUP(#REF!,[1]Lookup!$B$2:$E$115,4,FALSE),"")</f>
        <v/>
      </c>
      <c r="AT441" s="65" t="str">
        <f>IFERROR(VLOOKUP(#REF!,[1]Lookup!$B$2:$E$115,2,FALSE),"")</f>
        <v/>
      </c>
    </row>
    <row r="442" spans="31:46" x14ac:dyDescent="0.3">
      <c r="AE442" s="204" t="s">
        <v>398</v>
      </c>
      <c r="AF442" s="204" t="s">
        <v>398</v>
      </c>
      <c r="AG442" s="204" t="s">
        <v>398</v>
      </c>
      <c r="AS442" s="65" t="str">
        <f>IFERROR(VLOOKUP(#REF!,[1]Lookup!$B$2:$E$115,4,FALSE),"")</f>
        <v/>
      </c>
      <c r="AT442" s="65" t="str">
        <f>IFERROR(VLOOKUP(#REF!,[1]Lookup!$B$2:$E$115,2,FALSE),"")</f>
        <v/>
      </c>
    </row>
    <row r="443" spans="31:46" x14ac:dyDescent="0.3">
      <c r="AE443" s="204" t="s">
        <v>398</v>
      </c>
      <c r="AF443" s="204" t="s">
        <v>398</v>
      </c>
      <c r="AG443" s="204" t="s">
        <v>398</v>
      </c>
      <c r="AS443" s="65" t="str">
        <f>IFERROR(VLOOKUP(#REF!,[1]Lookup!$B$2:$E$115,4,FALSE),"")</f>
        <v/>
      </c>
      <c r="AT443" s="65" t="str">
        <f>IFERROR(VLOOKUP(#REF!,[1]Lookup!$B$2:$E$115,2,FALSE),"")</f>
        <v/>
      </c>
    </row>
    <row r="444" spans="31:46" x14ac:dyDescent="0.3">
      <c r="AE444" s="204" t="s">
        <v>398</v>
      </c>
      <c r="AF444" s="204" t="s">
        <v>398</v>
      </c>
      <c r="AG444" s="204" t="s">
        <v>398</v>
      </c>
      <c r="AS444" s="65" t="str">
        <f>IFERROR(VLOOKUP(#REF!,[1]Lookup!$B$2:$E$115,4,FALSE),"")</f>
        <v/>
      </c>
      <c r="AT444" s="65" t="str">
        <f>IFERROR(VLOOKUP(#REF!,[1]Lookup!$B$2:$E$115,2,FALSE),"")</f>
        <v/>
      </c>
    </row>
    <row r="445" spans="31:46" x14ac:dyDescent="0.3">
      <c r="AE445" s="204" t="s">
        <v>398</v>
      </c>
      <c r="AF445" s="204" t="s">
        <v>398</v>
      </c>
      <c r="AG445" s="204" t="s">
        <v>398</v>
      </c>
      <c r="AS445" s="65" t="str">
        <f>IFERROR(VLOOKUP(#REF!,[1]Lookup!$B$2:$E$115,4,FALSE),"")</f>
        <v/>
      </c>
      <c r="AT445" s="65" t="str">
        <f>IFERROR(VLOOKUP(#REF!,[1]Lookup!$B$2:$E$115,2,FALSE),"")</f>
        <v/>
      </c>
    </row>
    <row r="446" spans="31:46" x14ac:dyDescent="0.3">
      <c r="AE446" s="204" t="s">
        <v>398</v>
      </c>
      <c r="AF446" s="204" t="s">
        <v>398</v>
      </c>
      <c r="AG446" s="204" t="s">
        <v>398</v>
      </c>
      <c r="AS446" s="65" t="str">
        <f>IFERROR(VLOOKUP(#REF!,[1]Lookup!$B$2:$E$115,4,FALSE),"")</f>
        <v/>
      </c>
      <c r="AT446" s="65" t="str">
        <f>IFERROR(VLOOKUP(#REF!,[1]Lookup!$B$2:$E$115,2,FALSE),"")</f>
        <v/>
      </c>
    </row>
    <row r="447" spans="31:46" x14ac:dyDescent="0.3">
      <c r="AE447" s="204" t="s">
        <v>398</v>
      </c>
      <c r="AF447" s="204" t="s">
        <v>398</v>
      </c>
      <c r="AG447" s="204" t="s">
        <v>398</v>
      </c>
      <c r="AS447" s="65" t="str">
        <f>IFERROR(VLOOKUP(#REF!,[1]Lookup!$B$2:$E$115,4,FALSE),"")</f>
        <v/>
      </c>
      <c r="AT447" s="65" t="str">
        <f>IFERROR(VLOOKUP(#REF!,[1]Lookup!$B$2:$E$115,2,FALSE),"")</f>
        <v/>
      </c>
    </row>
    <row r="448" spans="31:46" x14ac:dyDescent="0.3">
      <c r="AE448" s="204" t="s">
        <v>398</v>
      </c>
      <c r="AF448" s="204" t="s">
        <v>398</v>
      </c>
      <c r="AG448" s="204" t="s">
        <v>398</v>
      </c>
      <c r="AS448" s="65" t="str">
        <f>IFERROR(VLOOKUP(#REF!,[1]Lookup!$B$2:$E$115,4,FALSE),"")</f>
        <v/>
      </c>
      <c r="AT448" s="65" t="str">
        <f>IFERROR(VLOOKUP(#REF!,[1]Lookup!$B$2:$E$115,2,FALSE),"")</f>
        <v/>
      </c>
    </row>
    <row r="449" spans="31:46" x14ac:dyDescent="0.3">
      <c r="AE449" s="204" t="s">
        <v>398</v>
      </c>
      <c r="AF449" s="204" t="s">
        <v>398</v>
      </c>
      <c r="AG449" s="204" t="s">
        <v>398</v>
      </c>
      <c r="AS449" s="65" t="str">
        <f>IFERROR(VLOOKUP(#REF!,[1]Lookup!$B$2:$E$115,4,FALSE),"")</f>
        <v/>
      </c>
      <c r="AT449" s="65" t="str">
        <f>IFERROR(VLOOKUP(#REF!,[1]Lookup!$B$2:$E$115,2,FALSE),"")</f>
        <v/>
      </c>
    </row>
    <row r="450" spans="31:46" x14ac:dyDescent="0.3">
      <c r="AE450" s="204" t="s">
        <v>398</v>
      </c>
      <c r="AF450" s="204" t="s">
        <v>398</v>
      </c>
      <c r="AG450" s="204" t="s">
        <v>398</v>
      </c>
      <c r="AS450" s="65" t="str">
        <f>IFERROR(VLOOKUP(#REF!,[1]Lookup!$B$2:$E$115,4,FALSE),"")</f>
        <v/>
      </c>
      <c r="AT450" s="65" t="str">
        <f>IFERROR(VLOOKUP(#REF!,[1]Lookup!$B$2:$E$115,2,FALSE),"")</f>
        <v/>
      </c>
    </row>
    <row r="451" spans="31:46" x14ac:dyDescent="0.3">
      <c r="AE451" s="204" t="s">
        <v>398</v>
      </c>
      <c r="AF451" s="204" t="s">
        <v>398</v>
      </c>
      <c r="AG451" s="204" t="s">
        <v>398</v>
      </c>
      <c r="AS451" s="65" t="str">
        <f>IFERROR(VLOOKUP(#REF!,[1]Lookup!$B$2:$E$115,4,FALSE),"")</f>
        <v/>
      </c>
      <c r="AT451" s="65" t="str">
        <f>IFERROR(VLOOKUP(#REF!,[1]Lookup!$B$2:$E$115,2,FALSE),"")</f>
        <v/>
      </c>
    </row>
    <row r="452" spans="31:46" x14ac:dyDescent="0.3">
      <c r="AE452" s="204" t="s">
        <v>398</v>
      </c>
      <c r="AF452" s="204" t="s">
        <v>398</v>
      </c>
      <c r="AG452" s="204" t="s">
        <v>398</v>
      </c>
      <c r="AS452" s="65" t="str">
        <f>IFERROR(VLOOKUP(#REF!,[1]Lookup!$B$2:$E$115,4,FALSE),"")</f>
        <v/>
      </c>
      <c r="AT452" s="65" t="str">
        <f>IFERROR(VLOOKUP(#REF!,[1]Lookup!$B$2:$E$115,2,FALSE),"")</f>
        <v/>
      </c>
    </row>
    <row r="453" spans="31:46" x14ac:dyDescent="0.3">
      <c r="AE453" s="204" t="s">
        <v>398</v>
      </c>
      <c r="AF453" s="204" t="s">
        <v>398</v>
      </c>
      <c r="AG453" s="204" t="s">
        <v>398</v>
      </c>
      <c r="AS453" s="65" t="str">
        <f>IFERROR(VLOOKUP(#REF!,[1]Lookup!$B$2:$E$115,4,FALSE),"")</f>
        <v/>
      </c>
      <c r="AT453" s="65" t="str">
        <f>IFERROR(VLOOKUP(#REF!,[1]Lookup!$B$2:$E$115,2,FALSE),"")</f>
        <v/>
      </c>
    </row>
    <row r="454" spans="31:46" x14ac:dyDescent="0.3">
      <c r="AE454" s="204" t="s">
        <v>398</v>
      </c>
      <c r="AF454" s="204" t="s">
        <v>398</v>
      </c>
      <c r="AG454" s="204" t="s">
        <v>398</v>
      </c>
      <c r="AS454" s="65" t="str">
        <f>IFERROR(VLOOKUP(#REF!,[1]Lookup!$B$2:$E$115,4,FALSE),"")</f>
        <v/>
      </c>
      <c r="AT454" s="65" t="str">
        <f>IFERROR(VLOOKUP(#REF!,[1]Lookup!$B$2:$E$115,2,FALSE),"")</f>
        <v/>
      </c>
    </row>
    <row r="455" spans="31:46" x14ac:dyDescent="0.3">
      <c r="AE455" s="204" t="s">
        <v>398</v>
      </c>
      <c r="AF455" s="204" t="s">
        <v>398</v>
      </c>
      <c r="AG455" s="204" t="s">
        <v>398</v>
      </c>
      <c r="AS455" s="65" t="str">
        <f>IFERROR(VLOOKUP(#REF!,[1]Lookup!$B$2:$E$115,4,FALSE),"")</f>
        <v/>
      </c>
      <c r="AT455" s="65" t="str">
        <f>IFERROR(VLOOKUP(#REF!,[1]Lookup!$B$2:$E$115,2,FALSE),"")</f>
        <v/>
      </c>
    </row>
    <row r="456" spans="31:46" x14ac:dyDescent="0.3">
      <c r="AE456" s="204" t="s">
        <v>398</v>
      </c>
      <c r="AF456" s="204" t="s">
        <v>398</v>
      </c>
      <c r="AG456" s="204" t="s">
        <v>398</v>
      </c>
      <c r="AS456" s="65" t="str">
        <f>IFERROR(VLOOKUP(#REF!,[1]Lookup!$B$2:$E$115,4,FALSE),"")</f>
        <v/>
      </c>
      <c r="AT456" s="65" t="str">
        <f>IFERROR(VLOOKUP(#REF!,[1]Lookup!$B$2:$E$115,2,FALSE),"")</f>
        <v/>
      </c>
    </row>
    <row r="457" spans="31:46" x14ac:dyDescent="0.3">
      <c r="AE457" s="204" t="s">
        <v>398</v>
      </c>
      <c r="AF457" s="204" t="s">
        <v>398</v>
      </c>
      <c r="AG457" s="204" t="s">
        <v>398</v>
      </c>
      <c r="AS457" s="65" t="str">
        <f>IFERROR(VLOOKUP(#REF!,[1]Lookup!$B$2:$E$115,4,FALSE),"")</f>
        <v/>
      </c>
      <c r="AT457" s="65" t="str">
        <f>IFERROR(VLOOKUP(#REF!,[1]Lookup!$B$2:$E$115,2,FALSE),"")</f>
        <v/>
      </c>
    </row>
    <row r="458" spans="31:46" x14ac:dyDescent="0.3">
      <c r="AE458" s="204" t="s">
        <v>398</v>
      </c>
      <c r="AF458" s="204" t="s">
        <v>398</v>
      </c>
      <c r="AG458" s="204" t="s">
        <v>398</v>
      </c>
      <c r="AS458" s="65" t="str">
        <f>IFERROR(VLOOKUP(#REF!,[1]Lookup!$B$2:$E$115,4,FALSE),"")</f>
        <v/>
      </c>
      <c r="AT458" s="65" t="str">
        <f>IFERROR(VLOOKUP(#REF!,[1]Lookup!$B$2:$E$115,2,FALSE),"")</f>
        <v/>
      </c>
    </row>
    <row r="459" spans="31:46" x14ac:dyDescent="0.3">
      <c r="AE459" s="204" t="s">
        <v>398</v>
      </c>
      <c r="AF459" s="204" t="s">
        <v>398</v>
      </c>
      <c r="AG459" s="204" t="s">
        <v>398</v>
      </c>
      <c r="AS459" s="65" t="str">
        <f>IFERROR(VLOOKUP(#REF!,[1]Lookup!$B$2:$E$115,4,FALSE),"")</f>
        <v/>
      </c>
      <c r="AT459" s="65" t="str">
        <f>IFERROR(VLOOKUP(#REF!,[1]Lookup!$B$2:$E$115,2,FALSE),"")</f>
        <v/>
      </c>
    </row>
    <row r="460" spans="31:46" x14ac:dyDescent="0.3">
      <c r="AE460" s="204" t="s">
        <v>398</v>
      </c>
      <c r="AF460" s="204" t="s">
        <v>398</v>
      </c>
      <c r="AG460" s="204" t="s">
        <v>398</v>
      </c>
      <c r="AS460" s="65" t="str">
        <f>IFERROR(VLOOKUP(#REF!,[1]Lookup!$B$2:$E$115,4,FALSE),"")</f>
        <v/>
      </c>
      <c r="AT460" s="65" t="str">
        <f>IFERROR(VLOOKUP(#REF!,[1]Lookup!$B$2:$E$115,2,FALSE),"")</f>
        <v/>
      </c>
    </row>
    <row r="461" spans="31:46" x14ac:dyDescent="0.3">
      <c r="AE461" s="204" t="s">
        <v>398</v>
      </c>
      <c r="AF461" s="204" t="s">
        <v>398</v>
      </c>
      <c r="AG461" s="204" t="s">
        <v>398</v>
      </c>
      <c r="AS461" s="65" t="str">
        <f>IFERROR(VLOOKUP(#REF!,[1]Lookup!$B$2:$E$115,4,FALSE),"")</f>
        <v/>
      </c>
      <c r="AT461" s="65" t="str">
        <f>IFERROR(VLOOKUP(#REF!,[1]Lookup!$B$2:$E$115,2,FALSE),"")</f>
        <v/>
      </c>
    </row>
    <row r="462" spans="31:46" x14ac:dyDescent="0.3">
      <c r="AE462" s="204" t="s">
        <v>398</v>
      </c>
      <c r="AF462" s="204" t="s">
        <v>398</v>
      </c>
      <c r="AG462" s="204" t="s">
        <v>398</v>
      </c>
      <c r="AS462" s="65" t="str">
        <f>IFERROR(VLOOKUP(#REF!,[1]Lookup!$B$2:$E$115,4,FALSE),"")</f>
        <v/>
      </c>
      <c r="AT462" s="65" t="str">
        <f>IFERROR(VLOOKUP(#REF!,[1]Lookup!$B$2:$E$115,2,FALSE),"")</f>
        <v/>
      </c>
    </row>
    <row r="463" spans="31:46" x14ac:dyDescent="0.3">
      <c r="AE463" s="204" t="s">
        <v>398</v>
      </c>
      <c r="AF463" s="204" t="s">
        <v>398</v>
      </c>
      <c r="AG463" s="204" t="s">
        <v>398</v>
      </c>
      <c r="AS463" s="65" t="str">
        <f>IFERROR(VLOOKUP(#REF!,[1]Lookup!$B$2:$E$115,4,FALSE),"")</f>
        <v/>
      </c>
      <c r="AT463" s="65" t="str">
        <f>IFERROR(VLOOKUP(#REF!,[1]Lookup!$B$2:$E$115,2,FALSE),"")</f>
        <v/>
      </c>
    </row>
    <row r="464" spans="31:46" x14ac:dyDescent="0.3">
      <c r="AE464" s="204" t="s">
        <v>398</v>
      </c>
      <c r="AF464" s="204" t="s">
        <v>398</v>
      </c>
      <c r="AG464" s="204" t="s">
        <v>398</v>
      </c>
      <c r="AS464" s="65" t="str">
        <f>IFERROR(VLOOKUP(#REF!,[1]Lookup!$B$2:$E$115,4,FALSE),"")</f>
        <v/>
      </c>
      <c r="AT464" s="65" t="str">
        <f>IFERROR(VLOOKUP(#REF!,[1]Lookup!$B$2:$E$115,2,FALSE),"")</f>
        <v/>
      </c>
    </row>
    <row r="465" spans="31:46" x14ac:dyDescent="0.3">
      <c r="AE465" s="204" t="s">
        <v>398</v>
      </c>
      <c r="AF465" s="204" t="s">
        <v>398</v>
      </c>
      <c r="AG465" s="204" t="s">
        <v>398</v>
      </c>
      <c r="AS465" s="65" t="str">
        <f>IFERROR(VLOOKUP(#REF!,[1]Lookup!$B$2:$E$115,4,FALSE),"")</f>
        <v/>
      </c>
      <c r="AT465" s="65" t="str">
        <f>IFERROR(VLOOKUP(#REF!,[1]Lookup!$B$2:$E$115,2,FALSE),"")</f>
        <v/>
      </c>
    </row>
    <row r="466" spans="31:46" x14ac:dyDescent="0.3">
      <c r="AE466" s="204" t="s">
        <v>398</v>
      </c>
      <c r="AF466" s="204" t="s">
        <v>398</v>
      </c>
      <c r="AG466" s="204" t="s">
        <v>398</v>
      </c>
      <c r="AS466" s="65" t="str">
        <f>IFERROR(VLOOKUP(#REF!,[1]Lookup!$B$2:$E$115,4,FALSE),"")</f>
        <v/>
      </c>
      <c r="AT466" s="65" t="str">
        <f>IFERROR(VLOOKUP(#REF!,[1]Lookup!$B$2:$E$115,2,FALSE),"")</f>
        <v/>
      </c>
    </row>
    <row r="467" spans="31:46" x14ac:dyDescent="0.3">
      <c r="AE467" s="204" t="s">
        <v>398</v>
      </c>
      <c r="AF467" s="204" t="s">
        <v>398</v>
      </c>
      <c r="AG467" s="204" t="s">
        <v>398</v>
      </c>
      <c r="AS467" s="65" t="str">
        <f>IFERROR(VLOOKUP(#REF!,[1]Lookup!$B$2:$E$115,4,FALSE),"")</f>
        <v/>
      </c>
      <c r="AT467" s="65" t="str">
        <f>IFERROR(VLOOKUP(#REF!,[1]Lookup!$B$2:$E$115,2,FALSE),"")</f>
        <v/>
      </c>
    </row>
    <row r="468" spans="31:46" x14ac:dyDescent="0.3">
      <c r="AE468" s="204" t="s">
        <v>398</v>
      </c>
      <c r="AF468" s="204" t="s">
        <v>398</v>
      </c>
      <c r="AG468" s="204" t="s">
        <v>398</v>
      </c>
      <c r="AS468" s="65" t="str">
        <f>IFERROR(VLOOKUP(#REF!,[1]Lookup!$B$2:$E$115,4,FALSE),"")</f>
        <v/>
      </c>
      <c r="AT468" s="65" t="str">
        <f>IFERROR(VLOOKUP(#REF!,[1]Lookup!$B$2:$E$115,2,FALSE),"")</f>
        <v/>
      </c>
    </row>
    <row r="469" spans="31:46" x14ac:dyDescent="0.3">
      <c r="AE469" s="204" t="s">
        <v>398</v>
      </c>
      <c r="AF469" s="204" t="s">
        <v>398</v>
      </c>
      <c r="AG469" s="204" t="s">
        <v>398</v>
      </c>
      <c r="AS469" s="65" t="str">
        <f>IFERROR(VLOOKUP(#REF!,[1]Lookup!$B$2:$E$115,4,FALSE),"")</f>
        <v/>
      </c>
      <c r="AT469" s="65" t="str">
        <f>IFERROR(VLOOKUP(#REF!,[1]Lookup!$B$2:$E$115,2,FALSE),"")</f>
        <v/>
      </c>
    </row>
    <row r="470" spans="31:46" x14ac:dyDescent="0.3">
      <c r="AE470" s="204" t="s">
        <v>398</v>
      </c>
      <c r="AF470" s="204" t="s">
        <v>398</v>
      </c>
      <c r="AG470" s="204" t="s">
        <v>398</v>
      </c>
      <c r="AS470" s="65" t="str">
        <f>IFERROR(VLOOKUP(#REF!,[1]Lookup!$B$2:$E$115,4,FALSE),"")</f>
        <v/>
      </c>
      <c r="AT470" s="65" t="str">
        <f>IFERROR(VLOOKUP(#REF!,[1]Lookup!$B$2:$E$115,2,FALSE),"")</f>
        <v/>
      </c>
    </row>
    <row r="471" spans="31:46" x14ac:dyDescent="0.3">
      <c r="AE471" s="204" t="s">
        <v>398</v>
      </c>
      <c r="AF471" s="204" t="s">
        <v>398</v>
      </c>
      <c r="AG471" s="204" t="s">
        <v>398</v>
      </c>
      <c r="AS471" s="65" t="str">
        <f>IFERROR(VLOOKUP(#REF!,[1]Lookup!$B$2:$E$115,4,FALSE),"")</f>
        <v/>
      </c>
      <c r="AT471" s="65" t="str">
        <f>IFERROR(VLOOKUP(#REF!,[1]Lookup!$B$2:$E$115,2,FALSE),"")</f>
        <v/>
      </c>
    </row>
    <row r="472" spans="31:46" x14ac:dyDescent="0.3">
      <c r="AE472" s="204" t="s">
        <v>398</v>
      </c>
      <c r="AF472" s="204" t="s">
        <v>398</v>
      </c>
      <c r="AG472" s="204" t="s">
        <v>398</v>
      </c>
      <c r="AS472" s="65" t="str">
        <f>IFERROR(VLOOKUP(#REF!,[1]Lookup!$B$2:$E$115,4,FALSE),"")</f>
        <v/>
      </c>
      <c r="AT472" s="65" t="str">
        <f>IFERROR(VLOOKUP(#REF!,[1]Lookup!$B$2:$E$115,2,FALSE),"")</f>
        <v/>
      </c>
    </row>
    <row r="473" spans="31:46" x14ac:dyDescent="0.3">
      <c r="AE473" s="204" t="s">
        <v>398</v>
      </c>
      <c r="AF473" s="204" t="s">
        <v>398</v>
      </c>
      <c r="AG473" s="204" t="s">
        <v>398</v>
      </c>
      <c r="AS473" s="65" t="str">
        <f>IFERROR(VLOOKUP(#REF!,[1]Lookup!$B$2:$E$115,4,FALSE),"")</f>
        <v/>
      </c>
      <c r="AT473" s="65" t="str">
        <f>IFERROR(VLOOKUP(#REF!,[1]Lookup!$B$2:$E$115,2,FALSE),"")</f>
        <v/>
      </c>
    </row>
    <row r="474" spans="31:46" x14ac:dyDescent="0.3">
      <c r="AE474" s="204" t="s">
        <v>398</v>
      </c>
      <c r="AF474" s="204" t="s">
        <v>398</v>
      </c>
      <c r="AG474" s="204" t="s">
        <v>398</v>
      </c>
      <c r="AS474" s="65" t="str">
        <f>IFERROR(VLOOKUP(#REF!,[1]Lookup!$B$2:$E$115,4,FALSE),"")</f>
        <v/>
      </c>
      <c r="AT474" s="65" t="str">
        <f>IFERROR(VLOOKUP(#REF!,[1]Lookup!$B$2:$E$115,2,FALSE),"")</f>
        <v/>
      </c>
    </row>
    <row r="475" spans="31:46" x14ac:dyDescent="0.3">
      <c r="AE475" s="204" t="s">
        <v>398</v>
      </c>
      <c r="AF475" s="204" t="s">
        <v>398</v>
      </c>
      <c r="AG475" s="204" t="s">
        <v>398</v>
      </c>
      <c r="AS475" s="65" t="str">
        <f>IFERROR(VLOOKUP(#REF!,[1]Lookup!$B$2:$E$115,4,FALSE),"")</f>
        <v/>
      </c>
      <c r="AT475" s="65" t="str">
        <f>IFERROR(VLOOKUP(#REF!,[1]Lookup!$B$2:$E$115,2,FALSE),"")</f>
        <v/>
      </c>
    </row>
    <row r="476" spans="31:46" x14ac:dyDescent="0.3">
      <c r="AE476" s="204" t="s">
        <v>398</v>
      </c>
      <c r="AF476" s="204" t="s">
        <v>398</v>
      </c>
      <c r="AG476" s="204" t="s">
        <v>398</v>
      </c>
      <c r="AS476" s="65" t="str">
        <f>IFERROR(VLOOKUP(#REF!,[1]Lookup!$B$2:$E$115,4,FALSE),"")</f>
        <v/>
      </c>
      <c r="AT476" s="65" t="str">
        <f>IFERROR(VLOOKUP(#REF!,[1]Lookup!$B$2:$E$115,2,FALSE),"")</f>
        <v/>
      </c>
    </row>
    <row r="477" spans="31:46" x14ac:dyDescent="0.3">
      <c r="AE477" s="204" t="s">
        <v>398</v>
      </c>
      <c r="AF477" s="204" t="s">
        <v>398</v>
      </c>
      <c r="AG477" s="204" t="s">
        <v>398</v>
      </c>
      <c r="AS477" s="65" t="str">
        <f>IFERROR(VLOOKUP(#REF!,[1]Lookup!$B$2:$E$115,4,FALSE),"")</f>
        <v/>
      </c>
      <c r="AT477" s="65" t="str">
        <f>IFERROR(VLOOKUP(#REF!,[1]Lookup!$B$2:$E$115,2,FALSE),"")</f>
        <v/>
      </c>
    </row>
    <row r="478" spans="31:46" x14ac:dyDescent="0.3">
      <c r="AE478" s="204" t="s">
        <v>398</v>
      </c>
      <c r="AF478" s="204" t="s">
        <v>398</v>
      </c>
      <c r="AG478" s="204" t="s">
        <v>398</v>
      </c>
      <c r="AS478" s="65" t="str">
        <f>IFERROR(VLOOKUP(#REF!,[1]Lookup!$B$2:$E$115,4,FALSE),"")</f>
        <v/>
      </c>
      <c r="AT478" s="65" t="str">
        <f>IFERROR(VLOOKUP(#REF!,[1]Lookup!$B$2:$E$115,2,FALSE),"")</f>
        <v/>
      </c>
    </row>
    <row r="479" spans="31:46" x14ac:dyDescent="0.3">
      <c r="AE479" s="204" t="s">
        <v>398</v>
      </c>
      <c r="AF479" s="204" t="s">
        <v>398</v>
      </c>
      <c r="AG479" s="204" t="s">
        <v>398</v>
      </c>
      <c r="AS479" s="65" t="str">
        <f>IFERROR(VLOOKUP(#REF!,[1]Lookup!$B$2:$E$115,4,FALSE),"")</f>
        <v/>
      </c>
      <c r="AT479" s="65" t="str">
        <f>IFERROR(VLOOKUP(#REF!,[1]Lookup!$B$2:$E$115,2,FALSE),"")</f>
        <v/>
      </c>
    </row>
    <row r="480" spans="31:46" x14ac:dyDescent="0.3">
      <c r="AE480" s="204" t="s">
        <v>398</v>
      </c>
      <c r="AF480" s="204" t="s">
        <v>398</v>
      </c>
      <c r="AG480" s="204" t="s">
        <v>398</v>
      </c>
      <c r="AS480" s="65" t="str">
        <f>IFERROR(VLOOKUP(#REF!,[1]Lookup!$B$2:$E$115,4,FALSE),"")</f>
        <v/>
      </c>
      <c r="AT480" s="65" t="str">
        <f>IFERROR(VLOOKUP(#REF!,[1]Lookup!$B$2:$E$115,2,FALSE),"")</f>
        <v/>
      </c>
    </row>
    <row r="481" spans="31:46" x14ac:dyDescent="0.3">
      <c r="AE481" s="204" t="s">
        <v>398</v>
      </c>
      <c r="AF481" s="204" t="s">
        <v>398</v>
      </c>
      <c r="AG481" s="204" t="s">
        <v>398</v>
      </c>
      <c r="AS481" s="65" t="str">
        <f>IFERROR(VLOOKUP(#REF!,[1]Lookup!$B$2:$E$115,4,FALSE),"")</f>
        <v/>
      </c>
      <c r="AT481" s="65" t="str">
        <f>IFERROR(VLOOKUP(#REF!,[1]Lookup!$B$2:$E$115,2,FALSE),"")</f>
        <v/>
      </c>
    </row>
    <row r="482" spans="31:46" x14ac:dyDescent="0.3">
      <c r="AE482" s="204" t="s">
        <v>398</v>
      </c>
      <c r="AF482" s="204" t="s">
        <v>398</v>
      </c>
      <c r="AG482" s="204" t="s">
        <v>398</v>
      </c>
      <c r="AS482" s="65" t="str">
        <f>IFERROR(VLOOKUP(#REF!,[1]Lookup!$B$2:$E$115,4,FALSE),"")</f>
        <v/>
      </c>
      <c r="AT482" s="65" t="str">
        <f>IFERROR(VLOOKUP(#REF!,[1]Lookup!$B$2:$E$115,2,FALSE),"")</f>
        <v/>
      </c>
    </row>
    <row r="483" spans="31:46" x14ac:dyDescent="0.3">
      <c r="AE483" s="204" t="s">
        <v>398</v>
      </c>
      <c r="AF483" s="204" t="s">
        <v>398</v>
      </c>
      <c r="AG483" s="204" t="s">
        <v>398</v>
      </c>
      <c r="AS483" s="65" t="str">
        <f>IFERROR(VLOOKUP(#REF!,[1]Lookup!$B$2:$E$115,4,FALSE),"")</f>
        <v/>
      </c>
      <c r="AT483" s="65" t="str">
        <f>IFERROR(VLOOKUP(#REF!,[1]Lookup!$B$2:$E$115,2,FALSE),"")</f>
        <v/>
      </c>
    </row>
    <row r="484" spans="31:46" x14ac:dyDescent="0.3">
      <c r="AE484" s="204" t="s">
        <v>398</v>
      </c>
      <c r="AF484" s="204" t="s">
        <v>398</v>
      </c>
      <c r="AG484" s="204" t="s">
        <v>398</v>
      </c>
      <c r="AS484" s="65" t="str">
        <f>IFERROR(VLOOKUP(#REF!,[1]Lookup!$B$2:$E$115,4,FALSE),"")</f>
        <v/>
      </c>
      <c r="AT484" s="65" t="str">
        <f>IFERROR(VLOOKUP(#REF!,[1]Lookup!$B$2:$E$115,2,FALSE),"")</f>
        <v/>
      </c>
    </row>
    <row r="485" spans="31:46" x14ac:dyDescent="0.3">
      <c r="AE485" s="204" t="s">
        <v>398</v>
      </c>
      <c r="AF485" s="204" t="s">
        <v>398</v>
      </c>
      <c r="AG485" s="204" t="s">
        <v>398</v>
      </c>
      <c r="AS485" s="65" t="str">
        <f>IFERROR(VLOOKUP(#REF!,[1]Lookup!$B$2:$E$115,4,FALSE),"")</f>
        <v/>
      </c>
      <c r="AT485" s="65" t="str">
        <f>IFERROR(VLOOKUP(#REF!,[1]Lookup!$B$2:$E$115,2,FALSE),"")</f>
        <v/>
      </c>
    </row>
    <row r="486" spans="31:46" x14ac:dyDescent="0.3">
      <c r="AE486" s="204" t="s">
        <v>398</v>
      </c>
      <c r="AF486" s="204" t="s">
        <v>398</v>
      </c>
      <c r="AG486" s="204" t="s">
        <v>398</v>
      </c>
      <c r="AS486" s="65" t="str">
        <f>IFERROR(VLOOKUP(#REF!,[1]Lookup!$B$2:$E$115,4,FALSE),"")</f>
        <v/>
      </c>
      <c r="AT486" s="65" t="str">
        <f>IFERROR(VLOOKUP(#REF!,[1]Lookup!$B$2:$E$115,2,FALSE),"")</f>
        <v/>
      </c>
    </row>
    <row r="487" spans="31:46" x14ac:dyDescent="0.3">
      <c r="AE487" s="204" t="s">
        <v>398</v>
      </c>
      <c r="AF487" s="204" t="s">
        <v>398</v>
      </c>
      <c r="AG487" s="204" t="s">
        <v>398</v>
      </c>
      <c r="AS487" s="65" t="str">
        <f>IFERROR(VLOOKUP(#REF!,[1]Lookup!$B$2:$E$115,4,FALSE),"")</f>
        <v/>
      </c>
      <c r="AT487" s="65" t="str">
        <f>IFERROR(VLOOKUP(#REF!,[1]Lookup!$B$2:$E$115,2,FALSE),"")</f>
        <v/>
      </c>
    </row>
    <row r="488" spans="31:46" x14ac:dyDescent="0.3">
      <c r="AE488" s="204" t="s">
        <v>398</v>
      </c>
      <c r="AF488" s="204" t="s">
        <v>398</v>
      </c>
      <c r="AG488" s="204" t="s">
        <v>398</v>
      </c>
      <c r="AS488" s="65" t="str">
        <f>IFERROR(VLOOKUP(#REF!,[1]Lookup!$B$2:$E$115,4,FALSE),"")</f>
        <v/>
      </c>
      <c r="AT488" s="65" t="str">
        <f>IFERROR(VLOOKUP(#REF!,[1]Lookup!$B$2:$E$115,2,FALSE),"")</f>
        <v/>
      </c>
    </row>
    <row r="489" spans="31:46" x14ac:dyDescent="0.3">
      <c r="AE489" s="204" t="s">
        <v>398</v>
      </c>
      <c r="AF489" s="204" t="s">
        <v>398</v>
      </c>
      <c r="AG489" s="204" t="s">
        <v>398</v>
      </c>
      <c r="AS489" s="65" t="str">
        <f>IFERROR(VLOOKUP(#REF!,[1]Lookup!$B$2:$E$115,4,FALSE),"")</f>
        <v/>
      </c>
      <c r="AT489" s="65" t="str">
        <f>IFERROR(VLOOKUP(#REF!,[1]Lookup!$B$2:$E$115,2,FALSE),"")</f>
        <v/>
      </c>
    </row>
    <row r="490" spans="31:46" x14ac:dyDescent="0.3">
      <c r="AE490" s="204" t="s">
        <v>398</v>
      </c>
      <c r="AF490" s="204" t="s">
        <v>398</v>
      </c>
      <c r="AG490" s="204" t="s">
        <v>398</v>
      </c>
      <c r="AS490" s="65" t="str">
        <f>IFERROR(VLOOKUP(#REF!,[1]Lookup!$B$2:$E$115,4,FALSE),"")</f>
        <v/>
      </c>
      <c r="AT490" s="65" t="str">
        <f>IFERROR(VLOOKUP(#REF!,[1]Lookup!$B$2:$E$115,2,FALSE),"")</f>
        <v/>
      </c>
    </row>
    <row r="491" spans="31:46" x14ac:dyDescent="0.3">
      <c r="AE491" s="204" t="s">
        <v>398</v>
      </c>
      <c r="AF491" s="204" t="s">
        <v>398</v>
      </c>
      <c r="AG491" s="204" t="s">
        <v>398</v>
      </c>
      <c r="AS491" s="65" t="str">
        <f>IFERROR(VLOOKUP(#REF!,[1]Lookup!$B$2:$E$115,4,FALSE),"")</f>
        <v/>
      </c>
      <c r="AT491" s="65" t="str">
        <f>IFERROR(VLOOKUP(#REF!,[1]Lookup!$B$2:$E$115,2,FALSE),"")</f>
        <v/>
      </c>
    </row>
    <row r="492" spans="31:46" x14ac:dyDescent="0.3">
      <c r="AE492" s="204" t="s">
        <v>398</v>
      </c>
      <c r="AF492" s="204" t="s">
        <v>398</v>
      </c>
      <c r="AG492" s="204" t="s">
        <v>398</v>
      </c>
      <c r="AS492" s="65" t="str">
        <f>IFERROR(VLOOKUP(#REF!,[1]Lookup!$B$2:$E$115,4,FALSE),"")</f>
        <v/>
      </c>
      <c r="AT492" s="65" t="str">
        <f>IFERROR(VLOOKUP(#REF!,[1]Lookup!$B$2:$E$115,2,FALSE),"")</f>
        <v/>
      </c>
    </row>
    <row r="493" spans="31:46" x14ac:dyDescent="0.3">
      <c r="AE493" s="204" t="s">
        <v>398</v>
      </c>
      <c r="AF493" s="204" t="s">
        <v>398</v>
      </c>
      <c r="AG493" s="204" t="s">
        <v>398</v>
      </c>
      <c r="AS493" s="65" t="str">
        <f>IFERROR(VLOOKUP(#REF!,[1]Lookup!$B$2:$E$115,4,FALSE),"")</f>
        <v/>
      </c>
      <c r="AT493" s="65" t="str">
        <f>IFERROR(VLOOKUP(#REF!,[1]Lookup!$B$2:$E$115,2,FALSE),"")</f>
        <v/>
      </c>
    </row>
    <row r="494" spans="31:46" x14ac:dyDescent="0.3">
      <c r="AE494" s="204" t="s">
        <v>398</v>
      </c>
      <c r="AF494" s="204" t="s">
        <v>398</v>
      </c>
      <c r="AG494" s="204" t="s">
        <v>398</v>
      </c>
      <c r="AS494" s="65" t="str">
        <f>IFERROR(VLOOKUP(#REF!,[1]Lookup!$B$2:$E$115,4,FALSE),"")</f>
        <v/>
      </c>
      <c r="AT494" s="65" t="str">
        <f>IFERROR(VLOOKUP(#REF!,[1]Lookup!$B$2:$E$115,2,FALSE),"")</f>
        <v/>
      </c>
    </row>
    <row r="495" spans="31:46" x14ac:dyDescent="0.3">
      <c r="AE495" s="204" t="s">
        <v>398</v>
      </c>
      <c r="AF495" s="204" t="s">
        <v>398</v>
      </c>
      <c r="AG495" s="204" t="s">
        <v>398</v>
      </c>
      <c r="AS495" s="65" t="str">
        <f>IFERROR(VLOOKUP(#REF!,[1]Lookup!$B$2:$E$115,4,FALSE),"")</f>
        <v/>
      </c>
      <c r="AT495" s="65" t="str">
        <f>IFERROR(VLOOKUP(#REF!,[1]Lookup!$B$2:$E$115,2,FALSE),"")</f>
        <v/>
      </c>
    </row>
    <row r="496" spans="31:46" x14ac:dyDescent="0.3">
      <c r="AE496" s="204" t="s">
        <v>398</v>
      </c>
      <c r="AF496" s="204" t="s">
        <v>398</v>
      </c>
      <c r="AG496" s="204" t="s">
        <v>398</v>
      </c>
      <c r="AS496" s="65" t="str">
        <f>IFERROR(VLOOKUP(#REF!,[1]Lookup!$B$2:$E$115,4,FALSE),"")</f>
        <v/>
      </c>
      <c r="AT496" s="65" t="str">
        <f>IFERROR(VLOOKUP(#REF!,[1]Lookup!$B$2:$E$115,2,FALSE),"")</f>
        <v/>
      </c>
    </row>
    <row r="497" spans="31:46" x14ac:dyDescent="0.3">
      <c r="AE497" s="204" t="s">
        <v>398</v>
      </c>
      <c r="AF497" s="204" t="s">
        <v>398</v>
      </c>
      <c r="AG497" s="204" t="s">
        <v>398</v>
      </c>
      <c r="AS497" s="65" t="str">
        <f>IFERROR(VLOOKUP(#REF!,[1]Lookup!$B$2:$E$115,4,FALSE),"")</f>
        <v/>
      </c>
      <c r="AT497" s="65" t="str">
        <f>IFERROR(VLOOKUP(#REF!,[1]Lookup!$B$2:$E$115,2,FALSE),"")</f>
        <v/>
      </c>
    </row>
    <row r="498" spans="31:46" x14ac:dyDescent="0.3">
      <c r="AE498" s="204" t="s">
        <v>398</v>
      </c>
      <c r="AF498" s="204" t="s">
        <v>398</v>
      </c>
      <c r="AG498" s="204" t="s">
        <v>398</v>
      </c>
      <c r="AS498" s="65" t="str">
        <f>IFERROR(VLOOKUP(#REF!,[1]Lookup!$B$2:$E$115,4,FALSE),"")</f>
        <v/>
      </c>
      <c r="AT498" s="65" t="str">
        <f>IFERROR(VLOOKUP(#REF!,[1]Lookup!$B$2:$E$115,2,FALSE),"")</f>
        <v/>
      </c>
    </row>
    <row r="499" spans="31:46" x14ac:dyDescent="0.3">
      <c r="AE499" s="204" t="s">
        <v>398</v>
      </c>
      <c r="AF499" s="204" t="s">
        <v>398</v>
      </c>
      <c r="AG499" s="204" t="s">
        <v>398</v>
      </c>
      <c r="AS499" s="65" t="str">
        <f>IFERROR(VLOOKUP(#REF!,[1]Lookup!$B$2:$E$115,4,FALSE),"")</f>
        <v/>
      </c>
      <c r="AT499" s="65" t="str">
        <f>IFERROR(VLOOKUP(#REF!,[1]Lookup!$B$2:$E$115,2,FALSE),"")</f>
        <v/>
      </c>
    </row>
    <row r="500" spans="31:46" x14ac:dyDescent="0.3">
      <c r="AE500" s="204" t="s">
        <v>398</v>
      </c>
      <c r="AF500" s="204" t="s">
        <v>398</v>
      </c>
      <c r="AG500" s="204" t="s">
        <v>398</v>
      </c>
      <c r="AS500" s="65" t="str">
        <f>IFERROR(VLOOKUP(#REF!,[1]Lookup!$B$2:$E$115,4,FALSE),"")</f>
        <v/>
      </c>
      <c r="AT500" s="65" t="str">
        <f>IFERROR(VLOOKUP(#REF!,[1]Lookup!$B$2:$E$115,2,FALSE),"")</f>
        <v/>
      </c>
    </row>
    <row r="501" spans="31:46" x14ac:dyDescent="0.3">
      <c r="AE501" s="204" t="s">
        <v>398</v>
      </c>
      <c r="AF501" s="204" t="s">
        <v>398</v>
      </c>
      <c r="AG501" s="204" t="s">
        <v>398</v>
      </c>
      <c r="AS501" s="65" t="str">
        <f>IFERROR(VLOOKUP(#REF!,[1]Lookup!$B$2:$E$115,4,FALSE),"")</f>
        <v/>
      </c>
      <c r="AT501" s="65" t="str">
        <f>IFERROR(VLOOKUP(#REF!,[1]Lookup!$B$2:$E$115,2,FALSE),"")</f>
        <v/>
      </c>
    </row>
    <row r="502" spans="31:46" x14ac:dyDescent="0.3">
      <c r="AE502" s="204" t="s">
        <v>398</v>
      </c>
      <c r="AF502" s="204" t="s">
        <v>398</v>
      </c>
      <c r="AG502" s="204" t="s">
        <v>398</v>
      </c>
      <c r="AS502" s="65" t="str">
        <f>IFERROR(VLOOKUP(#REF!,[1]Lookup!$B$2:$E$115,4,FALSE),"")</f>
        <v/>
      </c>
      <c r="AT502" s="65" t="str">
        <f>IFERROR(VLOOKUP(#REF!,[1]Lookup!$B$2:$E$115,2,FALSE),"")</f>
        <v/>
      </c>
    </row>
    <row r="503" spans="31:46" x14ac:dyDescent="0.3">
      <c r="AE503" s="204" t="s">
        <v>398</v>
      </c>
      <c r="AF503" s="204" t="s">
        <v>398</v>
      </c>
      <c r="AG503" s="204" t="s">
        <v>398</v>
      </c>
      <c r="AS503" s="65" t="str">
        <f>IFERROR(VLOOKUP(#REF!,[1]Lookup!$B$2:$E$115,4,FALSE),"")</f>
        <v/>
      </c>
      <c r="AT503" s="65" t="str">
        <f>IFERROR(VLOOKUP(#REF!,[1]Lookup!$B$2:$E$115,2,FALSE),"")</f>
        <v/>
      </c>
    </row>
    <row r="504" spans="31:46" x14ac:dyDescent="0.3">
      <c r="AE504" s="204" t="s">
        <v>398</v>
      </c>
      <c r="AF504" s="204" t="s">
        <v>398</v>
      </c>
      <c r="AG504" s="204" t="s">
        <v>398</v>
      </c>
      <c r="AS504" s="65" t="str">
        <f>IFERROR(VLOOKUP(#REF!,[1]Lookup!$B$2:$E$115,4,FALSE),"")</f>
        <v/>
      </c>
      <c r="AT504" s="65" t="str">
        <f>IFERROR(VLOOKUP(#REF!,[1]Lookup!$B$2:$E$115,2,FALSE),"")</f>
        <v/>
      </c>
    </row>
    <row r="505" spans="31:46" x14ac:dyDescent="0.3">
      <c r="AE505" s="204" t="s">
        <v>398</v>
      </c>
      <c r="AF505" s="204" t="s">
        <v>398</v>
      </c>
      <c r="AG505" s="204" t="s">
        <v>398</v>
      </c>
      <c r="AS505" s="65" t="str">
        <f>IFERROR(VLOOKUP(#REF!,[1]Lookup!$B$2:$E$115,4,FALSE),"")</f>
        <v/>
      </c>
      <c r="AT505" s="65" t="str">
        <f>IFERROR(VLOOKUP(#REF!,[1]Lookup!$B$2:$E$115,2,FALSE),"")</f>
        <v/>
      </c>
    </row>
    <row r="506" spans="31:46" x14ac:dyDescent="0.3">
      <c r="AE506" s="204" t="s">
        <v>398</v>
      </c>
      <c r="AF506" s="204" t="s">
        <v>398</v>
      </c>
      <c r="AG506" s="204" t="s">
        <v>398</v>
      </c>
      <c r="AS506" s="65" t="str">
        <f>IFERROR(VLOOKUP(#REF!,[1]Lookup!$B$2:$E$115,4,FALSE),"")</f>
        <v/>
      </c>
      <c r="AT506" s="65" t="str">
        <f>IFERROR(VLOOKUP(#REF!,[1]Lookup!$B$2:$E$115,2,FALSE),"")</f>
        <v/>
      </c>
    </row>
    <row r="507" spans="31:46" x14ac:dyDescent="0.3">
      <c r="AE507" s="204" t="s">
        <v>398</v>
      </c>
      <c r="AF507" s="204" t="s">
        <v>398</v>
      </c>
      <c r="AG507" s="204" t="s">
        <v>398</v>
      </c>
      <c r="AS507" s="65" t="str">
        <f>IFERROR(VLOOKUP(#REF!,[1]Lookup!$B$2:$E$115,4,FALSE),"")</f>
        <v/>
      </c>
      <c r="AT507" s="65" t="str">
        <f>IFERROR(VLOOKUP(#REF!,[1]Lookup!$B$2:$E$115,2,FALSE),"")</f>
        <v/>
      </c>
    </row>
    <row r="508" spans="31:46" x14ac:dyDescent="0.3">
      <c r="AE508" s="204" t="s">
        <v>398</v>
      </c>
      <c r="AF508" s="204" t="s">
        <v>398</v>
      </c>
      <c r="AG508" s="204" t="s">
        <v>398</v>
      </c>
      <c r="AS508" s="65" t="str">
        <f>IFERROR(VLOOKUP(#REF!,[1]Lookup!$B$2:$E$115,4,FALSE),"")</f>
        <v/>
      </c>
      <c r="AT508" s="65" t="str">
        <f>IFERROR(VLOOKUP(#REF!,[1]Lookup!$B$2:$E$115,2,FALSE),"")</f>
        <v/>
      </c>
    </row>
    <row r="509" spans="31:46" x14ac:dyDescent="0.3">
      <c r="AE509" s="204" t="s">
        <v>398</v>
      </c>
      <c r="AF509" s="204" t="s">
        <v>398</v>
      </c>
      <c r="AG509" s="204" t="s">
        <v>398</v>
      </c>
      <c r="AS509" s="65" t="str">
        <f>IFERROR(VLOOKUP(#REF!,[1]Lookup!$B$2:$E$115,4,FALSE),"")</f>
        <v/>
      </c>
      <c r="AT509" s="65" t="str">
        <f>IFERROR(VLOOKUP(#REF!,[1]Lookup!$B$2:$E$115,2,FALSE),"")</f>
        <v/>
      </c>
    </row>
    <row r="510" spans="31:46" x14ac:dyDescent="0.3">
      <c r="AE510" s="204" t="s">
        <v>398</v>
      </c>
      <c r="AF510" s="204" t="s">
        <v>398</v>
      </c>
      <c r="AG510" s="204" t="s">
        <v>398</v>
      </c>
      <c r="AS510" s="65" t="str">
        <f>IFERROR(VLOOKUP(#REF!,[1]Lookup!$B$2:$E$115,4,FALSE),"")</f>
        <v/>
      </c>
      <c r="AT510" s="65" t="str">
        <f>IFERROR(VLOOKUP(#REF!,[1]Lookup!$B$2:$E$115,2,FALSE),"")</f>
        <v/>
      </c>
    </row>
    <row r="511" spans="31:46" x14ac:dyDescent="0.3">
      <c r="AE511" s="204" t="s">
        <v>398</v>
      </c>
      <c r="AF511" s="204" t="s">
        <v>398</v>
      </c>
      <c r="AG511" s="204" t="s">
        <v>398</v>
      </c>
      <c r="AS511" s="65" t="str">
        <f>IFERROR(VLOOKUP(#REF!,[1]Lookup!$B$2:$E$115,4,FALSE),"")</f>
        <v/>
      </c>
      <c r="AT511" s="65" t="str">
        <f>IFERROR(VLOOKUP(#REF!,[1]Lookup!$B$2:$E$115,2,FALSE),"")</f>
        <v/>
      </c>
    </row>
    <row r="512" spans="31:46" x14ac:dyDescent="0.3">
      <c r="AE512" s="204" t="s">
        <v>398</v>
      </c>
      <c r="AF512" s="204" t="s">
        <v>398</v>
      </c>
      <c r="AG512" s="204" t="s">
        <v>398</v>
      </c>
      <c r="AS512" s="65" t="str">
        <f>IFERROR(VLOOKUP(#REF!,[1]Lookup!$B$2:$E$115,4,FALSE),"")</f>
        <v/>
      </c>
      <c r="AT512" s="65" t="str">
        <f>IFERROR(VLOOKUP(#REF!,[1]Lookup!$B$2:$E$115,2,FALSE),"")</f>
        <v/>
      </c>
    </row>
    <row r="513" spans="31:46" x14ac:dyDescent="0.3">
      <c r="AE513" s="204" t="s">
        <v>398</v>
      </c>
      <c r="AF513" s="204" t="s">
        <v>398</v>
      </c>
      <c r="AG513" s="204" t="s">
        <v>398</v>
      </c>
      <c r="AS513" s="65" t="str">
        <f>IFERROR(VLOOKUP(#REF!,[1]Lookup!$B$2:$E$115,4,FALSE),"")</f>
        <v/>
      </c>
      <c r="AT513" s="65" t="str">
        <f>IFERROR(VLOOKUP(#REF!,[1]Lookup!$B$2:$E$115,2,FALSE),"")</f>
        <v/>
      </c>
    </row>
    <row r="514" spans="31:46" x14ac:dyDescent="0.3">
      <c r="AE514" s="204" t="s">
        <v>398</v>
      </c>
      <c r="AF514" s="204" t="s">
        <v>398</v>
      </c>
      <c r="AG514" s="204" t="s">
        <v>398</v>
      </c>
      <c r="AS514" s="65" t="str">
        <f>IFERROR(VLOOKUP(#REF!,[1]Lookup!$B$2:$E$115,4,FALSE),"")</f>
        <v/>
      </c>
      <c r="AT514" s="65" t="str">
        <f>IFERROR(VLOOKUP(#REF!,[1]Lookup!$B$2:$E$115,2,FALSE),"")</f>
        <v/>
      </c>
    </row>
    <row r="515" spans="31:46" x14ac:dyDescent="0.3">
      <c r="AE515" s="204" t="s">
        <v>398</v>
      </c>
      <c r="AF515" s="204" t="s">
        <v>398</v>
      </c>
      <c r="AG515" s="204" t="s">
        <v>398</v>
      </c>
      <c r="AS515" s="65" t="str">
        <f>IFERROR(VLOOKUP(#REF!,[1]Lookup!$B$2:$E$115,4,FALSE),"")</f>
        <v/>
      </c>
      <c r="AT515" s="65" t="str">
        <f>IFERROR(VLOOKUP(#REF!,[1]Lookup!$B$2:$E$115,2,FALSE),"")</f>
        <v/>
      </c>
    </row>
    <row r="516" spans="31:46" x14ac:dyDescent="0.3">
      <c r="AE516" s="204" t="s">
        <v>398</v>
      </c>
      <c r="AF516" s="204" t="s">
        <v>398</v>
      </c>
      <c r="AG516" s="204" t="s">
        <v>398</v>
      </c>
      <c r="AS516" s="65" t="str">
        <f>IFERROR(VLOOKUP(#REF!,[1]Lookup!$B$2:$E$115,4,FALSE),"")</f>
        <v/>
      </c>
      <c r="AT516" s="65" t="str">
        <f>IFERROR(VLOOKUP(#REF!,[1]Lookup!$B$2:$E$115,2,FALSE),"")</f>
        <v/>
      </c>
    </row>
    <row r="517" spans="31:46" x14ac:dyDescent="0.3">
      <c r="AE517" s="204" t="s">
        <v>398</v>
      </c>
      <c r="AF517" s="204" t="s">
        <v>398</v>
      </c>
      <c r="AG517" s="204" t="s">
        <v>398</v>
      </c>
      <c r="AS517" s="65" t="str">
        <f>IFERROR(VLOOKUP(#REF!,[1]Lookup!$B$2:$E$115,4,FALSE),"")</f>
        <v/>
      </c>
      <c r="AT517" s="65" t="str">
        <f>IFERROR(VLOOKUP(#REF!,[1]Lookup!$B$2:$E$115,2,FALSE),"")</f>
        <v/>
      </c>
    </row>
    <row r="518" spans="31:46" x14ac:dyDescent="0.3">
      <c r="AE518" s="204" t="s">
        <v>398</v>
      </c>
      <c r="AF518" s="204" t="s">
        <v>398</v>
      </c>
      <c r="AG518" s="204" t="s">
        <v>398</v>
      </c>
      <c r="AS518" s="65" t="str">
        <f>IFERROR(VLOOKUP(#REF!,[1]Lookup!$B$2:$E$115,4,FALSE),"")</f>
        <v/>
      </c>
      <c r="AT518" s="65" t="str">
        <f>IFERROR(VLOOKUP(#REF!,[1]Lookup!$B$2:$E$115,2,FALSE),"")</f>
        <v/>
      </c>
    </row>
    <row r="519" spans="31:46" x14ac:dyDescent="0.3">
      <c r="AE519" s="204" t="s">
        <v>398</v>
      </c>
      <c r="AF519" s="204" t="s">
        <v>398</v>
      </c>
      <c r="AG519" s="204" t="s">
        <v>398</v>
      </c>
      <c r="AS519" s="65" t="str">
        <f>IFERROR(VLOOKUP(#REF!,[1]Lookup!$B$2:$E$115,4,FALSE),"")</f>
        <v/>
      </c>
      <c r="AT519" s="65" t="str">
        <f>IFERROR(VLOOKUP(#REF!,[1]Lookup!$B$2:$E$115,2,FALSE),"")</f>
        <v/>
      </c>
    </row>
    <row r="520" spans="31:46" x14ac:dyDescent="0.3">
      <c r="AE520" s="204" t="s">
        <v>398</v>
      </c>
      <c r="AF520" s="204" t="s">
        <v>398</v>
      </c>
      <c r="AG520" s="204" t="s">
        <v>398</v>
      </c>
      <c r="AS520" s="65" t="str">
        <f>IFERROR(VLOOKUP(#REF!,[1]Lookup!$B$2:$E$115,4,FALSE),"")</f>
        <v/>
      </c>
      <c r="AT520" s="65" t="str">
        <f>IFERROR(VLOOKUP(#REF!,[1]Lookup!$B$2:$E$115,2,FALSE),"")</f>
        <v/>
      </c>
    </row>
    <row r="521" spans="31:46" x14ac:dyDescent="0.3">
      <c r="AE521" s="204" t="s">
        <v>398</v>
      </c>
      <c r="AF521" s="204" t="s">
        <v>398</v>
      </c>
      <c r="AG521" s="204" t="s">
        <v>398</v>
      </c>
      <c r="AS521" s="65" t="str">
        <f>IFERROR(VLOOKUP(#REF!,[1]Lookup!$B$2:$E$115,4,FALSE),"")</f>
        <v/>
      </c>
      <c r="AT521" s="65" t="str">
        <f>IFERROR(VLOOKUP(#REF!,[1]Lookup!$B$2:$E$115,2,FALSE),"")</f>
        <v/>
      </c>
    </row>
    <row r="522" spans="31:46" x14ac:dyDescent="0.3">
      <c r="AE522" s="204" t="s">
        <v>398</v>
      </c>
      <c r="AF522" s="204" t="s">
        <v>398</v>
      </c>
      <c r="AG522" s="204" t="s">
        <v>398</v>
      </c>
      <c r="AS522" s="65" t="str">
        <f>IFERROR(VLOOKUP(#REF!,[1]Lookup!$B$2:$E$115,4,FALSE),"")</f>
        <v/>
      </c>
      <c r="AT522" s="65" t="str">
        <f>IFERROR(VLOOKUP(#REF!,[1]Lookup!$B$2:$E$115,2,FALSE),"")</f>
        <v/>
      </c>
    </row>
    <row r="523" spans="31:46" x14ac:dyDescent="0.3">
      <c r="AE523" s="204" t="s">
        <v>398</v>
      </c>
      <c r="AF523" s="204" t="s">
        <v>398</v>
      </c>
      <c r="AG523" s="204" t="s">
        <v>398</v>
      </c>
      <c r="AS523" s="65" t="str">
        <f>IFERROR(VLOOKUP(#REF!,[1]Lookup!$B$2:$E$115,4,FALSE),"")</f>
        <v/>
      </c>
      <c r="AT523" s="65" t="str">
        <f>IFERROR(VLOOKUP(#REF!,[1]Lookup!$B$2:$E$115,2,FALSE),"")</f>
        <v/>
      </c>
    </row>
    <row r="524" spans="31:46" x14ac:dyDescent="0.3">
      <c r="AE524" s="204" t="s">
        <v>398</v>
      </c>
      <c r="AF524" s="204" t="s">
        <v>398</v>
      </c>
      <c r="AG524" s="204" t="s">
        <v>398</v>
      </c>
      <c r="AS524" s="65" t="str">
        <f>IFERROR(VLOOKUP(#REF!,[1]Lookup!$B$2:$E$115,4,FALSE),"")</f>
        <v/>
      </c>
      <c r="AT524" s="65" t="str">
        <f>IFERROR(VLOOKUP(#REF!,[1]Lookup!$B$2:$E$115,2,FALSE),"")</f>
        <v/>
      </c>
    </row>
    <row r="525" spans="31:46" x14ac:dyDescent="0.3">
      <c r="AE525" s="204" t="s">
        <v>398</v>
      </c>
      <c r="AF525" s="204" t="s">
        <v>398</v>
      </c>
      <c r="AG525" s="204" t="s">
        <v>398</v>
      </c>
      <c r="AS525" s="65" t="str">
        <f>IFERROR(VLOOKUP(#REF!,[1]Lookup!$B$2:$E$115,4,FALSE),"")</f>
        <v/>
      </c>
      <c r="AT525" s="65" t="str">
        <f>IFERROR(VLOOKUP(#REF!,[1]Lookup!$B$2:$E$115,2,FALSE),"")</f>
        <v/>
      </c>
    </row>
    <row r="526" spans="31:46" x14ac:dyDescent="0.3">
      <c r="AE526" s="204" t="s">
        <v>398</v>
      </c>
      <c r="AF526" s="204" t="s">
        <v>398</v>
      </c>
      <c r="AG526" s="204" t="s">
        <v>398</v>
      </c>
      <c r="AS526" s="65" t="str">
        <f>IFERROR(VLOOKUP(#REF!,[1]Lookup!$B$2:$E$115,4,FALSE),"")</f>
        <v/>
      </c>
      <c r="AT526" s="65" t="str">
        <f>IFERROR(VLOOKUP(#REF!,[1]Lookup!$B$2:$E$115,2,FALSE),"")</f>
        <v/>
      </c>
    </row>
    <row r="527" spans="31:46" x14ac:dyDescent="0.3">
      <c r="AE527" s="204" t="s">
        <v>398</v>
      </c>
      <c r="AF527" s="204" t="s">
        <v>398</v>
      </c>
      <c r="AG527" s="204" t="s">
        <v>398</v>
      </c>
      <c r="AS527" s="65" t="str">
        <f>IFERROR(VLOOKUP(#REF!,[1]Lookup!$B$2:$E$115,4,FALSE),"")</f>
        <v/>
      </c>
      <c r="AT527" s="65" t="str">
        <f>IFERROR(VLOOKUP(#REF!,[1]Lookup!$B$2:$E$115,2,FALSE),"")</f>
        <v/>
      </c>
    </row>
    <row r="528" spans="31:46" x14ac:dyDescent="0.3">
      <c r="AE528" s="204" t="s">
        <v>398</v>
      </c>
      <c r="AF528" s="204" t="s">
        <v>398</v>
      </c>
      <c r="AG528" s="204" t="s">
        <v>398</v>
      </c>
      <c r="AS528" s="65" t="str">
        <f>IFERROR(VLOOKUP(#REF!,[1]Lookup!$B$2:$E$115,4,FALSE),"")</f>
        <v/>
      </c>
      <c r="AT528" s="65" t="str">
        <f>IFERROR(VLOOKUP(#REF!,[1]Lookup!$B$2:$E$115,2,FALSE),"")</f>
        <v/>
      </c>
    </row>
    <row r="529" spans="31:46" x14ac:dyDescent="0.3">
      <c r="AE529" s="204" t="s">
        <v>398</v>
      </c>
      <c r="AF529" s="204" t="s">
        <v>398</v>
      </c>
      <c r="AG529" s="204" t="s">
        <v>398</v>
      </c>
      <c r="AS529" s="65" t="str">
        <f>IFERROR(VLOOKUP(#REF!,[1]Lookup!$B$2:$E$115,4,FALSE),"")</f>
        <v/>
      </c>
      <c r="AT529" s="65" t="str">
        <f>IFERROR(VLOOKUP(#REF!,[1]Lookup!$B$2:$E$115,2,FALSE),"")</f>
        <v/>
      </c>
    </row>
    <row r="530" spans="31:46" x14ac:dyDescent="0.3">
      <c r="AE530" s="204" t="s">
        <v>398</v>
      </c>
      <c r="AF530" s="204" t="s">
        <v>398</v>
      </c>
      <c r="AG530" s="204" t="s">
        <v>398</v>
      </c>
      <c r="AS530" s="65" t="str">
        <f>IFERROR(VLOOKUP(#REF!,[1]Lookup!$B$2:$E$115,4,FALSE),"")</f>
        <v/>
      </c>
      <c r="AT530" s="65" t="str">
        <f>IFERROR(VLOOKUP(#REF!,[1]Lookup!$B$2:$E$115,2,FALSE),"")</f>
        <v/>
      </c>
    </row>
    <row r="531" spans="31:46" x14ac:dyDescent="0.3">
      <c r="AE531" s="204" t="s">
        <v>398</v>
      </c>
      <c r="AF531" s="204" t="s">
        <v>398</v>
      </c>
      <c r="AG531" s="204" t="s">
        <v>398</v>
      </c>
      <c r="AS531" s="65" t="str">
        <f>IFERROR(VLOOKUP(#REF!,[1]Lookup!$B$2:$E$115,4,FALSE),"")</f>
        <v/>
      </c>
      <c r="AT531" s="65" t="str">
        <f>IFERROR(VLOOKUP(#REF!,[1]Lookup!$B$2:$E$115,2,FALSE),"")</f>
        <v/>
      </c>
    </row>
    <row r="532" spans="31:46" x14ac:dyDescent="0.3">
      <c r="AE532" s="204" t="s">
        <v>398</v>
      </c>
      <c r="AF532" s="204" t="s">
        <v>398</v>
      </c>
      <c r="AG532" s="204" t="s">
        <v>398</v>
      </c>
      <c r="AS532" s="65" t="str">
        <f>IFERROR(VLOOKUP(#REF!,[1]Lookup!$B$2:$E$115,4,FALSE),"")</f>
        <v/>
      </c>
      <c r="AT532" s="65" t="str">
        <f>IFERROR(VLOOKUP(#REF!,[1]Lookup!$B$2:$E$115,2,FALSE),"")</f>
        <v/>
      </c>
    </row>
    <row r="533" spans="31:46" x14ac:dyDescent="0.3">
      <c r="AE533" s="204" t="s">
        <v>398</v>
      </c>
      <c r="AF533" s="204" t="s">
        <v>398</v>
      </c>
      <c r="AG533" s="204" t="s">
        <v>398</v>
      </c>
      <c r="AS533" s="65" t="str">
        <f>IFERROR(VLOOKUP(#REF!,[1]Lookup!$B$2:$E$115,4,FALSE),"")</f>
        <v/>
      </c>
      <c r="AT533" s="65" t="str">
        <f>IFERROR(VLOOKUP(#REF!,[1]Lookup!$B$2:$E$115,2,FALSE),"")</f>
        <v/>
      </c>
    </row>
    <row r="534" spans="31:46" x14ac:dyDescent="0.3">
      <c r="AE534" s="204" t="s">
        <v>398</v>
      </c>
      <c r="AF534" s="204" t="s">
        <v>398</v>
      </c>
      <c r="AG534" s="204" t="s">
        <v>398</v>
      </c>
      <c r="AS534" s="65" t="str">
        <f>IFERROR(VLOOKUP(#REF!,[1]Lookup!$B$2:$E$115,4,FALSE),"")</f>
        <v/>
      </c>
      <c r="AT534" s="65" t="str">
        <f>IFERROR(VLOOKUP(#REF!,[1]Lookup!$B$2:$E$115,2,FALSE),"")</f>
        <v/>
      </c>
    </row>
    <row r="535" spans="31:46" x14ac:dyDescent="0.3">
      <c r="AE535" s="204" t="s">
        <v>398</v>
      </c>
      <c r="AF535" s="204" t="s">
        <v>398</v>
      </c>
      <c r="AG535" s="204" t="s">
        <v>398</v>
      </c>
      <c r="AS535" s="65" t="str">
        <f>IFERROR(VLOOKUP(#REF!,[1]Lookup!$B$2:$E$115,4,FALSE),"")</f>
        <v/>
      </c>
      <c r="AT535" s="65" t="str">
        <f>IFERROR(VLOOKUP(#REF!,[1]Lookup!$B$2:$E$115,2,FALSE),"")</f>
        <v/>
      </c>
    </row>
    <row r="536" spans="31:46" x14ac:dyDescent="0.3">
      <c r="AE536" s="204" t="s">
        <v>398</v>
      </c>
      <c r="AF536" s="204" t="s">
        <v>398</v>
      </c>
      <c r="AG536" s="204" t="s">
        <v>398</v>
      </c>
      <c r="AS536" s="65" t="str">
        <f>IFERROR(VLOOKUP(#REF!,[1]Lookup!$B$2:$E$115,4,FALSE),"")</f>
        <v/>
      </c>
      <c r="AT536" s="65" t="str">
        <f>IFERROR(VLOOKUP(#REF!,[1]Lookup!$B$2:$E$115,2,FALSE),"")</f>
        <v/>
      </c>
    </row>
    <row r="537" spans="31:46" x14ac:dyDescent="0.3">
      <c r="AE537" s="204" t="s">
        <v>398</v>
      </c>
      <c r="AF537" s="204" t="s">
        <v>398</v>
      </c>
      <c r="AG537" s="204" t="s">
        <v>398</v>
      </c>
      <c r="AS537" s="65" t="str">
        <f>IFERROR(VLOOKUP(#REF!,[1]Lookup!$B$2:$E$115,4,FALSE),"")</f>
        <v/>
      </c>
      <c r="AT537" s="65" t="str">
        <f>IFERROR(VLOOKUP(#REF!,[1]Lookup!$B$2:$E$115,2,FALSE),"")</f>
        <v/>
      </c>
    </row>
    <row r="538" spans="31:46" x14ac:dyDescent="0.3">
      <c r="AE538" s="204" t="s">
        <v>398</v>
      </c>
      <c r="AF538" s="204" t="s">
        <v>398</v>
      </c>
      <c r="AG538" s="204" t="s">
        <v>398</v>
      </c>
      <c r="AS538" s="65" t="str">
        <f>IFERROR(VLOOKUP(#REF!,[1]Lookup!$B$2:$E$115,4,FALSE),"")</f>
        <v/>
      </c>
      <c r="AT538" s="65" t="str">
        <f>IFERROR(VLOOKUP(#REF!,[1]Lookup!$B$2:$E$115,2,FALSE),"")</f>
        <v/>
      </c>
    </row>
    <row r="539" spans="31:46" x14ac:dyDescent="0.3">
      <c r="AE539" s="204" t="s">
        <v>398</v>
      </c>
      <c r="AF539" s="204" t="s">
        <v>398</v>
      </c>
      <c r="AG539" s="204" t="s">
        <v>398</v>
      </c>
      <c r="AS539" s="65" t="str">
        <f>IFERROR(VLOOKUP(#REF!,[1]Lookup!$B$2:$E$115,4,FALSE),"")</f>
        <v/>
      </c>
      <c r="AT539" s="65" t="str">
        <f>IFERROR(VLOOKUP(#REF!,[1]Lookup!$B$2:$E$115,2,FALSE),"")</f>
        <v/>
      </c>
    </row>
    <row r="540" spans="31:46" x14ac:dyDescent="0.3">
      <c r="AE540" s="204" t="s">
        <v>398</v>
      </c>
      <c r="AF540" s="204" t="s">
        <v>398</v>
      </c>
      <c r="AG540" s="204" t="s">
        <v>398</v>
      </c>
      <c r="AS540" s="65" t="str">
        <f>IFERROR(VLOOKUP(#REF!,[1]Lookup!$B$2:$E$115,4,FALSE),"")</f>
        <v/>
      </c>
      <c r="AT540" s="65" t="str">
        <f>IFERROR(VLOOKUP(#REF!,[1]Lookup!$B$2:$E$115,2,FALSE),"")</f>
        <v/>
      </c>
    </row>
    <row r="541" spans="31:46" x14ac:dyDescent="0.3">
      <c r="AE541" s="204" t="s">
        <v>398</v>
      </c>
      <c r="AF541" s="204" t="s">
        <v>398</v>
      </c>
      <c r="AG541" s="204" t="s">
        <v>398</v>
      </c>
      <c r="AS541" s="65" t="str">
        <f>IFERROR(VLOOKUP(#REF!,[1]Lookup!$B$2:$E$115,4,FALSE),"")</f>
        <v/>
      </c>
      <c r="AT541" s="65" t="str">
        <f>IFERROR(VLOOKUP(#REF!,[1]Lookup!$B$2:$E$115,2,FALSE),"")</f>
        <v/>
      </c>
    </row>
    <row r="542" spans="31:46" x14ac:dyDescent="0.3">
      <c r="AE542" s="204" t="s">
        <v>398</v>
      </c>
      <c r="AF542" s="204" t="s">
        <v>398</v>
      </c>
      <c r="AG542" s="204" t="s">
        <v>398</v>
      </c>
      <c r="AS542" s="65" t="str">
        <f>IFERROR(VLOOKUP(#REF!,[1]Lookup!$B$2:$E$115,4,FALSE),"")</f>
        <v/>
      </c>
      <c r="AT542" s="65" t="str">
        <f>IFERROR(VLOOKUP(#REF!,[1]Lookup!$B$2:$E$115,2,FALSE),"")</f>
        <v/>
      </c>
    </row>
    <row r="543" spans="31:46" x14ac:dyDescent="0.3">
      <c r="AE543" s="204" t="s">
        <v>398</v>
      </c>
      <c r="AF543" s="204" t="s">
        <v>398</v>
      </c>
      <c r="AG543" s="204" t="s">
        <v>398</v>
      </c>
      <c r="AS543" s="65" t="str">
        <f>IFERROR(VLOOKUP(#REF!,[1]Lookup!$B$2:$E$115,4,FALSE),"")</f>
        <v/>
      </c>
      <c r="AT543" s="65" t="str">
        <f>IFERROR(VLOOKUP(#REF!,[1]Lookup!$B$2:$E$115,2,FALSE),"")</f>
        <v/>
      </c>
    </row>
    <row r="544" spans="31:46" x14ac:dyDescent="0.3">
      <c r="AE544" s="204" t="s">
        <v>398</v>
      </c>
      <c r="AF544" s="204" t="s">
        <v>398</v>
      </c>
      <c r="AG544" s="204" t="s">
        <v>398</v>
      </c>
      <c r="AS544" s="65" t="str">
        <f>IFERROR(VLOOKUP(#REF!,[1]Lookup!$B$2:$E$115,4,FALSE),"")</f>
        <v/>
      </c>
      <c r="AT544" s="65" t="str">
        <f>IFERROR(VLOOKUP(#REF!,[1]Lookup!$B$2:$E$115,2,FALSE),"")</f>
        <v/>
      </c>
    </row>
    <row r="545" spans="31:46" x14ac:dyDescent="0.3">
      <c r="AE545" s="204" t="s">
        <v>398</v>
      </c>
      <c r="AF545" s="204" t="s">
        <v>398</v>
      </c>
      <c r="AG545" s="204" t="s">
        <v>398</v>
      </c>
      <c r="AS545" s="65" t="str">
        <f>IFERROR(VLOOKUP(#REF!,[1]Lookup!$B$2:$E$115,4,FALSE),"")</f>
        <v/>
      </c>
      <c r="AT545" s="65" t="str">
        <f>IFERROR(VLOOKUP(#REF!,[1]Lookup!$B$2:$E$115,2,FALSE),"")</f>
        <v/>
      </c>
    </row>
    <row r="546" spans="31:46" x14ac:dyDescent="0.3">
      <c r="AE546" s="204" t="s">
        <v>398</v>
      </c>
      <c r="AF546" s="204" t="s">
        <v>398</v>
      </c>
      <c r="AG546" s="204" t="s">
        <v>398</v>
      </c>
      <c r="AS546" s="65" t="str">
        <f>IFERROR(VLOOKUP(#REF!,[1]Lookup!$B$2:$E$115,4,FALSE),"")</f>
        <v/>
      </c>
      <c r="AT546" s="65" t="str">
        <f>IFERROR(VLOOKUP(#REF!,[1]Lookup!$B$2:$E$115,2,FALSE),"")</f>
        <v/>
      </c>
    </row>
    <row r="547" spans="31:46" x14ac:dyDescent="0.3">
      <c r="AE547" s="204" t="s">
        <v>398</v>
      </c>
      <c r="AF547" s="204" t="s">
        <v>398</v>
      </c>
      <c r="AG547" s="204" t="s">
        <v>398</v>
      </c>
      <c r="AS547" s="65" t="str">
        <f>IFERROR(VLOOKUP(#REF!,[1]Lookup!$B$2:$E$115,4,FALSE),"")</f>
        <v/>
      </c>
      <c r="AT547" s="65" t="str">
        <f>IFERROR(VLOOKUP(#REF!,[1]Lookup!$B$2:$E$115,2,FALSE),"")</f>
        <v/>
      </c>
    </row>
    <row r="548" spans="31:46" x14ac:dyDescent="0.3">
      <c r="AE548" s="204" t="s">
        <v>398</v>
      </c>
      <c r="AF548" s="204" t="s">
        <v>398</v>
      </c>
      <c r="AG548" s="204" t="s">
        <v>398</v>
      </c>
      <c r="AS548" s="65" t="str">
        <f>IFERROR(VLOOKUP(#REF!,[1]Lookup!$B$2:$E$115,4,FALSE),"")</f>
        <v/>
      </c>
      <c r="AT548" s="65" t="str">
        <f>IFERROR(VLOOKUP(#REF!,[1]Lookup!$B$2:$E$115,2,FALSE),"")</f>
        <v/>
      </c>
    </row>
    <row r="549" spans="31:46" x14ac:dyDescent="0.3">
      <c r="AE549" s="204" t="s">
        <v>398</v>
      </c>
      <c r="AF549" s="204" t="s">
        <v>398</v>
      </c>
      <c r="AG549" s="204" t="s">
        <v>398</v>
      </c>
      <c r="AS549" s="65" t="str">
        <f>IFERROR(VLOOKUP(#REF!,[1]Lookup!$B$2:$E$115,4,FALSE),"")</f>
        <v/>
      </c>
      <c r="AT549" s="65" t="str">
        <f>IFERROR(VLOOKUP(#REF!,[1]Lookup!$B$2:$E$115,2,FALSE),"")</f>
        <v/>
      </c>
    </row>
    <row r="550" spans="31:46" x14ac:dyDescent="0.3">
      <c r="AE550" s="204" t="s">
        <v>398</v>
      </c>
      <c r="AF550" s="204" t="s">
        <v>398</v>
      </c>
      <c r="AG550" s="204" t="s">
        <v>398</v>
      </c>
      <c r="AS550" s="65" t="str">
        <f>IFERROR(VLOOKUP(#REF!,[1]Lookup!$B$2:$E$115,4,FALSE),"")</f>
        <v/>
      </c>
      <c r="AT550" s="65" t="str">
        <f>IFERROR(VLOOKUP(#REF!,[1]Lookup!$B$2:$E$115,2,FALSE),"")</f>
        <v/>
      </c>
    </row>
    <row r="551" spans="31:46" x14ac:dyDescent="0.3">
      <c r="AE551" s="204" t="s">
        <v>398</v>
      </c>
      <c r="AF551" s="204" t="s">
        <v>398</v>
      </c>
      <c r="AG551" s="204" t="s">
        <v>398</v>
      </c>
      <c r="AS551" s="65" t="str">
        <f>IFERROR(VLOOKUP(#REF!,[1]Lookup!$B$2:$E$115,4,FALSE),"")</f>
        <v/>
      </c>
      <c r="AT551" s="65" t="str">
        <f>IFERROR(VLOOKUP(#REF!,[1]Lookup!$B$2:$E$115,2,FALSE),"")</f>
        <v/>
      </c>
    </row>
    <row r="552" spans="31:46" x14ac:dyDescent="0.3">
      <c r="AE552" s="204" t="s">
        <v>398</v>
      </c>
      <c r="AF552" s="204" t="s">
        <v>398</v>
      </c>
      <c r="AG552" s="204" t="s">
        <v>398</v>
      </c>
      <c r="AS552" s="65" t="str">
        <f>IFERROR(VLOOKUP(#REF!,[1]Lookup!$B$2:$E$115,4,FALSE),"")</f>
        <v/>
      </c>
      <c r="AT552" s="65" t="str">
        <f>IFERROR(VLOOKUP(#REF!,[1]Lookup!$B$2:$E$115,2,FALSE),"")</f>
        <v/>
      </c>
    </row>
    <row r="553" spans="31:46" x14ac:dyDescent="0.3">
      <c r="AE553" s="204" t="s">
        <v>398</v>
      </c>
      <c r="AF553" s="204" t="s">
        <v>398</v>
      </c>
      <c r="AG553" s="204" t="s">
        <v>398</v>
      </c>
      <c r="AS553" s="65" t="str">
        <f>IFERROR(VLOOKUP(#REF!,[1]Lookup!$B$2:$E$115,4,FALSE),"")</f>
        <v/>
      </c>
      <c r="AT553" s="65" t="str">
        <f>IFERROR(VLOOKUP(#REF!,[1]Lookup!$B$2:$E$115,2,FALSE),"")</f>
        <v/>
      </c>
    </row>
    <row r="554" spans="31:46" x14ac:dyDescent="0.3">
      <c r="AE554" s="204" t="s">
        <v>398</v>
      </c>
      <c r="AF554" s="204" t="s">
        <v>398</v>
      </c>
      <c r="AG554" s="204" t="s">
        <v>398</v>
      </c>
      <c r="AS554" s="65" t="str">
        <f>IFERROR(VLOOKUP(#REF!,[1]Lookup!$B$2:$E$115,4,FALSE),"")</f>
        <v/>
      </c>
      <c r="AT554" s="65" t="str">
        <f>IFERROR(VLOOKUP(#REF!,[1]Lookup!$B$2:$E$115,2,FALSE),"")</f>
        <v/>
      </c>
    </row>
    <row r="555" spans="31:46" x14ac:dyDescent="0.3">
      <c r="AE555" s="204" t="s">
        <v>398</v>
      </c>
      <c r="AF555" s="204" t="s">
        <v>398</v>
      </c>
      <c r="AG555" s="204" t="s">
        <v>398</v>
      </c>
      <c r="AS555" s="65" t="str">
        <f>IFERROR(VLOOKUP(#REF!,[1]Lookup!$B$2:$E$115,4,FALSE),"")</f>
        <v/>
      </c>
      <c r="AT555" s="65" t="str">
        <f>IFERROR(VLOOKUP(#REF!,[1]Lookup!$B$2:$E$115,2,FALSE),"")</f>
        <v/>
      </c>
    </row>
    <row r="556" spans="31:46" x14ac:dyDescent="0.3">
      <c r="AE556" s="204" t="s">
        <v>398</v>
      </c>
      <c r="AF556" s="204" t="s">
        <v>398</v>
      </c>
      <c r="AG556" s="204" t="s">
        <v>398</v>
      </c>
      <c r="AS556" s="65" t="str">
        <f>IFERROR(VLOOKUP(#REF!,[1]Lookup!$B$2:$E$115,4,FALSE),"")</f>
        <v/>
      </c>
      <c r="AT556" s="65" t="str">
        <f>IFERROR(VLOOKUP(#REF!,[1]Lookup!$B$2:$E$115,2,FALSE),"")</f>
        <v/>
      </c>
    </row>
    <row r="557" spans="31:46" x14ac:dyDescent="0.3">
      <c r="AE557" s="204" t="s">
        <v>398</v>
      </c>
      <c r="AF557" s="204" t="s">
        <v>398</v>
      </c>
      <c r="AG557" s="204" t="s">
        <v>398</v>
      </c>
      <c r="AS557" s="65" t="str">
        <f>IFERROR(VLOOKUP(#REF!,[1]Lookup!$B$2:$E$115,4,FALSE),"")</f>
        <v/>
      </c>
      <c r="AT557" s="65" t="str">
        <f>IFERROR(VLOOKUP(#REF!,[1]Lookup!$B$2:$E$115,2,FALSE),"")</f>
        <v/>
      </c>
    </row>
    <row r="558" spans="31:46" x14ac:dyDescent="0.3">
      <c r="AE558" s="204" t="s">
        <v>398</v>
      </c>
      <c r="AF558" s="204" t="s">
        <v>398</v>
      </c>
      <c r="AG558" s="204" t="s">
        <v>398</v>
      </c>
      <c r="AS558" s="65" t="str">
        <f>IFERROR(VLOOKUP(#REF!,[1]Lookup!$B$2:$E$115,4,FALSE),"")</f>
        <v/>
      </c>
      <c r="AT558" s="65" t="str">
        <f>IFERROR(VLOOKUP(#REF!,[1]Lookup!$B$2:$E$115,2,FALSE),"")</f>
        <v/>
      </c>
    </row>
    <row r="559" spans="31:46" x14ac:dyDescent="0.3">
      <c r="AE559" s="204" t="s">
        <v>398</v>
      </c>
      <c r="AF559" s="204" t="s">
        <v>398</v>
      </c>
      <c r="AG559" s="204" t="s">
        <v>398</v>
      </c>
      <c r="AS559" s="65" t="str">
        <f>IFERROR(VLOOKUP(#REF!,[1]Lookup!$B$2:$E$115,4,FALSE),"")</f>
        <v/>
      </c>
      <c r="AT559" s="65" t="str">
        <f>IFERROR(VLOOKUP(#REF!,[1]Lookup!$B$2:$E$115,2,FALSE),"")</f>
        <v/>
      </c>
    </row>
    <row r="560" spans="31:46" x14ac:dyDescent="0.3">
      <c r="AE560" s="204" t="s">
        <v>398</v>
      </c>
      <c r="AF560" s="204" t="s">
        <v>398</v>
      </c>
      <c r="AG560" s="204" t="s">
        <v>398</v>
      </c>
      <c r="AS560" s="65" t="str">
        <f>IFERROR(VLOOKUP(#REF!,[1]Lookup!$B$2:$E$115,4,FALSE),"")</f>
        <v/>
      </c>
      <c r="AT560" s="65" t="str">
        <f>IFERROR(VLOOKUP(#REF!,[1]Lookup!$B$2:$E$115,2,FALSE),"")</f>
        <v/>
      </c>
    </row>
    <row r="561" spans="31:46" x14ac:dyDescent="0.3">
      <c r="AE561" s="204" t="s">
        <v>398</v>
      </c>
      <c r="AF561" s="204" t="s">
        <v>398</v>
      </c>
      <c r="AG561" s="204" t="s">
        <v>398</v>
      </c>
      <c r="AS561" s="65" t="str">
        <f>IFERROR(VLOOKUP(#REF!,[1]Lookup!$B$2:$E$115,4,FALSE),"")</f>
        <v/>
      </c>
      <c r="AT561" s="65" t="str">
        <f>IFERROR(VLOOKUP(#REF!,[1]Lookup!$B$2:$E$115,2,FALSE),"")</f>
        <v/>
      </c>
    </row>
    <row r="562" spans="31:46" x14ac:dyDescent="0.3">
      <c r="AE562" s="204" t="s">
        <v>398</v>
      </c>
      <c r="AF562" s="204" t="s">
        <v>398</v>
      </c>
      <c r="AG562" s="204" t="s">
        <v>398</v>
      </c>
      <c r="AS562" s="65" t="str">
        <f>IFERROR(VLOOKUP(#REF!,[1]Lookup!$B$2:$E$115,4,FALSE),"")</f>
        <v/>
      </c>
      <c r="AT562" s="65" t="str">
        <f>IFERROR(VLOOKUP(#REF!,[1]Lookup!$B$2:$E$115,2,FALSE),"")</f>
        <v/>
      </c>
    </row>
    <row r="563" spans="31:46" x14ac:dyDescent="0.3">
      <c r="AE563" s="204" t="s">
        <v>398</v>
      </c>
      <c r="AF563" s="204" t="s">
        <v>398</v>
      </c>
      <c r="AG563" s="204" t="s">
        <v>398</v>
      </c>
      <c r="AS563" s="65" t="str">
        <f>IFERROR(VLOOKUP(#REF!,[1]Lookup!$B$2:$E$115,4,FALSE),"")</f>
        <v/>
      </c>
      <c r="AT563" s="65" t="str">
        <f>IFERROR(VLOOKUP(#REF!,[1]Lookup!$B$2:$E$115,2,FALSE),"")</f>
        <v/>
      </c>
    </row>
    <row r="564" spans="31:46" x14ac:dyDescent="0.3">
      <c r="AE564" s="204" t="s">
        <v>398</v>
      </c>
      <c r="AF564" s="204" t="s">
        <v>398</v>
      </c>
      <c r="AG564" s="204" t="s">
        <v>398</v>
      </c>
      <c r="AS564" s="65" t="str">
        <f>IFERROR(VLOOKUP(#REF!,[1]Lookup!$B$2:$E$115,4,FALSE),"")</f>
        <v/>
      </c>
      <c r="AT564" s="65" t="str">
        <f>IFERROR(VLOOKUP(#REF!,[1]Lookup!$B$2:$E$115,2,FALSE),"")</f>
        <v/>
      </c>
    </row>
    <row r="565" spans="31:46" x14ac:dyDescent="0.3">
      <c r="AE565" s="204" t="s">
        <v>398</v>
      </c>
      <c r="AF565" s="204" t="s">
        <v>398</v>
      </c>
      <c r="AG565" s="204" t="s">
        <v>398</v>
      </c>
      <c r="AS565" s="65" t="str">
        <f>IFERROR(VLOOKUP(#REF!,[1]Lookup!$B$2:$E$115,4,FALSE),"")</f>
        <v/>
      </c>
      <c r="AT565" s="65" t="str">
        <f>IFERROR(VLOOKUP(#REF!,[1]Lookup!$B$2:$E$115,2,FALSE),"")</f>
        <v/>
      </c>
    </row>
    <row r="566" spans="31:46" x14ac:dyDescent="0.3">
      <c r="AE566" s="204" t="s">
        <v>398</v>
      </c>
      <c r="AF566" s="204" t="s">
        <v>398</v>
      </c>
      <c r="AG566" s="204" t="s">
        <v>398</v>
      </c>
      <c r="AS566" s="65" t="str">
        <f>IFERROR(VLOOKUP(#REF!,[1]Lookup!$B$2:$E$115,4,FALSE),"")</f>
        <v/>
      </c>
      <c r="AT566" s="65" t="str">
        <f>IFERROR(VLOOKUP(#REF!,[1]Lookup!$B$2:$E$115,2,FALSE),"")</f>
        <v/>
      </c>
    </row>
    <row r="567" spans="31:46" x14ac:dyDescent="0.3">
      <c r="AE567" s="204" t="s">
        <v>398</v>
      </c>
      <c r="AF567" s="204" t="s">
        <v>398</v>
      </c>
      <c r="AG567" s="204" t="s">
        <v>398</v>
      </c>
      <c r="AS567" s="65" t="str">
        <f>IFERROR(VLOOKUP(#REF!,[1]Lookup!$B$2:$E$115,4,FALSE),"")</f>
        <v/>
      </c>
      <c r="AT567" s="65" t="str">
        <f>IFERROR(VLOOKUP(#REF!,[1]Lookup!$B$2:$E$115,2,FALSE),"")</f>
        <v/>
      </c>
    </row>
    <row r="568" spans="31:46" x14ac:dyDescent="0.3">
      <c r="AE568" s="204" t="s">
        <v>398</v>
      </c>
      <c r="AF568" s="204" t="s">
        <v>398</v>
      </c>
      <c r="AG568" s="204" t="s">
        <v>398</v>
      </c>
      <c r="AS568" s="65" t="str">
        <f>IFERROR(VLOOKUP(#REF!,[1]Lookup!$B$2:$E$115,4,FALSE),"")</f>
        <v/>
      </c>
      <c r="AT568" s="65" t="str">
        <f>IFERROR(VLOOKUP(#REF!,[1]Lookup!$B$2:$E$115,2,FALSE),"")</f>
        <v/>
      </c>
    </row>
    <row r="569" spans="31:46" x14ac:dyDescent="0.3">
      <c r="AE569" s="204" t="s">
        <v>398</v>
      </c>
      <c r="AF569" s="204" t="s">
        <v>398</v>
      </c>
      <c r="AG569" s="204" t="s">
        <v>398</v>
      </c>
      <c r="AS569" s="65" t="str">
        <f>IFERROR(VLOOKUP(#REF!,[1]Lookup!$B$2:$E$115,4,FALSE),"")</f>
        <v/>
      </c>
      <c r="AT569" s="65" t="str">
        <f>IFERROR(VLOOKUP(#REF!,[1]Lookup!$B$2:$E$115,2,FALSE),"")</f>
        <v/>
      </c>
    </row>
    <row r="570" spans="31:46" x14ac:dyDescent="0.3">
      <c r="AE570" s="204" t="s">
        <v>398</v>
      </c>
      <c r="AF570" s="204" t="s">
        <v>398</v>
      </c>
      <c r="AG570" s="204" t="s">
        <v>398</v>
      </c>
      <c r="AS570" s="65" t="str">
        <f>IFERROR(VLOOKUP(#REF!,[1]Lookup!$B$2:$E$115,4,FALSE),"")</f>
        <v/>
      </c>
      <c r="AT570" s="65" t="str">
        <f>IFERROR(VLOOKUP(#REF!,[1]Lookup!$B$2:$E$115,2,FALSE),"")</f>
        <v/>
      </c>
    </row>
    <row r="571" spans="31:46" x14ac:dyDescent="0.3">
      <c r="AE571" s="204" t="s">
        <v>398</v>
      </c>
      <c r="AF571" s="204" t="s">
        <v>398</v>
      </c>
      <c r="AG571" s="204" t="s">
        <v>398</v>
      </c>
      <c r="AS571" s="65" t="str">
        <f>IFERROR(VLOOKUP(#REF!,[1]Lookup!$B$2:$E$115,4,FALSE),"")</f>
        <v/>
      </c>
      <c r="AT571" s="65" t="str">
        <f>IFERROR(VLOOKUP(#REF!,[1]Lookup!$B$2:$E$115,2,FALSE),"")</f>
        <v/>
      </c>
    </row>
    <row r="572" spans="31:46" x14ac:dyDescent="0.3">
      <c r="AE572" s="204" t="s">
        <v>398</v>
      </c>
      <c r="AF572" s="204" t="s">
        <v>398</v>
      </c>
      <c r="AG572" s="204" t="s">
        <v>398</v>
      </c>
      <c r="AS572" s="65" t="str">
        <f>IFERROR(VLOOKUP(#REF!,[1]Lookup!$B$2:$E$115,4,FALSE),"")</f>
        <v/>
      </c>
      <c r="AT572" s="65" t="str">
        <f>IFERROR(VLOOKUP(#REF!,[1]Lookup!$B$2:$E$115,2,FALSE),"")</f>
        <v/>
      </c>
    </row>
    <row r="573" spans="31:46" x14ac:dyDescent="0.3">
      <c r="AE573" s="204" t="s">
        <v>398</v>
      </c>
      <c r="AF573" s="204" t="s">
        <v>398</v>
      </c>
      <c r="AG573" s="204" t="s">
        <v>398</v>
      </c>
      <c r="AS573" s="65" t="str">
        <f>IFERROR(VLOOKUP(#REF!,[1]Lookup!$B$2:$E$115,4,FALSE),"")</f>
        <v/>
      </c>
      <c r="AT573" s="65" t="str">
        <f>IFERROR(VLOOKUP(#REF!,[1]Lookup!$B$2:$E$115,2,FALSE),"")</f>
        <v/>
      </c>
    </row>
    <row r="574" spans="31:46" x14ac:dyDescent="0.3">
      <c r="AE574" s="204" t="s">
        <v>398</v>
      </c>
      <c r="AF574" s="204" t="s">
        <v>398</v>
      </c>
      <c r="AG574" s="204" t="s">
        <v>398</v>
      </c>
      <c r="AS574" s="65" t="str">
        <f>IFERROR(VLOOKUP(#REF!,[1]Lookup!$B$2:$E$115,4,FALSE),"")</f>
        <v/>
      </c>
      <c r="AT574" s="65" t="str">
        <f>IFERROR(VLOOKUP(#REF!,[1]Lookup!$B$2:$E$115,2,FALSE),"")</f>
        <v/>
      </c>
    </row>
    <row r="575" spans="31:46" x14ac:dyDescent="0.3">
      <c r="AE575" s="204" t="s">
        <v>398</v>
      </c>
      <c r="AF575" s="204" t="s">
        <v>398</v>
      </c>
      <c r="AG575" s="204" t="s">
        <v>398</v>
      </c>
      <c r="AS575" s="65" t="str">
        <f>IFERROR(VLOOKUP(#REF!,[1]Lookup!$B$2:$E$115,4,FALSE),"")</f>
        <v/>
      </c>
      <c r="AT575" s="65" t="str">
        <f>IFERROR(VLOOKUP(#REF!,[1]Lookup!$B$2:$E$115,2,FALSE),"")</f>
        <v/>
      </c>
    </row>
    <row r="576" spans="31:46" x14ac:dyDescent="0.3">
      <c r="AE576" s="204" t="s">
        <v>398</v>
      </c>
      <c r="AF576" s="204" t="s">
        <v>398</v>
      </c>
      <c r="AG576" s="204" t="s">
        <v>398</v>
      </c>
      <c r="AS576" s="65" t="str">
        <f>IFERROR(VLOOKUP(#REF!,[1]Lookup!$B$2:$E$115,4,FALSE),"")</f>
        <v/>
      </c>
      <c r="AT576" s="65" t="str">
        <f>IFERROR(VLOOKUP(#REF!,[1]Lookup!$B$2:$E$115,2,FALSE),"")</f>
        <v/>
      </c>
    </row>
    <row r="577" spans="31:46" x14ac:dyDescent="0.3">
      <c r="AE577" s="204" t="s">
        <v>398</v>
      </c>
      <c r="AF577" s="204" t="s">
        <v>398</v>
      </c>
      <c r="AG577" s="204" t="s">
        <v>398</v>
      </c>
      <c r="AS577" s="65" t="str">
        <f>IFERROR(VLOOKUP(#REF!,[1]Lookup!$B$2:$E$115,4,FALSE),"")</f>
        <v/>
      </c>
      <c r="AT577" s="65" t="str">
        <f>IFERROR(VLOOKUP(#REF!,[1]Lookup!$B$2:$E$115,2,FALSE),"")</f>
        <v/>
      </c>
    </row>
    <row r="578" spans="31:46" x14ac:dyDescent="0.3">
      <c r="AE578" s="204" t="s">
        <v>398</v>
      </c>
      <c r="AF578" s="204" t="s">
        <v>398</v>
      </c>
      <c r="AG578" s="204" t="s">
        <v>398</v>
      </c>
      <c r="AS578" s="65" t="str">
        <f>IFERROR(VLOOKUP(#REF!,[1]Lookup!$B$2:$E$115,4,FALSE),"")</f>
        <v/>
      </c>
      <c r="AT578" s="65" t="str">
        <f>IFERROR(VLOOKUP(#REF!,[1]Lookup!$B$2:$E$115,2,FALSE),"")</f>
        <v/>
      </c>
    </row>
    <row r="579" spans="31:46" x14ac:dyDescent="0.3">
      <c r="AE579" s="204" t="s">
        <v>398</v>
      </c>
      <c r="AF579" s="204" t="s">
        <v>398</v>
      </c>
      <c r="AG579" s="204" t="s">
        <v>398</v>
      </c>
      <c r="AS579" s="65" t="str">
        <f>IFERROR(VLOOKUP(#REF!,[1]Lookup!$B$2:$E$115,4,FALSE),"")</f>
        <v/>
      </c>
      <c r="AT579" s="65" t="str">
        <f>IFERROR(VLOOKUP(#REF!,[1]Lookup!$B$2:$E$115,2,FALSE),"")</f>
        <v/>
      </c>
    </row>
    <row r="580" spans="31:46" x14ac:dyDescent="0.3">
      <c r="AE580" s="204" t="s">
        <v>398</v>
      </c>
      <c r="AF580" s="204" t="s">
        <v>398</v>
      </c>
      <c r="AG580" s="204" t="s">
        <v>398</v>
      </c>
      <c r="AS580" s="65" t="str">
        <f>IFERROR(VLOOKUP(#REF!,[1]Lookup!$B$2:$E$115,4,FALSE),"")</f>
        <v/>
      </c>
      <c r="AT580" s="65" t="str">
        <f>IFERROR(VLOOKUP(#REF!,[1]Lookup!$B$2:$E$115,2,FALSE),"")</f>
        <v/>
      </c>
    </row>
    <row r="581" spans="31:46" x14ac:dyDescent="0.3">
      <c r="AE581" s="204" t="s">
        <v>398</v>
      </c>
      <c r="AF581" s="204" t="s">
        <v>398</v>
      </c>
      <c r="AG581" s="204" t="s">
        <v>398</v>
      </c>
      <c r="AS581" s="65" t="str">
        <f>IFERROR(VLOOKUP(#REF!,[1]Lookup!$B$2:$E$115,4,FALSE),"")</f>
        <v/>
      </c>
      <c r="AT581" s="65" t="str">
        <f>IFERROR(VLOOKUP(#REF!,[1]Lookup!$B$2:$E$115,2,FALSE),"")</f>
        <v/>
      </c>
    </row>
    <row r="582" spans="31:46" x14ac:dyDescent="0.3">
      <c r="AE582" s="204" t="s">
        <v>398</v>
      </c>
      <c r="AF582" s="204" t="s">
        <v>398</v>
      </c>
      <c r="AG582" s="204" t="s">
        <v>398</v>
      </c>
      <c r="AS582" s="65" t="str">
        <f>IFERROR(VLOOKUP(#REF!,[1]Lookup!$B$2:$E$115,4,FALSE),"")</f>
        <v/>
      </c>
      <c r="AT582" s="65" t="str">
        <f>IFERROR(VLOOKUP(#REF!,[1]Lookup!$B$2:$E$115,2,FALSE),"")</f>
        <v/>
      </c>
    </row>
    <row r="583" spans="31:46" x14ac:dyDescent="0.3">
      <c r="AE583" s="204" t="s">
        <v>398</v>
      </c>
      <c r="AF583" s="204" t="s">
        <v>398</v>
      </c>
      <c r="AG583" s="204" t="s">
        <v>398</v>
      </c>
      <c r="AS583" s="65" t="str">
        <f>IFERROR(VLOOKUP(#REF!,[1]Lookup!$B$2:$E$115,4,FALSE),"")</f>
        <v/>
      </c>
      <c r="AT583" s="65" t="str">
        <f>IFERROR(VLOOKUP(#REF!,[1]Lookup!$B$2:$E$115,2,FALSE),"")</f>
        <v/>
      </c>
    </row>
    <row r="584" spans="31:46" x14ac:dyDescent="0.3">
      <c r="AE584" s="204" t="s">
        <v>398</v>
      </c>
      <c r="AF584" s="204" t="s">
        <v>398</v>
      </c>
      <c r="AG584" s="204" t="s">
        <v>398</v>
      </c>
      <c r="AS584" s="65" t="str">
        <f>IFERROR(VLOOKUP(#REF!,[1]Lookup!$B$2:$E$115,4,FALSE),"")</f>
        <v/>
      </c>
      <c r="AT584" s="65" t="str">
        <f>IFERROR(VLOOKUP(#REF!,[1]Lookup!$B$2:$E$115,2,FALSE),"")</f>
        <v/>
      </c>
    </row>
    <row r="585" spans="31:46" x14ac:dyDescent="0.3">
      <c r="AE585" s="204" t="s">
        <v>398</v>
      </c>
      <c r="AF585" s="204" t="s">
        <v>398</v>
      </c>
      <c r="AG585" s="204" t="s">
        <v>398</v>
      </c>
      <c r="AS585" s="65" t="str">
        <f>IFERROR(VLOOKUP(#REF!,[1]Lookup!$B$2:$E$115,4,FALSE),"")</f>
        <v/>
      </c>
      <c r="AT585" s="65" t="str">
        <f>IFERROR(VLOOKUP(#REF!,[1]Lookup!$B$2:$E$115,2,FALSE),"")</f>
        <v/>
      </c>
    </row>
    <row r="586" spans="31:46" x14ac:dyDescent="0.3">
      <c r="AE586" s="204" t="s">
        <v>398</v>
      </c>
      <c r="AF586" s="204" t="s">
        <v>398</v>
      </c>
      <c r="AG586" s="204" t="s">
        <v>398</v>
      </c>
      <c r="AS586" s="65" t="str">
        <f>IFERROR(VLOOKUP(#REF!,[1]Lookup!$B$2:$E$115,4,FALSE),"")</f>
        <v/>
      </c>
      <c r="AT586" s="65" t="str">
        <f>IFERROR(VLOOKUP(#REF!,[1]Lookup!$B$2:$E$115,2,FALSE),"")</f>
        <v/>
      </c>
    </row>
    <row r="587" spans="31:46" x14ac:dyDescent="0.3">
      <c r="AE587" s="204" t="s">
        <v>398</v>
      </c>
      <c r="AF587" s="204" t="s">
        <v>398</v>
      </c>
      <c r="AG587" s="204" t="s">
        <v>398</v>
      </c>
      <c r="AS587" s="65" t="str">
        <f>IFERROR(VLOOKUP(#REF!,[1]Lookup!$B$2:$E$115,4,FALSE),"")</f>
        <v/>
      </c>
      <c r="AT587" s="65" t="str">
        <f>IFERROR(VLOOKUP(#REF!,[1]Lookup!$B$2:$E$115,2,FALSE),"")</f>
        <v/>
      </c>
    </row>
    <row r="588" spans="31:46" x14ac:dyDescent="0.3">
      <c r="AE588" s="204" t="s">
        <v>398</v>
      </c>
      <c r="AF588" s="204" t="s">
        <v>398</v>
      </c>
      <c r="AG588" s="204" t="s">
        <v>398</v>
      </c>
      <c r="AS588" s="65" t="str">
        <f>IFERROR(VLOOKUP(#REF!,[1]Lookup!$B$2:$E$115,4,FALSE),"")</f>
        <v/>
      </c>
      <c r="AT588" s="65" t="str">
        <f>IFERROR(VLOOKUP(#REF!,[1]Lookup!$B$2:$E$115,2,FALSE),"")</f>
        <v/>
      </c>
    </row>
    <row r="589" spans="31:46" x14ac:dyDescent="0.3">
      <c r="AE589" s="204" t="s">
        <v>398</v>
      </c>
      <c r="AF589" s="204" t="s">
        <v>398</v>
      </c>
      <c r="AG589" s="204" t="s">
        <v>398</v>
      </c>
      <c r="AS589" s="65" t="str">
        <f>IFERROR(VLOOKUP(#REF!,[1]Lookup!$B$2:$E$115,4,FALSE),"")</f>
        <v/>
      </c>
      <c r="AT589" s="65" t="str">
        <f>IFERROR(VLOOKUP(#REF!,[1]Lookup!$B$2:$E$115,2,FALSE),"")</f>
        <v/>
      </c>
    </row>
    <row r="590" spans="31:46" x14ac:dyDescent="0.3">
      <c r="AE590" s="204" t="s">
        <v>398</v>
      </c>
      <c r="AF590" s="204" t="s">
        <v>398</v>
      </c>
      <c r="AG590" s="204" t="s">
        <v>398</v>
      </c>
      <c r="AS590" s="65" t="str">
        <f>IFERROR(VLOOKUP(#REF!,[1]Lookup!$B$2:$E$115,4,FALSE),"")</f>
        <v/>
      </c>
      <c r="AT590" s="65" t="str">
        <f>IFERROR(VLOOKUP(#REF!,[1]Lookup!$B$2:$E$115,2,FALSE),"")</f>
        <v/>
      </c>
    </row>
    <row r="591" spans="31:46" x14ac:dyDescent="0.3">
      <c r="AE591" s="204" t="s">
        <v>398</v>
      </c>
      <c r="AF591" s="204" t="s">
        <v>398</v>
      </c>
      <c r="AG591" s="204" t="s">
        <v>398</v>
      </c>
      <c r="AS591" s="65" t="str">
        <f>IFERROR(VLOOKUP(#REF!,[1]Lookup!$B$2:$E$115,4,FALSE),"")</f>
        <v/>
      </c>
      <c r="AT591" s="65" t="str">
        <f>IFERROR(VLOOKUP(#REF!,[1]Lookup!$B$2:$E$115,2,FALSE),"")</f>
        <v/>
      </c>
    </row>
    <row r="592" spans="31:46" x14ac:dyDescent="0.3">
      <c r="AE592" s="204" t="s">
        <v>398</v>
      </c>
      <c r="AF592" s="204" t="s">
        <v>398</v>
      </c>
      <c r="AG592" s="204" t="s">
        <v>398</v>
      </c>
      <c r="AS592" s="65" t="str">
        <f>IFERROR(VLOOKUP(#REF!,[1]Lookup!$B$2:$E$115,4,FALSE),"")</f>
        <v/>
      </c>
      <c r="AT592" s="65" t="str">
        <f>IFERROR(VLOOKUP(#REF!,[1]Lookup!$B$2:$E$115,2,FALSE),"")</f>
        <v/>
      </c>
    </row>
    <row r="593" spans="31:46" x14ac:dyDescent="0.3">
      <c r="AE593" s="204" t="s">
        <v>398</v>
      </c>
      <c r="AF593" s="204" t="s">
        <v>398</v>
      </c>
      <c r="AG593" s="204" t="s">
        <v>398</v>
      </c>
      <c r="AS593" s="65" t="str">
        <f>IFERROR(VLOOKUP(#REF!,[1]Lookup!$B$2:$E$115,4,FALSE),"")</f>
        <v/>
      </c>
      <c r="AT593" s="65" t="str">
        <f>IFERROR(VLOOKUP(#REF!,[1]Lookup!$B$2:$E$115,2,FALSE),"")</f>
        <v/>
      </c>
    </row>
    <row r="594" spans="31:46" x14ac:dyDescent="0.3">
      <c r="AE594" s="204" t="s">
        <v>398</v>
      </c>
      <c r="AF594" s="204" t="s">
        <v>398</v>
      </c>
      <c r="AG594" s="204" t="s">
        <v>398</v>
      </c>
      <c r="AS594" s="65" t="str">
        <f>IFERROR(VLOOKUP(#REF!,[1]Lookup!$B$2:$E$115,4,FALSE),"")</f>
        <v/>
      </c>
      <c r="AT594" s="65" t="str">
        <f>IFERROR(VLOOKUP(#REF!,[1]Lookup!$B$2:$E$115,2,FALSE),"")</f>
        <v/>
      </c>
    </row>
    <row r="595" spans="31:46" x14ac:dyDescent="0.3">
      <c r="AE595" s="204" t="s">
        <v>398</v>
      </c>
      <c r="AF595" s="204" t="s">
        <v>398</v>
      </c>
      <c r="AG595" s="204" t="s">
        <v>398</v>
      </c>
      <c r="AS595" s="65" t="str">
        <f>IFERROR(VLOOKUP(#REF!,[1]Lookup!$B$2:$E$115,4,FALSE),"")</f>
        <v/>
      </c>
      <c r="AT595" s="65" t="str">
        <f>IFERROR(VLOOKUP(#REF!,[1]Lookup!$B$2:$E$115,2,FALSE),"")</f>
        <v/>
      </c>
    </row>
    <row r="596" spans="31:46" x14ac:dyDescent="0.3">
      <c r="AE596" s="204" t="s">
        <v>398</v>
      </c>
      <c r="AF596" s="204" t="s">
        <v>398</v>
      </c>
      <c r="AG596" s="204" t="s">
        <v>398</v>
      </c>
      <c r="AS596" s="65" t="str">
        <f>IFERROR(VLOOKUP(#REF!,[1]Lookup!$B$2:$E$115,4,FALSE),"")</f>
        <v/>
      </c>
      <c r="AT596" s="65" t="str">
        <f>IFERROR(VLOOKUP(#REF!,[1]Lookup!$B$2:$E$115,2,FALSE),"")</f>
        <v/>
      </c>
    </row>
    <row r="597" spans="31:46" x14ac:dyDescent="0.3">
      <c r="AE597" s="204" t="s">
        <v>398</v>
      </c>
      <c r="AF597" s="204" t="s">
        <v>398</v>
      </c>
      <c r="AG597" s="204" t="s">
        <v>398</v>
      </c>
      <c r="AS597" s="65" t="str">
        <f>IFERROR(VLOOKUP(#REF!,[1]Lookup!$B$2:$E$115,4,FALSE),"")</f>
        <v/>
      </c>
      <c r="AT597" s="65" t="str">
        <f>IFERROR(VLOOKUP(#REF!,[1]Lookup!$B$2:$E$115,2,FALSE),"")</f>
        <v/>
      </c>
    </row>
    <row r="598" spans="31:46" x14ac:dyDescent="0.3">
      <c r="AE598" s="204" t="s">
        <v>398</v>
      </c>
      <c r="AF598" s="204" t="s">
        <v>398</v>
      </c>
      <c r="AG598" s="204" t="s">
        <v>398</v>
      </c>
      <c r="AS598" s="65" t="str">
        <f>IFERROR(VLOOKUP(#REF!,[1]Lookup!$B$2:$E$115,4,FALSE),"")</f>
        <v/>
      </c>
      <c r="AT598" s="65" t="str">
        <f>IFERROR(VLOOKUP(#REF!,[1]Lookup!$B$2:$E$115,2,FALSE),"")</f>
        <v/>
      </c>
    </row>
    <row r="599" spans="31:46" x14ac:dyDescent="0.3">
      <c r="AE599" s="204" t="s">
        <v>398</v>
      </c>
      <c r="AF599" s="204" t="s">
        <v>398</v>
      </c>
      <c r="AG599" s="204" t="s">
        <v>398</v>
      </c>
      <c r="AS599" s="65" t="str">
        <f>IFERROR(VLOOKUP(#REF!,[1]Lookup!$B$2:$E$115,4,FALSE),"")</f>
        <v/>
      </c>
      <c r="AT599" s="65" t="str">
        <f>IFERROR(VLOOKUP(#REF!,[1]Lookup!$B$2:$E$115,2,FALSE),"")</f>
        <v/>
      </c>
    </row>
    <row r="600" spans="31:46" x14ac:dyDescent="0.3">
      <c r="AE600" s="204" t="s">
        <v>398</v>
      </c>
      <c r="AF600" s="204" t="s">
        <v>398</v>
      </c>
      <c r="AG600" s="204" t="s">
        <v>398</v>
      </c>
      <c r="AS600" s="65" t="str">
        <f>IFERROR(VLOOKUP(#REF!,[1]Lookup!$B$2:$E$115,4,FALSE),"")</f>
        <v/>
      </c>
      <c r="AT600" s="65" t="str">
        <f>IFERROR(VLOOKUP(#REF!,[1]Lookup!$B$2:$E$115,2,FALSE),"")</f>
        <v/>
      </c>
    </row>
    <row r="601" spans="31:46" x14ac:dyDescent="0.3">
      <c r="AE601" s="204" t="s">
        <v>398</v>
      </c>
      <c r="AF601" s="204" t="s">
        <v>398</v>
      </c>
      <c r="AG601" s="204" t="s">
        <v>398</v>
      </c>
      <c r="AS601" s="65" t="str">
        <f>IFERROR(VLOOKUP(#REF!,[1]Lookup!$B$2:$E$115,4,FALSE),"")</f>
        <v/>
      </c>
      <c r="AT601" s="65" t="str">
        <f>IFERROR(VLOOKUP(#REF!,[1]Lookup!$B$2:$E$115,2,FALSE),"")</f>
        <v/>
      </c>
    </row>
    <row r="602" spans="31:46" x14ac:dyDescent="0.3">
      <c r="AE602" s="204" t="s">
        <v>398</v>
      </c>
      <c r="AF602" s="204" t="s">
        <v>398</v>
      </c>
      <c r="AG602" s="204" t="s">
        <v>398</v>
      </c>
      <c r="AS602" s="65" t="str">
        <f>IFERROR(VLOOKUP(#REF!,[1]Lookup!$B$2:$E$115,4,FALSE),"")</f>
        <v/>
      </c>
      <c r="AT602" s="65" t="str">
        <f>IFERROR(VLOOKUP(#REF!,[1]Lookup!$B$2:$E$115,2,FALSE),"")</f>
        <v/>
      </c>
    </row>
    <row r="603" spans="31:46" x14ac:dyDescent="0.3">
      <c r="AE603" s="204" t="s">
        <v>398</v>
      </c>
      <c r="AF603" s="204" t="s">
        <v>398</v>
      </c>
      <c r="AG603" s="204" t="s">
        <v>398</v>
      </c>
      <c r="AS603" s="65" t="str">
        <f>IFERROR(VLOOKUP(#REF!,[1]Lookup!$B$2:$E$115,4,FALSE),"")</f>
        <v/>
      </c>
      <c r="AT603" s="65" t="str">
        <f>IFERROR(VLOOKUP(#REF!,[1]Lookup!$B$2:$E$115,2,FALSE),"")</f>
        <v/>
      </c>
    </row>
    <row r="604" spans="31:46" x14ac:dyDescent="0.3">
      <c r="AE604" s="204" t="s">
        <v>398</v>
      </c>
      <c r="AF604" s="204" t="s">
        <v>398</v>
      </c>
      <c r="AG604" s="204" t="s">
        <v>398</v>
      </c>
      <c r="AS604" s="65" t="str">
        <f>IFERROR(VLOOKUP(#REF!,[1]Lookup!$B$2:$E$115,4,FALSE),"")</f>
        <v/>
      </c>
      <c r="AT604" s="65" t="str">
        <f>IFERROR(VLOOKUP(#REF!,[1]Lookup!$B$2:$E$115,2,FALSE),"")</f>
        <v/>
      </c>
    </row>
    <row r="605" spans="31:46" x14ac:dyDescent="0.3">
      <c r="AE605" s="204" t="s">
        <v>398</v>
      </c>
      <c r="AF605" s="204" t="s">
        <v>398</v>
      </c>
      <c r="AG605" s="204" t="s">
        <v>398</v>
      </c>
      <c r="AS605" s="65" t="str">
        <f>IFERROR(VLOOKUP(#REF!,[1]Lookup!$B$2:$E$115,4,FALSE),"")</f>
        <v/>
      </c>
      <c r="AT605" s="65" t="str">
        <f>IFERROR(VLOOKUP(#REF!,[1]Lookup!$B$2:$E$115,2,FALSE),"")</f>
        <v/>
      </c>
    </row>
    <row r="606" spans="31:46" x14ac:dyDescent="0.3">
      <c r="AE606" s="204" t="s">
        <v>398</v>
      </c>
      <c r="AF606" s="204" t="s">
        <v>398</v>
      </c>
      <c r="AG606" s="204" t="s">
        <v>398</v>
      </c>
      <c r="AS606" s="65" t="str">
        <f>IFERROR(VLOOKUP(#REF!,[1]Lookup!$B$2:$E$115,4,FALSE),"")</f>
        <v/>
      </c>
      <c r="AT606" s="65" t="str">
        <f>IFERROR(VLOOKUP(#REF!,[1]Lookup!$B$2:$E$115,2,FALSE),"")</f>
        <v/>
      </c>
    </row>
    <row r="607" spans="31:46" x14ac:dyDescent="0.3">
      <c r="AE607" s="204" t="s">
        <v>398</v>
      </c>
      <c r="AF607" s="204" t="s">
        <v>398</v>
      </c>
      <c r="AG607" s="204" t="s">
        <v>398</v>
      </c>
      <c r="AS607" s="65" t="str">
        <f>IFERROR(VLOOKUP(#REF!,[1]Lookup!$B$2:$E$115,4,FALSE),"")</f>
        <v/>
      </c>
      <c r="AT607" s="65" t="str">
        <f>IFERROR(VLOOKUP(#REF!,[1]Lookup!$B$2:$E$115,2,FALSE),"")</f>
        <v/>
      </c>
    </row>
    <row r="608" spans="31:46" x14ac:dyDescent="0.3">
      <c r="AE608" s="204" t="s">
        <v>398</v>
      </c>
      <c r="AF608" s="204" t="s">
        <v>398</v>
      </c>
      <c r="AG608" s="204" t="s">
        <v>398</v>
      </c>
      <c r="AS608" s="65" t="str">
        <f>IFERROR(VLOOKUP(#REF!,[1]Lookup!$B$2:$E$115,4,FALSE),"")</f>
        <v/>
      </c>
      <c r="AT608" s="65" t="str">
        <f>IFERROR(VLOOKUP(#REF!,[1]Lookup!$B$2:$E$115,2,FALSE),"")</f>
        <v/>
      </c>
    </row>
    <row r="609" spans="31:46" x14ac:dyDescent="0.3">
      <c r="AE609" s="204" t="s">
        <v>398</v>
      </c>
      <c r="AF609" s="204" t="s">
        <v>398</v>
      </c>
      <c r="AG609" s="204" t="s">
        <v>398</v>
      </c>
      <c r="AS609" s="65" t="str">
        <f>IFERROR(VLOOKUP(#REF!,[1]Lookup!$B$2:$E$115,4,FALSE),"")</f>
        <v/>
      </c>
      <c r="AT609" s="65" t="str">
        <f>IFERROR(VLOOKUP(#REF!,[1]Lookup!$B$2:$E$115,2,FALSE),"")</f>
        <v/>
      </c>
    </row>
    <row r="610" spans="31:46" x14ac:dyDescent="0.3">
      <c r="AE610" s="204" t="s">
        <v>398</v>
      </c>
      <c r="AF610" s="204" t="s">
        <v>398</v>
      </c>
      <c r="AG610" s="204" t="s">
        <v>398</v>
      </c>
      <c r="AS610" s="65" t="str">
        <f>IFERROR(VLOOKUP(#REF!,[1]Lookup!$B$2:$E$115,4,FALSE),"")</f>
        <v/>
      </c>
      <c r="AT610" s="65" t="str">
        <f>IFERROR(VLOOKUP(#REF!,[1]Lookup!$B$2:$E$115,2,FALSE),"")</f>
        <v/>
      </c>
    </row>
    <row r="611" spans="31:46" x14ac:dyDescent="0.3">
      <c r="AE611" s="204" t="s">
        <v>398</v>
      </c>
      <c r="AF611" s="204" t="s">
        <v>398</v>
      </c>
      <c r="AG611" s="204" t="s">
        <v>398</v>
      </c>
      <c r="AS611" s="65" t="str">
        <f>IFERROR(VLOOKUP(#REF!,[1]Lookup!$B$2:$E$115,4,FALSE),"")</f>
        <v/>
      </c>
      <c r="AT611" s="65" t="str">
        <f>IFERROR(VLOOKUP(#REF!,[1]Lookup!$B$2:$E$115,2,FALSE),"")</f>
        <v/>
      </c>
    </row>
    <row r="612" spans="31:46" x14ac:dyDescent="0.3">
      <c r="AE612" s="204" t="s">
        <v>398</v>
      </c>
      <c r="AF612" s="204" t="s">
        <v>398</v>
      </c>
      <c r="AG612" s="204" t="s">
        <v>398</v>
      </c>
      <c r="AS612" s="65" t="str">
        <f>IFERROR(VLOOKUP(#REF!,[1]Lookup!$B$2:$E$115,4,FALSE),"")</f>
        <v/>
      </c>
      <c r="AT612" s="65" t="str">
        <f>IFERROR(VLOOKUP(#REF!,[1]Lookup!$B$2:$E$115,2,FALSE),"")</f>
        <v/>
      </c>
    </row>
    <row r="613" spans="31:46" x14ac:dyDescent="0.3">
      <c r="AE613" s="204" t="s">
        <v>398</v>
      </c>
      <c r="AF613" s="204" t="s">
        <v>398</v>
      </c>
      <c r="AG613" s="204" t="s">
        <v>398</v>
      </c>
      <c r="AS613" s="65" t="str">
        <f>IFERROR(VLOOKUP(#REF!,[1]Lookup!$B$2:$E$115,4,FALSE),"")</f>
        <v/>
      </c>
      <c r="AT613" s="65" t="str">
        <f>IFERROR(VLOOKUP(#REF!,[1]Lookup!$B$2:$E$115,2,FALSE),"")</f>
        <v/>
      </c>
    </row>
    <row r="614" spans="31:46" x14ac:dyDescent="0.3">
      <c r="AE614" s="204" t="s">
        <v>398</v>
      </c>
      <c r="AF614" s="204" t="s">
        <v>398</v>
      </c>
      <c r="AG614" s="204" t="s">
        <v>398</v>
      </c>
      <c r="AS614" s="65" t="str">
        <f>IFERROR(VLOOKUP(#REF!,[1]Lookup!$B$2:$E$115,4,FALSE),"")</f>
        <v/>
      </c>
      <c r="AT614" s="65" t="str">
        <f>IFERROR(VLOOKUP(#REF!,[1]Lookup!$B$2:$E$115,2,FALSE),"")</f>
        <v/>
      </c>
    </row>
    <row r="615" spans="31:46" x14ac:dyDescent="0.3">
      <c r="AE615" s="204" t="s">
        <v>398</v>
      </c>
      <c r="AF615" s="204" t="s">
        <v>398</v>
      </c>
      <c r="AG615" s="204" t="s">
        <v>398</v>
      </c>
      <c r="AS615" s="65" t="str">
        <f>IFERROR(VLOOKUP(#REF!,[1]Lookup!$B$2:$E$115,4,FALSE),"")</f>
        <v/>
      </c>
      <c r="AT615" s="65" t="str">
        <f>IFERROR(VLOOKUP(#REF!,[1]Lookup!$B$2:$E$115,2,FALSE),"")</f>
        <v/>
      </c>
    </row>
    <row r="616" spans="31:46" x14ac:dyDescent="0.3">
      <c r="AE616" s="204" t="s">
        <v>398</v>
      </c>
      <c r="AF616" s="204" t="s">
        <v>398</v>
      </c>
      <c r="AG616" s="204" t="s">
        <v>398</v>
      </c>
      <c r="AS616" s="65" t="str">
        <f>IFERROR(VLOOKUP(#REF!,[1]Lookup!$B$2:$E$115,4,FALSE),"")</f>
        <v/>
      </c>
      <c r="AT616" s="65" t="str">
        <f>IFERROR(VLOOKUP(#REF!,[1]Lookup!$B$2:$E$115,2,FALSE),"")</f>
        <v/>
      </c>
    </row>
    <row r="617" spans="31:46" x14ac:dyDescent="0.3">
      <c r="AE617" s="204" t="s">
        <v>398</v>
      </c>
      <c r="AF617" s="204" t="s">
        <v>398</v>
      </c>
      <c r="AG617" s="204" t="s">
        <v>398</v>
      </c>
      <c r="AS617" s="65" t="str">
        <f>IFERROR(VLOOKUP(#REF!,[1]Lookup!$B$2:$E$115,4,FALSE),"")</f>
        <v/>
      </c>
      <c r="AT617" s="65" t="str">
        <f>IFERROR(VLOOKUP(#REF!,[1]Lookup!$B$2:$E$115,2,FALSE),"")</f>
        <v/>
      </c>
    </row>
    <row r="618" spans="31:46" x14ac:dyDescent="0.3">
      <c r="AE618" s="204" t="s">
        <v>398</v>
      </c>
      <c r="AF618" s="204" t="s">
        <v>398</v>
      </c>
      <c r="AG618" s="204" t="s">
        <v>398</v>
      </c>
      <c r="AS618" s="65" t="str">
        <f>IFERROR(VLOOKUP(#REF!,[1]Lookup!$B$2:$E$115,4,FALSE),"")</f>
        <v/>
      </c>
      <c r="AT618" s="65" t="str">
        <f>IFERROR(VLOOKUP(#REF!,[1]Lookup!$B$2:$E$115,2,FALSE),"")</f>
        <v/>
      </c>
    </row>
    <row r="619" spans="31:46" x14ac:dyDescent="0.3">
      <c r="AE619" s="204" t="s">
        <v>398</v>
      </c>
      <c r="AF619" s="204" t="s">
        <v>398</v>
      </c>
      <c r="AG619" s="204" t="s">
        <v>398</v>
      </c>
      <c r="AS619" s="65" t="str">
        <f>IFERROR(VLOOKUP(#REF!,[1]Lookup!$B$2:$E$115,4,FALSE),"")</f>
        <v/>
      </c>
      <c r="AT619" s="65" t="str">
        <f>IFERROR(VLOOKUP(#REF!,[1]Lookup!$B$2:$E$115,2,FALSE),"")</f>
        <v/>
      </c>
    </row>
    <row r="620" spans="31:46" x14ac:dyDescent="0.3">
      <c r="AE620" s="204" t="s">
        <v>398</v>
      </c>
      <c r="AF620" s="204" t="s">
        <v>398</v>
      </c>
      <c r="AG620" s="204" t="s">
        <v>398</v>
      </c>
      <c r="AS620" s="65" t="str">
        <f>IFERROR(VLOOKUP(#REF!,[1]Lookup!$B$2:$E$115,4,FALSE),"")</f>
        <v/>
      </c>
      <c r="AT620" s="65" t="str">
        <f>IFERROR(VLOOKUP(#REF!,[1]Lookup!$B$2:$E$115,2,FALSE),"")</f>
        <v/>
      </c>
    </row>
    <row r="621" spans="31:46" x14ac:dyDescent="0.3">
      <c r="AE621" s="204" t="s">
        <v>398</v>
      </c>
      <c r="AF621" s="204" t="s">
        <v>398</v>
      </c>
      <c r="AG621" s="204" t="s">
        <v>398</v>
      </c>
      <c r="AS621" s="65" t="str">
        <f>IFERROR(VLOOKUP(#REF!,[1]Lookup!$B$2:$E$115,4,FALSE),"")</f>
        <v/>
      </c>
      <c r="AT621" s="65" t="str">
        <f>IFERROR(VLOOKUP(#REF!,[1]Lookup!$B$2:$E$115,2,FALSE),"")</f>
        <v/>
      </c>
    </row>
    <row r="622" spans="31:46" x14ac:dyDescent="0.3">
      <c r="AE622" s="204" t="s">
        <v>398</v>
      </c>
      <c r="AF622" s="204" t="s">
        <v>398</v>
      </c>
      <c r="AG622" s="204" t="s">
        <v>398</v>
      </c>
      <c r="AS622" s="65" t="str">
        <f>IFERROR(VLOOKUP(#REF!,[1]Lookup!$B$2:$E$115,4,FALSE),"")</f>
        <v/>
      </c>
      <c r="AT622" s="65" t="str">
        <f>IFERROR(VLOOKUP(#REF!,[1]Lookup!$B$2:$E$115,2,FALSE),"")</f>
        <v/>
      </c>
    </row>
    <row r="623" spans="31:46" x14ac:dyDescent="0.3">
      <c r="AE623" s="204" t="s">
        <v>398</v>
      </c>
      <c r="AF623" s="204" t="s">
        <v>398</v>
      </c>
      <c r="AG623" s="204" t="s">
        <v>398</v>
      </c>
      <c r="AS623" s="65" t="str">
        <f>IFERROR(VLOOKUP(#REF!,[1]Lookup!$B$2:$E$115,4,FALSE),"")</f>
        <v/>
      </c>
      <c r="AT623" s="65" t="str">
        <f>IFERROR(VLOOKUP(#REF!,[1]Lookup!$B$2:$E$115,2,FALSE),"")</f>
        <v/>
      </c>
    </row>
    <row r="624" spans="31:46" x14ac:dyDescent="0.3">
      <c r="AE624" s="204" t="s">
        <v>398</v>
      </c>
      <c r="AF624" s="204" t="s">
        <v>398</v>
      </c>
      <c r="AG624" s="204" t="s">
        <v>398</v>
      </c>
      <c r="AS624" s="65" t="str">
        <f>IFERROR(VLOOKUP(#REF!,[1]Lookup!$B$2:$E$115,4,FALSE),"")</f>
        <v/>
      </c>
      <c r="AT624" s="65" t="str">
        <f>IFERROR(VLOOKUP(#REF!,[1]Lookup!$B$2:$E$115,2,FALSE),"")</f>
        <v/>
      </c>
    </row>
    <row r="625" spans="31:46" x14ac:dyDescent="0.3">
      <c r="AE625" s="204" t="s">
        <v>398</v>
      </c>
      <c r="AF625" s="204" t="s">
        <v>398</v>
      </c>
      <c r="AG625" s="204" t="s">
        <v>398</v>
      </c>
      <c r="AS625" s="65" t="str">
        <f>IFERROR(VLOOKUP(#REF!,[1]Lookup!$B$2:$E$115,4,FALSE),"")</f>
        <v/>
      </c>
      <c r="AT625" s="65" t="str">
        <f>IFERROR(VLOOKUP(#REF!,[1]Lookup!$B$2:$E$115,2,FALSE),"")</f>
        <v/>
      </c>
    </row>
    <row r="626" spans="31:46" x14ac:dyDescent="0.3">
      <c r="AE626" s="204" t="s">
        <v>398</v>
      </c>
      <c r="AF626" s="204" t="s">
        <v>398</v>
      </c>
      <c r="AG626" s="204" t="s">
        <v>398</v>
      </c>
      <c r="AS626" s="65" t="str">
        <f>IFERROR(VLOOKUP(#REF!,[1]Lookup!$B$2:$E$115,4,FALSE),"")</f>
        <v/>
      </c>
      <c r="AT626" s="65" t="str">
        <f>IFERROR(VLOOKUP(#REF!,[1]Lookup!$B$2:$E$115,2,FALSE),"")</f>
        <v/>
      </c>
    </row>
    <row r="627" spans="31:46" x14ac:dyDescent="0.3">
      <c r="AE627" s="204" t="s">
        <v>398</v>
      </c>
      <c r="AF627" s="204" t="s">
        <v>398</v>
      </c>
      <c r="AG627" s="204" t="s">
        <v>398</v>
      </c>
      <c r="AS627" s="65" t="str">
        <f>IFERROR(VLOOKUP(#REF!,[1]Lookup!$B$2:$E$115,4,FALSE),"")</f>
        <v/>
      </c>
      <c r="AT627" s="65" t="str">
        <f>IFERROR(VLOOKUP(#REF!,[1]Lookup!$B$2:$E$115,2,FALSE),"")</f>
        <v/>
      </c>
    </row>
    <row r="628" spans="31:46" x14ac:dyDescent="0.3">
      <c r="AE628" s="204" t="s">
        <v>398</v>
      </c>
      <c r="AF628" s="204" t="s">
        <v>398</v>
      </c>
      <c r="AG628" s="204" t="s">
        <v>398</v>
      </c>
      <c r="AS628" s="65" t="str">
        <f>IFERROR(VLOOKUP(#REF!,[1]Lookup!$B$2:$E$115,4,FALSE),"")</f>
        <v/>
      </c>
      <c r="AT628" s="65" t="str">
        <f>IFERROR(VLOOKUP(#REF!,[1]Lookup!$B$2:$E$115,2,FALSE),"")</f>
        <v/>
      </c>
    </row>
    <row r="629" spans="31:46" x14ac:dyDescent="0.3">
      <c r="AE629" s="204" t="s">
        <v>398</v>
      </c>
      <c r="AF629" s="204" t="s">
        <v>398</v>
      </c>
      <c r="AG629" s="204" t="s">
        <v>398</v>
      </c>
      <c r="AS629" s="65" t="str">
        <f>IFERROR(VLOOKUP(#REF!,[1]Lookup!$B$2:$E$115,4,FALSE),"")</f>
        <v/>
      </c>
      <c r="AT629" s="65" t="str">
        <f>IFERROR(VLOOKUP(#REF!,[1]Lookup!$B$2:$E$115,2,FALSE),"")</f>
        <v/>
      </c>
    </row>
    <row r="630" spans="31:46" x14ac:dyDescent="0.3">
      <c r="AE630" s="204" t="s">
        <v>398</v>
      </c>
      <c r="AF630" s="204" t="s">
        <v>398</v>
      </c>
      <c r="AG630" s="204" t="s">
        <v>398</v>
      </c>
      <c r="AS630" s="65" t="str">
        <f>IFERROR(VLOOKUP(#REF!,[1]Lookup!$B$2:$E$115,4,FALSE),"")</f>
        <v/>
      </c>
      <c r="AT630" s="65" t="str">
        <f>IFERROR(VLOOKUP(#REF!,[1]Lookup!$B$2:$E$115,2,FALSE),"")</f>
        <v/>
      </c>
    </row>
    <row r="631" spans="31:46" x14ac:dyDescent="0.3">
      <c r="AE631" s="204" t="s">
        <v>398</v>
      </c>
      <c r="AF631" s="204" t="s">
        <v>398</v>
      </c>
      <c r="AG631" s="204" t="s">
        <v>398</v>
      </c>
      <c r="AS631" s="65" t="str">
        <f>IFERROR(VLOOKUP(#REF!,[1]Lookup!$B$2:$E$115,4,FALSE),"")</f>
        <v/>
      </c>
      <c r="AT631" s="65" t="str">
        <f>IFERROR(VLOOKUP(#REF!,[1]Lookup!$B$2:$E$115,2,FALSE),"")</f>
        <v/>
      </c>
    </row>
    <row r="632" spans="31:46" x14ac:dyDescent="0.3">
      <c r="AE632" s="204" t="s">
        <v>398</v>
      </c>
      <c r="AF632" s="204" t="s">
        <v>398</v>
      </c>
      <c r="AG632" s="204" t="s">
        <v>398</v>
      </c>
      <c r="AS632" s="65" t="str">
        <f>IFERROR(VLOOKUP(#REF!,[1]Lookup!$B$2:$E$115,4,FALSE),"")</f>
        <v/>
      </c>
      <c r="AT632" s="65" t="str">
        <f>IFERROR(VLOOKUP(#REF!,[1]Lookup!$B$2:$E$115,2,FALSE),"")</f>
        <v/>
      </c>
    </row>
    <row r="633" spans="31:46" x14ac:dyDescent="0.3">
      <c r="AE633" s="204" t="s">
        <v>398</v>
      </c>
      <c r="AF633" s="204" t="s">
        <v>398</v>
      </c>
      <c r="AG633" s="204" t="s">
        <v>398</v>
      </c>
      <c r="AS633" s="65" t="str">
        <f>IFERROR(VLOOKUP(#REF!,[1]Lookup!$B$2:$E$115,4,FALSE),"")</f>
        <v/>
      </c>
      <c r="AT633" s="65" t="str">
        <f>IFERROR(VLOOKUP(#REF!,[1]Lookup!$B$2:$E$115,2,FALSE),"")</f>
        <v/>
      </c>
    </row>
    <row r="634" spans="31:46" x14ac:dyDescent="0.3">
      <c r="AE634" s="204" t="s">
        <v>398</v>
      </c>
      <c r="AF634" s="204" t="s">
        <v>398</v>
      </c>
      <c r="AG634" s="204" t="s">
        <v>398</v>
      </c>
      <c r="AS634" s="65" t="str">
        <f>IFERROR(VLOOKUP(#REF!,[1]Lookup!$B$2:$E$115,4,FALSE),"")</f>
        <v/>
      </c>
      <c r="AT634" s="65" t="str">
        <f>IFERROR(VLOOKUP(#REF!,[1]Lookup!$B$2:$E$115,2,FALSE),"")</f>
        <v/>
      </c>
    </row>
    <row r="635" spans="31:46" x14ac:dyDescent="0.3">
      <c r="AE635" s="204" t="s">
        <v>398</v>
      </c>
      <c r="AF635" s="204" t="s">
        <v>398</v>
      </c>
      <c r="AG635" s="204" t="s">
        <v>398</v>
      </c>
      <c r="AS635" s="65" t="str">
        <f>IFERROR(VLOOKUP(#REF!,[1]Lookup!$B$2:$E$115,4,FALSE),"")</f>
        <v/>
      </c>
      <c r="AT635" s="65" t="str">
        <f>IFERROR(VLOOKUP(#REF!,[1]Lookup!$B$2:$E$115,2,FALSE),"")</f>
        <v/>
      </c>
    </row>
    <row r="636" spans="31:46" x14ac:dyDescent="0.3">
      <c r="AE636" s="204" t="s">
        <v>398</v>
      </c>
      <c r="AF636" s="204" t="s">
        <v>398</v>
      </c>
      <c r="AG636" s="204" t="s">
        <v>398</v>
      </c>
      <c r="AS636" s="65" t="str">
        <f>IFERROR(VLOOKUP(#REF!,[1]Lookup!$B$2:$E$115,4,FALSE),"")</f>
        <v/>
      </c>
      <c r="AT636" s="65" t="str">
        <f>IFERROR(VLOOKUP(#REF!,[1]Lookup!$B$2:$E$115,2,FALSE),"")</f>
        <v/>
      </c>
    </row>
    <row r="637" spans="31:46" x14ac:dyDescent="0.3">
      <c r="AE637" s="204" t="s">
        <v>398</v>
      </c>
      <c r="AF637" s="204" t="s">
        <v>398</v>
      </c>
      <c r="AG637" s="204" t="s">
        <v>398</v>
      </c>
      <c r="AS637" s="65" t="str">
        <f>IFERROR(VLOOKUP(#REF!,[1]Lookup!$B$2:$E$115,4,FALSE),"")</f>
        <v/>
      </c>
      <c r="AT637" s="65" t="str">
        <f>IFERROR(VLOOKUP(#REF!,[1]Lookup!$B$2:$E$115,2,FALSE),"")</f>
        <v/>
      </c>
    </row>
    <row r="638" spans="31:46" x14ac:dyDescent="0.3">
      <c r="AE638" s="204" t="s">
        <v>398</v>
      </c>
      <c r="AF638" s="204" t="s">
        <v>398</v>
      </c>
      <c r="AG638" s="204" t="s">
        <v>398</v>
      </c>
      <c r="AS638" s="65" t="str">
        <f>IFERROR(VLOOKUP(#REF!,[1]Lookup!$B$2:$E$115,4,FALSE),"")</f>
        <v/>
      </c>
      <c r="AT638" s="65" t="str">
        <f>IFERROR(VLOOKUP(#REF!,[1]Lookup!$B$2:$E$115,2,FALSE),"")</f>
        <v/>
      </c>
    </row>
    <row r="639" spans="31:46" x14ac:dyDescent="0.3">
      <c r="AE639" s="204" t="s">
        <v>398</v>
      </c>
      <c r="AF639" s="204" t="s">
        <v>398</v>
      </c>
      <c r="AG639" s="204" t="s">
        <v>398</v>
      </c>
      <c r="AS639" s="65" t="str">
        <f>IFERROR(VLOOKUP(#REF!,[1]Lookup!$B$2:$E$115,4,FALSE),"")</f>
        <v/>
      </c>
      <c r="AT639" s="65" t="str">
        <f>IFERROR(VLOOKUP(#REF!,[1]Lookup!$B$2:$E$115,2,FALSE),"")</f>
        <v/>
      </c>
    </row>
    <row r="640" spans="31:46" x14ac:dyDescent="0.3">
      <c r="AE640" s="204" t="s">
        <v>398</v>
      </c>
      <c r="AF640" s="204" t="s">
        <v>398</v>
      </c>
      <c r="AG640" s="204" t="s">
        <v>398</v>
      </c>
      <c r="AS640" s="65" t="str">
        <f>IFERROR(VLOOKUP(#REF!,[1]Lookup!$B$2:$E$115,4,FALSE),"")</f>
        <v/>
      </c>
      <c r="AT640" s="65" t="str">
        <f>IFERROR(VLOOKUP(#REF!,[1]Lookup!$B$2:$E$115,2,FALSE),"")</f>
        <v/>
      </c>
    </row>
    <row r="641" spans="31:46" x14ac:dyDescent="0.3">
      <c r="AE641" s="204" t="s">
        <v>398</v>
      </c>
      <c r="AF641" s="204" t="s">
        <v>398</v>
      </c>
      <c r="AG641" s="204" t="s">
        <v>398</v>
      </c>
      <c r="AS641" s="65" t="str">
        <f>IFERROR(VLOOKUP(#REF!,[1]Lookup!$B$2:$E$115,4,FALSE),"")</f>
        <v/>
      </c>
      <c r="AT641" s="65" t="str">
        <f>IFERROR(VLOOKUP(#REF!,[1]Lookup!$B$2:$E$115,2,FALSE),"")</f>
        <v/>
      </c>
    </row>
    <row r="642" spans="31:46" x14ac:dyDescent="0.3">
      <c r="AE642" s="204" t="s">
        <v>398</v>
      </c>
      <c r="AF642" s="204" t="s">
        <v>398</v>
      </c>
      <c r="AG642" s="204" t="s">
        <v>398</v>
      </c>
      <c r="AS642" s="65" t="str">
        <f>IFERROR(VLOOKUP(#REF!,[1]Lookup!$B$2:$E$115,4,FALSE),"")</f>
        <v/>
      </c>
      <c r="AT642" s="65" t="str">
        <f>IFERROR(VLOOKUP(#REF!,[1]Lookup!$B$2:$E$115,2,FALSE),"")</f>
        <v/>
      </c>
    </row>
    <row r="643" spans="31:46" x14ac:dyDescent="0.3">
      <c r="AE643" s="204" t="s">
        <v>398</v>
      </c>
      <c r="AF643" s="204" t="s">
        <v>398</v>
      </c>
      <c r="AG643" s="204" t="s">
        <v>398</v>
      </c>
      <c r="AS643" s="65" t="str">
        <f>IFERROR(VLOOKUP(#REF!,[1]Lookup!$B$2:$E$115,4,FALSE),"")</f>
        <v/>
      </c>
      <c r="AT643" s="65" t="str">
        <f>IFERROR(VLOOKUP(#REF!,[1]Lookup!$B$2:$E$115,2,FALSE),"")</f>
        <v/>
      </c>
    </row>
    <row r="644" spans="31:46" x14ac:dyDescent="0.3">
      <c r="AE644" s="204" t="s">
        <v>398</v>
      </c>
      <c r="AF644" s="204" t="s">
        <v>398</v>
      </c>
      <c r="AG644" s="204" t="s">
        <v>398</v>
      </c>
      <c r="AS644" s="65" t="str">
        <f>IFERROR(VLOOKUP(#REF!,[1]Lookup!$B$2:$E$115,4,FALSE),"")</f>
        <v/>
      </c>
      <c r="AT644" s="65" t="str">
        <f>IFERROR(VLOOKUP(#REF!,[1]Lookup!$B$2:$E$115,2,FALSE),"")</f>
        <v/>
      </c>
    </row>
    <row r="645" spans="31:46" x14ac:dyDescent="0.3">
      <c r="AE645" s="204" t="s">
        <v>398</v>
      </c>
      <c r="AF645" s="204" t="s">
        <v>398</v>
      </c>
      <c r="AG645" s="204" t="s">
        <v>398</v>
      </c>
      <c r="AS645" s="65" t="str">
        <f>IFERROR(VLOOKUP(#REF!,[1]Lookup!$B$2:$E$115,4,FALSE),"")</f>
        <v/>
      </c>
      <c r="AT645" s="65" t="str">
        <f>IFERROR(VLOOKUP(#REF!,[1]Lookup!$B$2:$E$115,2,FALSE),"")</f>
        <v/>
      </c>
    </row>
    <row r="646" spans="31:46" x14ac:dyDescent="0.3">
      <c r="AE646" s="204" t="s">
        <v>398</v>
      </c>
      <c r="AF646" s="204" t="s">
        <v>398</v>
      </c>
      <c r="AG646" s="204" t="s">
        <v>398</v>
      </c>
      <c r="AS646" s="65" t="str">
        <f>IFERROR(VLOOKUP(#REF!,[1]Lookup!$B$2:$E$115,4,FALSE),"")</f>
        <v/>
      </c>
      <c r="AT646" s="65" t="str">
        <f>IFERROR(VLOOKUP(#REF!,[1]Lookup!$B$2:$E$115,2,FALSE),"")</f>
        <v/>
      </c>
    </row>
    <row r="647" spans="31:46" x14ac:dyDescent="0.3">
      <c r="AE647" s="204" t="s">
        <v>398</v>
      </c>
      <c r="AF647" s="204" t="s">
        <v>398</v>
      </c>
      <c r="AG647" s="204" t="s">
        <v>398</v>
      </c>
      <c r="AS647" s="65" t="str">
        <f>IFERROR(VLOOKUP(#REF!,[1]Lookup!$B$2:$E$115,4,FALSE),"")</f>
        <v/>
      </c>
      <c r="AT647" s="65" t="str">
        <f>IFERROR(VLOOKUP(#REF!,[1]Lookup!$B$2:$E$115,2,FALSE),"")</f>
        <v/>
      </c>
    </row>
    <row r="648" spans="31:46" x14ac:dyDescent="0.3">
      <c r="AE648" s="204" t="s">
        <v>398</v>
      </c>
      <c r="AF648" s="204" t="s">
        <v>398</v>
      </c>
      <c r="AG648" s="204" t="s">
        <v>398</v>
      </c>
      <c r="AS648" s="65" t="str">
        <f>IFERROR(VLOOKUP(#REF!,[1]Lookup!$B$2:$E$115,4,FALSE),"")</f>
        <v/>
      </c>
      <c r="AT648" s="65" t="str">
        <f>IFERROR(VLOOKUP(#REF!,[1]Lookup!$B$2:$E$115,2,FALSE),"")</f>
        <v/>
      </c>
    </row>
    <row r="649" spans="31:46" x14ac:dyDescent="0.3">
      <c r="AE649" s="204" t="s">
        <v>398</v>
      </c>
      <c r="AF649" s="204" t="s">
        <v>398</v>
      </c>
      <c r="AG649" s="204" t="s">
        <v>398</v>
      </c>
      <c r="AS649" s="65" t="str">
        <f>IFERROR(VLOOKUP(#REF!,[1]Lookup!$B$2:$E$115,4,FALSE),"")</f>
        <v/>
      </c>
      <c r="AT649" s="65" t="str">
        <f>IFERROR(VLOOKUP(#REF!,[1]Lookup!$B$2:$E$115,2,FALSE),"")</f>
        <v/>
      </c>
    </row>
    <row r="650" spans="31:46" x14ac:dyDescent="0.3">
      <c r="AE650" s="204" t="s">
        <v>398</v>
      </c>
      <c r="AF650" s="204" t="s">
        <v>398</v>
      </c>
      <c r="AG650" s="204" t="s">
        <v>398</v>
      </c>
      <c r="AS650" s="65" t="str">
        <f>IFERROR(VLOOKUP(#REF!,[1]Lookup!$B$2:$E$115,4,FALSE),"")</f>
        <v/>
      </c>
      <c r="AT650" s="65" t="str">
        <f>IFERROR(VLOOKUP(#REF!,[1]Lookup!$B$2:$E$115,2,FALSE),"")</f>
        <v/>
      </c>
    </row>
    <row r="651" spans="31:46" x14ac:dyDescent="0.3">
      <c r="AE651" s="204" t="s">
        <v>398</v>
      </c>
      <c r="AF651" s="204" t="s">
        <v>398</v>
      </c>
      <c r="AG651" s="204" t="s">
        <v>398</v>
      </c>
      <c r="AS651" s="65" t="str">
        <f>IFERROR(VLOOKUP(#REF!,[1]Lookup!$B$2:$E$115,4,FALSE),"")</f>
        <v/>
      </c>
      <c r="AT651" s="65" t="str">
        <f>IFERROR(VLOOKUP(#REF!,[1]Lookup!$B$2:$E$115,2,FALSE),"")</f>
        <v/>
      </c>
    </row>
    <row r="652" spans="31:46" x14ac:dyDescent="0.3">
      <c r="AE652" s="204" t="s">
        <v>398</v>
      </c>
      <c r="AF652" s="204" t="s">
        <v>398</v>
      </c>
      <c r="AG652" s="204" t="s">
        <v>398</v>
      </c>
      <c r="AS652" s="65" t="str">
        <f>IFERROR(VLOOKUP(#REF!,[1]Lookup!$B$2:$E$115,4,FALSE),"")</f>
        <v/>
      </c>
      <c r="AT652" s="65" t="str">
        <f>IFERROR(VLOOKUP(#REF!,[1]Lookup!$B$2:$E$115,2,FALSE),"")</f>
        <v/>
      </c>
    </row>
    <row r="653" spans="31:46" x14ac:dyDescent="0.3">
      <c r="AE653" s="204" t="s">
        <v>398</v>
      </c>
      <c r="AF653" s="204" t="s">
        <v>398</v>
      </c>
      <c r="AG653" s="204" t="s">
        <v>398</v>
      </c>
      <c r="AS653" s="65" t="str">
        <f>IFERROR(VLOOKUP(#REF!,[1]Lookup!$B$2:$E$115,4,FALSE),"")</f>
        <v/>
      </c>
      <c r="AT653" s="65" t="str">
        <f>IFERROR(VLOOKUP(#REF!,[1]Lookup!$B$2:$E$115,2,FALSE),"")</f>
        <v/>
      </c>
    </row>
    <row r="654" spans="31:46" x14ac:dyDescent="0.3">
      <c r="AE654" s="204" t="s">
        <v>398</v>
      </c>
      <c r="AF654" s="204" t="s">
        <v>398</v>
      </c>
      <c r="AG654" s="204" t="s">
        <v>398</v>
      </c>
      <c r="AS654" s="65" t="str">
        <f>IFERROR(VLOOKUP(#REF!,[1]Lookup!$B$2:$E$115,4,FALSE),"")</f>
        <v/>
      </c>
      <c r="AT654" s="65" t="str">
        <f>IFERROR(VLOOKUP(#REF!,[1]Lookup!$B$2:$E$115,2,FALSE),"")</f>
        <v/>
      </c>
    </row>
    <row r="655" spans="31:46" x14ac:dyDescent="0.3">
      <c r="AE655" s="204" t="s">
        <v>398</v>
      </c>
      <c r="AF655" s="204" t="s">
        <v>398</v>
      </c>
      <c r="AG655" s="204" t="s">
        <v>398</v>
      </c>
      <c r="AS655" s="65" t="str">
        <f>IFERROR(VLOOKUP(#REF!,[1]Lookup!$B$2:$E$115,4,FALSE),"")</f>
        <v/>
      </c>
      <c r="AT655" s="65" t="str">
        <f>IFERROR(VLOOKUP(#REF!,[1]Lookup!$B$2:$E$115,2,FALSE),"")</f>
        <v/>
      </c>
    </row>
    <row r="656" spans="31:46" x14ac:dyDescent="0.3">
      <c r="AE656" s="204" t="s">
        <v>398</v>
      </c>
      <c r="AF656" s="204" t="s">
        <v>398</v>
      </c>
      <c r="AG656" s="204" t="s">
        <v>398</v>
      </c>
      <c r="AS656" s="65" t="str">
        <f>IFERROR(VLOOKUP(#REF!,[1]Lookup!$B$2:$E$115,4,FALSE),"")</f>
        <v/>
      </c>
      <c r="AT656" s="65" t="str">
        <f>IFERROR(VLOOKUP(#REF!,[1]Lookup!$B$2:$E$115,2,FALSE),"")</f>
        <v/>
      </c>
    </row>
    <row r="657" spans="31:46" x14ac:dyDescent="0.3">
      <c r="AE657" s="204" t="s">
        <v>398</v>
      </c>
      <c r="AF657" s="204" t="s">
        <v>398</v>
      </c>
      <c r="AG657" s="204" t="s">
        <v>398</v>
      </c>
      <c r="AS657" s="65" t="str">
        <f>IFERROR(VLOOKUP(#REF!,[1]Lookup!$B$2:$E$115,4,FALSE),"")</f>
        <v/>
      </c>
      <c r="AT657" s="65" t="str">
        <f>IFERROR(VLOOKUP(#REF!,[1]Lookup!$B$2:$E$115,2,FALSE),"")</f>
        <v/>
      </c>
    </row>
    <row r="658" spans="31:46" x14ac:dyDescent="0.3">
      <c r="AE658" s="204" t="s">
        <v>398</v>
      </c>
      <c r="AF658" s="204" t="s">
        <v>398</v>
      </c>
      <c r="AG658" s="204" t="s">
        <v>398</v>
      </c>
      <c r="AS658" s="65" t="str">
        <f>IFERROR(VLOOKUP(#REF!,[1]Lookup!$B$2:$E$115,4,FALSE),"")</f>
        <v/>
      </c>
      <c r="AT658" s="65" t="str">
        <f>IFERROR(VLOOKUP(#REF!,[1]Lookup!$B$2:$E$115,2,FALSE),"")</f>
        <v/>
      </c>
    </row>
    <row r="659" spans="31:46" x14ac:dyDescent="0.3">
      <c r="AE659" s="204" t="s">
        <v>398</v>
      </c>
      <c r="AF659" s="204" t="s">
        <v>398</v>
      </c>
      <c r="AG659" s="204" t="s">
        <v>398</v>
      </c>
      <c r="AS659" s="65" t="str">
        <f>IFERROR(VLOOKUP(#REF!,[1]Lookup!$B$2:$E$115,4,FALSE),"")</f>
        <v/>
      </c>
      <c r="AT659" s="65" t="str">
        <f>IFERROR(VLOOKUP(#REF!,[1]Lookup!$B$2:$E$115,2,FALSE),"")</f>
        <v/>
      </c>
    </row>
    <row r="660" spans="31:46" x14ac:dyDescent="0.3">
      <c r="AE660" s="204" t="s">
        <v>398</v>
      </c>
      <c r="AF660" s="204" t="s">
        <v>398</v>
      </c>
      <c r="AG660" s="204" t="s">
        <v>398</v>
      </c>
      <c r="AS660" s="65" t="str">
        <f>IFERROR(VLOOKUP(#REF!,[1]Lookup!$B$2:$E$115,4,FALSE),"")</f>
        <v/>
      </c>
      <c r="AT660" s="65" t="str">
        <f>IFERROR(VLOOKUP(#REF!,[1]Lookup!$B$2:$E$115,2,FALSE),"")</f>
        <v/>
      </c>
    </row>
    <row r="661" spans="31:46" x14ac:dyDescent="0.3">
      <c r="AE661" s="204" t="s">
        <v>398</v>
      </c>
      <c r="AF661" s="204" t="s">
        <v>398</v>
      </c>
      <c r="AG661" s="204" t="s">
        <v>398</v>
      </c>
      <c r="AS661" s="65" t="str">
        <f>IFERROR(VLOOKUP(#REF!,[1]Lookup!$B$2:$E$115,4,FALSE),"")</f>
        <v/>
      </c>
      <c r="AT661" s="65" t="str">
        <f>IFERROR(VLOOKUP(#REF!,[1]Lookup!$B$2:$E$115,2,FALSE),"")</f>
        <v/>
      </c>
    </row>
    <row r="662" spans="31:46" x14ac:dyDescent="0.3">
      <c r="AE662" s="204" t="s">
        <v>398</v>
      </c>
      <c r="AF662" s="204" t="s">
        <v>398</v>
      </c>
      <c r="AG662" s="204" t="s">
        <v>398</v>
      </c>
      <c r="AS662" s="65" t="str">
        <f>IFERROR(VLOOKUP(#REF!,[1]Lookup!$B$2:$E$115,4,FALSE),"")</f>
        <v/>
      </c>
      <c r="AT662" s="65" t="str">
        <f>IFERROR(VLOOKUP(#REF!,[1]Lookup!$B$2:$E$115,2,FALSE),"")</f>
        <v/>
      </c>
    </row>
    <row r="663" spans="31:46" x14ac:dyDescent="0.3">
      <c r="AE663" s="204" t="s">
        <v>398</v>
      </c>
      <c r="AF663" s="204" t="s">
        <v>398</v>
      </c>
      <c r="AG663" s="204" t="s">
        <v>398</v>
      </c>
      <c r="AS663" s="65" t="str">
        <f>IFERROR(VLOOKUP(#REF!,[1]Lookup!$B$2:$E$115,4,FALSE),"")</f>
        <v/>
      </c>
      <c r="AT663" s="65" t="str">
        <f>IFERROR(VLOOKUP(#REF!,[1]Lookup!$B$2:$E$115,2,FALSE),"")</f>
        <v/>
      </c>
    </row>
    <row r="664" spans="31:46" x14ac:dyDescent="0.3">
      <c r="AE664" s="204" t="s">
        <v>398</v>
      </c>
      <c r="AF664" s="204" t="s">
        <v>398</v>
      </c>
      <c r="AG664" s="204" t="s">
        <v>398</v>
      </c>
      <c r="AS664" s="65" t="str">
        <f>IFERROR(VLOOKUP(#REF!,[1]Lookup!$B$2:$E$115,4,FALSE),"")</f>
        <v/>
      </c>
      <c r="AT664" s="65" t="str">
        <f>IFERROR(VLOOKUP(#REF!,[1]Lookup!$B$2:$E$115,2,FALSE),"")</f>
        <v/>
      </c>
    </row>
    <row r="665" spans="31:46" x14ac:dyDescent="0.3">
      <c r="AE665" s="204" t="s">
        <v>398</v>
      </c>
      <c r="AF665" s="204" t="s">
        <v>398</v>
      </c>
      <c r="AG665" s="204" t="s">
        <v>398</v>
      </c>
      <c r="AS665" s="65" t="str">
        <f>IFERROR(VLOOKUP(#REF!,[1]Lookup!$B$2:$E$115,4,FALSE),"")</f>
        <v/>
      </c>
      <c r="AT665" s="65" t="str">
        <f>IFERROR(VLOOKUP(#REF!,[1]Lookup!$B$2:$E$115,2,FALSE),"")</f>
        <v/>
      </c>
    </row>
    <row r="666" spans="31:46" x14ac:dyDescent="0.3">
      <c r="AE666" s="204" t="s">
        <v>398</v>
      </c>
      <c r="AF666" s="204" t="s">
        <v>398</v>
      </c>
      <c r="AG666" s="204" t="s">
        <v>398</v>
      </c>
      <c r="AS666" s="65" t="str">
        <f>IFERROR(VLOOKUP(#REF!,[1]Lookup!$B$2:$E$115,4,FALSE),"")</f>
        <v/>
      </c>
      <c r="AT666" s="65" t="str">
        <f>IFERROR(VLOOKUP(#REF!,[1]Lookup!$B$2:$E$115,2,FALSE),"")</f>
        <v/>
      </c>
    </row>
    <row r="667" spans="31:46" x14ac:dyDescent="0.3">
      <c r="AE667" s="204" t="s">
        <v>398</v>
      </c>
      <c r="AF667" s="204" t="s">
        <v>398</v>
      </c>
      <c r="AG667" s="204" t="s">
        <v>398</v>
      </c>
      <c r="AS667" s="65" t="str">
        <f>IFERROR(VLOOKUP(#REF!,[1]Lookup!$B$2:$E$115,4,FALSE),"")</f>
        <v/>
      </c>
      <c r="AT667" s="65" t="str">
        <f>IFERROR(VLOOKUP(#REF!,[1]Lookup!$B$2:$E$115,2,FALSE),"")</f>
        <v/>
      </c>
    </row>
    <row r="668" spans="31:46" x14ac:dyDescent="0.3">
      <c r="AE668" s="204" t="s">
        <v>398</v>
      </c>
      <c r="AF668" s="204" t="s">
        <v>398</v>
      </c>
      <c r="AG668" s="204" t="s">
        <v>398</v>
      </c>
      <c r="AS668" s="65" t="str">
        <f>IFERROR(VLOOKUP(#REF!,[1]Lookup!$B$2:$E$115,4,FALSE),"")</f>
        <v/>
      </c>
      <c r="AT668" s="65" t="str">
        <f>IFERROR(VLOOKUP(#REF!,[1]Lookup!$B$2:$E$115,2,FALSE),"")</f>
        <v/>
      </c>
    </row>
    <row r="669" spans="31:46" x14ac:dyDescent="0.3">
      <c r="AE669" s="204" t="s">
        <v>398</v>
      </c>
      <c r="AF669" s="204" t="s">
        <v>398</v>
      </c>
      <c r="AG669" s="204" t="s">
        <v>398</v>
      </c>
      <c r="AS669" s="65" t="str">
        <f>IFERROR(VLOOKUP(#REF!,[1]Lookup!$B$2:$E$115,4,FALSE),"")</f>
        <v/>
      </c>
      <c r="AT669" s="65" t="str">
        <f>IFERROR(VLOOKUP(#REF!,[1]Lookup!$B$2:$E$115,2,FALSE),"")</f>
        <v/>
      </c>
    </row>
    <row r="670" spans="31:46" x14ac:dyDescent="0.3">
      <c r="AE670" s="204" t="s">
        <v>398</v>
      </c>
      <c r="AF670" s="204" t="s">
        <v>398</v>
      </c>
      <c r="AG670" s="204" t="s">
        <v>398</v>
      </c>
      <c r="AS670" s="65" t="str">
        <f>IFERROR(VLOOKUP(#REF!,[1]Lookup!$B$2:$E$115,4,FALSE),"")</f>
        <v/>
      </c>
      <c r="AT670" s="65" t="str">
        <f>IFERROR(VLOOKUP(#REF!,[1]Lookup!$B$2:$E$115,2,FALSE),"")</f>
        <v/>
      </c>
    </row>
    <row r="671" spans="31:46" x14ac:dyDescent="0.3">
      <c r="AE671" s="204" t="s">
        <v>398</v>
      </c>
      <c r="AF671" s="204" t="s">
        <v>398</v>
      </c>
      <c r="AG671" s="204" t="s">
        <v>398</v>
      </c>
      <c r="AS671" s="65" t="str">
        <f>IFERROR(VLOOKUP(#REF!,[1]Lookup!$B$2:$E$115,4,FALSE),"")</f>
        <v/>
      </c>
      <c r="AT671" s="65" t="str">
        <f>IFERROR(VLOOKUP(#REF!,[1]Lookup!$B$2:$E$115,2,FALSE),"")</f>
        <v/>
      </c>
    </row>
    <row r="672" spans="31:46" x14ac:dyDescent="0.3">
      <c r="AE672" s="204" t="s">
        <v>398</v>
      </c>
      <c r="AF672" s="204" t="s">
        <v>398</v>
      </c>
      <c r="AG672" s="204" t="s">
        <v>398</v>
      </c>
      <c r="AS672" s="65" t="str">
        <f>IFERROR(VLOOKUP(#REF!,[1]Lookup!$B$2:$E$115,4,FALSE),"")</f>
        <v/>
      </c>
      <c r="AT672" s="65" t="str">
        <f>IFERROR(VLOOKUP(#REF!,[1]Lookup!$B$2:$E$115,2,FALSE),"")</f>
        <v/>
      </c>
    </row>
    <row r="673" spans="31:46" x14ac:dyDescent="0.3">
      <c r="AE673" s="204" t="s">
        <v>398</v>
      </c>
      <c r="AF673" s="204" t="s">
        <v>398</v>
      </c>
      <c r="AG673" s="204" t="s">
        <v>398</v>
      </c>
      <c r="AS673" s="65" t="str">
        <f>IFERROR(VLOOKUP(#REF!,[1]Lookup!$B$2:$E$115,4,FALSE),"")</f>
        <v/>
      </c>
      <c r="AT673" s="65" t="str">
        <f>IFERROR(VLOOKUP(#REF!,[1]Lookup!$B$2:$E$115,2,FALSE),"")</f>
        <v/>
      </c>
    </row>
    <row r="674" spans="31:46" x14ac:dyDescent="0.3">
      <c r="AE674" s="204" t="s">
        <v>398</v>
      </c>
      <c r="AF674" s="204" t="s">
        <v>398</v>
      </c>
      <c r="AG674" s="204" t="s">
        <v>398</v>
      </c>
      <c r="AS674" s="65" t="str">
        <f>IFERROR(VLOOKUP(#REF!,[1]Lookup!$B$2:$E$115,4,FALSE),"")</f>
        <v/>
      </c>
      <c r="AT674" s="65" t="str">
        <f>IFERROR(VLOOKUP(#REF!,[1]Lookup!$B$2:$E$115,2,FALSE),"")</f>
        <v/>
      </c>
    </row>
    <row r="675" spans="31:46" x14ac:dyDescent="0.3">
      <c r="AE675" s="204" t="s">
        <v>398</v>
      </c>
      <c r="AF675" s="204" t="s">
        <v>398</v>
      </c>
      <c r="AG675" s="204" t="s">
        <v>398</v>
      </c>
      <c r="AS675" s="65" t="str">
        <f>IFERROR(VLOOKUP(#REF!,[1]Lookup!$B$2:$E$115,4,FALSE),"")</f>
        <v/>
      </c>
      <c r="AT675" s="65" t="str">
        <f>IFERROR(VLOOKUP(#REF!,[1]Lookup!$B$2:$E$115,2,FALSE),"")</f>
        <v/>
      </c>
    </row>
    <row r="676" spans="31:46" x14ac:dyDescent="0.3">
      <c r="AE676" s="204" t="s">
        <v>398</v>
      </c>
      <c r="AF676" s="204" t="s">
        <v>398</v>
      </c>
      <c r="AG676" s="204" t="s">
        <v>398</v>
      </c>
      <c r="AS676" s="65" t="str">
        <f>IFERROR(VLOOKUP(#REF!,[1]Lookup!$B$2:$E$115,4,FALSE),"")</f>
        <v/>
      </c>
      <c r="AT676" s="65" t="str">
        <f>IFERROR(VLOOKUP(#REF!,[1]Lookup!$B$2:$E$115,2,FALSE),"")</f>
        <v/>
      </c>
    </row>
    <row r="677" spans="31:46" x14ac:dyDescent="0.3">
      <c r="AE677" s="204" t="s">
        <v>398</v>
      </c>
      <c r="AF677" s="204" t="s">
        <v>398</v>
      </c>
      <c r="AG677" s="204" t="s">
        <v>398</v>
      </c>
      <c r="AS677" s="65" t="str">
        <f>IFERROR(VLOOKUP(#REF!,[1]Lookup!$B$2:$E$115,4,FALSE),"")</f>
        <v/>
      </c>
      <c r="AT677" s="65" t="str">
        <f>IFERROR(VLOOKUP(#REF!,[1]Lookup!$B$2:$E$115,2,FALSE),"")</f>
        <v/>
      </c>
    </row>
    <row r="678" spans="31:46" x14ac:dyDescent="0.3">
      <c r="AE678" s="204" t="s">
        <v>398</v>
      </c>
      <c r="AF678" s="204" t="s">
        <v>398</v>
      </c>
      <c r="AG678" s="204" t="s">
        <v>398</v>
      </c>
      <c r="AS678" s="65" t="str">
        <f>IFERROR(VLOOKUP(#REF!,[1]Lookup!$B$2:$E$115,4,FALSE),"")</f>
        <v/>
      </c>
      <c r="AT678" s="65" t="str">
        <f>IFERROR(VLOOKUP(#REF!,[1]Lookup!$B$2:$E$115,2,FALSE),"")</f>
        <v/>
      </c>
    </row>
    <row r="679" spans="31:46" x14ac:dyDescent="0.3">
      <c r="AE679" s="204" t="s">
        <v>398</v>
      </c>
      <c r="AF679" s="204" t="s">
        <v>398</v>
      </c>
      <c r="AG679" s="204" t="s">
        <v>398</v>
      </c>
      <c r="AS679" s="65" t="str">
        <f>IFERROR(VLOOKUP(#REF!,[1]Lookup!$B$2:$E$115,4,FALSE),"")</f>
        <v/>
      </c>
      <c r="AT679" s="65" t="str">
        <f>IFERROR(VLOOKUP(#REF!,[1]Lookup!$B$2:$E$115,2,FALSE),"")</f>
        <v/>
      </c>
    </row>
    <row r="680" spans="31:46" x14ac:dyDescent="0.3">
      <c r="AE680" s="204" t="s">
        <v>398</v>
      </c>
      <c r="AF680" s="204" t="s">
        <v>398</v>
      </c>
      <c r="AG680" s="204" t="s">
        <v>398</v>
      </c>
      <c r="AS680" s="65" t="str">
        <f>IFERROR(VLOOKUP(#REF!,[1]Lookup!$B$2:$E$115,4,FALSE),"")</f>
        <v/>
      </c>
      <c r="AT680" s="65" t="str">
        <f>IFERROR(VLOOKUP(#REF!,[1]Lookup!$B$2:$E$115,2,FALSE),"")</f>
        <v/>
      </c>
    </row>
    <row r="681" spans="31:46" x14ac:dyDescent="0.3">
      <c r="AE681" s="204" t="s">
        <v>398</v>
      </c>
      <c r="AF681" s="204" t="s">
        <v>398</v>
      </c>
      <c r="AG681" s="204" t="s">
        <v>398</v>
      </c>
      <c r="AS681" s="65" t="str">
        <f>IFERROR(VLOOKUP(#REF!,[1]Lookup!$B$2:$E$115,4,FALSE),"")</f>
        <v/>
      </c>
      <c r="AT681" s="65" t="str">
        <f>IFERROR(VLOOKUP(#REF!,[1]Lookup!$B$2:$E$115,2,FALSE),"")</f>
        <v/>
      </c>
    </row>
    <row r="682" spans="31:46" x14ac:dyDescent="0.3">
      <c r="AE682" s="204" t="s">
        <v>398</v>
      </c>
      <c r="AF682" s="204" t="s">
        <v>398</v>
      </c>
      <c r="AG682" s="204" t="s">
        <v>398</v>
      </c>
      <c r="AS682" s="65" t="str">
        <f>IFERROR(VLOOKUP(#REF!,[1]Lookup!$B$2:$E$115,4,FALSE),"")</f>
        <v/>
      </c>
      <c r="AT682" s="65" t="str">
        <f>IFERROR(VLOOKUP(#REF!,[1]Lookup!$B$2:$E$115,2,FALSE),"")</f>
        <v/>
      </c>
    </row>
    <row r="683" spans="31:46" x14ac:dyDescent="0.3">
      <c r="AE683" s="204" t="s">
        <v>398</v>
      </c>
      <c r="AF683" s="204" t="s">
        <v>398</v>
      </c>
      <c r="AG683" s="204" t="s">
        <v>398</v>
      </c>
      <c r="AS683" s="65" t="str">
        <f>IFERROR(VLOOKUP(#REF!,[1]Lookup!$B$2:$E$115,4,FALSE),"")</f>
        <v/>
      </c>
      <c r="AT683" s="65" t="str">
        <f>IFERROR(VLOOKUP(#REF!,[1]Lookup!$B$2:$E$115,2,FALSE),"")</f>
        <v/>
      </c>
    </row>
    <row r="684" spans="31:46" x14ac:dyDescent="0.3">
      <c r="AE684" s="204" t="s">
        <v>398</v>
      </c>
      <c r="AF684" s="204" t="s">
        <v>398</v>
      </c>
      <c r="AG684" s="204" t="s">
        <v>398</v>
      </c>
      <c r="AS684" s="65" t="str">
        <f>IFERROR(VLOOKUP(#REF!,[1]Lookup!$B$2:$E$115,4,FALSE),"")</f>
        <v/>
      </c>
      <c r="AT684" s="65" t="str">
        <f>IFERROR(VLOOKUP(#REF!,[1]Lookup!$B$2:$E$115,2,FALSE),"")</f>
        <v/>
      </c>
    </row>
    <row r="685" spans="31:46" x14ac:dyDescent="0.3">
      <c r="AE685" s="204" t="s">
        <v>398</v>
      </c>
      <c r="AF685" s="204" t="s">
        <v>398</v>
      </c>
      <c r="AG685" s="204" t="s">
        <v>398</v>
      </c>
      <c r="AS685" s="65" t="str">
        <f>IFERROR(VLOOKUP(#REF!,[1]Lookup!$B$2:$E$115,4,FALSE),"")</f>
        <v/>
      </c>
      <c r="AT685" s="65" t="str">
        <f>IFERROR(VLOOKUP(#REF!,[1]Lookup!$B$2:$E$115,2,FALSE),"")</f>
        <v/>
      </c>
    </row>
    <row r="686" spans="31:46" x14ac:dyDescent="0.3">
      <c r="AE686" s="204" t="s">
        <v>398</v>
      </c>
      <c r="AF686" s="204" t="s">
        <v>398</v>
      </c>
      <c r="AG686" s="204" t="s">
        <v>398</v>
      </c>
      <c r="AS686" s="65" t="str">
        <f>IFERROR(VLOOKUP(#REF!,[1]Lookup!$B$2:$E$115,4,FALSE),"")</f>
        <v/>
      </c>
      <c r="AT686" s="65" t="str">
        <f>IFERROR(VLOOKUP(#REF!,[1]Lookup!$B$2:$E$115,2,FALSE),"")</f>
        <v/>
      </c>
    </row>
    <row r="687" spans="31:46" x14ac:dyDescent="0.3">
      <c r="AE687" s="204" t="s">
        <v>398</v>
      </c>
      <c r="AF687" s="204" t="s">
        <v>398</v>
      </c>
      <c r="AG687" s="204" t="s">
        <v>398</v>
      </c>
      <c r="AS687" s="65" t="str">
        <f>IFERROR(VLOOKUP(#REF!,[1]Lookup!$B$2:$E$115,4,FALSE),"")</f>
        <v/>
      </c>
      <c r="AT687" s="65" t="str">
        <f>IFERROR(VLOOKUP(#REF!,[1]Lookup!$B$2:$E$115,2,FALSE),"")</f>
        <v/>
      </c>
    </row>
    <row r="688" spans="31:46" x14ac:dyDescent="0.3">
      <c r="AE688" s="204" t="s">
        <v>398</v>
      </c>
      <c r="AF688" s="204" t="s">
        <v>398</v>
      </c>
      <c r="AG688" s="204" t="s">
        <v>398</v>
      </c>
      <c r="AS688" s="65" t="str">
        <f>IFERROR(VLOOKUP(#REF!,[1]Lookup!$B$2:$E$115,4,FALSE),"")</f>
        <v/>
      </c>
      <c r="AT688" s="65" t="str">
        <f>IFERROR(VLOOKUP(#REF!,[1]Lookup!$B$2:$E$115,2,FALSE),"")</f>
        <v/>
      </c>
    </row>
    <row r="689" spans="31:46" x14ac:dyDescent="0.3">
      <c r="AE689" s="204" t="s">
        <v>398</v>
      </c>
      <c r="AF689" s="204" t="s">
        <v>398</v>
      </c>
      <c r="AG689" s="204" t="s">
        <v>398</v>
      </c>
      <c r="AS689" s="65" t="str">
        <f>IFERROR(VLOOKUP(#REF!,[1]Lookup!$B$2:$E$115,4,FALSE),"")</f>
        <v/>
      </c>
      <c r="AT689" s="65" t="str">
        <f>IFERROR(VLOOKUP(#REF!,[1]Lookup!$B$2:$E$115,2,FALSE),"")</f>
        <v/>
      </c>
    </row>
    <row r="690" spans="31:46" x14ac:dyDescent="0.3">
      <c r="AE690" s="204" t="s">
        <v>398</v>
      </c>
      <c r="AF690" s="204" t="s">
        <v>398</v>
      </c>
      <c r="AG690" s="204" t="s">
        <v>398</v>
      </c>
      <c r="AS690" s="65" t="str">
        <f>IFERROR(VLOOKUP(#REF!,[1]Lookup!$B$2:$E$115,4,FALSE),"")</f>
        <v/>
      </c>
      <c r="AT690" s="65" t="str">
        <f>IFERROR(VLOOKUP(#REF!,[1]Lookup!$B$2:$E$115,2,FALSE),"")</f>
        <v/>
      </c>
    </row>
    <row r="691" spans="31:46" x14ac:dyDescent="0.3">
      <c r="AE691" s="204" t="s">
        <v>398</v>
      </c>
      <c r="AF691" s="204" t="s">
        <v>398</v>
      </c>
      <c r="AG691" s="204" t="s">
        <v>398</v>
      </c>
      <c r="AS691" s="65" t="str">
        <f>IFERROR(VLOOKUP(#REF!,[1]Lookup!$B$2:$E$115,4,FALSE),"")</f>
        <v/>
      </c>
      <c r="AT691" s="65" t="str">
        <f>IFERROR(VLOOKUP(#REF!,[1]Lookup!$B$2:$E$115,2,FALSE),"")</f>
        <v/>
      </c>
    </row>
    <row r="692" spans="31:46" x14ac:dyDescent="0.3">
      <c r="AE692" s="204" t="s">
        <v>398</v>
      </c>
      <c r="AF692" s="204" t="s">
        <v>398</v>
      </c>
      <c r="AG692" s="204" t="s">
        <v>398</v>
      </c>
      <c r="AS692" s="65" t="str">
        <f>IFERROR(VLOOKUP(#REF!,[1]Lookup!$B$2:$E$115,4,FALSE),"")</f>
        <v/>
      </c>
      <c r="AT692" s="65" t="str">
        <f>IFERROR(VLOOKUP(#REF!,[1]Lookup!$B$2:$E$115,2,FALSE),"")</f>
        <v/>
      </c>
    </row>
    <row r="693" spans="31:46" x14ac:dyDescent="0.3">
      <c r="AE693" s="204" t="s">
        <v>398</v>
      </c>
      <c r="AF693" s="204" t="s">
        <v>398</v>
      </c>
      <c r="AG693" s="204" t="s">
        <v>398</v>
      </c>
      <c r="AS693" s="65" t="str">
        <f>IFERROR(VLOOKUP(#REF!,[1]Lookup!$B$2:$E$115,4,FALSE),"")</f>
        <v/>
      </c>
      <c r="AT693" s="65" t="str">
        <f>IFERROR(VLOOKUP(#REF!,[1]Lookup!$B$2:$E$115,2,FALSE),"")</f>
        <v/>
      </c>
    </row>
    <row r="694" spans="31:46" x14ac:dyDescent="0.3">
      <c r="AE694" s="204" t="s">
        <v>398</v>
      </c>
      <c r="AF694" s="204" t="s">
        <v>398</v>
      </c>
      <c r="AG694" s="204" t="s">
        <v>398</v>
      </c>
      <c r="AS694" s="65" t="str">
        <f>IFERROR(VLOOKUP(#REF!,[1]Lookup!$B$2:$E$115,4,FALSE),"")</f>
        <v/>
      </c>
      <c r="AT694" s="65" t="str">
        <f>IFERROR(VLOOKUP(#REF!,[1]Lookup!$B$2:$E$115,2,FALSE),"")</f>
        <v/>
      </c>
    </row>
    <row r="695" spans="31:46" x14ac:dyDescent="0.3">
      <c r="AE695" s="204" t="s">
        <v>398</v>
      </c>
      <c r="AF695" s="204" t="s">
        <v>398</v>
      </c>
      <c r="AG695" s="204" t="s">
        <v>398</v>
      </c>
      <c r="AS695" s="65" t="str">
        <f>IFERROR(VLOOKUP(#REF!,[1]Lookup!$B$2:$E$115,4,FALSE),"")</f>
        <v/>
      </c>
      <c r="AT695" s="65" t="str">
        <f>IFERROR(VLOOKUP(#REF!,[1]Lookup!$B$2:$E$115,2,FALSE),"")</f>
        <v/>
      </c>
    </row>
    <row r="696" spans="31:46" x14ac:dyDescent="0.3">
      <c r="AE696" s="204" t="s">
        <v>398</v>
      </c>
      <c r="AF696" s="204" t="s">
        <v>398</v>
      </c>
      <c r="AG696" s="204" t="s">
        <v>398</v>
      </c>
      <c r="AS696" s="65" t="str">
        <f>IFERROR(VLOOKUP(#REF!,[1]Lookup!$B$2:$E$115,4,FALSE),"")</f>
        <v/>
      </c>
      <c r="AT696" s="65" t="str">
        <f>IFERROR(VLOOKUP(#REF!,[1]Lookup!$B$2:$E$115,2,FALSE),"")</f>
        <v/>
      </c>
    </row>
    <row r="697" spans="31:46" x14ac:dyDescent="0.3">
      <c r="AE697" s="204" t="s">
        <v>398</v>
      </c>
      <c r="AF697" s="204" t="s">
        <v>398</v>
      </c>
      <c r="AG697" s="204" t="s">
        <v>398</v>
      </c>
      <c r="AS697" s="65" t="str">
        <f>IFERROR(VLOOKUP(#REF!,[1]Lookup!$B$2:$E$115,4,FALSE),"")</f>
        <v/>
      </c>
      <c r="AT697" s="65" t="str">
        <f>IFERROR(VLOOKUP(#REF!,[1]Lookup!$B$2:$E$115,2,FALSE),"")</f>
        <v/>
      </c>
    </row>
    <row r="698" spans="31:46" x14ac:dyDescent="0.3">
      <c r="AE698" s="204" t="s">
        <v>398</v>
      </c>
      <c r="AF698" s="204" t="s">
        <v>398</v>
      </c>
      <c r="AG698" s="204" t="s">
        <v>398</v>
      </c>
      <c r="AS698" s="65" t="str">
        <f>IFERROR(VLOOKUP(#REF!,[1]Lookup!$B$2:$E$115,4,FALSE),"")</f>
        <v/>
      </c>
      <c r="AT698" s="65" t="str">
        <f>IFERROR(VLOOKUP(#REF!,[1]Lookup!$B$2:$E$115,2,FALSE),"")</f>
        <v/>
      </c>
    </row>
    <row r="699" spans="31:46" x14ac:dyDescent="0.3">
      <c r="AE699" s="204" t="s">
        <v>398</v>
      </c>
      <c r="AF699" s="204" t="s">
        <v>398</v>
      </c>
      <c r="AG699" s="204" t="s">
        <v>398</v>
      </c>
      <c r="AS699" s="65" t="str">
        <f>IFERROR(VLOOKUP(#REF!,[1]Lookup!$B$2:$E$115,4,FALSE),"")</f>
        <v/>
      </c>
      <c r="AT699" s="65" t="str">
        <f>IFERROR(VLOOKUP(#REF!,[1]Lookup!$B$2:$E$115,2,FALSE),"")</f>
        <v/>
      </c>
    </row>
    <row r="700" spans="31:46" x14ac:dyDescent="0.3">
      <c r="AE700" s="204" t="s">
        <v>398</v>
      </c>
      <c r="AF700" s="204" t="s">
        <v>398</v>
      </c>
      <c r="AG700" s="204" t="s">
        <v>398</v>
      </c>
      <c r="AS700" s="65" t="str">
        <f>IFERROR(VLOOKUP(#REF!,[1]Lookup!$B$2:$E$115,4,FALSE),"")</f>
        <v/>
      </c>
      <c r="AT700" s="65" t="str">
        <f>IFERROR(VLOOKUP(#REF!,[1]Lookup!$B$2:$E$115,2,FALSE),"")</f>
        <v/>
      </c>
    </row>
    <row r="701" spans="31:46" x14ac:dyDescent="0.3">
      <c r="AE701" s="204" t="s">
        <v>398</v>
      </c>
      <c r="AF701" s="204" t="s">
        <v>398</v>
      </c>
      <c r="AG701" s="204" t="s">
        <v>398</v>
      </c>
      <c r="AS701" s="65" t="str">
        <f>IFERROR(VLOOKUP(#REF!,[1]Lookup!$B$2:$E$115,4,FALSE),"")</f>
        <v/>
      </c>
      <c r="AT701" s="65" t="str">
        <f>IFERROR(VLOOKUP(#REF!,[1]Lookup!$B$2:$E$115,2,FALSE),"")</f>
        <v/>
      </c>
    </row>
    <row r="702" spans="31:46" x14ac:dyDescent="0.3">
      <c r="AE702" s="204" t="s">
        <v>398</v>
      </c>
      <c r="AF702" s="204" t="s">
        <v>398</v>
      </c>
      <c r="AG702" s="204" t="s">
        <v>398</v>
      </c>
      <c r="AS702" s="65" t="str">
        <f>IFERROR(VLOOKUP(#REF!,[1]Lookup!$B$2:$E$115,4,FALSE),"")</f>
        <v/>
      </c>
      <c r="AT702" s="65" t="str">
        <f>IFERROR(VLOOKUP(#REF!,[1]Lookup!$B$2:$E$115,2,FALSE),"")</f>
        <v/>
      </c>
    </row>
    <row r="703" spans="31:46" x14ac:dyDescent="0.3">
      <c r="AE703" s="204" t="s">
        <v>398</v>
      </c>
      <c r="AF703" s="204" t="s">
        <v>398</v>
      </c>
      <c r="AG703" s="204" t="s">
        <v>398</v>
      </c>
      <c r="AS703" s="65" t="str">
        <f>IFERROR(VLOOKUP(#REF!,[1]Lookup!$B$2:$E$115,4,FALSE),"")</f>
        <v/>
      </c>
      <c r="AT703" s="65" t="str">
        <f>IFERROR(VLOOKUP(#REF!,[1]Lookup!$B$2:$E$115,2,FALSE),"")</f>
        <v/>
      </c>
    </row>
    <row r="704" spans="31:46" x14ac:dyDescent="0.3">
      <c r="AE704" s="204" t="s">
        <v>398</v>
      </c>
      <c r="AF704" s="204" t="s">
        <v>398</v>
      </c>
      <c r="AG704" s="204" t="s">
        <v>398</v>
      </c>
      <c r="AS704" s="65" t="str">
        <f>IFERROR(VLOOKUP(#REF!,[1]Lookup!$B$2:$E$115,4,FALSE),"")</f>
        <v/>
      </c>
      <c r="AT704" s="65" t="str">
        <f>IFERROR(VLOOKUP(#REF!,[1]Lookup!$B$2:$E$115,2,FALSE),"")</f>
        <v/>
      </c>
    </row>
    <row r="705" spans="31:46" x14ac:dyDescent="0.3">
      <c r="AE705" s="204" t="s">
        <v>398</v>
      </c>
      <c r="AF705" s="204" t="s">
        <v>398</v>
      </c>
      <c r="AG705" s="204" t="s">
        <v>398</v>
      </c>
      <c r="AS705" s="65" t="str">
        <f>IFERROR(VLOOKUP(#REF!,[1]Lookup!$B$2:$E$115,4,FALSE),"")</f>
        <v/>
      </c>
      <c r="AT705" s="65" t="str">
        <f>IFERROR(VLOOKUP(#REF!,[1]Lookup!$B$2:$E$115,2,FALSE),"")</f>
        <v/>
      </c>
    </row>
    <row r="706" spans="31:46" x14ac:dyDescent="0.3">
      <c r="AE706" s="204" t="s">
        <v>398</v>
      </c>
      <c r="AF706" s="204" t="s">
        <v>398</v>
      </c>
      <c r="AG706" s="204" t="s">
        <v>398</v>
      </c>
      <c r="AS706" s="65" t="str">
        <f>IFERROR(VLOOKUP(#REF!,[1]Lookup!$B$2:$E$115,4,FALSE),"")</f>
        <v/>
      </c>
      <c r="AT706" s="65" t="str">
        <f>IFERROR(VLOOKUP(#REF!,[1]Lookup!$B$2:$E$115,2,FALSE),"")</f>
        <v/>
      </c>
    </row>
    <row r="707" spans="31:46" x14ac:dyDescent="0.3">
      <c r="AE707" s="204" t="s">
        <v>398</v>
      </c>
      <c r="AF707" s="204" t="s">
        <v>398</v>
      </c>
      <c r="AG707" s="204" t="s">
        <v>398</v>
      </c>
      <c r="AS707" s="65" t="str">
        <f>IFERROR(VLOOKUP(#REF!,[1]Lookup!$B$2:$E$115,4,FALSE),"")</f>
        <v/>
      </c>
      <c r="AT707" s="65" t="str">
        <f>IFERROR(VLOOKUP(#REF!,[1]Lookup!$B$2:$E$115,2,FALSE),"")</f>
        <v/>
      </c>
    </row>
    <row r="708" spans="31:46" x14ac:dyDescent="0.3">
      <c r="AE708" s="204" t="s">
        <v>398</v>
      </c>
      <c r="AF708" s="204" t="s">
        <v>398</v>
      </c>
      <c r="AG708" s="204" t="s">
        <v>398</v>
      </c>
      <c r="AS708" s="65" t="str">
        <f>IFERROR(VLOOKUP(#REF!,[1]Lookup!$B$2:$E$115,4,FALSE),"")</f>
        <v/>
      </c>
      <c r="AT708" s="65" t="str">
        <f>IFERROR(VLOOKUP(#REF!,[1]Lookup!$B$2:$E$115,2,FALSE),"")</f>
        <v/>
      </c>
    </row>
    <row r="709" spans="31:46" x14ac:dyDescent="0.3">
      <c r="AE709" s="204" t="s">
        <v>398</v>
      </c>
      <c r="AF709" s="204" t="s">
        <v>398</v>
      </c>
      <c r="AG709" s="204" t="s">
        <v>398</v>
      </c>
      <c r="AS709" s="65" t="str">
        <f>IFERROR(VLOOKUP(#REF!,[1]Lookup!$B$2:$E$115,4,FALSE),"")</f>
        <v/>
      </c>
      <c r="AT709" s="65" t="str">
        <f>IFERROR(VLOOKUP(#REF!,[1]Lookup!$B$2:$E$115,2,FALSE),"")</f>
        <v/>
      </c>
    </row>
    <row r="710" spans="31:46" x14ac:dyDescent="0.3">
      <c r="AE710" s="204" t="s">
        <v>398</v>
      </c>
      <c r="AF710" s="204" t="s">
        <v>398</v>
      </c>
      <c r="AG710" s="204" t="s">
        <v>398</v>
      </c>
      <c r="AS710" s="65" t="str">
        <f>IFERROR(VLOOKUP(#REF!,[1]Lookup!$B$2:$E$115,4,FALSE),"")</f>
        <v/>
      </c>
      <c r="AT710" s="65" t="str">
        <f>IFERROR(VLOOKUP(#REF!,[1]Lookup!$B$2:$E$115,2,FALSE),"")</f>
        <v/>
      </c>
    </row>
    <row r="711" spans="31:46" x14ac:dyDescent="0.3">
      <c r="AE711" s="204" t="s">
        <v>398</v>
      </c>
      <c r="AF711" s="204" t="s">
        <v>398</v>
      </c>
      <c r="AG711" s="204" t="s">
        <v>398</v>
      </c>
      <c r="AS711" s="65" t="str">
        <f>IFERROR(VLOOKUP(#REF!,[1]Lookup!$B$2:$E$115,4,FALSE),"")</f>
        <v/>
      </c>
      <c r="AT711" s="65" t="str">
        <f>IFERROR(VLOOKUP(#REF!,[1]Lookup!$B$2:$E$115,2,FALSE),"")</f>
        <v/>
      </c>
    </row>
    <row r="712" spans="31:46" x14ac:dyDescent="0.3">
      <c r="AE712" s="204" t="s">
        <v>398</v>
      </c>
      <c r="AF712" s="204" t="s">
        <v>398</v>
      </c>
      <c r="AG712" s="204" t="s">
        <v>398</v>
      </c>
      <c r="AS712" s="65" t="str">
        <f>IFERROR(VLOOKUP(#REF!,[1]Lookup!$B$2:$E$115,4,FALSE),"")</f>
        <v/>
      </c>
      <c r="AT712" s="65" t="str">
        <f>IFERROR(VLOOKUP(#REF!,[1]Lookup!$B$2:$E$115,2,FALSE),"")</f>
        <v/>
      </c>
    </row>
    <row r="713" spans="31:46" x14ac:dyDescent="0.3">
      <c r="AE713" s="204" t="s">
        <v>398</v>
      </c>
      <c r="AF713" s="204" t="s">
        <v>398</v>
      </c>
      <c r="AG713" s="204" t="s">
        <v>398</v>
      </c>
      <c r="AS713" s="65" t="str">
        <f>IFERROR(VLOOKUP(#REF!,[1]Lookup!$B$2:$E$115,4,FALSE),"")</f>
        <v/>
      </c>
      <c r="AT713" s="65" t="str">
        <f>IFERROR(VLOOKUP(#REF!,[1]Lookup!$B$2:$E$115,2,FALSE),"")</f>
        <v/>
      </c>
    </row>
    <row r="714" spans="31:46" x14ac:dyDescent="0.3">
      <c r="AE714" s="204" t="s">
        <v>398</v>
      </c>
      <c r="AF714" s="204" t="s">
        <v>398</v>
      </c>
      <c r="AG714" s="204" t="s">
        <v>398</v>
      </c>
      <c r="AS714" s="65" t="str">
        <f>IFERROR(VLOOKUP(#REF!,[1]Lookup!$B$2:$E$115,4,FALSE),"")</f>
        <v/>
      </c>
      <c r="AT714" s="65" t="str">
        <f>IFERROR(VLOOKUP(#REF!,[1]Lookup!$B$2:$E$115,2,FALSE),"")</f>
        <v/>
      </c>
    </row>
    <row r="715" spans="31:46" x14ac:dyDescent="0.3">
      <c r="AE715" s="204" t="s">
        <v>398</v>
      </c>
      <c r="AF715" s="204" t="s">
        <v>398</v>
      </c>
      <c r="AG715" s="204" t="s">
        <v>398</v>
      </c>
      <c r="AS715" s="65" t="str">
        <f>IFERROR(VLOOKUP(#REF!,[1]Lookup!$B$2:$E$115,4,FALSE),"")</f>
        <v/>
      </c>
      <c r="AT715" s="65" t="str">
        <f>IFERROR(VLOOKUP(#REF!,[1]Lookup!$B$2:$E$115,2,FALSE),"")</f>
        <v/>
      </c>
    </row>
    <row r="716" spans="31:46" x14ac:dyDescent="0.3">
      <c r="AE716" s="204" t="s">
        <v>398</v>
      </c>
      <c r="AF716" s="204" t="s">
        <v>398</v>
      </c>
      <c r="AG716" s="204" t="s">
        <v>398</v>
      </c>
      <c r="AS716" s="65" t="str">
        <f>IFERROR(VLOOKUP(#REF!,[1]Lookup!$B$2:$E$115,4,FALSE),"")</f>
        <v/>
      </c>
      <c r="AT716" s="65" t="str">
        <f>IFERROR(VLOOKUP(#REF!,[1]Lookup!$B$2:$E$115,2,FALSE),"")</f>
        <v/>
      </c>
    </row>
    <row r="717" spans="31:46" x14ac:dyDescent="0.3">
      <c r="AE717" s="204" t="s">
        <v>398</v>
      </c>
      <c r="AF717" s="204" t="s">
        <v>398</v>
      </c>
      <c r="AG717" s="204" t="s">
        <v>398</v>
      </c>
      <c r="AS717" s="65" t="str">
        <f>IFERROR(VLOOKUP(#REF!,[1]Lookup!$B$2:$E$115,4,FALSE),"")</f>
        <v/>
      </c>
      <c r="AT717" s="65" t="str">
        <f>IFERROR(VLOOKUP(#REF!,[1]Lookup!$B$2:$E$115,2,FALSE),"")</f>
        <v/>
      </c>
    </row>
    <row r="718" spans="31:46" x14ac:dyDescent="0.3">
      <c r="AE718" s="204" t="s">
        <v>398</v>
      </c>
      <c r="AF718" s="204" t="s">
        <v>398</v>
      </c>
      <c r="AG718" s="204" t="s">
        <v>398</v>
      </c>
      <c r="AS718" s="65" t="str">
        <f>IFERROR(VLOOKUP(#REF!,[1]Lookup!$B$2:$E$115,4,FALSE),"")</f>
        <v/>
      </c>
      <c r="AT718" s="65" t="str">
        <f>IFERROR(VLOOKUP(#REF!,[1]Lookup!$B$2:$E$115,2,FALSE),"")</f>
        <v/>
      </c>
    </row>
    <row r="719" spans="31:46" x14ac:dyDescent="0.3">
      <c r="AE719" s="204" t="s">
        <v>398</v>
      </c>
      <c r="AF719" s="204" t="s">
        <v>398</v>
      </c>
      <c r="AG719" s="204" t="s">
        <v>398</v>
      </c>
      <c r="AS719" s="65" t="str">
        <f>IFERROR(VLOOKUP(#REF!,[1]Lookup!$B$2:$E$115,4,FALSE),"")</f>
        <v/>
      </c>
      <c r="AT719" s="65" t="str">
        <f>IFERROR(VLOOKUP(#REF!,[1]Lookup!$B$2:$E$115,2,FALSE),"")</f>
        <v/>
      </c>
    </row>
    <row r="720" spans="31:46" x14ac:dyDescent="0.3">
      <c r="AE720" s="204" t="s">
        <v>398</v>
      </c>
      <c r="AF720" s="204" t="s">
        <v>398</v>
      </c>
      <c r="AG720" s="204" t="s">
        <v>398</v>
      </c>
      <c r="AS720" s="65" t="str">
        <f>IFERROR(VLOOKUP(#REF!,[1]Lookup!$B$2:$E$115,4,FALSE),"")</f>
        <v/>
      </c>
      <c r="AT720" s="65" t="str">
        <f>IFERROR(VLOOKUP(#REF!,[1]Lookup!$B$2:$E$115,2,FALSE),"")</f>
        <v/>
      </c>
    </row>
    <row r="721" spans="31:46" x14ac:dyDescent="0.3">
      <c r="AE721" s="204" t="s">
        <v>398</v>
      </c>
      <c r="AF721" s="204" t="s">
        <v>398</v>
      </c>
      <c r="AG721" s="204" t="s">
        <v>398</v>
      </c>
      <c r="AS721" s="65" t="str">
        <f>IFERROR(VLOOKUP(#REF!,[1]Lookup!$B$2:$E$115,4,FALSE),"")</f>
        <v/>
      </c>
      <c r="AT721" s="65" t="str">
        <f>IFERROR(VLOOKUP(#REF!,[1]Lookup!$B$2:$E$115,2,FALSE),"")</f>
        <v/>
      </c>
    </row>
    <row r="722" spans="31:46" x14ac:dyDescent="0.3">
      <c r="AE722" s="204" t="s">
        <v>398</v>
      </c>
      <c r="AF722" s="204" t="s">
        <v>398</v>
      </c>
      <c r="AG722" s="204" t="s">
        <v>398</v>
      </c>
      <c r="AS722" s="65" t="str">
        <f>IFERROR(VLOOKUP(#REF!,[1]Lookup!$B$2:$E$115,4,FALSE),"")</f>
        <v/>
      </c>
      <c r="AT722" s="65" t="str">
        <f>IFERROR(VLOOKUP(#REF!,[1]Lookup!$B$2:$E$115,2,FALSE),"")</f>
        <v/>
      </c>
    </row>
    <row r="723" spans="31:46" x14ac:dyDescent="0.3">
      <c r="AE723" s="204" t="s">
        <v>398</v>
      </c>
      <c r="AF723" s="204" t="s">
        <v>398</v>
      </c>
      <c r="AG723" s="204" t="s">
        <v>398</v>
      </c>
      <c r="AS723" s="65" t="str">
        <f>IFERROR(VLOOKUP(#REF!,[1]Lookup!$B$2:$E$115,4,FALSE),"")</f>
        <v/>
      </c>
      <c r="AT723" s="65" t="str">
        <f>IFERROR(VLOOKUP(#REF!,[1]Lookup!$B$2:$E$115,2,FALSE),"")</f>
        <v/>
      </c>
    </row>
    <row r="724" spans="31:46" x14ac:dyDescent="0.3">
      <c r="AE724" s="204" t="s">
        <v>398</v>
      </c>
      <c r="AF724" s="204" t="s">
        <v>398</v>
      </c>
      <c r="AG724" s="204" t="s">
        <v>398</v>
      </c>
      <c r="AS724" s="65" t="str">
        <f>IFERROR(VLOOKUP(#REF!,[1]Lookup!$B$2:$E$115,4,FALSE),"")</f>
        <v/>
      </c>
      <c r="AT724" s="65" t="str">
        <f>IFERROR(VLOOKUP(#REF!,[1]Lookup!$B$2:$E$115,2,FALSE),"")</f>
        <v/>
      </c>
    </row>
    <row r="725" spans="31:46" x14ac:dyDescent="0.3">
      <c r="AE725" s="204" t="s">
        <v>398</v>
      </c>
      <c r="AF725" s="204" t="s">
        <v>398</v>
      </c>
      <c r="AG725" s="204" t="s">
        <v>398</v>
      </c>
      <c r="AS725" s="65" t="str">
        <f>IFERROR(VLOOKUP(#REF!,[1]Lookup!$B$2:$E$115,4,FALSE),"")</f>
        <v/>
      </c>
      <c r="AT725" s="65" t="str">
        <f>IFERROR(VLOOKUP(#REF!,[1]Lookup!$B$2:$E$115,2,FALSE),"")</f>
        <v/>
      </c>
    </row>
    <row r="726" spans="31:46" x14ac:dyDescent="0.3">
      <c r="AE726" s="204" t="s">
        <v>398</v>
      </c>
      <c r="AF726" s="204" t="s">
        <v>398</v>
      </c>
      <c r="AG726" s="204" t="s">
        <v>398</v>
      </c>
      <c r="AS726" s="65" t="str">
        <f>IFERROR(VLOOKUP(#REF!,[1]Lookup!$B$2:$E$115,4,FALSE),"")</f>
        <v/>
      </c>
      <c r="AT726" s="65" t="str">
        <f>IFERROR(VLOOKUP(#REF!,[1]Lookup!$B$2:$E$115,2,FALSE),"")</f>
        <v/>
      </c>
    </row>
    <row r="727" spans="31:46" x14ac:dyDescent="0.3">
      <c r="AE727" s="204" t="s">
        <v>398</v>
      </c>
      <c r="AF727" s="204" t="s">
        <v>398</v>
      </c>
      <c r="AG727" s="204" t="s">
        <v>398</v>
      </c>
      <c r="AS727" s="65" t="str">
        <f>IFERROR(VLOOKUP(#REF!,[1]Lookup!$B$2:$E$115,4,FALSE),"")</f>
        <v/>
      </c>
      <c r="AT727" s="65" t="str">
        <f>IFERROR(VLOOKUP(#REF!,[1]Lookup!$B$2:$E$115,2,FALSE),"")</f>
        <v/>
      </c>
    </row>
    <row r="728" spans="31:46" x14ac:dyDescent="0.3">
      <c r="AE728" s="204" t="s">
        <v>398</v>
      </c>
      <c r="AF728" s="204" t="s">
        <v>398</v>
      </c>
      <c r="AG728" s="204" t="s">
        <v>398</v>
      </c>
      <c r="AS728" s="65" t="str">
        <f>IFERROR(VLOOKUP(#REF!,[1]Lookup!$B$2:$E$115,4,FALSE),"")</f>
        <v/>
      </c>
      <c r="AT728" s="65" t="str">
        <f>IFERROR(VLOOKUP(#REF!,[1]Lookup!$B$2:$E$115,2,FALSE),"")</f>
        <v/>
      </c>
    </row>
    <row r="729" spans="31:46" x14ac:dyDescent="0.3">
      <c r="AE729" s="204" t="s">
        <v>398</v>
      </c>
      <c r="AF729" s="204" t="s">
        <v>398</v>
      </c>
      <c r="AG729" s="204" t="s">
        <v>398</v>
      </c>
      <c r="AS729" s="65" t="str">
        <f>IFERROR(VLOOKUP(#REF!,[1]Lookup!$B$2:$E$115,4,FALSE),"")</f>
        <v/>
      </c>
      <c r="AT729" s="65" t="str">
        <f>IFERROR(VLOOKUP(#REF!,[1]Lookup!$B$2:$E$115,2,FALSE),"")</f>
        <v/>
      </c>
    </row>
    <row r="730" spans="31:46" x14ac:dyDescent="0.3">
      <c r="AE730" s="204" t="s">
        <v>398</v>
      </c>
      <c r="AF730" s="204" t="s">
        <v>398</v>
      </c>
      <c r="AG730" s="204" t="s">
        <v>398</v>
      </c>
      <c r="AS730" s="65" t="str">
        <f>IFERROR(VLOOKUP(#REF!,[1]Lookup!$B$2:$E$115,4,FALSE),"")</f>
        <v/>
      </c>
      <c r="AT730" s="65" t="str">
        <f>IFERROR(VLOOKUP(#REF!,[1]Lookup!$B$2:$E$115,2,FALSE),"")</f>
        <v/>
      </c>
    </row>
    <row r="731" spans="31:46" x14ac:dyDescent="0.3">
      <c r="AE731" s="204" t="s">
        <v>398</v>
      </c>
      <c r="AF731" s="204" t="s">
        <v>398</v>
      </c>
      <c r="AG731" s="204" t="s">
        <v>398</v>
      </c>
      <c r="AS731" s="65" t="str">
        <f>IFERROR(VLOOKUP(#REF!,[1]Lookup!$B$2:$E$115,4,FALSE),"")</f>
        <v/>
      </c>
      <c r="AT731" s="65" t="str">
        <f>IFERROR(VLOOKUP(#REF!,[1]Lookup!$B$2:$E$115,2,FALSE),"")</f>
        <v/>
      </c>
    </row>
    <row r="732" spans="31:46" x14ac:dyDescent="0.3">
      <c r="AE732" s="204" t="s">
        <v>398</v>
      </c>
      <c r="AF732" s="204" t="s">
        <v>398</v>
      </c>
      <c r="AG732" s="204" t="s">
        <v>398</v>
      </c>
      <c r="AS732" s="65" t="str">
        <f>IFERROR(VLOOKUP(#REF!,[1]Lookup!$B$2:$E$115,4,FALSE),"")</f>
        <v/>
      </c>
      <c r="AT732" s="65" t="str">
        <f>IFERROR(VLOOKUP(#REF!,[1]Lookup!$B$2:$E$115,2,FALSE),"")</f>
        <v/>
      </c>
    </row>
    <row r="733" spans="31:46" x14ac:dyDescent="0.3">
      <c r="AE733" s="204" t="s">
        <v>398</v>
      </c>
      <c r="AF733" s="204" t="s">
        <v>398</v>
      </c>
      <c r="AG733" s="204" t="s">
        <v>398</v>
      </c>
      <c r="AS733" s="65" t="str">
        <f>IFERROR(VLOOKUP(#REF!,[1]Lookup!$B$2:$E$115,4,FALSE),"")</f>
        <v/>
      </c>
      <c r="AT733" s="65" t="str">
        <f>IFERROR(VLOOKUP(#REF!,[1]Lookup!$B$2:$E$115,2,FALSE),"")</f>
        <v/>
      </c>
    </row>
    <row r="734" spans="31:46" x14ac:dyDescent="0.3">
      <c r="AE734" s="204" t="s">
        <v>398</v>
      </c>
      <c r="AF734" s="204" t="s">
        <v>398</v>
      </c>
      <c r="AG734" s="204" t="s">
        <v>398</v>
      </c>
      <c r="AS734" s="65" t="str">
        <f>IFERROR(VLOOKUP(#REF!,[1]Lookup!$B$2:$E$115,4,FALSE),"")</f>
        <v/>
      </c>
      <c r="AT734" s="65" t="str">
        <f>IFERROR(VLOOKUP(#REF!,[1]Lookup!$B$2:$E$115,2,FALSE),"")</f>
        <v/>
      </c>
    </row>
    <row r="735" spans="31:46" x14ac:dyDescent="0.3">
      <c r="AE735" s="204" t="s">
        <v>398</v>
      </c>
      <c r="AF735" s="204" t="s">
        <v>398</v>
      </c>
      <c r="AG735" s="204" t="s">
        <v>398</v>
      </c>
      <c r="AS735" s="65" t="str">
        <f>IFERROR(VLOOKUP(#REF!,[1]Lookup!$B$2:$E$115,4,FALSE),"")</f>
        <v/>
      </c>
      <c r="AT735" s="65" t="str">
        <f>IFERROR(VLOOKUP(#REF!,[1]Lookup!$B$2:$E$115,2,FALSE),"")</f>
        <v/>
      </c>
    </row>
    <row r="736" spans="31:46" x14ac:dyDescent="0.3">
      <c r="AE736" s="204" t="s">
        <v>398</v>
      </c>
      <c r="AF736" s="204" t="s">
        <v>398</v>
      </c>
      <c r="AG736" s="204" t="s">
        <v>398</v>
      </c>
      <c r="AS736" s="65" t="str">
        <f>IFERROR(VLOOKUP(#REF!,[1]Lookup!$B$2:$E$115,4,FALSE),"")</f>
        <v/>
      </c>
      <c r="AT736" s="65" t="str">
        <f>IFERROR(VLOOKUP(#REF!,[1]Lookup!$B$2:$E$115,2,FALSE),"")</f>
        <v/>
      </c>
    </row>
    <row r="737" spans="31:46" x14ac:dyDescent="0.3">
      <c r="AE737" s="204" t="s">
        <v>398</v>
      </c>
      <c r="AF737" s="204" t="s">
        <v>398</v>
      </c>
      <c r="AG737" s="204" t="s">
        <v>398</v>
      </c>
      <c r="AS737" s="65" t="str">
        <f>IFERROR(VLOOKUP(#REF!,[1]Lookup!$B$2:$E$115,4,FALSE),"")</f>
        <v/>
      </c>
      <c r="AT737" s="65" t="str">
        <f>IFERROR(VLOOKUP(#REF!,[1]Lookup!$B$2:$E$115,2,FALSE),"")</f>
        <v/>
      </c>
    </row>
    <row r="738" spans="31:46" x14ac:dyDescent="0.3">
      <c r="AE738" s="204" t="s">
        <v>398</v>
      </c>
      <c r="AF738" s="204" t="s">
        <v>398</v>
      </c>
      <c r="AG738" s="204" t="s">
        <v>398</v>
      </c>
      <c r="AS738" s="65" t="str">
        <f>IFERROR(VLOOKUP(#REF!,[1]Lookup!$B$2:$E$115,4,FALSE),"")</f>
        <v/>
      </c>
      <c r="AT738" s="65" t="str">
        <f>IFERROR(VLOOKUP(#REF!,[1]Lookup!$B$2:$E$115,2,FALSE),"")</f>
        <v/>
      </c>
    </row>
    <row r="739" spans="31:46" x14ac:dyDescent="0.3">
      <c r="AE739" s="204" t="s">
        <v>398</v>
      </c>
      <c r="AF739" s="204" t="s">
        <v>398</v>
      </c>
      <c r="AG739" s="204" t="s">
        <v>398</v>
      </c>
      <c r="AS739" s="65" t="str">
        <f>IFERROR(VLOOKUP(#REF!,[1]Lookup!$B$2:$E$115,4,FALSE),"")</f>
        <v/>
      </c>
      <c r="AT739" s="65" t="str">
        <f>IFERROR(VLOOKUP(#REF!,[1]Lookup!$B$2:$E$115,2,FALSE),"")</f>
        <v/>
      </c>
    </row>
    <row r="740" spans="31:46" x14ac:dyDescent="0.3">
      <c r="AE740" s="204" t="s">
        <v>398</v>
      </c>
      <c r="AF740" s="204" t="s">
        <v>398</v>
      </c>
      <c r="AG740" s="204" t="s">
        <v>398</v>
      </c>
      <c r="AS740" s="65" t="str">
        <f>IFERROR(VLOOKUP(#REF!,[1]Lookup!$B$2:$E$115,4,FALSE),"")</f>
        <v/>
      </c>
      <c r="AT740" s="65" t="str">
        <f>IFERROR(VLOOKUP(#REF!,[1]Lookup!$B$2:$E$115,2,FALSE),"")</f>
        <v/>
      </c>
    </row>
    <row r="741" spans="31:46" x14ac:dyDescent="0.3">
      <c r="AE741" s="204" t="s">
        <v>398</v>
      </c>
      <c r="AF741" s="204" t="s">
        <v>398</v>
      </c>
      <c r="AG741" s="204" t="s">
        <v>398</v>
      </c>
      <c r="AS741" s="65" t="str">
        <f>IFERROR(VLOOKUP(#REF!,[1]Lookup!$B$2:$E$115,4,FALSE),"")</f>
        <v/>
      </c>
      <c r="AT741" s="65" t="str">
        <f>IFERROR(VLOOKUP(#REF!,[1]Lookup!$B$2:$E$115,2,FALSE),"")</f>
        <v/>
      </c>
    </row>
    <row r="742" spans="31:46" x14ac:dyDescent="0.3">
      <c r="AE742" s="204" t="s">
        <v>398</v>
      </c>
      <c r="AF742" s="204" t="s">
        <v>398</v>
      </c>
      <c r="AG742" s="204" t="s">
        <v>398</v>
      </c>
      <c r="AS742" s="65" t="str">
        <f>IFERROR(VLOOKUP(#REF!,[1]Lookup!$B$2:$E$115,4,FALSE),"")</f>
        <v/>
      </c>
      <c r="AT742" s="65" t="str">
        <f>IFERROR(VLOOKUP(#REF!,[1]Lookup!$B$2:$E$115,2,FALSE),"")</f>
        <v/>
      </c>
    </row>
    <row r="743" spans="31:46" x14ac:dyDescent="0.3">
      <c r="AE743" s="204" t="s">
        <v>398</v>
      </c>
      <c r="AF743" s="204" t="s">
        <v>398</v>
      </c>
      <c r="AG743" s="204" t="s">
        <v>398</v>
      </c>
      <c r="AS743" s="65" t="str">
        <f>IFERROR(VLOOKUP(#REF!,[1]Lookup!$B$2:$E$115,4,FALSE),"")</f>
        <v/>
      </c>
      <c r="AT743" s="65" t="str">
        <f>IFERROR(VLOOKUP(#REF!,[1]Lookup!$B$2:$E$115,2,FALSE),"")</f>
        <v/>
      </c>
    </row>
    <row r="744" spans="31:46" x14ac:dyDescent="0.3">
      <c r="AE744" s="204" t="s">
        <v>398</v>
      </c>
      <c r="AF744" s="204" t="s">
        <v>398</v>
      </c>
      <c r="AG744" s="204" t="s">
        <v>398</v>
      </c>
      <c r="AS744" s="65" t="str">
        <f>IFERROR(VLOOKUP(#REF!,[1]Lookup!$B$2:$E$115,4,FALSE),"")</f>
        <v/>
      </c>
      <c r="AT744" s="65" t="str">
        <f>IFERROR(VLOOKUP(#REF!,[1]Lookup!$B$2:$E$115,2,FALSE),"")</f>
        <v/>
      </c>
    </row>
    <row r="745" spans="31:46" x14ac:dyDescent="0.3">
      <c r="AE745" s="204" t="s">
        <v>398</v>
      </c>
      <c r="AF745" s="204" t="s">
        <v>398</v>
      </c>
      <c r="AG745" s="204" t="s">
        <v>398</v>
      </c>
      <c r="AS745" s="65" t="str">
        <f>IFERROR(VLOOKUP(#REF!,[1]Lookup!$B$2:$E$115,4,FALSE),"")</f>
        <v/>
      </c>
      <c r="AT745" s="65" t="str">
        <f>IFERROR(VLOOKUP(#REF!,[1]Lookup!$B$2:$E$115,2,FALSE),"")</f>
        <v/>
      </c>
    </row>
    <row r="746" spans="31:46" x14ac:dyDescent="0.3">
      <c r="AE746" s="204" t="s">
        <v>398</v>
      </c>
      <c r="AF746" s="204" t="s">
        <v>398</v>
      </c>
      <c r="AG746" s="204" t="s">
        <v>398</v>
      </c>
      <c r="AS746" s="65" t="str">
        <f>IFERROR(VLOOKUP(#REF!,[1]Lookup!$B$2:$E$115,4,FALSE),"")</f>
        <v/>
      </c>
      <c r="AT746" s="65" t="str">
        <f>IFERROR(VLOOKUP(#REF!,[1]Lookup!$B$2:$E$115,2,FALSE),"")</f>
        <v/>
      </c>
    </row>
    <row r="747" spans="31:46" x14ac:dyDescent="0.3">
      <c r="AE747" s="204" t="s">
        <v>398</v>
      </c>
      <c r="AF747" s="204" t="s">
        <v>398</v>
      </c>
      <c r="AG747" s="204" t="s">
        <v>398</v>
      </c>
      <c r="AS747" s="65" t="str">
        <f>IFERROR(VLOOKUP(#REF!,[1]Lookup!$B$2:$E$115,4,FALSE),"")</f>
        <v/>
      </c>
      <c r="AT747" s="65" t="str">
        <f>IFERROR(VLOOKUP(#REF!,[1]Lookup!$B$2:$E$115,2,FALSE),"")</f>
        <v/>
      </c>
    </row>
    <row r="748" spans="31:46" x14ac:dyDescent="0.3">
      <c r="AE748" s="204" t="s">
        <v>398</v>
      </c>
      <c r="AF748" s="204" t="s">
        <v>398</v>
      </c>
      <c r="AG748" s="204" t="s">
        <v>398</v>
      </c>
      <c r="AS748" s="65" t="str">
        <f>IFERROR(VLOOKUP(#REF!,[1]Lookup!$B$2:$E$115,4,FALSE),"")</f>
        <v/>
      </c>
      <c r="AT748" s="65" t="str">
        <f>IFERROR(VLOOKUP(#REF!,[1]Lookup!$B$2:$E$115,2,FALSE),"")</f>
        <v/>
      </c>
    </row>
    <row r="749" spans="31:46" x14ac:dyDescent="0.3">
      <c r="AE749" s="204" t="s">
        <v>398</v>
      </c>
      <c r="AF749" s="204" t="s">
        <v>398</v>
      </c>
      <c r="AG749" s="204" t="s">
        <v>398</v>
      </c>
      <c r="AS749" s="65" t="str">
        <f>IFERROR(VLOOKUP(#REF!,[1]Lookup!$B$2:$E$115,4,FALSE),"")</f>
        <v/>
      </c>
      <c r="AT749" s="65" t="str">
        <f>IFERROR(VLOOKUP(#REF!,[1]Lookup!$B$2:$E$115,2,FALSE),"")</f>
        <v/>
      </c>
    </row>
    <row r="750" spans="31:46" x14ac:dyDescent="0.3">
      <c r="AE750" s="204" t="s">
        <v>398</v>
      </c>
      <c r="AF750" s="204" t="s">
        <v>398</v>
      </c>
      <c r="AG750" s="204" t="s">
        <v>398</v>
      </c>
      <c r="AS750" s="65" t="str">
        <f>IFERROR(VLOOKUP(#REF!,[1]Lookup!$B$2:$E$115,4,FALSE),"")</f>
        <v/>
      </c>
      <c r="AT750" s="65" t="str">
        <f>IFERROR(VLOOKUP(#REF!,[1]Lookup!$B$2:$E$115,2,FALSE),"")</f>
        <v/>
      </c>
    </row>
    <row r="751" spans="31:46" x14ac:dyDescent="0.3">
      <c r="AE751" s="204" t="s">
        <v>398</v>
      </c>
      <c r="AF751" s="204" t="s">
        <v>398</v>
      </c>
      <c r="AG751" s="204" t="s">
        <v>398</v>
      </c>
      <c r="AS751" s="65" t="str">
        <f>IFERROR(VLOOKUP(#REF!,[1]Lookup!$B$2:$E$115,4,FALSE),"")</f>
        <v/>
      </c>
      <c r="AT751" s="65" t="str">
        <f>IFERROR(VLOOKUP(#REF!,[1]Lookup!$B$2:$E$115,2,FALSE),"")</f>
        <v/>
      </c>
    </row>
    <row r="752" spans="31:46" x14ac:dyDescent="0.3">
      <c r="AE752" s="204" t="s">
        <v>398</v>
      </c>
      <c r="AF752" s="204" t="s">
        <v>398</v>
      </c>
      <c r="AG752" s="204" t="s">
        <v>398</v>
      </c>
      <c r="AS752" s="65" t="str">
        <f>IFERROR(VLOOKUP(#REF!,[1]Lookup!$B$2:$E$115,4,FALSE),"")</f>
        <v/>
      </c>
      <c r="AT752" s="65" t="str">
        <f>IFERROR(VLOOKUP(#REF!,[1]Lookup!$B$2:$E$115,2,FALSE),"")</f>
        <v/>
      </c>
    </row>
    <row r="753" spans="31:46" x14ac:dyDescent="0.3">
      <c r="AE753" s="204" t="s">
        <v>398</v>
      </c>
      <c r="AF753" s="204" t="s">
        <v>398</v>
      </c>
      <c r="AG753" s="204" t="s">
        <v>398</v>
      </c>
      <c r="AS753" s="65" t="str">
        <f>IFERROR(VLOOKUP(#REF!,[1]Lookup!$B$2:$E$115,4,FALSE),"")</f>
        <v/>
      </c>
      <c r="AT753" s="65" t="str">
        <f>IFERROR(VLOOKUP(#REF!,[1]Lookup!$B$2:$E$115,2,FALSE),"")</f>
        <v/>
      </c>
    </row>
    <row r="754" spans="31:46" x14ac:dyDescent="0.3">
      <c r="AE754" s="204" t="s">
        <v>398</v>
      </c>
      <c r="AF754" s="204" t="s">
        <v>398</v>
      </c>
      <c r="AG754" s="204" t="s">
        <v>398</v>
      </c>
      <c r="AS754" s="65" t="str">
        <f>IFERROR(VLOOKUP(#REF!,[1]Lookup!$B$2:$E$115,4,FALSE),"")</f>
        <v/>
      </c>
      <c r="AT754" s="65" t="str">
        <f>IFERROR(VLOOKUP(#REF!,[1]Lookup!$B$2:$E$115,2,FALSE),"")</f>
        <v/>
      </c>
    </row>
    <row r="755" spans="31:46" x14ac:dyDescent="0.3">
      <c r="AE755" s="204" t="s">
        <v>398</v>
      </c>
      <c r="AF755" s="204" t="s">
        <v>398</v>
      </c>
      <c r="AG755" s="204" t="s">
        <v>398</v>
      </c>
      <c r="AS755" s="65" t="str">
        <f>IFERROR(VLOOKUP(#REF!,[1]Lookup!$B$2:$E$115,4,FALSE),"")</f>
        <v/>
      </c>
      <c r="AT755" s="65" t="str">
        <f>IFERROR(VLOOKUP(#REF!,[1]Lookup!$B$2:$E$115,2,FALSE),"")</f>
        <v/>
      </c>
    </row>
    <row r="756" spans="31:46" x14ac:dyDescent="0.3">
      <c r="AE756" s="204" t="s">
        <v>398</v>
      </c>
      <c r="AF756" s="204" t="s">
        <v>398</v>
      </c>
      <c r="AG756" s="204" t="s">
        <v>398</v>
      </c>
      <c r="AS756" s="65" t="str">
        <f>IFERROR(VLOOKUP(#REF!,[1]Lookup!$B$2:$E$115,4,FALSE),"")</f>
        <v/>
      </c>
      <c r="AT756" s="65" t="str">
        <f>IFERROR(VLOOKUP(#REF!,[1]Lookup!$B$2:$E$115,2,FALSE),"")</f>
        <v/>
      </c>
    </row>
    <row r="757" spans="31:46" x14ac:dyDescent="0.3">
      <c r="AE757" s="204" t="s">
        <v>398</v>
      </c>
      <c r="AF757" s="204" t="s">
        <v>398</v>
      </c>
      <c r="AG757" s="204" t="s">
        <v>398</v>
      </c>
      <c r="AS757" s="65" t="str">
        <f>IFERROR(VLOOKUP(#REF!,[1]Lookup!$B$2:$E$115,4,FALSE),"")</f>
        <v/>
      </c>
      <c r="AT757" s="65" t="str">
        <f>IFERROR(VLOOKUP(#REF!,[1]Lookup!$B$2:$E$115,2,FALSE),"")</f>
        <v/>
      </c>
    </row>
    <row r="758" spans="31:46" x14ac:dyDescent="0.3">
      <c r="AE758" s="204" t="s">
        <v>398</v>
      </c>
      <c r="AF758" s="204" t="s">
        <v>398</v>
      </c>
      <c r="AG758" s="204" t="s">
        <v>398</v>
      </c>
      <c r="AS758" s="65" t="str">
        <f>IFERROR(VLOOKUP(#REF!,[1]Lookup!$B$2:$E$115,4,FALSE),"")</f>
        <v/>
      </c>
      <c r="AT758" s="65" t="str">
        <f>IFERROR(VLOOKUP(#REF!,[1]Lookup!$B$2:$E$115,2,FALSE),"")</f>
        <v/>
      </c>
    </row>
    <row r="759" spans="31:46" x14ac:dyDescent="0.3">
      <c r="AE759" s="204" t="s">
        <v>398</v>
      </c>
      <c r="AF759" s="204" t="s">
        <v>398</v>
      </c>
      <c r="AG759" s="204" t="s">
        <v>398</v>
      </c>
      <c r="AS759" s="65" t="str">
        <f>IFERROR(VLOOKUP(#REF!,[1]Lookup!$B$2:$E$115,4,FALSE),"")</f>
        <v/>
      </c>
      <c r="AT759" s="65" t="str">
        <f>IFERROR(VLOOKUP(#REF!,[1]Lookup!$B$2:$E$115,2,FALSE),"")</f>
        <v/>
      </c>
    </row>
    <row r="760" spans="31:46" x14ac:dyDescent="0.3">
      <c r="AE760" s="204" t="s">
        <v>398</v>
      </c>
      <c r="AF760" s="204" t="s">
        <v>398</v>
      </c>
      <c r="AG760" s="204" t="s">
        <v>398</v>
      </c>
      <c r="AS760" s="65" t="str">
        <f>IFERROR(VLOOKUP(#REF!,[1]Lookup!$B$2:$E$115,4,FALSE),"")</f>
        <v/>
      </c>
      <c r="AT760" s="65" t="str">
        <f>IFERROR(VLOOKUP(#REF!,[1]Lookup!$B$2:$E$115,2,FALSE),"")</f>
        <v/>
      </c>
    </row>
    <row r="761" spans="31:46" x14ac:dyDescent="0.3">
      <c r="AE761" s="204" t="s">
        <v>398</v>
      </c>
      <c r="AF761" s="204" t="s">
        <v>398</v>
      </c>
      <c r="AG761" s="204" t="s">
        <v>398</v>
      </c>
      <c r="AS761" s="65" t="str">
        <f>IFERROR(VLOOKUP(#REF!,[1]Lookup!$B$2:$E$115,4,FALSE),"")</f>
        <v/>
      </c>
      <c r="AT761" s="65" t="str">
        <f>IFERROR(VLOOKUP(#REF!,[1]Lookup!$B$2:$E$115,2,FALSE),"")</f>
        <v/>
      </c>
    </row>
    <row r="762" spans="31:46" x14ac:dyDescent="0.3">
      <c r="AE762" s="204" t="s">
        <v>398</v>
      </c>
      <c r="AF762" s="204" t="s">
        <v>398</v>
      </c>
      <c r="AG762" s="204" t="s">
        <v>398</v>
      </c>
      <c r="AS762" s="65" t="str">
        <f>IFERROR(VLOOKUP(#REF!,[1]Lookup!$B$2:$E$115,4,FALSE),"")</f>
        <v/>
      </c>
      <c r="AT762" s="65" t="str">
        <f>IFERROR(VLOOKUP(#REF!,[1]Lookup!$B$2:$E$115,2,FALSE),"")</f>
        <v/>
      </c>
    </row>
    <row r="763" spans="31:46" x14ac:dyDescent="0.3">
      <c r="AE763" s="204" t="s">
        <v>398</v>
      </c>
      <c r="AF763" s="204" t="s">
        <v>398</v>
      </c>
      <c r="AG763" s="204" t="s">
        <v>398</v>
      </c>
      <c r="AS763" s="65" t="str">
        <f>IFERROR(VLOOKUP(#REF!,[1]Lookup!$B$2:$E$115,4,FALSE),"")</f>
        <v/>
      </c>
      <c r="AT763" s="65" t="str">
        <f>IFERROR(VLOOKUP(#REF!,[1]Lookup!$B$2:$E$115,2,FALSE),"")</f>
        <v/>
      </c>
    </row>
    <row r="764" spans="31:46" x14ac:dyDescent="0.3">
      <c r="AE764" s="204" t="s">
        <v>398</v>
      </c>
      <c r="AF764" s="204" t="s">
        <v>398</v>
      </c>
      <c r="AG764" s="204" t="s">
        <v>398</v>
      </c>
      <c r="AS764" s="65" t="str">
        <f>IFERROR(VLOOKUP(#REF!,[1]Lookup!$B$2:$E$115,4,FALSE),"")</f>
        <v/>
      </c>
      <c r="AT764" s="65" t="str">
        <f>IFERROR(VLOOKUP(#REF!,[1]Lookup!$B$2:$E$115,2,FALSE),"")</f>
        <v/>
      </c>
    </row>
    <row r="765" spans="31:46" x14ac:dyDescent="0.3">
      <c r="AE765" s="204" t="s">
        <v>398</v>
      </c>
      <c r="AF765" s="204" t="s">
        <v>398</v>
      </c>
      <c r="AG765" s="204" t="s">
        <v>398</v>
      </c>
      <c r="AS765" s="65" t="str">
        <f>IFERROR(VLOOKUP(#REF!,[1]Lookup!$B$2:$E$115,4,FALSE),"")</f>
        <v/>
      </c>
      <c r="AT765" s="65" t="str">
        <f>IFERROR(VLOOKUP(#REF!,[1]Lookup!$B$2:$E$115,2,FALSE),"")</f>
        <v/>
      </c>
    </row>
    <row r="766" spans="31:46" x14ac:dyDescent="0.3">
      <c r="AE766" s="204" t="s">
        <v>398</v>
      </c>
      <c r="AF766" s="204" t="s">
        <v>398</v>
      </c>
      <c r="AG766" s="204" t="s">
        <v>398</v>
      </c>
      <c r="AS766" s="65" t="str">
        <f>IFERROR(VLOOKUP(#REF!,[1]Lookup!$B$2:$E$115,4,FALSE),"")</f>
        <v/>
      </c>
      <c r="AT766" s="65" t="str">
        <f>IFERROR(VLOOKUP(#REF!,[1]Lookup!$B$2:$E$115,2,FALSE),"")</f>
        <v/>
      </c>
    </row>
    <row r="767" spans="31:46" x14ac:dyDescent="0.3">
      <c r="AE767" s="204" t="s">
        <v>398</v>
      </c>
      <c r="AF767" s="204" t="s">
        <v>398</v>
      </c>
      <c r="AG767" s="204" t="s">
        <v>398</v>
      </c>
      <c r="AS767" s="65" t="str">
        <f>IFERROR(VLOOKUP(#REF!,[1]Lookup!$B$2:$E$115,4,FALSE),"")</f>
        <v/>
      </c>
      <c r="AT767" s="65" t="str">
        <f>IFERROR(VLOOKUP(#REF!,[1]Lookup!$B$2:$E$115,2,FALSE),"")</f>
        <v/>
      </c>
    </row>
    <row r="768" spans="31:46" x14ac:dyDescent="0.3">
      <c r="AE768" s="204" t="s">
        <v>398</v>
      </c>
      <c r="AF768" s="204" t="s">
        <v>398</v>
      </c>
      <c r="AG768" s="204" t="s">
        <v>398</v>
      </c>
      <c r="AS768" s="65" t="str">
        <f>IFERROR(VLOOKUP(#REF!,[1]Lookup!$B$2:$E$115,4,FALSE),"")</f>
        <v/>
      </c>
      <c r="AT768" s="65" t="str">
        <f>IFERROR(VLOOKUP(#REF!,[1]Lookup!$B$2:$E$115,2,FALSE),"")</f>
        <v/>
      </c>
    </row>
    <row r="769" spans="31:46" x14ac:dyDescent="0.3">
      <c r="AE769" s="204" t="s">
        <v>398</v>
      </c>
      <c r="AF769" s="204" t="s">
        <v>398</v>
      </c>
      <c r="AG769" s="204" t="s">
        <v>398</v>
      </c>
      <c r="AS769" s="65" t="str">
        <f>IFERROR(VLOOKUP(#REF!,[1]Lookup!$B$2:$E$115,4,FALSE),"")</f>
        <v/>
      </c>
      <c r="AT769" s="65" t="str">
        <f>IFERROR(VLOOKUP(#REF!,[1]Lookup!$B$2:$E$115,2,FALSE),"")</f>
        <v/>
      </c>
    </row>
    <row r="770" spans="31:46" x14ac:dyDescent="0.3">
      <c r="AE770" s="204" t="s">
        <v>398</v>
      </c>
      <c r="AF770" s="204" t="s">
        <v>398</v>
      </c>
      <c r="AG770" s="204" t="s">
        <v>398</v>
      </c>
      <c r="AS770" s="65" t="str">
        <f>IFERROR(VLOOKUP(#REF!,[1]Lookup!$B$2:$E$115,4,FALSE),"")</f>
        <v/>
      </c>
      <c r="AT770" s="65" t="str">
        <f>IFERROR(VLOOKUP(#REF!,[1]Lookup!$B$2:$E$115,2,FALSE),"")</f>
        <v/>
      </c>
    </row>
    <row r="771" spans="31:46" x14ac:dyDescent="0.3">
      <c r="AE771" s="204" t="s">
        <v>398</v>
      </c>
      <c r="AF771" s="204" t="s">
        <v>398</v>
      </c>
      <c r="AG771" s="204" t="s">
        <v>398</v>
      </c>
      <c r="AS771" s="65" t="str">
        <f>IFERROR(VLOOKUP(#REF!,[1]Lookup!$B$2:$E$115,4,FALSE),"")</f>
        <v/>
      </c>
      <c r="AT771" s="65" t="str">
        <f>IFERROR(VLOOKUP(#REF!,[1]Lookup!$B$2:$E$115,2,FALSE),"")</f>
        <v/>
      </c>
    </row>
    <row r="772" spans="31:46" x14ac:dyDescent="0.3">
      <c r="AE772" s="204" t="s">
        <v>398</v>
      </c>
      <c r="AF772" s="204" t="s">
        <v>398</v>
      </c>
      <c r="AG772" s="204" t="s">
        <v>398</v>
      </c>
      <c r="AS772" s="65" t="str">
        <f>IFERROR(VLOOKUP(#REF!,[1]Lookup!$B$2:$E$115,4,FALSE),"")</f>
        <v/>
      </c>
      <c r="AT772" s="65" t="str">
        <f>IFERROR(VLOOKUP(#REF!,[1]Lookup!$B$2:$E$115,2,FALSE),"")</f>
        <v/>
      </c>
    </row>
    <row r="773" spans="31:46" x14ac:dyDescent="0.3">
      <c r="AE773" s="204" t="s">
        <v>398</v>
      </c>
      <c r="AF773" s="204" t="s">
        <v>398</v>
      </c>
      <c r="AG773" s="204" t="s">
        <v>398</v>
      </c>
      <c r="AS773" s="65" t="str">
        <f>IFERROR(VLOOKUP(#REF!,[1]Lookup!$B$2:$E$115,4,FALSE),"")</f>
        <v/>
      </c>
      <c r="AT773" s="65" t="str">
        <f>IFERROR(VLOOKUP(#REF!,[1]Lookup!$B$2:$E$115,2,FALSE),"")</f>
        <v/>
      </c>
    </row>
    <row r="774" spans="31:46" x14ac:dyDescent="0.3">
      <c r="AE774" s="204" t="s">
        <v>398</v>
      </c>
      <c r="AF774" s="204" t="s">
        <v>398</v>
      </c>
      <c r="AG774" s="204" t="s">
        <v>398</v>
      </c>
      <c r="AS774" s="65" t="str">
        <f>IFERROR(VLOOKUP(#REF!,[1]Lookup!$B$2:$E$115,4,FALSE),"")</f>
        <v/>
      </c>
      <c r="AT774" s="65" t="str">
        <f>IFERROR(VLOOKUP(#REF!,[1]Lookup!$B$2:$E$115,2,FALSE),"")</f>
        <v/>
      </c>
    </row>
    <row r="775" spans="31:46" x14ac:dyDescent="0.3">
      <c r="AE775" s="204" t="s">
        <v>398</v>
      </c>
      <c r="AF775" s="204" t="s">
        <v>398</v>
      </c>
      <c r="AG775" s="204" t="s">
        <v>398</v>
      </c>
      <c r="AS775" s="65" t="str">
        <f>IFERROR(VLOOKUP(#REF!,[1]Lookup!$B$2:$E$115,4,FALSE),"")</f>
        <v/>
      </c>
      <c r="AT775" s="65" t="str">
        <f>IFERROR(VLOOKUP(#REF!,[1]Lookup!$B$2:$E$115,2,FALSE),"")</f>
        <v/>
      </c>
    </row>
    <row r="776" spans="31:46" x14ac:dyDescent="0.3">
      <c r="AE776" s="204" t="s">
        <v>398</v>
      </c>
      <c r="AF776" s="204" t="s">
        <v>398</v>
      </c>
      <c r="AG776" s="204" t="s">
        <v>398</v>
      </c>
      <c r="AS776" s="65" t="str">
        <f>IFERROR(VLOOKUP(#REF!,[1]Lookup!$B$2:$E$115,4,FALSE),"")</f>
        <v/>
      </c>
      <c r="AT776" s="65" t="str">
        <f>IFERROR(VLOOKUP(#REF!,[1]Lookup!$B$2:$E$115,2,FALSE),"")</f>
        <v/>
      </c>
    </row>
    <row r="777" spans="31:46" x14ac:dyDescent="0.3">
      <c r="AE777" s="204" t="s">
        <v>398</v>
      </c>
      <c r="AF777" s="204" t="s">
        <v>398</v>
      </c>
      <c r="AG777" s="204" t="s">
        <v>398</v>
      </c>
      <c r="AS777" s="65" t="str">
        <f>IFERROR(VLOOKUP(#REF!,[1]Lookup!$B$2:$E$115,4,FALSE),"")</f>
        <v/>
      </c>
      <c r="AT777" s="65" t="str">
        <f>IFERROR(VLOOKUP(#REF!,[1]Lookup!$B$2:$E$115,2,FALSE),"")</f>
        <v/>
      </c>
    </row>
    <row r="778" spans="31:46" x14ac:dyDescent="0.3">
      <c r="AE778" s="204" t="s">
        <v>398</v>
      </c>
      <c r="AF778" s="204" t="s">
        <v>398</v>
      </c>
      <c r="AG778" s="204" t="s">
        <v>398</v>
      </c>
      <c r="AS778" s="65" t="str">
        <f>IFERROR(VLOOKUP(#REF!,[1]Lookup!$B$2:$E$115,4,FALSE),"")</f>
        <v/>
      </c>
      <c r="AT778" s="65" t="str">
        <f>IFERROR(VLOOKUP(#REF!,[1]Lookup!$B$2:$E$115,2,FALSE),"")</f>
        <v/>
      </c>
    </row>
    <row r="779" spans="31:46" x14ac:dyDescent="0.3">
      <c r="AE779" s="204" t="s">
        <v>398</v>
      </c>
      <c r="AF779" s="204" t="s">
        <v>398</v>
      </c>
      <c r="AG779" s="204" t="s">
        <v>398</v>
      </c>
      <c r="AS779" s="65" t="str">
        <f>IFERROR(VLOOKUP(#REF!,[1]Lookup!$B$2:$E$115,4,FALSE),"")</f>
        <v/>
      </c>
      <c r="AT779" s="65" t="str">
        <f>IFERROR(VLOOKUP(#REF!,[1]Lookup!$B$2:$E$115,2,FALSE),"")</f>
        <v/>
      </c>
    </row>
    <row r="780" spans="31:46" x14ac:dyDescent="0.3">
      <c r="AE780" s="204" t="s">
        <v>398</v>
      </c>
      <c r="AF780" s="204" t="s">
        <v>398</v>
      </c>
      <c r="AG780" s="204" t="s">
        <v>398</v>
      </c>
      <c r="AS780" s="65" t="str">
        <f>IFERROR(VLOOKUP(#REF!,[1]Lookup!$B$2:$E$115,4,FALSE),"")</f>
        <v/>
      </c>
      <c r="AT780" s="65" t="str">
        <f>IFERROR(VLOOKUP(#REF!,[1]Lookup!$B$2:$E$115,2,FALSE),"")</f>
        <v/>
      </c>
    </row>
    <row r="781" spans="31:46" x14ac:dyDescent="0.3">
      <c r="AE781" s="204" t="s">
        <v>398</v>
      </c>
      <c r="AF781" s="204" t="s">
        <v>398</v>
      </c>
      <c r="AG781" s="204" t="s">
        <v>398</v>
      </c>
      <c r="AS781" s="65" t="str">
        <f>IFERROR(VLOOKUP(#REF!,[1]Lookup!$B$2:$E$115,4,FALSE),"")</f>
        <v/>
      </c>
      <c r="AT781" s="65" t="str">
        <f>IFERROR(VLOOKUP(#REF!,[1]Lookup!$B$2:$E$115,2,FALSE),"")</f>
        <v/>
      </c>
    </row>
    <row r="782" spans="31:46" x14ac:dyDescent="0.3">
      <c r="AE782" s="204" t="s">
        <v>398</v>
      </c>
      <c r="AF782" s="204" t="s">
        <v>398</v>
      </c>
      <c r="AG782" s="204" t="s">
        <v>398</v>
      </c>
      <c r="AS782" s="65" t="str">
        <f>IFERROR(VLOOKUP(#REF!,[1]Lookup!$B$2:$E$115,4,FALSE),"")</f>
        <v/>
      </c>
      <c r="AT782" s="65" t="str">
        <f>IFERROR(VLOOKUP(#REF!,[1]Lookup!$B$2:$E$115,2,FALSE),"")</f>
        <v/>
      </c>
    </row>
    <row r="783" spans="31:46" x14ac:dyDescent="0.3">
      <c r="AE783" s="204" t="s">
        <v>398</v>
      </c>
      <c r="AF783" s="204" t="s">
        <v>398</v>
      </c>
      <c r="AG783" s="204" t="s">
        <v>398</v>
      </c>
      <c r="AS783" s="65" t="str">
        <f>IFERROR(VLOOKUP(#REF!,[1]Lookup!$B$2:$E$115,4,FALSE),"")</f>
        <v/>
      </c>
      <c r="AT783" s="65" t="str">
        <f>IFERROR(VLOOKUP(#REF!,[1]Lookup!$B$2:$E$115,2,FALSE),"")</f>
        <v/>
      </c>
    </row>
    <row r="784" spans="31:46" x14ac:dyDescent="0.3">
      <c r="AE784" s="204" t="s">
        <v>398</v>
      </c>
      <c r="AF784" s="204" t="s">
        <v>398</v>
      </c>
      <c r="AG784" s="204" t="s">
        <v>398</v>
      </c>
      <c r="AS784" s="65" t="str">
        <f>IFERROR(VLOOKUP(#REF!,[1]Lookup!$B$2:$E$115,4,FALSE),"")</f>
        <v/>
      </c>
      <c r="AT784" s="65" t="str">
        <f>IFERROR(VLOOKUP(#REF!,[1]Lookup!$B$2:$E$115,2,FALSE),"")</f>
        <v/>
      </c>
    </row>
    <row r="785" spans="31:46" x14ac:dyDescent="0.3">
      <c r="AE785" s="204" t="s">
        <v>398</v>
      </c>
      <c r="AF785" s="204" t="s">
        <v>398</v>
      </c>
      <c r="AG785" s="204" t="s">
        <v>398</v>
      </c>
      <c r="AS785" s="65" t="str">
        <f>IFERROR(VLOOKUP(#REF!,[1]Lookup!$B$2:$E$115,4,FALSE),"")</f>
        <v/>
      </c>
      <c r="AT785" s="65" t="str">
        <f>IFERROR(VLOOKUP(#REF!,[1]Lookup!$B$2:$E$115,2,FALSE),"")</f>
        <v/>
      </c>
    </row>
    <row r="786" spans="31:46" x14ac:dyDescent="0.3">
      <c r="AE786" s="204" t="s">
        <v>398</v>
      </c>
      <c r="AF786" s="204" t="s">
        <v>398</v>
      </c>
      <c r="AG786" s="204" t="s">
        <v>398</v>
      </c>
      <c r="AS786" s="65" t="str">
        <f>IFERROR(VLOOKUP(#REF!,[1]Lookup!$B$2:$E$115,4,FALSE),"")</f>
        <v/>
      </c>
      <c r="AT786" s="65" t="str">
        <f>IFERROR(VLOOKUP(#REF!,[1]Lookup!$B$2:$E$115,2,FALSE),"")</f>
        <v/>
      </c>
    </row>
    <row r="787" spans="31:46" x14ac:dyDescent="0.3">
      <c r="AE787" s="204" t="s">
        <v>398</v>
      </c>
      <c r="AF787" s="204" t="s">
        <v>398</v>
      </c>
      <c r="AG787" s="204" t="s">
        <v>398</v>
      </c>
      <c r="AS787" s="65" t="str">
        <f>IFERROR(VLOOKUP(#REF!,[1]Lookup!$B$2:$E$115,4,FALSE),"")</f>
        <v/>
      </c>
      <c r="AT787" s="65" t="str">
        <f>IFERROR(VLOOKUP(#REF!,[1]Lookup!$B$2:$E$115,2,FALSE),"")</f>
        <v/>
      </c>
    </row>
    <row r="788" spans="31:46" x14ac:dyDescent="0.3">
      <c r="AE788" s="204" t="s">
        <v>398</v>
      </c>
      <c r="AF788" s="204" t="s">
        <v>398</v>
      </c>
      <c r="AG788" s="204" t="s">
        <v>398</v>
      </c>
      <c r="AS788" s="65" t="str">
        <f>IFERROR(VLOOKUP(#REF!,[1]Lookup!$B$2:$E$115,4,FALSE),"")</f>
        <v/>
      </c>
      <c r="AT788" s="65" t="str">
        <f>IFERROR(VLOOKUP(#REF!,[1]Lookup!$B$2:$E$115,2,FALSE),"")</f>
        <v/>
      </c>
    </row>
    <row r="789" spans="31:46" x14ac:dyDescent="0.3">
      <c r="AE789" s="204" t="s">
        <v>398</v>
      </c>
      <c r="AF789" s="204" t="s">
        <v>398</v>
      </c>
      <c r="AG789" s="204" t="s">
        <v>398</v>
      </c>
      <c r="AS789" s="65" t="str">
        <f>IFERROR(VLOOKUP(#REF!,[1]Lookup!$B$2:$E$115,4,FALSE),"")</f>
        <v/>
      </c>
      <c r="AT789" s="65" t="str">
        <f>IFERROR(VLOOKUP(#REF!,[1]Lookup!$B$2:$E$115,2,FALSE),"")</f>
        <v/>
      </c>
    </row>
    <row r="790" spans="31:46" x14ac:dyDescent="0.3">
      <c r="AE790" s="204" t="s">
        <v>398</v>
      </c>
      <c r="AF790" s="204" t="s">
        <v>398</v>
      </c>
      <c r="AG790" s="204" t="s">
        <v>398</v>
      </c>
      <c r="AS790" s="65" t="str">
        <f>IFERROR(VLOOKUP(#REF!,[1]Lookup!$B$2:$E$115,4,FALSE),"")</f>
        <v/>
      </c>
      <c r="AT790" s="65" t="str">
        <f>IFERROR(VLOOKUP(#REF!,[1]Lookup!$B$2:$E$115,2,FALSE),"")</f>
        <v/>
      </c>
    </row>
    <row r="791" spans="31:46" x14ac:dyDescent="0.3">
      <c r="AE791" s="204" t="s">
        <v>398</v>
      </c>
      <c r="AF791" s="204" t="s">
        <v>398</v>
      </c>
      <c r="AG791" s="204" t="s">
        <v>398</v>
      </c>
      <c r="AS791" s="65" t="str">
        <f>IFERROR(VLOOKUP(#REF!,[1]Lookup!$B$2:$E$115,4,FALSE),"")</f>
        <v/>
      </c>
      <c r="AT791" s="65" t="str">
        <f>IFERROR(VLOOKUP(#REF!,[1]Lookup!$B$2:$E$115,2,FALSE),"")</f>
        <v/>
      </c>
    </row>
    <row r="792" spans="31:46" x14ac:dyDescent="0.3">
      <c r="AE792" s="204" t="s">
        <v>398</v>
      </c>
      <c r="AF792" s="204" t="s">
        <v>398</v>
      </c>
      <c r="AG792" s="204" t="s">
        <v>398</v>
      </c>
      <c r="AS792" s="65" t="str">
        <f>IFERROR(VLOOKUP(#REF!,[1]Lookup!$B$2:$E$115,4,FALSE),"")</f>
        <v/>
      </c>
      <c r="AT792" s="65" t="str">
        <f>IFERROR(VLOOKUP(#REF!,[1]Lookup!$B$2:$E$115,2,FALSE),"")</f>
        <v/>
      </c>
    </row>
    <row r="793" spans="31:46" x14ac:dyDescent="0.3">
      <c r="AE793" s="204" t="s">
        <v>398</v>
      </c>
      <c r="AF793" s="204" t="s">
        <v>398</v>
      </c>
      <c r="AG793" s="204" t="s">
        <v>398</v>
      </c>
      <c r="AS793" s="65" t="str">
        <f>IFERROR(VLOOKUP(#REF!,[1]Lookup!$B$2:$E$115,4,FALSE),"")</f>
        <v/>
      </c>
      <c r="AT793" s="65" t="str">
        <f>IFERROR(VLOOKUP(#REF!,[1]Lookup!$B$2:$E$115,2,FALSE),"")</f>
        <v/>
      </c>
    </row>
    <row r="794" spans="31:46" x14ac:dyDescent="0.3">
      <c r="AE794" s="204" t="s">
        <v>398</v>
      </c>
      <c r="AF794" s="204" t="s">
        <v>398</v>
      </c>
      <c r="AG794" s="204" t="s">
        <v>398</v>
      </c>
      <c r="AS794" s="65" t="str">
        <f>IFERROR(VLOOKUP(#REF!,[1]Lookup!$B$2:$E$115,4,FALSE),"")</f>
        <v/>
      </c>
      <c r="AT794" s="65" t="str">
        <f>IFERROR(VLOOKUP(#REF!,[1]Lookup!$B$2:$E$115,2,FALSE),"")</f>
        <v/>
      </c>
    </row>
    <row r="795" spans="31:46" x14ac:dyDescent="0.3">
      <c r="AE795" s="204" t="s">
        <v>398</v>
      </c>
      <c r="AF795" s="204" t="s">
        <v>398</v>
      </c>
      <c r="AG795" s="204" t="s">
        <v>398</v>
      </c>
      <c r="AS795" s="65" t="str">
        <f>IFERROR(VLOOKUP(#REF!,[1]Lookup!$B$2:$E$115,4,FALSE),"")</f>
        <v/>
      </c>
      <c r="AT795" s="65" t="str">
        <f>IFERROR(VLOOKUP(#REF!,[1]Lookup!$B$2:$E$115,2,FALSE),"")</f>
        <v/>
      </c>
    </row>
    <row r="796" spans="31:46" x14ac:dyDescent="0.3">
      <c r="AE796" s="204" t="s">
        <v>398</v>
      </c>
      <c r="AF796" s="204" t="s">
        <v>398</v>
      </c>
      <c r="AG796" s="204" t="s">
        <v>398</v>
      </c>
      <c r="AS796" s="65" t="str">
        <f>IFERROR(VLOOKUP(#REF!,[1]Lookup!$B$2:$E$115,4,FALSE),"")</f>
        <v/>
      </c>
      <c r="AT796" s="65" t="str">
        <f>IFERROR(VLOOKUP(#REF!,[1]Lookup!$B$2:$E$115,2,FALSE),"")</f>
        <v/>
      </c>
    </row>
    <row r="797" spans="31:46" x14ac:dyDescent="0.3">
      <c r="AE797" s="204" t="s">
        <v>398</v>
      </c>
      <c r="AF797" s="204" t="s">
        <v>398</v>
      </c>
      <c r="AG797" s="204" t="s">
        <v>398</v>
      </c>
      <c r="AS797" s="65" t="str">
        <f>IFERROR(VLOOKUP(#REF!,[1]Lookup!$B$2:$E$115,4,FALSE),"")</f>
        <v/>
      </c>
      <c r="AT797" s="65" t="str">
        <f>IFERROR(VLOOKUP(#REF!,[1]Lookup!$B$2:$E$115,2,FALSE),"")</f>
        <v/>
      </c>
    </row>
    <row r="798" spans="31:46" x14ac:dyDescent="0.3">
      <c r="AE798" s="204" t="s">
        <v>398</v>
      </c>
      <c r="AF798" s="204" t="s">
        <v>398</v>
      </c>
      <c r="AG798" s="204" t="s">
        <v>398</v>
      </c>
      <c r="AS798" s="65" t="str">
        <f>IFERROR(VLOOKUP(#REF!,[1]Lookup!$B$2:$E$115,4,FALSE),"")</f>
        <v/>
      </c>
      <c r="AT798" s="65" t="str">
        <f>IFERROR(VLOOKUP(#REF!,[1]Lookup!$B$2:$E$115,2,FALSE),"")</f>
        <v/>
      </c>
    </row>
    <row r="799" spans="31:46" x14ac:dyDescent="0.3">
      <c r="AE799" s="204" t="s">
        <v>398</v>
      </c>
      <c r="AF799" s="204" t="s">
        <v>398</v>
      </c>
      <c r="AG799" s="204" t="s">
        <v>398</v>
      </c>
      <c r="AS799" s="65" t="str">
        <f>IFERROR(VLOOKUP(#REF!,[1]Lookup!$B$2:$E$115,4,FALSE),"")</f>
        <v/>
      </c>
      <c r="AT799" s="65" t="str">
        <f>IFERROR(VLOOKUP(#REF!,[1]Lookup!$B$2:$E$115,2,FALSE),"")</f>
        <v/>
      </c>
    </row>
    <row r="800" spans="31:46" x14ac:dyDescent="0.3">
      <c r="AE800" s="204" t="s">
        <v>398</v>
      </c>
      <c r="AF800" s="204" t="s">
        <v>398</v>
      </c>
      <c r="AG800" s="204" t="s">
        <v>398</v>
      </c>
      <c r="AS800" s="65" t="str">
        <f>IFERROR(VLOOKUP(#REF!,[1]Lookup!$B$2:$E$115,4,FALSE),"")</f>
        <v/>
      </c>
      <c r="AT800" s="65" t="str">
        <f>IFERROR(VLOOKUP(#REF!,[1]Lookup!$B$2:$E$115,2,FALSE),"")</f>
        <v/>
      </c>
    </row>
    <row r="801" spans="31:46" x14ac:dyDescent="0.3">
      <c r="AE801" s="204" t="s">
        <v>398</v>
      </c>
      <c r="AF801" s="204" t="s">
        <v>398</v>
      </c>
      <c r="AG801" s="204" t="s">
        <v>398</v>
      </c>
      <c r="AS801" s="65" t="str">
        <f>IFERROR(VLOOKUP(#REF!,[1]Lookup!$B$2:$E$115,4,FALSE),"")</f>
        <v/>
      </c>
      <c r="AT801" s="65" t="str">
        <f>IFERROR(VLOOKUP(#REF!,[1]Lookup!$B$2:$E$115,2,FALSE),"")</f>
        <v/>
      </c>
    </row>
    <row r="802" spans="31:46" x14ac:dyDescent="0.3">
      <c r="AE802" s="204" t="s">
        <v>398</v>
      </c>
      <c r="AF802" s="204" t="s">
        <v>398</v>
      </c>
      <c r="AG802" s="204" t="s">
        <v>398</v>
      </c>
      <c r="AS802" s="65" t="str">
        <f>IFERROR(VLOOKUP(#REF!,[1]Lookup!$B$2:$E$115,4,FALSE),"")</f>
        <v/>
      </c>
      <c r="AT802" s="65" t="str">
        <f>IFERROR(VLOOKUP(#REF!,[1]Lookup!$B$2:$E$115,2,FALSE),"")</f>
        <v/>
      </c>
    </row>
    <row r="803" spans="31:46" x14ac:dyDescent="0.3">
      <c r="AE803" s="204" t="s">
        <v>398</v>
      </c>
      <c r="AF803" s="204" t="s">
        <v>398</v>
      </c>
      <c r="AG803" s="204" t="s">
        <v>398</v>
      </c>
      <c r="AS803" s="65" t="str">
        <f>IFERROR(VLOOKUP(#REF!,[1]Lookup!$B$2:$E$115,4,FALSE),"")</f>
        <v/>
      </c>
      <c r="AT803" s="65" t="str">
        <f>IFERROR(VLOOKUP(#REF!,[1]Lookup!$B$2:$E$115,2,FALSE),"")</f>
        <v/>
      </c>
    </row>
    <row r="804" spans="31:46" x14ac:dyDescent="0.3">
      <c r="AE804" s="204" t="s">
        <v>398</v>
      </c>
      <c r="AF804" s="204" t="s">
        <v>398</v>
      </c>
      <c r="AG804" s="204" t="s">
        <v>398</v>
      </c>
      <c r="AS804" s="65" t="str">
        <f>IFERROR(VLOOKUP(#REF!,[1]Lookup!$B$2:$E$115,4,FALSE),"")</f>
        <v/>
      </c>
      <c r="AT804" s="65" t="str">
        <f>IFERROR(VLOOKUP(#REF!,[1]Lookup!$B$2:$E$115,2,FALSE),"")</f>
        <v/>
      </c>
    </row>
    <row r="805" spans="31:46" x14ac:dyDescent="0.3">
      <c r="AE805" s="204" t="s">
        <v>398</v>
      </c>
      <c r="AF805" s="204" t="s">
        <v>398</v>
      </c>
      <c r="AG805" s="204" t="s">
        <v>398</v>
      </c>
      <c r="AS805" s="65" t="str">
        <f>IFERROR(VLOOKUP(#REF!,[1]Lookup!$B$2:$E$115,4,FALSE),"")</f>
        <v/>
      </c>
      <c r="AT805" s="65" t="str">
        <f>IFERROR(VLOOKUP(#REF!,[1]Lookup!$B$2:$E$115,2,FALSE),"")</f>
        <v/>
      </c>
    </row>
    <row r="806" spans="31:46" x14ac:dyDescent="0.3">
      <c r="AE806" s="204" t="s">
        <v>398</v>
      </c>
      <c r="AF806" s="204" t="s">
        <v>398</v>
      </c>
      <c r="AG806" s="204" t="s">
        <v>398</v>
      </c>
      <c r="AS806" s="65" t="str">
        <f>IFERROR(VLOOKUP(#REF!,[1]Lookup!$B$2:$E$115,4,FALSE),"")</f>
        <v/>
      </c>
      <c r="AT806" s="65" t="str">
        <f>IFERROR(VLOOKUP(#REF!,[1]Lookup!$B$2:$E$115,2,FALSE),"")</f>
        <v/>
      </c>
    </row>
    <row r="807" spans="31:46" x14ac:dyDescent="0.3">
      <c r="AE807" s="204" t="s">
        <v>398</v>
      </c>
      <c r="AF807" s="204" t="s">
        <v>398</v>
      </c>
      <c r="AG807" s="204" t="s">
        <v>398</v>
      </c>
      <c r="AS807" s="65" t="str">
        <f>IFERROR(VLOOKUP(#REF!,[1]Lookup!$B$2:$E$115,4,FALSE),"")</f>
        <v/>
      </c>
      <c r="AT807" s="65" t="str">
        <f>IFERROR(VLOOKUP(#REF!,[1]Lookup!$B$2:$E$115,2,FALSE),"")</f>
        <v/>
      </c>
    </row>
    <row r="808" spans="31:46" x14ac:dyDescent="0.3">
      <c r="AE808" s="204" t="s">
        <v>398</v>
      </c>
      <c r="AF808" s="204" t="s">
        <v>398</v>
      </c>
      <c r="AG808" s="204" t="s">
        <v>398</v>
      </c>
      <c r="AS808" s="65" t="str">
        <f>IFERROR(VLOOKUP(#REF!,[1]Lookup!$B$2:$E$115,4,FALSE),"")</f>
        <v/>
      </c>
      <c r="AT808" s="65" t="str">
        <f>IFERROR(VLOOKUP(#REF!,[1]Lookup!$B$2:$E$115,2,FALSE),"")</f>
        <v/>
      </c>
    </row>
    <row r="809" spans="31:46" x14ac:dyDescent="0.3">
      <c r="AE809" s="204" t="s">
        <v>398</v>
      </c>
      <c r="AF809" s="204" t="s">
        <v>398</v>
      </c>
      <c r="AG809" s="204" t="s">
        <v>398</v>
      </c>
      <c r="AS809" s="65" t="str">
        <f>IFERROR(VLOOKUP(#REF!,[1]Lookup!$B$2:$E$115,4,FALSE),"")</f>
        <v/>
      </c>
      <c r="AT809" s="65" t="str">
        <f>IFERROR(VLOOKUP(#REF!,[1]Lookup!$B$2:$E$115,2,FALSE),"")</f>
        <v/>
      </c>
    </row>
    <row r="810" spans="31:46" x14ac:dyDescent="0.3">
      <c r="AE810" s="204" t="s">
        <v>398</v>
      </c>
      <c r="AF810" s="204" t="s">
        <v>398</v>
      </c>
      <c r="AG810" s="204" t="s">
        <v>398</v>
      </c>
      <c r="AS810" s="65" t="str">
        <f>IFERROR(VLOOKUP(#REF!,[1]Lookup!$B$2:$E$115,4,FALSE),"")</f>
        <v/>
      </c>
      <c r="AT810" s="65" t="str">
        <f>IFERROR(VLOOKUP(#REF!,[1]Lookup!$B$2:$E$115,2,FALSE),"")</f>
        <v/>
      </c>
    </row>
    <row r="811" spans="31:46" x14ac:dyDescent="0.3">
      <c r="AE811" s="204" t="s">
        <v>398</v>
      </c>
      <c r="AF811" s="204" t="s">
        <v>398</v>
      </c>
      <c r="AG811" s="204" t="s">
        <v>398</v>
      </c>
      <c r="AS811" s="65" t="str">
        <f>IFERROR(VLOOKUP(#REF!,[1]Lookup!$B$2:$E$115,4,FALSE),"")</f>
        <v/>
      </c>
      <c r="AT811" s="65" t="str">
        <f>IFERROR(VLOOKUP(#REF!,[1]Lookup!$B$2:$E$115,2,FALSE),"")</f>
        <v/>
      </c>
    </row>
    <row r="812" spans="31:46" x14ac:dyDescent="0.3">
      <c r="AE812" s="204" t="s">
        <v>398</v>
      </c>
      <c r="AF812" s="204" t="s">
        <v>398</v>
      </c>
      <c r="AG812" s="204" t="s">
        <v>398</v>
      </c>
      <c r="AS812" s="65" t="str">
        <f>IFERROR(VLOOKUP(#REF!,[1]Lookup!$B$2:$E$115,4,FALSE),"")</f>
        <v/>
      </c>
      <c r="AT812" s="65" t="str">
        <f>IFERROR(VLOOKUP(#REF!,[1]Lookup!$B$2:$E$115,2,FALSE),"")</f>
        <v/>
      </c>
    </row>
    <row r="813" spans="31:46" x14ac:dyDescent="0.3">
      <c r="AE813" s="204" t="s">
        <v>398</v>
      </c>
      <c r="AF813" s="204" t="s">
        <v>398</v>
      </c>
      <c r="AG813" s="204" t="s">
        <v>398</v>
      </c>
      <c r="AS813" s="65" t="str">
        <f>IFERROR(VLOOKUP(#REF!,[1]Lookup!$B$2:$E$115,4,FALSE),"")</f>
        <v/>
      </c>
      <c r="AT813" s="65" t="str">
        <f>IFERROR(VLOOKUP(#REF!,[1]Lookup!$B$2:$E$115,2,FALSE),"")</f>
        <v/>
      </c>
    </row>
    <row r="814" spans="31:46" x14ac:dyDescent="0.3">
      <c r="AE814" s="204" t="s">
        <v>398</v>
      </c>
      <c r="AF814" s="204" t="s">
        <v>398</v>
      </c>
      <c r="AG814" s="204" t="s">
        <v>398</v>
      </c>
      <c r="AS814" s="65" t="str">
        <f>IFERROR(VLOOKUP(#REF!,[1]Lookup!$B$2:$E$115,4,FALSE),"")</f>
        <v/>
      </c>
      <c r="AT814" s="65" t="str">
        <f>IFERROR(VLOOKUP(#REF!,[1]Lookup!$B$2:$E$115,2,FALSE),"")</f>
        <v/>
      </c>
    </row>
    <row r="815" spans="31:46" x14ac:dyDescent="0.3">
      <c r="AE815" s="204" t="s">
        <v>398</v>
      </c>
      <c r="AF815" s="204" t="s">
        <v>398</v>
      </c>
      <c r="AG815" s="204" t="s">
        <v>398</v>
      </c>
      <c r="AS815" s="65" t="str">
        <f>IFERROR(VLOOKUP(#REF!,[1]Lookup!$B$2:$E$115,4,FALSE),"")</f>
        <v/>
      </c>
      <c r="AT815" s="65" t="str">
        <f>IFERROR(VLOOKUP(#REF!,[1]Lookup!$B$2:$E$115,2,FALSE),"")</f>
        <v/>
      </c>
    </row>
    <row r="816" spans="31:46" x14ac:dyDescent="0.3">
      <c r="AE816" s="204" t="s">
        <v>398</v>
      </c>
      <c r="AF816" s="204" t="s">
        <v>398</v>
      </c>
      <c r="AG816" s="204" t="s">
        <v>398</v>
      </c>
      <c r="AS816" s="65" t="str">
        <f>IFERROR(VLOOKUP(#REF!,[1]Lookup!$B$2:$E$115,4,FALSE),"")</f>
        <v/>
      </c>
      <c r="AT816" s="65" t="str">
        <f>IFERROR(VLOOKUP(#REF!,[1]Lookup!$B$2:$E$115,2,FALSE),"")</f>
        <v/>
      </c>
    </row>
    <row r="817" spans="31:46" x14ac:dyDescent="0.3">
      <c r="AE817" s="204" t="s">
        <v>398</v>
      </c>
      <c r="AF817" s="204" t="s">
        <v>398</v>
      </c>
      <c r="AG817" s="204" t="s">
        <v>398</v>
      </c>
      <c r="AS817" s="65" t="str">
        <f>IFERROR(VLOOKUP(#REF!,[1]Lookup!$B$2:$E$115,4,FALSE),"")</f>
        <v/>
      </c>
      <c r="AT817" s="65" t="str">
        <f>IFERROR(VLOOKUP(#REF!,[1]Lookup!$B$2:$E$115,2,FALSE),"")</f>
        <v/>
      </c>
    </row>
    <row r="818" spans="31:46" x14ac:dyDescent="0.3">
      <c r="AE818" s="204" t="s">
        <v>398</v>
      </c>
      <c r="AF818" s="204" t="s">
        <v>398</v>
      </c>
      <c r="AG818" s="204" t="s">
        <v>398</v>
      </c>
      <c r="AS818" s="65" t="str">
        <f>IFERROR(VLOOKUP(#REF!,[1]Lookup!$B$2:$E$115,4,FALSE),"")</f>
        <v/>
      </c>
      <c r="AT818" s="65" t="str">
        <f>IFERROR(VLOOKUP(#REF!,[1]Lookup!$B$2:$E$115,2,FALSE),"")</f>
        <v/>
      </c>
    </row>
    <row r="819" spans="31:46" x14ac:dyDescent="0.3">
      <c r="AE819" s="204" t="s">
        <v>398</v>
      </c>
      <c r="AF819" s="204" t="s">
        <v>398</v>
      </c>
      <c r="AG819" s="204" t="s">
        <v>398</v>
      </c>
      <c r="AS819" s="65" t="str">
        <f>IFERROR(VLOOKUP(#REF!,[1]Lookup!$B$2:$E$115,4,FALSE),"")</f>
        <v/>
      </c>
      <c r="AT819" s="65" t="str">
        <f>IFERROR(VLOOKUP(#REF!,[1]Lookup!$B$2:$E$115,2,FALSE),"")</f>
        <v/>
      </c>
    </row>
    <row r="820" spans="31:46" x14ac:dyDescent="0.3">
      <c r="AE820" s="204" t="s">
        <v>398</v>
      </c>
      <c r="AF820" s="204" t="s">
        <v>398</v>
      </c>
      <c r="AG820" s="204" t="s">
        <v>398</v>
      </c>
      <c r="AS820" s="65" t="str">
        <f>IFERROR(VLOOKUP(#REF!,[1]Lookup!$B$2:$E$115,4,FALSE),"")</f>
        <v/>
      </c>
      <c r="AT820" s="65" t="str">
        <f>IFERROR(VLOOKUP(#REF!,[1]Lookup!$B$2:$E$115,2,FALSE),"")</f>
        <v/>
      </c>
    </row>
    <row r="821" spans="31:46" x14ac:dyDescent="0.3">
      <c r="AE821" s="204" t="s">
        <v>398</v>
      </c>
      <c r="AF821" s="204" t="s">
        <v>398</v>
      </c>
      <c r="AG821" s="204" t="s">
        <v>398</v>
      </c>
      <c r="AS821" s="65" t="str">
        <f>IFERROR(VLOOKUP(#REF!,[1]Lookup!$B$2:$E$115,4,FALSE),"")</f>
        <v/>
      </c>
      <c r="AT821" s="65" t="str">
        <f>IFERROR(VLOOKUP(#REF!,[1]Lookup!$B$2:$E$115,2,FALSE),"")</f>
        <v/>
      </c>
    </row>
    <row r="822" spans="31:46" x14ac:dyDescent="0.3">
      <c r="AE822" s="204" t="s">
        <v>398</v>
      </c>
      <c r="AF822" s="204" t="s">
        <v>398</v>
      </c>
      <c r="AG822" s="204" t="s">
        <v>398</v>
      </c>
      <c r="AS822" s="65" t="str">
        <f>IFERROR(VLOOKUP(#REF!,[1]Lookup!$B$2:$E$115,4,FALSE),"")</f>
        <v/>
      </c>
      <c r="AT822" s="65" t="str">
        <f>IFERROR(VLOOKUP(#REF!,[1]Lookup!$B$2:$E$115,2,FALSE),"")</f>
        <v/>
      </c>
    </row>
    <row r="823" spans="31:46" x14ac:dyDescent="0.3">
      <c r="AE823" s="204" t="s">
        <v>398</v>
      </c>
      <c r="AF823" s="204" t="s">
        <v>398</v>
      </c>
      <c r="AG823" s="204" t="s">
        <v>398</v>
      </c>
      <c r="AS823" s="65" t="str">
        <f>IFERROR(VLOOKUP(#REF!,[1]Lookup!$B$2:$E$115,4,FALSE),"")</f>
        <v/>
      </c>
      <c r="AT823" s="65" t="str">
        <f>IFERROR(VLOOKUP(#REF!,[1]Lookup!$B$2:$E$115,2,FALSE),"")</f>
        <v/>
      </c>
    </row>
    <row r="824" spans="31:46" x14ac:dyDescent="0.3">
      <c r="AE824" s="204" t="s">
        <v>398</v>
      </c>
      <c r="AF824" s="204" t="s">
        <v>398</v>
      </c>
      <c r="AG824" s="204" t="s">
        <v>398</v>
      </c>
      <c r="AS824" s="65" t="str">
        <f>IFERROR(VLOOKUP(#REF!,[1]Lookup!$B$2:$E$115,4,FALSE),"")</f>
        <v/>
      </c>
      <c r="AT824" s="65" t="str">
        <f>IFERROR(VLOOKUP(#REF!,[1]Lookup!$B$2:$E$115,2,FALSE),"")</f>
        <v/>
      </c>
    </row>
    <row r="825" spans="31:46" x14ac:dyDescent="0.3">
      <c r="AE825" s="204" t="s">
        <v>398</v>
      </c>
      <c r="AF825" s="204" t="s">
        <v>398</v>
      </c>
      <c r="AG825" s="204" t="s">
        <v>398</v>
      </c>
      <c r="AS825" s="65" t="str">
        <f>IFERROR(VLOOKUP(#REF!,[1]Lookup!$B$2:$E$115,4,FALSE),"")</f>
        <v/>
      </c>
      <c r="AT825" s="65" t="str">
        <f>IFERROR(VLOOKUP(#REF!,[1]Lookup!$B$2:$E$115,2,FALSE),"")</f>
        <v/>
      </c>
    </row>
    <row r="826" spans="31:46" x14ac:dyDescent="0.3">
      <c r="AE826" s="204" t="s">
        <v>398</v>
      </c>
      <c r="AF826" s="204" t="s">
        <v>398</v>
      </c>
      <c r="AG826" s="204" t="s">
        <v>398</v>
      </c>
      <c r="AS826" s="65" t="str">
        <f>IFERROR(VLOOKUP(#REF!,[1]Lookup!$B$2:$E$115,4,FALSE),"")</f>
        <v/>
      </c>
      <c r="AT826" s="65" t="str">
        <f>IFERROR(VLOOKUP(#REF!,[1]Lookup!$B$2:$E$115,2,FALSE),"")</f>
        <v/>
      </c>
    </row>
    <row r="827" spans="31:46" x14ac:dyDescent="0.3">
      <c r="AE827" s="204" t="s">
        <v>398</v>
      </c>
      <c r="AF827" s="204" t="s">
        <v>398</v>
      </c>
      <c r="AG827" s="204" t="s">
        <v>398</v>
      </c>
      <c r="AS827" s="65" t="str">
        <f>IFERROR(VLOOKUP(#REF!,[1]Lookup!$B$2:$E$115,4,FALSE),"")</f>
        <v/>
      </c>
      <c r="AT827" s="65" t="str">
        <f>IFERROR(VLOOKUP(#REF!,[1]Lookup!$B$2:$E$115,2,FALSE),"")</f>
        <v/>
      </c>
    </row>
    <row r="828" spans="31:46" x14ac:dyDescent="0.3">
      <c r="AE828" s="204" t="s">
        <v>398</v>
      </c>
      <c r="AF828" s="204" t="s">
        <v>398</v>
      </c>
      <c r="AG828" s="204" t="s">
        <v>398</v>
      </c>
      <c r="AS828" s="65" t="str">
        <f>IFERROR(VLOOKUP(#REF!,[1]Lookup!$B$2:$E$115,4,FALSE),"")</f>
        <v/>
      </c>
      <c r="AT828" s="65" t="str">
        <f>IFERROR(VLOOKUP(#REF!,[1]Lookup!$B$2:$E$115,2,FALSE),"")</f>
        <v/>
      </c>
    </row>
    <row r="829" spans="31:46" x14ac:dyDescent="0.3">
      <c r="AE829" s="204" t="s">
        <v>398</v>
      </c>
      <c r="AF829" s="204" t="s">
        <v>398</v>
      </c>
      <c r="AG829" s="204" t="s">
        <v>398</v>
      </c>
      <c r="AS829" s="65" t="str">
        <f>IFERROR(VLOOKUP(#REF!,[1]Lookup!$B$2:$E$115,4,FALSE),"")</f>
        <v/>
      </c>
      <c r="AT829" s="65" t="str">
        <f>IFERROR(VLOOKUP(#REF!,[1]Lookup!$B$2:$E$115,2,FALSE),"")</f>
        <v/>
      </c>
    </row>
    <row r="830" spans="31:46" x14ac:dyDescent="0.3">
      <c r="AE830" s="204" t="s">
        <v>398</v>
      </c>
      <c r="AF830" s="204" t="s">
        <v>398</v>
      </c>
      <c r="AG830" s="204" t="s">
        <v>398</v>
      </c>
      <c r="AS830" s="65" t="str">
        <f>IFERROR(VLOOKUP(#REF!,[1]Lookup!$B$2:$E$115,4,FALSE),"")</f>
        <v/>
      </c>
      <c r="AT830" s="65" t="str">
        <f>IFERROR(VLOOKUP(#REF!,[1]Lookup!$B$2:$E$115,2,FALSE),"")</f>
        <v/>
      </c>
    </row>
    <row r="831" spans="31:46" x14ac:dyDescent="0.3">
      <c r="AE831" s="204" t="s">
        <v>398</v>
      </c>
      <c r="AF831" s="204" t="s">
        <v>398</v>
      </c>
      <c r="AG831" s="204" t="s">
        <v>398</v>
      </c>
      <c r="AS831" s="65" t="str">
        <f>IFERROR(VLOOKUP(#REF!,[1]Lookup!$B$2:$E$115,4,FALSE),"")</f>
        <v/>
      </c>
      <c r="AT831" s="65" t="str">
        <f>IFERROR(VLOOKUP(#REF!,[1]Lookup!$B$2:$E$115,2,FALSE),"")</f>
        <v/>
      </c>
    </row>
    <row r="832" spans="31:46" x14ac:dyDescent="0.3">
      <c r="AE832" s="204" t="s">
        <v>398</v>
      </c>
      <c r="AF832" s="204" t="s">
        <v>398</v>
      </c>
      <c r="AG832" s="204" t="s">
        <v>398</v>
      </c>
      <c r="AS832" s="65" t="str">
        <f>IFERROR(VLOOKUP(#REF!,[1]Lookup!$B$2:$E$115,4,FALSE),"")</f>
        <v/>
      </c>
      <c r="AT832" s="65" t="str">
        <f>IFERROR(VLOOKUP(#REF!,[1]Lookup!$B$2:$E$115,2,FALSE),"")</f>
        <v/>
      </c>
    </row>
    <row r="833" spans="31:46" x14ac:dyDescent="0.3">
      <c r="AE833" s="204" t="s">
        <v>398</v>
      </c>
      <c r="AF833" s="204" t="s">
        <v>398</v>
      </c>
      <c r="AG833" s="204" t="s">
        <v>398</v>
      </c>
      <c r="AS833" s="65" t="str">
        <f>IFERROR(VLOOKUP(#REF!,[1]Lookup!$B$2:$E$115,4,FALSE),"")</f>
        <v/>
      </c>
      <c r="AT833" s="65" t="str">
        <f>IFERROR(VLOOKUP(#REF!,[1]Lookup!$B$2:$E$115,2,FALSE),"")</f>
        <v/>
      </c>
    </row>
    <row r="834" spans="31:46" x14ac:dyDescent="0.3">
      <c r="AE834" s="204" t="s">
        <v>398</v>
      </c>
      <c r="AF834" s="204" t="s">
        <v>398</v>
      </c>
      <c r="AG834" s="204" t="s">
        <v>398</v>
      </c>
      <c r="AS834" s="65" t="str">
        <f>IFERROR(VLOOKUP(#REF!,[1]Lookup!$B$2:$E$115,4,FALSE),"")</f>
        <v/>
      </c>
      <c r="AT834" s="65" t="str">
        <f>IFERROR(VLOOKUP(#REF!,[1]Lookup!$B$2:$E$115,2,FALSE),"")</f>
        <v/>
      </c>
    </row>
    <row r="835" spans="31:46" x14ac:dyDescent="0.3">
      <c r="AE835" s="204" t="s">
        <v>398</v>
      </c>
      <c r="AF835" s="204" t="s">
        <v>398</v>
      </c>
      <c r="AG835" s="204" t="s">
        <v>398</v>
      </c>
      <c r="AS835" s="65" t="str">
        <f>IFERROR(VLOOKUP(#REF!,[1]Lookup!$B$2:$E$115,4,FALSE),"")</f>
        <v/>
      </c>
      <c r="AT835" s="65" t="str">
        <f>IFERROR(VLOOKUP(#REF!,[1]Lookup!$B$2:$E$115,2,FALSE),"")</f>
        <v/>
      </c>
    </row>
    <row r="836" spans="31:46" x14ac:dyDescent="0.3">
      <c r="AE836" s="204" t="s">
        <v>398</v>
      </c>
      <c r="AF836" s="204" t="s">
        <v>398</v>
      </c>
      <c r="AG836" s="204" t="s">
        <v>398</v>
      </c>
      <c r="AS836" s="65" t="str">
        <f>IFERROR(VLOOKUP(#REF!,[1]Lookup!$B$2:$E$115,4,FALSE),"")</f>
        <v/>
      </c>
      <c r="AT836" s="65" t="str">
        <f>IFERROR(VLOOKUP(#REF!,[1]Lookup!$B$2:$E$115,2,FALSE),"")</f>
        <v/>
      </c>
    </row>
    <row r="837" spans="31:46" x14ac:dyDescent="0.3">
      <c r="AE837" s="204" t="s">
        <v>398</v>
      </c>
      <c r="AF837" s="204" t="s">
        <v>398</v>
      </c>
      <c r="AG837" s="204" t="s">
        <v>398</v>
      </c>
      <c r="AS837" s="65" t="str">
        <f>IFERROR(VLOOKUP(#REF!,[1]Lookup!$B$2:$E$115,4,FALSE),"")</f>
        <v/>
      </c>
      <c r="AT837" s="65" t="str">
        <f>IFERROR(VLOOKUP(#REF!,[1]Lookup!$B$2:$E$115,2,FALSE),"")</f>
        <v/>
      </c>
    </row>
    <row r="838" spans="31:46" x14ac:dyDescent="0.3">
      <c r="AE838" s="204" t="s">
        <v>398</v>
      </c>
      <c r="AF838" s="204" t="s">
        <v>398</v>
      </c>
      <c r="AG838" s="204" t="s">
        <v>398</v>
      </c>
      <c r="AS838" s="65" t="str">
        <f>IFERROR(VLOOKUP(#REF!,[1]Lookup!$B$2:$E$115,4,FALSE),"")</f>
        <v/>
      </c>
      <c r="AT838" s="65" t="str">
        <f>IFERROR(VLOOKUP(#REF!,[1]Lookup!$B$2:$E$115,2,FALSE),"")</f>
        <v/>
      </c>
    </row>
    <row r="839" spans="31:46" x14ac:dyDescent="0.3">
      <c r="AE839" s="204" t="s">
        <v>398</v>
      </c>
      <c r="AF839" s="204" t="s">
        <v>398</v>
      </c>
      <c r="AG839" s="204" t="s">
        <v>398</v>
      </c>
      <c r="AS839" s="65" t="str">
        <f>IFERROR(VLOOKUP(#REF!,[1]Lookup!$B$2:$E$115,4,FALSE),"")</f>
        <v/>
      </c>
      <c r="AT839" s="65" t="str">
        <f>IFERROR(VLOOKUP(#REF!,[1]Lookup!$B$2:$E$115,2,FALSE),"")</f>
        <v/>
      </c>
    </row>
    <row r="840" spans="31:46" x14ac:dyDescent="0.3">
      <c r="AE840" s="204" t="s">
        <v>398</v>
      </c>
      <c r="AF840" s="204" t="s">
        <v>398</v>
      </c>
      <c r="AG840" s="204" t="s">
        <v>398</v>
      </c>
      <c r="AS840" s="65" t="str">
        <f>IFERROR(VLOOKUP(#REF!,[1]Lookup!$B$2:$E$115,4,FALSE),"")</f>
        <v/>
      </c>
      <c r="AT840" s="65" t="str">
        <f>IFERROR(VLOOKUP(#REF!,[1]Lookup!$B$2:$E$115,2,FALSE),"")</f>
        <v/>
      </c>
    </row>
    <row r="841" spans="31:46" x14ac:dyDescent="0.3">
      <c r="AE841" s="204" t="s">
        <v>398</v>
      </c>
      <c r="AF841" s="204" t="s">
        <v>398</v>
      </c>
      <c r="AG841" s="204" t="s">
        <v>398</v>
      </c>
      <c r="AS841" s="65" t="str">
        <f>IFERROR(VLOOKUP(#REF!,[1]Lookup!$B$2:$E$115,4,FALSE),"")</f>
        <v/>
      </c>
      <c r="AT841" s="65" t="str">
        <f>IFERROR(VLOOKUP(#REF!,[1]Lookup!$B$2:$E$115,2,FALSE),"")</f>
        <v/>
      </c>
    </row>
    <row r="842" spans="31:46" x14ac:dyDescent="0.3">
      <c r="AE842" s="204" t="s">
        <v>398</v>
      </c>
      <c r="AF842" s="204" t="s">
        <v>398</v>
      </c>
      <c r="AG842" s="204" t="s">
        <v>398</v>
      </c>
      <c r="AS842" s="65" t="str">
        <f>IFERROR(VLOOKUP(#REF!,[1]Lookup!$B$2:$E$115,4,FALSE),"")</f>
        <v/>
      </c>
      <c r="AT842" s="65" t="str">
        <f>IFERROR(VLOOKUP(#REF!,[1]Lookup!$B$2:$E$115,2,FALSE),"")</f>
        <v/>
      </c>
    </row>
    <row r="843" spans="31:46" x14ac:dyDescent="0.3">
      <c r="AE843" s="204" t="s">
        <v>398</v>
      </c>
      <c r="AF843" s="204" t="s">
        <v>398</v>
      </c>
      <c r="AG843" s="204" t="s">
        <v>398</v>
      </c>
      <c r="AS843" s="65" t="str">
        <f>IFERROR(VLOOKUP(#REF!,[1]Lookup!$B$2:$E$115,4,FALSE),"")</f>
        <v/>
      </c>
      <c r="AT843" s="65" t="str">
        <f>IFERROR(VLOOKUP(#REF!,[1]Lookup!$B$2:$E$115,2,FALSE),"")</f>
        <v/>
      </c>
    </row>
    <row r="844" spans="31:46" x14ac:dyDescent="0.3">
      <c r="AE844" s="204" t="s">
        <v>398</v>
      </c>
      <c r="AF844" s="204" t="s">
        <v>398</v>
      </c>
      <c r="AG844" s="204" t="s">
        <v>398</v>
      </c>
      <c r="AS844" s="65" t="str">
        <f>IFERROR(VLOOKUP(#REF!,[1]Lookup!$B$2:$E$115,4,FALSE),"")</f>
        <v/>
      </c>
      <c r="AT844" s="65" t="str">
        <f>IFERROR(VLOOKUP(#REF!,[1]Lookup!$B$2:$E$115,2,FALSE),"")</f>
        <v/>
      </c>
    </row>
    <row r="845" spans="31:46" x14ac:dyDescent="0.3">
      <c r="AE845" s="204" t="s">
        <v>398</v>
      </c>
      <c r="AF845" s="204" t="s">
        <v>398</v>
      </c>
      <c r="AG845" s="204" t="s">
        <v>398</v>
      </c>
      <c r="AS845" s="65" t="str">
        <f>IFERROR(VLOOKUP(#REF!,[1]Lookup!$B$2:$E$115,4,FALSE),"")</f>
        <v/>
      </c>
      <c r="AT845" s="65" t="str">
        <f>IFERROR(VLOOKUP(#REF!,[1]Lookup!$B$2:$E$115,2,FALSE),"")</f>
        <v/>
      </c>
    </row>
    <row r="846" spans="31:46" x14ac:dyDescent="0.3">
      <c r="AE846" s="204" t="s">
        <v>398</v>
      </c>
      <c r="AF846" s="204" t="s">
        <v>398</v>
      </c>
      <c r="AG846" s="204" t="s">
        <v>398</v>
      </c>
      <c r="AS846" s="65" t="str">
        <f>IFERROR(VLOOKUP(#REF!,[1]Lookup!$B$2:$E$115,4,FALSE),"")</f>
        <v/>
      </c>
      <c r="AT846" s="65" t="str">
        <f>IFERROR(VLOOKUP(#REF!,[1]Lookup!$B$2:$E$115,2,FALSE),"")</f>
        <v/>
      </c>
    </row>
    <row r="847" spans="31:46" x14ac:dyDescent="0.3">
      <c r="AE847" s="204" t="s">
        <v>398</v>
      </c>
      <c r="AF847" s="204" t="s">
        <v>398</v>
      </c>
      <c r="AG847" s="204" t="s">
        <v>398</v>
      </c>
      <c r="AS847" s="65" t="str">
        <f>IFERROR(VLOOKUP(#REF!,[1]Lookup!$B$2:$E$115,4,FALSE),"")</f>
        <v/>
      </c>
      <c r="AT847" s="65" t="str">
        <f>IFERROR(VLOOKUP(#REF!,[1]Lookup!$B$2:$E$115,2,FALSE),"")</f>
        <v/>
      </c>
    </row>
    <row r="848" spans="31:46" x14ac:dyDescent="0.3">
      <c r="AE848" s="204" t="s">
        <v>398</v>
      </c>
      <c r="AF848" s="204" t="s">
        <v>398</v>
      </c>
      <c r="AG848" s="204" t="s">
        <v>398</v>
      </c>
      <c r="AS848" s="65" t="str">
        <f>IFERROR(VLOOKUP(#REF!,[1]Lookup!$B$2:$E$115,4,FALSE),"")</f>
        <v/>
      </c>
      <c r="AT848" s="65" t="str">
        <f>IFERROR(VLOOKUP(#REF!,[1]Lookup!$B$2:$E$115,2,FALSE),"")</f>
        <v/>
      </c>
    </row>
    <row r="849" spans="31:46" x14ac:dyDescent="0.3">
      <c r="AE849" s="204" t="s">
        <v>398</v>
      </c>
      <c r="AF849" s="204" t="s">
        <v>398</v>
      </c>
      <c r="AG849" s="204" t="s">
        <v>398</v>
      </c>
      <c r="AS849" s="65" t="str">
        <f>IFERROR(VLOOKUP(#REF!,[1]Lookup!$B$2:$E$115,4,FALSE),"")</f>
        <v/>
      </c>
      <c r="AT849" s="65" t="str">
        <f>IFERROR(VLOOKUP(#REF!,[1]Lookup!$B$2:$E$115,2,FALSE),"")</f>
        <v/>
      </c>
    </row>
    <row r="850" spans="31:46" x14ac:dyDescent="0.3">
      <c r="AE850" s="204" t="s">
        <v>398</v>
      </c>
      <c r="AF850" s="204" t="s">
        <v>398</v>
      </c>
      <c r="AG850" s="204" t="s">
        <v>398</v>
      </c>
      <c r="AS850" s="65" t="str">
        <f>IFERROR(VLOOKUP(#REF!,[1]Lookup!$B$2:$E$115,4,FALSE),"")</f>
        <v/>
      </c>
      <c r="AT850" s="65" t="str">
        <f>IFERROR(VLOOKUP(#REF!,[1]Lookup!$B$2:$E$115,2,FALSE),"")</f>
        <v/>
      </c>
    </row>
    <row r="851" spans="31:46" x14ac:dyDescent="0.3">
      <c r="AE851" s="204" t="s">
        <v>398</v>
      </c>
      <c r="AF851" s="204" t="s">
        <v>398</v>
      </c>
      <c r="AG851" s="204" t="s">
        <v>398</v>
      </c>
      <c r="AS851" s="65" t="str">
        <f>IFERROR(VLOOKUP(#REF!,[1]Lookup!$B$2:$E$115,4,FALSE),"")</f>
        <v/>
      </c>
      <c r="AT851" s="65" t="str">
        <f>IFERROR(VLOOKUP(#REF!,[1]Lookup!$B$2:$E$115,2,FALSE),"")</f>
        <v/>
      </c>
    </row>
    <row r="852" spans="31:46" x14ac:dyDescent="0.3">
      <c r="AE852" s="204" t="s">
        <v>398</v>
      </c>
      <c r="AF852" s="204" t="s">
        <v>398</v>
      </c>
      <c r="AG852" s="204" t="s">
        <v>398</v>
      </c>
      <c r="AS852" s="65" t="str">
        <f>IFERROR(VLOOKUP(#REF!,[1]Lookup!$B$2:$E$115,4,FALSE),"")</f>
        <v/>
      </c>
      <c r="AT852" s="65" t="str">
        <f>IFERROR(VLOOKUP(#REF!,[1]Lookup!$B$2:$E$115,2,FALSE),"")</f>
        <v/>
      </c>
    </row>
    <row r="853" spans="31:46" x14ac:dyDescent="0.3">
      <c r="AE853" s="204" t="s">
        <v>398</v>
      </c>
      <c r="AF853" s="204" t="s">
        <v>398</v>
      </c>
      <c r="AG853" s="204" t="s">
        <v>398</v>
      </c>
      <c r="AS853" s="65" t="str">
        <f>IFERROR(VLOOKUP(#REF!,[1]Lookup!$B$2:$E$115,4,FALSE),"")</f>
        <v/>
      </c>
      <c r="AT853" s="65" t="str">
        <f>IFERROR(VLOOKUP(#REF!,[1]Lookup!$B$2:$E$115,2,FALSE),"")</f>
        <v/>
      </c>
    </row>
    <row r="854" spans="31:46" x14ac:dyDescent="0.3">
      <c r="AE854" s="204" t="s">
        <v>398</v>
      </c>
      <c r="AF854" s="204" t="s">
        <v>398</v>
      </c>
      <c r="AG854" s="204" t="s">
        <v>398</v>
      </c>
      <c r="AS854" s="65" t="str">
        <f>IFERROR(VLOOKUP(#REF!,[1]Lookup!$B$2:$E$115,4,FALSE),"")</f>
        <v/>
      </c>
      <c r="AT854" s="65" t="str">
        <f>IFERROR(VLOOKUP(#REF!,[1]Lookup!$B$2:$E$115,2,FALSE),"")</f>
        <v/>
      </c>
    </row>
    <row r="855" spans="31:46" x14ac:dyDescent="0.3">
      <c r="AE855" s="204" t="s">
        <v>398</v>
      </c>
      <c r="AF855" s="204" t="s">
        <v>398</v>
      </c>
      <c r="AG855" s="204" t="s">
        <v>398</v>
      </c>
      <c r="AS855" s="65" t="str">
        <f>IFERROR(VLOOKUP(#REF!,[1]Lookup!$B$2:$E$115,4,FALSE),"")</f>
        <v/>
      </c>
      <c r="AT855" s="65" t="str">
        <f>IFERROR(VLOOKUP(#REF!,[1]Lookup!$B$2:$E$115,2,FALSE),"")</f>
        <v/>
      </c>
    </row>
    <row r="856" spans="31:46" x14ac:dyDescent="0.3">
      <c r="AE856" s="204" t="s">
        <v>398</v>
      </c>
      <c r="AF856" s="204" t="s">
        <v>398</v>
      </c>
      <c r="AG856" s="204" t="s">
        <v>398</v>
      </c>
      <c r="AS856" s="65" t="str">
        <f>IFERROR(VLOOKUP(#REF!,[1]Lookup!$B$2:$E$115,4,FALSE),"")</f>
        <v/>
      </c>
      <c r="AT856" s="65" t="str">
        <f>IFERROR(VLOOKUP(#REF!,[1]Lookup!$B$2:$E$115,2,FALSE),"")</f>
        <v/>
      </c>
    </row>
    <row r="857" spans="31:46" x14ac:dyDescent="0.3">
      <c r="AE857" s="204" t="s">
        <v>398</v>
      </c>
      <c r="AF857" s="204" t="s">
        <v>398</v>
      </c>
      <c r="AG857" s="204" t="s">
        <v>398</v>
      </c>
      <c r="AS857" s="65" t="str">
        <f>IFERROR(VLOOKUP(#REF!,[1]Lookup!$B$2:$E$115,4,FALSE),"")</f>
        <v/>
      </c>
      <c r="AT857" s="65" t="str">
        <f>IFERROR(VLOOKUP(#REF!,[1]Lookup!$B$2:$E$115,2,FALSE),"")</f>
        <v/>
      </c>
    </row>
    <row r="858" spans="31:46" x14ac:dyDescent="0.3">
      <c r="AE858" s="204" t="s">
        <v>398</v>
      </c>
      <c r="AF858" s="204" t="s">
        <v>398</v>
      </c>
      <c r="AG858" s="204" t="s">
        <v>398</v>
      </c>
      <c r="AS858" s="65" t="str">
        <f>IFERROR(VLOOKUP(#REF!,[1]Lookup!$B$2:$E$115,4,FALSE),"")</f>
        <v/>
      </c>
      <c r="AT858" s="65" t="str">
        <f>IFERROR(VLOOKUP(#REF!,[1]Lookup!$B$2:$E$115,2,FALSE),"")</f>
        <v/>
      </c>
    </row>
    <row r="859" spans="31:46" x14ac:dyDescent="0.3">
      <c r="AE859" s="204" t="s">
        <v>398</v>
      </c>
      <c r="AF859" s="204" t="s">
        <v>398</v>
      </c>
      <c r="AG859" s="204" t="s">
        <v>398</v>
      </c>
      <c r="AS859" s="65" t="str">
        <f>IFERROR(VLOOKUP(#REF!,[1]Lookup!$B$2:$E$115,4,FALSE),"")</f>
        <v/>
      </c>
      <c r="AT859" s="65" t="str">
        <f>IFERROR(VLOOKUP(#REF!,[1]Lookup!$B$2:$E$115,2,FALSE),"")</f>
        <v/>
      </c>
    </row>
    <row r="860" spans="31:46" x14ac:dyDescent="0.3">
      <c r="AE860" s="204" t="s">
        <v>398</v>
      </c>
      <c r="AF860" s="204" t="s">
        <v>398</v>
      </c>
      <c r="AG860" s="204" t="s">
        <v>398</v>
      </c>
      <c r="AS860" s="65" t="str">
        <f>IFERROR(VLOOKUP(#REF!,[1]Lookup!$B$2:$E$115,4,FALSE),"")</f>
        <v/>
      </c>
      <c r="AT860" s="65" t="str">
        <f>IFERROR(VLOOKUP(#REF!,[1]Lookup!$B$2:$E$115,2,FALSE),"")</f>
        <v/>
      </c>
    </row>
    <row r="861" spans="31:46" x14ac:dyDescent="0.3">
      <c r="AE861" s="204" t="s">
        <v>398</v>
      </c>
      <c r="AF861" s="204" t="s">
        <v>398</v>
      </c>
      <c r="AG861" s="204" t="s">
        <v>398</v>
      </c>
      <c r="AS861" s="65" t="str">
        <f>IFERROR(VLOOKUP(#REF!,[1]Lookup!$B$2:$E$115,4,FALSE),"")</f>
        <v/>
      </c>
      <c r="AT861" s="65" t="str">
        <f>IFERROR(VLOOKUP(#REF!,[1]Lookup!$B$2:$E$115,2,FALSE),"")</f>
        <v/>
      </c>
    </row>
    <row r="862" spans="31:46" x14ac:dyDescent="0.3">
      <c r="AE862" s="204" t="s">
        <v>398</v>
      </c>
      <c r="AF862" s="204" t="s">
        <v>398</v>
      </c>
      <c r="AG862" s="204" t="s">
        <v>398</v>
      </c>
      <c r="AS862" s="65" t="str">
        <f>IFERROR(VLOOKUP(#REF!,[1]Lookup!$B$2:$E$115,4,FALSE),"")</f>
        <v/>
      </c>
      <c r="AT862" s="65" t="str">
        <f>IFERROR(VLOOKUP(#REF!,[1]Lookup!$B$2:$E$115,2,FALSE),"")</f>
        <v/>
      </c>
    </row>
    <row r="863" spans="31:46" x14ac:dyDescent="0.3">
      <c r="AE863" s="204" t="s">
        <v>398</v>
      </c>
      <c r="AF863" s="204" t="s">
        <v>398</v>
      </c>
      <c r="AG863" s="204" t="s">
        <v>398</v>
      </c>
      <c r="AS863" s="65" t="str">
        <f>IFERROR(VLOOKUP(#REF!,[1]Lookup!$B$2:$E$115,4,FALSE),"")</f>
        <v/>
      </c>
      <c r="AT863" s="65" t="str">
        <f>IFERROR(VLOOKUP(#REF!,[1]Lookup!$B$2:$E$115,2,FALSE),"")</f>
        <v/>
      </c>
    </row>
    <row r="864" spans="31:46" x14ac:dyDescent="0.3">
      <c r="AE864" s="204" t="s">
        <v>398</v>
      </c>
      <c r="AF864" s="204" t="s">
        <v>398</v>
      </c>
      <c r="AG864" s="204" t="s">
        <v>398</v>
      </c>
      <c r="AS864" s="65" t="str">
        <f>IFERROR(VLOOKUP(#REF!,[1]Lookup!$B$2:$E$115,4,FALSE),"")</f>
        <v/>
      </c>
      <c r="AT864" s="65" t="str">
        <f>IFERROR(VLOOKUP(#REF!,[1]Lookup!$B$2:$E$115,2,FALSE),"")</f>
        <v/>
      </c>
    </row>
    <row r="865" spans="31:47" x14ac:dyDescent="0.3">
      <c r="AE865" s="204" t="s">
        <v>398</v>
      </c>
      <c r="AF865" s="204" t="s">
        <v>398</v>
      </c>
      <c r="AG865" s="204" t="s">
        <v>398</v>
      </c>
      <c r="AS865" s="65" t="str">
        <f>IFERROR(VLOOKUP(#REF!,[1]Lookup!$B$2:$E$115,4,FALSE),"")</f>
        <v/>
      </c>
      <c r="AT865" s="65" t="str">
        <f>IFERROR(VLOOKUP(#REF!,[1]Lookup!$B$2:$E$115,2,FALSE),"")</f>
        <v/>
      </c>
    </row>
    <row r="866" spans="31:47" x14ac:dyDescent="0.3">
      <c r="AE866" s="204" t="s">
        <v>398</v>
      </c>
      <c r="AF866" s="204" t="s">
        <v>398</v>
      </c>
      <c r="AG866" s="204" t="s">
        <v>398</v>
      </c>
      <c r="AS866" s="65" t="str">
        <f>IFERROR(VLOOKUP(#REF!,[1]Lookup!$B$2:$E$115,4,FALSE),"")</f>
        <v/>
      </c>
      <c r="AT866" s="65" t="str">
        <f>IFERROR(VLOOKUP(#REF!,[1]Lookup!$B$2:$E$115,2,FALSE),"")</f>
        <v/>
      </c>
    </row>
    <row r="867" spans="31:47" x14ac:dyDescent="0.3">
      <c r="AE867" s="204" t="s">
        <v>398</v>
      </c>
      <c r="AF867" s="204" t="s">
        <v>398</v>
      </c>
      <c r="AG867" s="204" t="s">
        <v>398</v>
      </c>
      <c r="AS867" s="65" t="str">
        <f>IFERROR(VLOOKUP(#REF!,[1]Lookup!$B$2:$E$115,4,FALSE),"")</f>
        <v/>
      </c>
      <c r="AT867" s="65" t="str">
        <f>IFERROR(VLOOKUP(#REF!,[1]Lookup!$B$2:$E$115,2,FALSE),"")</f>
        <v/>
      </c>
    </row>
    <row r="868" spans="31:47" x14ac:dyDescent="0.3">
      <c r="AE868" s="204" t="s">
        <v>398</v>
      </c>
      <c r="AF868" s="204" t="s">
        <v>398</v>
      </c>
      <c r="AG868" s="204" t="s">
        <v>398</v>
      </c>
      <c r="AS868" s="65" t="str">
        <f>IFERROR(VLOOKUP(#REF!,[1]Lookup!$B$2:$E$115,4,FALSE),"")</f>
        <v/>
      </c>
      <c r="AT868" s="65" t="str">
        <f>IFERROR(VLOOKUP(#REF!,[1]Lookup!$B$2:$E$115,2,FALSE),"")</f>
        <v/>
      </c>
    </row>
    <row r="869" spans="31:47" x14ac:dyDescent="0.3">
      <c r="AE869" s="204" t="s">
        <v>398</v>
      </c>
      <c r="AF869" s="204" t="s">
        <v>398</v>
      </c>
      <c r="AG869" s="204" t="s">
        <v>398</v>
      </c>
      <c r="AS869" s="65" t="str">
        <f>IFERROR(VLOOKUP(#REF!,[1]Lookup!$B$2:$E$115,4,FALSE),"")</f>
        <v/>
      </c>
      <c r="AT869" s="65" t="str">
        <f>IFERROR(VLOOKUP(#REF!,[1]Lookup!$B$2:$E$115,2,FALSE),"")</f>
        <v/>
      </c>
    </row>
    <row r="870" spans="31:47" x14ac:dyDescent="0.3">
      <c r="AE870" s="204" t="s">
        <v>398</v>
      </c>
      <c r="AF870" s="204" t="s">
        <v>398</v>
      </c>
      <c r="AG870" s="204" t="s">
        <v>398</v>
      </c>
      <c r="AS870" s="65" t="str">
        <f>IFERROR(VLOOKUP(#REF!,[1]Lookup!$B$2:$E$115,4,FALSE),"")</f>
        <v/>
      </c>
      <c r="AT870" s="65" t="str">
        <f>IFERROR(VLOOKUP(#REF!,[1]Lookup!$B$2:$E$115,2,FALSE),"")</f>
        <v/>
      </c>
    </row>
    <row r="871" spans="31:47" x14ac:dyDescent="0.3">
      <c r="AE871" s="204" t="s">
        <v>398</v>
      </c>
      <c r="AF871" s="204" t="s">
        <v>398</v>
      </c>
      <c r="AG871" s="204" t="s">
        <v>398</v>
      </c>
      <c r="AS871" s="65" t="str">
        <f>IFERROR(VLOOKUP(#REF!,[1]Lookup!$B$2:$E$115,4,FALSE),"")</f>
        <v/>
      </c>
      <c r="AT871" s="65" t="str">
        <f>IFERROR(VLOOKUP(#REF!,[1]Lookup!$B$2:$E$115,2,FALSE),"")</f>
        <v/>
      </c>
    </row>
    <row r="872" spans="31:47" x14ac:dyDescent="0.3">
      <c r="AE872" s="204" t="s">
        <v>398</v>
      </c>
      <c r="AF872" s="204" t="s">
        <v>398</v>
      </c>
      <c r="AG872" s="204" t="s">
        <v>398</v>
      </c>
      <c r="AS872" s="65" t="str">
        <f>IFERROR(VLOOKUP(#REF!,[1]Lookup!$B$2:$E$115,4,FALSE),"")</f>
        <v/>
      </c>
      <c r="AT872" s="65" t="str">
        <f>IFERROR(VLOOKUP(#REF!,[1]Lookup!$B$2:$E$115,2,FALSE),"")</f>
        <v/>
      </c>
    </row>
    <row r="873" spans="31:47" x14ac:dyDescent="0.3">
      <c r="AE873" s="204" t="s">
        <v>398</v>
      </c>
      <c r="AF873" s="204" t="s">
        <v>398</v>
      </c>
      <c r="AG873" s="204" t="s">
        <v>398</v>
      </c>
      <c r="AS873" s="65" t="str">
        <f>IFERROR(VLOOKUP(#REF!,[1]Lookup!$B$2:$E$115,4,FALSE),"")</f>
        <v/>
      </c>
      <c r="AT873" s="65" t="str">
        <f>IFERROR(VLOOKUP(#REF!,[1]Lookup!$B$2:$E$115,2,FALSE),"")</f>
        <v/>
      </c>
    </row>
    <row r="874" spans="31:47" x14ac:dyDescent="0.3">
      <c r="AE874" s="204" t="s">
        <v>398</v>
      </c>
      <c r="AF874" s="204" t="s">
        <v>398</v>
      </c>
      <c r="AG874" s="204" t="s">
        <v>398</v>
      </c>
      <c r="AS874" s="65" t="str">
        <f>IFERROR(VLOOKUP(#REF!,[1]Lookup!$B$2:$E$115,4,FALSE),"")</f>
        <v/>
      </c>
      <c r="AT874" s="65" t="str">
        <f>IFERROR(VLOOKUP(#REF!,[1]Lookup!$B$2:$E$115,2,FALSE),"")</f>
        <v/>
      </c>
    </row>
    <row r="875" spans="31:47" x14ac:dyDescent="0.3">
      <c r="AE875" s="204" t="s">
        <v>398</v>
      </c>
      <c r="AF875" s="204" t="s">
        <v>398</v>
      </c>
      <c r="AG875" s="204" t="s">
        <v>398</v>
      </c>
      <c r="AS875" s="65" t="str">
        <f>IFERROR(VLOOKUP(#REF!,[1]Lookup!$B$2:$E$115,4,FALSE),"")</f>
        <v/>
      </c>
      <c r="AT875" s="65" t="str">
        <f>IFERROR(VLOOKUP(#REF!,[1]Lookup!$B$2:$E$115,2,FALSE),"")</f>
        <v/>
      </c>
    </row>
    <row r="876" spans="31:47" x14ac:dyDescent="0.3">
      <c r="AE876" s="204" t="s">
        <v>398</v>
      </c>
      <c r="AF876" s="204" t="s">
        <v>398</v>
      </c>
      <c r="AG876" s="204" t="s">
        <v>398</v>
      </c>
      <c r="AS876" s="65" t="str">
        <f>IFERROR(VLOOKUP(#REF!,[1]Lookup!$B$2:$E$115,4,FALSE),"")</f>
        <v/>
      </c>
      <c r="AT876" s="65" t="str">
        <f>IFERROR(VLOOKUP(#REF!,[1]Lookup!$B$2:$E$115,2,FALSE),"")</f>
        <v/>
      </c>
      <c r="AU876" s="65" t="str">
        <f>IFERROR(VLOOKUP(#REF!,[1]Lookup!$B$2:$E$115,3,FALSE),"")</f>
        <v/>
      </c>
    </row>
    <row r="877" spans="31:47" x14ac:dyDescent="0.3">
      <c r="AE877" s="204" t="s">
        <v>398</v>
      </c>
      <c r="AF877" s="204" t="s">
        <v>398</v>
      </c>
      <c r="AG877" s="204" t="s">
        <v>398</v>
      </c>
      <c r="AS877" s="65" t="str">
        <f>IFERROR(VLOOKUP(#REF!,[1]Lookup!$B$2:$E$115,4,FALSE),"")</f>
        <v/>
      </c>
      <c r="AT877" s="65" t="str">
        <f>IFERROR(VLOOKUP(#REF!,[1]Lookup!$B$2:$E$115,2,FALSE),"")</f>
        <v/>
      </c>
      <c r="AU877" s="65" t="str">
        <f>IFERROR(VLOOKUP(#REF!,[1]Lookup!$B$2:$E$115,3,FALSE),"")</f>
        <v/>
      </c>
    </row>
    <row r="878" spans="31:47" x14ac:dyDescent="0.3">
      <c r="AE878" s="204" t="s">
        <v>398</v>
      </c>
      <c r="AF878" s="204" t="s">
        <v>398</v>
      </c>
      <c r="AG878" s="204" t="s">
        <v>398</v>
      </c>
      <c r="AS878" s="65" t="str">
        <f>IFERROR(VLOOKUP(#REF!,[1]Lookup!$B$2:$E$115,4,FALSE),"")</f>
        <v/>
      </c>
      <c r="AT878" s="65" t="str">
        <f>IFERROR(VLOOKUP(#REF!,[1]Lookup!$B$2:$E$115,2,FALSE),"")</f>
        <v/>
      </c>
      <c r="AU878" s="65" t="str">
        <f>IFERROR(VLOOKUP(#REF!,[1]Lookup!$B$2:$E$115,3,FALSE),"")</f>
        <v/>
      </c>
    </row>
    <row r="879" spans="31:47" x14ac:dyDescent="0.3">
      <c r="AE879" s="204" t="s">
        <v>398</v>
      </c>
      <c r="AF879" s="204" t="s">
        <v>398</v>
      </c>
      <c r="AG879" s="204" t="s">
        <v>398</v>
      </c>
      <c r="AS879" s="65" t="str">
        <f>IFERROR(VLOOKUP(#REF!,[1]Lookup!$B$2:$E$115,4,FALSE),"")</f>
        <v/>
      </c>
      <c r="AT879" s="65" t="str">
        <f>IFERROR(VLOOKUP(#REF!,[1]Lookup!$B$2:$E$115,2,FALSE),"")</f>
        <v/>
      </c>
      <c r="AU879" s="65" t="str">
        <f>IFERROR(VLOOKUP(#REF!,[1]Lookup!$B$2:$E$115,3,FALSE),"")</f>
        <v/>
      </c>
    </row>
    <row r="880" spans="31:47" x14ac:dyDescent="0.3">
      <c r="AE880" s="204" t="s">
        <v>398</v>
      </c>
      <c r="AF880" s="204" t="s">
        <v>398</v>
      </c>
      <c r="AG880" s="204" t="s">
        <v>398</v>
      </c>
      <c r="AS880" s="65" t="str">
        <f>IFERROR(VLOOKUP(#REF!,[1]Lookup!$B$2:$E$115,4,FALSE),"")</f>
        <v/>
      </c>
      <c r="AT880" s="65" t="str">
        <f>IFERROR(VLOOKUP(#REF!,[1]Lookup!$B$2:$E$115,2,FALSE),"")</f>
        <v/>
      </c>
      <c r="AU880" s="65" t="str">
        <f>IFERROR(VLOOKUP(#REF!,[1]Lookup!$B$2:$E$115,3,FALSE),"")</f>
        <v/>
      </c>
    </row>
    <row r="881" spans="31:47" x14ac:dyDescent="0.3">
      <c r="AE881" s="204" t="s">
        <v>398</v>
      </c>
      <c r="AF881" s="204" t="s">
        <v>398</v>
      </c>
      <c r="AG881" s="204" t="s">
        <v>398</v>
      </c>
      <c r="AS881" s="65" t="str">
        <f>IFERROR(VLOOKUP(#REF!,[1]Lookup!$B$2:$E$115,4,FALSE),"")</f>
        <v/>
      </c>
      <c r="AT881" s="65" t="str">
        <f>IFERROR(VLOOKUP(#REF!,[1]Lookup!$B$2:$E$115,2,FALSE),"")</f>
        <v/>
      </c>
      <c r="AU881" s="65" t="str">
        <f>IFERROR(VLOOKUP(#REF!,[1]Lookup!$B$2:$E$115,3,FALSE),"")</f>
        <v/>
      </c>
    </row>
    <row r="882" spans="31:47" x14ac:dyDescent="0.3">
      <c r="AE882" s="204" t="s">
        <v>398</v>
      </c>
      <c r="AF882" s="204" t="s">
        <v>398</v>
      </c>
      <c r="AG882" s="204" t="s">
        <v>398</v>
      </c>
      <c r="AS882" s="65" t="str">
        <f>IFERROR(VLOOKUP(#REF!,[1]Lookup!$B$2:$E$115,4,FALSE),"")</f>
        <v/>
      </c>
      <c r="AT882" s="65" t="str">
        <f>IFERROR(VLOOKUP(#REF!,[1]Lookup!$B$2:$E$115,2,FALSE),"")</f>
        <v/>
      </c>
      <c r="AU882" s="65" t="str">
        <f>IFERROR(VLOOKUP(#REF!,[1]Lookup!$B$2:$E$115,3,FALSE),"")</f>
        <v/>
      </c>
    </row>
    <row r="883" spans="31:47" x14ac:dyDescent="0.3">
      <c r="AE883" s="204" t="s">
        <v>398</v>
      </c>
      <c r="AF883" s="204" t="s">
        <v>398</v>
      </c>
      <c r="AG883" s="204" t="s">
        <v>398</v>
      </c>
      <c r="AS883" s="65" t="str">
        <f>IFERROR(VLOOKUP(#REF!,[1]Lookup!$B$2:$E$115,4,FALSE),"")</f>
        <v/>
      </c>
      <c r="AT883" s="65" t="str">
        <f>IFERROR(VLOOKUP(#REF!,[1]Lookup!$B$2:$E$115,2,FALSE),"")</f>
        <v/>
      </c>
      <c r="AU883" s="65" t="str">
        <f>IFERROR(VLOOKUP(#REF!,[1]Lookup!$B$2:$E$115,3,FALSE),"")</f>
        <v/>
      </c>
    </row>
    <row r="884" spans="31:47" x14ac:dyDescent="0.3">
      <c r="AE884" s="204" t="s">
        <v>398</v>
      </c>
      <c r="AF884" s="204" t="s">
        <v>398</v>
      </c>
      <c r="AG884" s="204" t="s">
        <v>398</v>
      </c>
      <c r="AS884" s="65" t="str">
        <f>IFERROR(VLOOKUP(#REF!,[1]Lookup!$B$2:$E$115,4,FALSE),"")</f>
        <v/>
      </c>
      <c r="AT884" s="65" t="str">
        <f>IFERROR(VLOOKUP(#REF!,[1]Lookup!$B$2:$E$115,2,FALSE),"")</f>
        <v/>
      </c>
      <c r="AU884" s="65" t="str">
        <f>IFERROR(VLOOKUP(#REF!,[1]Lookup!$B$2:$E$115,3,FALSE),"")</f>
        <v/>
      </c>
    </row>
    <row r="885" spans="31:47" x14ac:dyDescent="0.3">
      <c r="AE885" s="204" t="s">
        <v>398</v>
      </c>
      <c r="AF885" s="204" t="s">
        <v>398</v>
      </c>
      <c r="AG885" s="204" t="s">
        <v>398</v>
      </c>
      <c r="AS885" s="65" t="str">
        <f>IFERROR(VLOOKUP(#REF!,[1]Lookup!$B$2:$E$115,4,FALSE),"")</f>
        <v/>
      </c>
      <c r="AT885" s="65" t="str">
        <f>IFERROR(VLOOKUP(#REF!,[1]Lookup!$B$2:$E$115,2,FALSE),"")</f>
        <v/>
      </c>
      <c r="AU885" s="65" t="str">
        <f>IFERROR(VLOOKUP(#REF!,[1]Lookup!$B$2:$E$115,3,FALSE),"")</f>
        <v/>
      </c>
    </row>
    <row r="886" spans="31:47" x14ac:dyDescent="0.3">
      <c r="AE886" s="204" t="s">
        <v>398</v>
      </c>
      <c r="AF886" s="204" t="s">
        <v>398</v>
      </c>
      <c r="AG886" s="204" t="s">
        <v>398</v>
      </c>
      <c r="AS886" s="65" t="str">
        <f>IFERROR(VLOOKUP(#REF!,[1]Lookup!$B$2:$E$115,4,FALSE),"")</f>
        <v/>
      </c>
      <c r="AT886" s="65" t="str">
        <f>IFERROR(VLOOKUP(#REF!,[1]Lookup!$B$2:$E$115,2,FALSE),"")</f>
        <v/>
      </c>
      <c r="AU886" s="65" t="str">
        <f>IFERROR(VLOOKUP(#REF!,[1]Lookup!$B$2:$E$115,3,FALSE),"")</f>
        <v/>
      </c>
    </row>
    <row r="887" spans="31:47" x14ac:dyDescent="0.3">
      <c r="AE887" s="204" t="s">
        <v>398</v>
      </c>
      <c r="AF887" s="204" t="s">
        <v>398</v>
      </c>
      <c r="AG887" s="204" t="s">
        <v>398</v>
      </c>
      <c r="AS887" s="65" t="str">
        <f>IFERROR(VLOOKUP(#REF!,[1]Lookup!$B$2:$E$115,4,FALSE),"")</f>
        <v/>
      </c>
      <c r="AT887" s="65" t="str">
        <f>IFERROR(VLOOKUP(#REF!,[1]Lookup!$B$2:$E$115,2,FALSE),"")</f>
        <v/>
      </c>
      <c r="AU887" s="65" t="str">
        <f>IFERROR(VLOOKUP(#REF!,[1]Lookup!$B$2:$E$115,3,FALSE),"")</f>
        <v/>
      </c>
    </row>
    <row r="888" spans="31:47" x14ac:dyDescent="0.3">
      <c r="AE888" s="204" t="s">
        <v>398</v>
      </c>
      <c r="AF888" s="204" t="s">
        <v>398</v>
      </c>
      <c r="AG888" s="204" t="s">
        <v>398</v>
      </c>
      <c r="AS888" s="65" t="str">
        <f>IFERROR(VLOOKUP(#REF!,[1]Lookup!$B$2:$E$115,4,FALSE),"")</f>
        <v/>
      </c>
      <c r="AT888" s="65" t="str">
        <f>IFERROR(VLOOKUP(#REF!,[1]Lookup!$B$2:$E$115,2,FALSE),"")</f>
        <v/>
      </c>
      <c r="AU888" s="65" t="str">
        <f>IFERROR(VLOOKUP(#REF!,[1]Lookup!$B$2:$E$115,3,FALSE),"")</f>
        <v/>
      </c>
    </row>
    <row r="889" spans="31:47" x14ac:dyDescent="0.3">
      <c r="AE889" s="204" t="s">
        <v>398</v>
      </c>
      <c r="AF889" s="204" t="s">
        <v>398</v>
      </c>
      <c r="AG889" s="204" t="s">
        <v>398</v>
      </c>
      <c r="AS889" s="65" t="str">
        <f>IFERROR(VLOOKUP(#REF!,[1]Lookup!$B$2:$E$115,4,FALSE),"")</f>
        <v/>
      </c>
      <c r="AT889" s="65" t="str">
        <f>IFERROR(VLOOKUP(#REF!,[1]Lookup!$B$2:$E$115,2,FALSE),"")</f>
        <v/>
      </c>
      <c r="AU889" s="65" t="str">
        <f>IFERROR(VLOOKUP(#REF!,[1]Lookup!$B$2:$E$115,3,FALSE),"")</f>
        <v/>
      </c>
    </row>
    <row r="890" spans="31:47" x14ac:dyDescent="0.3">
      <c r="AE890" s="204" t="s">
        <v>398</v>
      </c>
      <c r="AF890" s="204" t="s">
        <v>398</v>
      </c>
      <c r="AG890" s="204" t="s">
        <v>398</v>
      </c>
      <c r="AS890" s="65" t="str">
        <f>IFERROR(VLOOKUP(#REF!,[1]Lookup!$B$2:$E$115,4,FALSE),"")</f>
        <v/>
      </c>
      <c r="AT890" s="65" t="str">
        <f>IFERROR(VLOOKUP(#REF!,[1]Lookup!$B$2:$E$115,2,FALSE),"")</f>
        <v/>
      </c>
      <c r="AU890" s="65" t="str">
        <f>IFERROR(VLOOKUP(#REF!,[1]Lookup!$B$2:$E$115,3,FALSE),"")</f>
        <v/>
      </c>
    </row>
    <row r="891" spans="31:47" x14ac:dyDescent="0.3">
      <c r="AE891" s="204" t="s">
        <v>398</v>
      </c>
      <c r="AF891" s="204" t="s">
        <v>398</v>
      </c>
      <c r="AG891" s="204" t="s">
        <v>398</v>
      </c>
      <c r="AS891" s="65" t="str">
        <f>IFERROR(VLOOKUP(#REF!,[1]Lookup!$B$2:$E$115,4,FALSE),"")</f>
        <v/>
      </c>
      <c r="AT891" s="65" t="str">
        <f>IFERROR(VLOOKUP(#REF!,[1]Lookup!$B$2:$E$115,2,FALSE),"")</f>
        <v/>
      </c>
      <c r="AU891" s="65" t="str">
        <f>IFERROR(VLOOKUP(#REF!,[1]Lookup!$B$2:$E$115,3,FALSE),"")</f>
        <v/>
      </c>
    </row>
    <row r="892" spans="31:47" x14ac:dyDescent="0.3">
      <c r="AE892" s="204" t="s">
        <v>398</v>
      </c>
      <c r="AF892" s="204" t="s">
        <v>398</v>
      </c>
      <c r="AG892" s="204" t="s">
        <v>398</v>
      </c>
      <c r="AS892" s="65" t="str">
        <f>IFERROR(VLOOKUP(#REF!,[1]Lookup!$B$2:$E$115,4,FALSE),"")</f>
        <v/>
      </c>
      <c r="AT892" s="65" t="str">
        <f>IFERROR(VLOOKUP(#REF!,[1]Lookup!$B$2:$E$115,2,FALSE),"")</f>
        <v/>
      </c>
      <c r="AU892" s="65" t="str">
        <f>IFERROR(VLOOKUP(#REF!,[1]Lookup!$B$2:$E$115,3,FALSE),"")</f>
        <v/>
      </c>
    </row>
    <row r="893" spans="31:47" x14ac:dyDescent="0.3">
      <c r="AE893" s="204" t="s">
        <v>398</v>
      </c>
      <c r="AF893" s="204" t="s">
        <v>398</v>
      </c>
      <c r="AG893" s="204" t="s">
        <v>398</v>
      </c>
      <c r="AS893" s="65" t="str">
        <f>IFERROR(VLOOKUP(#REF!,[1]Lookup!$B$2:$E$115,4,FALSE),"")</f>
        <v/>
      </c>
      <c r="AT893" s="65" t="str">
        <f>IFERROR(VLOOKUP(#REF!,[1]Lookup!$B$2:$E$115,2,FALSE),"")</f>
        <v/>
      </c>
      <c r="AU893" s="65" t="str">
        <f>IFERROR(VLOOKUP(#REF!,[1]Lookup!$B$2:$E$115,3,FALSE),"")</f>
        <v/>
      </c>
    </row>
    <row r="894" spans="31:47" x14ac:dyDescent="0.3">
      <c r="AE894" s="204" t="s">
        <v>398</v>
      </c>
      <c r="AF894" s="204" t="s">
        <v>398</v>
      </c>
      <c r="AG894" s="204" t="s">
        <v>398</v>
      </c>
      <c r="AS894" s="65" t="str">
        <f>IFERROR(VLOOKUP(#REF!,[1]Lookup!$B$2:$E$115,4,FALSE),"")</f>
        <v/>
      </c>
      <c r="AT894" s="65" t="str">
        <f>IFERROR(VLOOKUP(#REF!,[1]Lookup!$B$2:$E$115,2,FALSE),"")</f>
        <v/>
      </c>
      <c r="AU894" s="65" t="str">
        <f>IFERROR(VLOOKUP(#REF!,[1]Lookup!$B$2:$E$115,3,FALSE),"")</f>
        <v/>
      </c>
    </row>
    <row r="895" spans="31:47" x14ac:dyDescent="0.3">
      <c r="AE895" s="204" t="s">
        <v>398</v>
      </c>
      <c r="AF895" s="204" t="s">
        <v>398</v>
      </c>
      <c r="AG895" s="204" t="s">
        <v>398</v>
      </c>
      <c r="AS895" s="65" t="str">
        <f>IFERROR(VLOOKUP(#REF!,[1]Lookup!$B$2:$E$115,4,FALSE),"")</f>
        <v/>
      </c>
      <c r="AT895" s="65" t="str">
        <f>IFERROR(VLOOKUP(#REF!,[1]Lookup!$B$2:$E$115,2,FALSE),"")</f>
        <v/>
      </c>
      <c r="AU895" s="65" t="str">
        <f>IFERROR(VLOOKUP(#REF!,[1]Lookup!$B$2:$E$115,3,FALSE),"")</f>
        <v/>
      </c>
    </row>
    <row r="896" spans="31:47" x14ac:dyDescent="0.3">
      <c r="AE896" s="204" t="s">
        <v>398</v>
      </c>
      <c r="AF896" s="204" t="s">
        <v>398</v>
      </c>
      <c r="AG896" s="204" t="s">
        <v>398</v>
      </c>
      <c r="AS896" s="65" t="str">
        <f>IFERROR(VLOOKUP(#REF!,[1]Lookup!$B$2:$E$115,4,FALSE),"")</f>
        <v/>
      </c>
      <c r="AT896" s="65" t="str">
        <f>IFERROR(VLOOKUP(#REF!,[1]Lookup!$B$2:$E$115,2,FALSE),"")</f>
        <v/>
      </c>
      <c r="AU896" s="65" t="str">
        <f>IFERROR(VLOOKUP(#REF!,[1]Lookup!$B$2:$E$115,3,FALSE),"")</f>
        <v/>
      </c>
    </row>
    <row r="897" spans="31:47" x14ac:dyDescent="0.3">
      <c r="AE897" s="204" t="s">
        <v>398</v>
      </c>
      <c r="AF897" s="204" t="s">
        <v>398</v>
      </c>
      <c r="AG897" s="204" t="s">
        <v>398</v>
      </c>
      <c r="AS897" s="65" t="str">
        <f>IFERROR(VLOOKUP(#REF!,[1]Lookup!$B$2:$E$115,4,FALSE),"")</f>
        <v/>
      </c>
      <c r="AT897" s="65" t="str">
        <f>IFERROR(VLOOKUP(#REF!,[1]Lookup!$B$2:$E$115,2,FALSE),"")</f>
        <v/>
      </c>
      <c r="AU897" s="65" t="str">
        <f>IFERROR(VLOOKUP(#REF!,[1]Lookup!$B$2:$E$115,3,FALSE),"")</f>
        <v/>
      </c>
    </row>
    <row r="898" spans="31:47" x14ac:dyDescent="0.3">
      <c r="AE898" s="204" t="s">
        <v>398</v>
      </c>
      <c r="AF898" s="204" t="s">
        <v>398</v>
      </c>
      <c r="AG898" s="204" t="s">
        <v>398</v>
      </c>
      <c r="AS898" s="65" t="str">
        <f>IFERROR(VLOOKUP(#REF!,[1]Lookup!$B$2:$E$115,4,FALSE),"")</f>
        <v/>
      </c>
      <c r="AT898" s="65" t="str">
        <f>IFERROR(VLOOKUP(#REF!,[1]Lookup!$B$2:$E$115,2,FALSE),"")</f>
        <v/>
      </c>
      <c r="AU898" s="65" t="str">
        <f>IFERROR(VLOOKUP(#REF!,[1]Lookup!$B$2:$E$115,3,FALSE),"")</f>
        <v/>
      </c>
    </row>
    <row r="899" spans="31:47" x14ac:dyDescent="0.3">
      <c r="AE899" s="204" t="s">
        <v>398</v>
      </c>
      <c r="AF899" s="204" t="s">
        <v>398</v>
      </c>
      <c r="AG899" s="204" t="s">
        <v>398</v>
      </c>
      <c r="AS899" s="65" t="str">
        <f>IFERROR(VLOOKUP(#REF!,[1]Lookup!$B$2:$E$115,4,FALSE),"")</f>
        <v/>
      </c>
      <c r="AT899" s="65" t="str">
        <f>IFERROR(VLOOKUP(#REF!,[1]Lookup!$B$2:$E$115,2,FALSE),"")</f>
        <v/>
      </c>
      <c r="AU899" s="65" t="str">
        <f>IFERROR(VLOOKUP(#REF!,[1]Lookup!$B$2:$E$115,3,FALSE),"")</f>
        <v/>
      </c>
    </row>
    <row r="900" spans="31:47" x14ac:dyDescent="0.3">
      <c r="AE900" s="204" t="s">
        <v>398</v>
      </c>
      <c r="AF900" s="204" t="s">
        <v>398</v>
      </c>
      <c r="AG900" s="204" t="s">
        <v>398</v>
      </c>
      <c r="AS900" s="65" t="str">
        <f>IFERROR(VLOOKUP(#REF!,[1]Lookup!$B$2:$E$115,4,FALSE),"")</f>
        <v/>
      </c>
      <c r="AT900" s="65" t="str">
        <f>IFERROR(VLOOKUP(#REF!,[1]Lookup!$B$2:$E$115,2,FALSE),"")</f>
        <v/>
      </c>
      <c r="AU900" s="65" t="str">
        <f>IFERROR(VLOOKUP(#REF!,[1]Lookup!$B$2:$E$115,3,FALSE),"")</f>
        <v/>
      </c>
    </row>
    <row r="901" spans="31:47" x14ac:dyDescent="0.3">
      <c r="AE901" s="204" t="s">
        <v>398</v>
      </c>
      <c r="AF901" s="204" t="s">
        <v>398</v>
      </c>
      <c r="AG901" s="204" t="s">
        <v>398</v>
      </c>
      <c r="AS901" s="65" t="str">
        <f>IFERROR(VLOOKUP(#REF!,[1]Lookup!$B$2:$E$115,4,FALSE),"")</f>
        <v/>
      </c>
      <c r="AT901" s="65" t="str">
        <f>IFERROR(VLOOKUP(#REF!,[1]Lookup!$B$2:$E$115,2,FALSE),"")</f>
        <v/>
      </c>
      <c r="AU901" s="65" t="str">
        <f>IFERROR(VLOOKUP(#REF!,[1]Lookup!$B$2:$E$115,3,FALSE),"")</f>
        <v/>
      </c>
    </row>
    <row r="902" spans="31:47" x14ac:dyDescent="0.3">
      <c r="AE902" s="204" t="s">
        <v>398</v>
      </c>
      <c r="AF902" s="204" t="s">
        <v>398</v>
      </c>
      <c r="AG902" s="204" t="s">
        <v>398</v>
      </c>
      <c r="AS902" s="65" t="str">
        <f>IFERROR(VLOOKUP(#REF!,[1]Lookup!$B$2:$E$115,4,FALSE),"")</f>
        <v/>
      </c>
      <c r="AT902" s="65" t="str">
        <f>IFERROR(VLOOKUP(#REF!,[1]Lookup!$B$2:$E$115,2,FALSE),"")</f>
        <v/>
      </c>
      <c r="AU902" s="65" t="str">
        <f>IFERROR(VLOOKUP(#REF!,[1]Lookup!$B$2:$E$115,3,FALSE),"")</f>
        <v/>
      </c>
    </row>
    <row r="903" spans="31:47" x14ac:dyDescent="0.3">
      <c r="AE903" s="204" t="s">
        <v>398</v>
      </c>
      <c r="AF903" s="204" t="s">
        <v>398</v>
      </c>
      <c r="AG903" s="204" t="s">
        <v>398</v>
      </c>
      <c r="AS903" s="65" t="str">
        <f>IFERROR(VLOOKUP(#REF!,[1]Lookup!$B$2:$E$115,4,FALSE),"")</f>
        <v/>
      </c>
      <c r="AT903" s="65" t="str">
        <f>IFERROR(VLOOKUP(#REF!,[1]Lookup!$B$2:$E$115,2,FALSE),"")</f>
        <v/>
      </c>
      <c r="AU903" s="65" t="str">
        <f>IFERROR(VLOOKUP(#REF!,[1]Lookup!$B$2:$E$115,3,FALSE),"")</f>
        <v/>
      </c>
    </row>
    <row r="904" spans="31:47" x14ac:dyDescent="0.3">
      <c r="AE904" s="204" t="s">
        <v>398</v>
      </c>
      <c r="AF904" s="204" t="s">
        <v>398</v>
      </c>
      <c r="AG904" s="204" t="s">
        <v>398</v>
      </c>
      <c r="AS904" s="65" t="str">
        <f>IFERROR(VLOOKUP(#REF!,[1]Lookup!$B$2:$E$115,4,FALSE),"")</f>
        <v/>
      </c>
      <c r="AT904" s="65" t="str">
        <f>IFERROR(VLOOKUP(#REF!,[1]Lookup!$B$2:$E$115,2,FALSE),"")</f>
        <v/>
      </c>
      <c r="AU904" s="65" t="str">
        <f>IFERROR(VLOOKUP(#REF!,[1]Lookup!$B$2:$E$115,3,FALSE),"")</f>
        <v/>
      </c>
    </row>
    <row r="905" spans="31:47" x14ac:dyDescent="0.3">
      <c r="AE905" s="204" t="s">
        <v>398</v>
      </c>
      <c r="AF905" s="204" t="s">
        <v>398</v>
      </c>
      <c r="AG905" s="204" t="s">
        <v>398</v>
      </c>
      <c r="AS905" s="65" t="str">
        <f>IFERROR(VLOOKUP(#REF!,[1]Lookup!$B$2:$E$115,4,FALSE),"")</f>
        <v/>
      </c>
      <c r="AT905" s="65" t="str">
        <f>IFERROR(VLOOKUP(#REF!,[1]Lookup!$B$2:$E$115,2,FALSE),"")</f>
        <v/>
      </c>
      <c r="AU905" s="65" t="str">
        <f>IFERROR(VLOOKUP(#REF!,[1]Lookup!$B$2:$E$115,3,FALSE),"")</f>
        <v/>
      </c>
    </row>
    <row r="906" spans="31:47" x14ac:dyDescent="0.3">
      <c r="AE906" s="204" t="s">
        <v>398</v>
      </c>
      <c r="AF906" s="204" t="s">
        <v>398</v>
      </c>
      <c r="AG906" s="204" t="s">
        <v>398</v>
      </c>
      <c r="AS906" s="65" t="str">
        <f>IFERROR(VLOOKUP(#REF!,[1]Lookup!$B$2:$E$115,4,FALSE),"")</f>
        <v/>
      </c>
      <c r="AT906" s="65" t="str">
        <f>IFERROR(VLOOKUP(#REF!,[1]Lookup!$B$2:$E$115,2,FALSE),"")</f>
        <v/>
      </c>
      <c r="AU906" s="65" t="str">
        <f>IFERROR(VLOOKUP(#REF!,[1]Lookup!$B$2:$E$115,3,FALSE),"")</f>
        <v/>
      </c>
    </row>
    <row r="907" spans="31:47" x14ac:dyDescent="0.3">
      <c r="AE907" s="204" t="s">
        <v>398</v>
      </c>
      <c r="AF907" s="204" t="s">
        <v>398</v>
      </c>
      <c r="AG907" s="204" t="s">
        <v>398</v>
      </c>
      <c r="AS907" s="65" t="str">
        <f>IFERROR(VLOOKUP(#REF!,[1]Lookup!$B$2:$E$115,4,FALSE),"")</f>
        <v/>
      </c>
      <c r="AT907" s="65" t="str">
        <f>IFERROR(VLOOKUP(#REF!,[1]Lookup!$B$2:$E$115,2,FALSE),"")</f>
        <v/>
      </c>
      <c r="AU907" s="65" t="str">
        <f>IFERROR(VLOOKUP(#REF!,[1]Lookup!$B$2:$E$115,3,FALSE),"")</f>
        <v/>
      </c>
    </row>
    <row r="908" spans="31:47" x14ac:dyDescent="0.3">
      <c r="AE908" s="204" t="s">
        <v>398</v>
      </c>
      <c r="AF908" s="204" t="s">
        <v>398</v>
      </c>
      <c r="AG908" s="204" t="s">
        <v>398</v>
      </c>
      <c r="AS908" s="65" t="str">
        <f>IFERROR(VLOOKUP(#REF!,[1]Lookup!$B$2:$E$115,4,FALSE),"")</f>
        <v/>
      </c>
      <c r="AT908" s="65" t="str">
        <f>IFERROR(VLOOKUP(#REF!,[1]Lookup!$B$2:$E$115,2,FALSE),"")</f>
        <v/>
      </c>
      <c r="AU908" s="65" t="str">
        <f>IFERROR(VLOOKUP(#REF!,[1]Lookup!$B$2:$E$115,3,FALSE),"")</f>
        <v/>
      </c>
    </row>
    <row r="909" spans="31:47" x14ac:dyDescent="0.3">
      <c r="AE909" s="204" t="s">
        <v>398</v>
      </c>
      <c r="AF909" s="204" t="s">
        <v>398</v>
      </c>
      <c r="AG909" s="204" t="s">
        <v>398</v>
      </c>
      <c r="AS909" s="65" t="str">
        <f>IFERROR(VLOOKUP(#REF!,[1]Lookup!$B$2:$E$115,4,FALSE),"")</f>
        <v/>
      </c>
      <c r="AT909" s="65" t="str">
        <f>IFERROR(VLOOKUP(#REF!,[1]Lookup!$B$2:$E$115,2,FALSE),"")</f>
        <v/>
      </c>
      <c r="AU909" s="65" t="str">
        <f>IFERROR(VLOOKUP(#REF!,[1]Lookup!$B$2:$E$115,3,FALSE),"")</f>
        <v/>
      </c>
    </row>
    <row r="910" spans="31:47" x14ac:dyDescent="0.3">
      <c r="AE910" s="204" t="s">
        <v>398</v>
      </c>
      <c r="AF910" s="204" t="s">
        <v>398</v>
      </c>
      <c r="AG910" s="204" t="s">
        <v>398</v>
      </c>
      <c r="AS910" s="65" t="str">
        <f>IFERROR(VLOOKUP(#REF!,[1]Lookup!$B$2:$E$115,4,FALSE),"")</f>
        <v/>
      </c>
      <c r="AT910" s="65" t="str">
        <f>IFERROR(VLOOKUP(#REF!,[1]Lookup!$B$2:$E$115,2,FALSE),"")</f>
        <v/>
      </c>
      <c r="AU910" s="65" t="str">
        <f>IFERROR(VLOOKUP(#REF!,[1]Lookup!$B$2:$E$115,3,FALSE),"")</f>
        <v/>
      </c>
    </row>
    <row r="911" spans="31:47" x14ac:dyDescent="0.3">
      <c r="AE911" s="204" t="s">
        <v>398</v>
      </c>
      <c r="AF911" s="204" t="s">
        <v>398</v>
      </c>
      <c r="AG911" s="204" t="s">
        <v>398</v>
      </c>
      <c r="AS911" s="65" t="str">
        <f>IFERROR(VLOOKUP(#REF!,[1]Lookup!$B$2:$E$115,4,FALSE),"")</f>
        <v/>
      </c>
      <c r="AT911" s="65" t="str">
        <f>IFERROR(VLOOKUP(#REF!,[1]Lookup!$B$2:$E$115,2,FALSE),"")</f>
        <v/>
      </c>
      <c r="AU911" s="65" t="str">
        <f>IFERROR(VLOOKUP(#REF!,[1]Lookup!$B$2:$E$115,3,FALSE),"")</f>
        <v/>
      </c>
    </row>
    <row r="912" spans="31:47" x14ac:dyDescent="0.3">
      <c r="AE912" s="204" t="s">
        <v>398</v>
      </c>
      <c r="AF912" s="204" t="s">
        <v>398</v>
      </c>
      <c r="AG912" s="204" t="s">
        <v>398</v>
      </c>
      <c r="AS912" s="65" t="str">
        <f>IFERROR(VLOOKUP(#REF!,[1]Lookup!$B$2:$E$115,4,FALSE),"")</f>
        <v/>
      </c>
      <c r="AT912" s="65" t="str">
        <f>IFERROR(VLOOKUP(#REF!,[1]Lookup!$B$2:$E$115,2,FALSE),"")</f>
        <v/>
      </c>
      <c r="AU912" s="65" t="str">
        <f>IFERROR(VLOOKUP(#REF!,[1]Lookup!$B$2:$E$115,3,FALSE),"")</f>
        <v/>
      </c>
    </row>
    <row r="913" spans="31:47" x14ac:dyDescent="0.3">
      <c r="AE913" s="204" t="s">
        <v>398</v>
      </c>
      <c r="AF913" s="204" t="s">
        <v>398</v>
      </c>
      <c r="AG913" s="204" t="s">
        <v>398</v>
      </c>
      <c r="AS913" s="65" t="str">
        <f>IFERROR(VLOOKUP(#REF!,[1]Lookup!$B$2:$E$115,4,FALSE),"")</f>
        <v/>
      </c>
      <c r="AT913" s="65" t="str">
        <f>IFERROR(VLOOKUP(#REF!,[1]Lookup!$B$2:$E$115,2,FALSE),"")</f>
        <v/>
      </c>
      <c r="AU913" s="65" t="str">
        <f>IFERROR(VLOOKUP(#REF!,[1]Lookup!$B$2:$E$115,3,FALSE),"")</f>
        <v/>
      </c>
    </row>
    <row r="914" spans="31:47" x14ac:dyDescent="0.3">
      <c r="AE914" s="204" t="s">
        <v>398</v>
      </c>
      <c r="AF914" s="204" t="s">
        <v>398</v>
      </c>
      <c r="AG914" s="204" t="s">
        <v>398</v>
      </c>
      <c r="AS914" s="65" t="str">
        <f>IFERROR(VLOOKUP(#REF!,[1]Lookup!$B$2:$E$115,4,FALSE),"")</f>
        <v/>
      </c>
      <c r="AT914" s="65" t="str">
        <f>IFERROR(VLOOKUP(#REF!,[1]Lookup!$B$2:$E$115,2,FALSE),"")</f>
        <v/>
      </c>
      <c r="AU914" s="65" t="str">
        <f>IFERROR(VLOOKUP(#REF!,[1]Lookup!$B$2:$E$115,3,FALSE),"")</f>
        <v/>
      </c>
    </row>
    <row r="915" spans="31:47" x14ac:dyDescent="0.3">
      <c r="AE915" s="204" t="s">
        <v>398</v>
      </c>
      <c r="AF915" s="204" t="s">
        <v>398</v>
      </c>
      <c r="AG915" s="204" t="s">
        <v>398</v>
      </c>
      <c r="AS915" s="65" t="str">
        <f>IFERROR(VLOOKUP(#REF!,[1]Lookup!$B$2:$E$115,4,FALSE),"")</f>
        <v/>
      </c>
      <c r="AT915" s="65" t="str">
        <f>IFERROR(VLOOKUP(#REF!,[1]Lookup!$B$2:$E$115,2,FALSE),"")</f>
        <v/>
      </c>
      <c r="AU915" s="65" t="str">
        <f>IFERROR(VLOOKUP(#REF!,[1]Lookup!$B$2:$E$115,3,FALSE),"")</f>
        <v/>
      </c>
    </row>
    <row r="916" spans="31:47" x14ac:dyDescent="0.3">
      <c r="AE916" s="204" t="s">
        <v>398</v>
      </c>
      <c r="AF916" s="204" t="s">
        <v>398</v>
      </c>
      <c r="AG916" s="204" t="s">
        <v>398</v>
      </c>
      <c r="AS916" s="65" t="str">
        <f>IFERROR(VLOOKUP(#REF!,[1]Lookup!$B$2:$E$115,4,FALSE),"")</f>
        <v/>
      </c>
      <c r="AT916" s="65" t="str">
        <f>IFERROR(VLOOKUP(#REF!,[1]Lookup!$B$2:$E$115,2,FALSE),"")</f>
        <v/>
      </c>
      <c r="AU916" s="65" t="str">
        <f>IFERROR(VLOOKUP(#REF!,[1]Lookup!$B$2:$E$115,3,FALSE),"")</f>
        <v/>
      </c>
    </row>
    <row r="917" spans="31:47" x14ac:dyDescent="0.3">
      <c r="AE917" s="204" t="s">
        <v>398</v>
      </c>
      <c r="AF917" s="204" t="s">
        <v>398</v>
      </c>
      <c r="AG917" s="204" t="s">
        <v>398</v>
      </c>
      <c r="AS917" s="65" t="str">
        <f>IFERROR(VLOOKUP(#REF!,[1]Lookup!$B$2:$E$115,4,FALSE),"")</f>
        <v/>
      </c>
      <c r="AT917" s="65" t="str">
        <f>IFERROR(VLOOKUP(#REF!,[1]Lookup!$B$2:$E$115,2,FALSE),"")</f>
        <v/>
      </c>
      <c r="AU917" s="65" t="str">
        <f>IFERROR(VLOOKUP(#REF!,[1]Lookup!$B$2:$E$115,3,FALSE),"")</f>
        <v/>
      </c>
    </row>
    <row r="918" spans="31:47" x14ac:dyDescent="0.3">
      <c r="AE918" s="204" t="s">
        <v>398</v>
      </c>
      <c r="AF918" s="204" t="s">
        <v>398</v>
      </c>
      <c r="AG918" s="204" t="s">
        <v>398</v>
      </c>
      <c r="AS918" s="65" t="str">
        <f>IFERROR(VLOOKUP(#REF!,[1]Lookup!$B$2:$E$115,4,FALSE),"")</f>
        <v/>
      </c>
      <c r="AT918" s="65" t="str">
        <f>IFERROR(VLOOKUP(#REF!,[1]Lookup!$B$2:$E$115,2,FALSE),"")</f>
        <v/>
      </c>
      <c r="AU918" s="65" t="str">
        <f>IFERROR(VLOOKUP(#REF!,[1]Lookup!$B$2:$E$115,3,FALSE),"")</f>
        <v/>
      </c>
    </row>
    <row r="919" spans="31:47" x14ac:dyDescent="0.3">
      <c r="AE919" s="204" t="s">
        <v>398</v>
      </c>
      <c r="AF919" s="204" t="s">
        <v>398</v>
      </c>
      <c r="AG919" s="204" t="s">
        <v>398</v>
      </c>
      <c r="AS919" s="65" t="str">
        <f>IFERROR(VLOOKUP(#REF!,[1]Lookup!$B$2:$E$115,4,FALSE),"")</f>
        <v/>
      </c>
      <c r="AT919" s="65" t="str">
        <f>IFERROR(VLOOKUP(#REF!,[1]Lookup!$B$2:$E$115,2,FALSE),"")</f>
        <v/>
      </c>
      <c r="AU919" s="65" t="str">
        <f>IFERROR(VLOOKUP(#REF!,[1]Lookup!$B$2:$E$115,3,FALSE),"")</f>
        <v/>
      </c>
    </row>
    <row r="920" spans="31:47" x14ac:dyDescent="0.3">
      <c r="AE920" s="204" t="s">
        <v>398</v>
      </c>
      <c r="AF920" s="204" t="s">
        <v>398</v>
      </c>
      <c r="AG920" s="204" t="s">
        <v>398</v>
      </c>
      <c r="AS920" s="65" t="str">
        <f>IFERROR(VLOOKUP(#REF!,[1]Lookup!$B$2:$E$115,4,FALSE),"")</f>
        <v/>
      </c>
      <c r="AT920" s="65" t="str">
        <f>IFERROR(VLOOKUP(#REF!,[1]Lookup!$B$2:$E$115,2,FALSE),"")</f>
        <v/>
      </c>
      <c r="AU920" s="65" t="str">
        <f>IFERROR(VLOOKUP(#REF!,[1]Lookup!$B$2:$E$115,3,FALSE),"")</f>
        <v/>
      </c>
    </row>
    <row r="921" spans="31:47" x14ac:dyDescent="0.3">
      <c r="AE921" s="204" t="s">
        <v>398</v>
      </c>
      <c r="AF921" s="204" t="s">
        <v>398</v>
      </c>
      <c r="AG921" s="204" t="s">
        <v>398</v>
      </c>
      <c r="AS921" s="65" t="str">
        <f>IFERROR(VLOOKUP(#REF!,[1]Lookup!$B$2:$E$115,4,FALSE),"")</f>
        <v/>
      </c>
      <c r="AT921" s="65" t="str">
        <f>IFERROR(VLOOKUP(#REF!,[1]Lookup!$B$2:$E$115,2,FALSE),"")</f>
        <v/>
      </c>
      <c r="AU921" s="65" t="str">
        <f>IFERROR(VLOOKUP(#REF!,[1]Lookup!$B$2:$E$115,3,FALSE),"")</f>
        <v/>
      </c>
    </row>
    <row r="922" spans="31:47" x14ac:dyDescent="0.3">
      <c r="AE922" s="204" t="s">
        <v>398</v>
      </c>
      <c r="AF922" s="204" t="s">
        <v>398</v>
      </c>
      <c r="AG922" s="204" t="s">
        <v>398</v>
      </c>
      <c r="AS922" s="65" t="str">
        <f>IFERROR(VLOOKUP(#REF!,[1]Lookup!$B$2:$E$115,4,FALSE),"")</f>
        <v/>
      </c>
      <c r="AT922" s="65" t="str">
        <f>IFERROR(VLOOKUP(#REF!,[1]Lookup!$B$2:$E$115,2,FALSE),"")</f>
        <v/>
      </c>
      <c r="AU922" s="65" t="str">
        <f>IFERROR(VLOOKUP(#REF!,[1]Lookup!$B$2:$E$115,3,FALSE),"")</f>
        <v/>
      </c>
    </row>
    <row r="923" spans="31:47" x14ac:dyDescent="0.3">
      <c r="AE923" s="204" t="s">
        <v>398</v>
      </c>
      <c r="AF923" s="204" t="s">
        <v>398</v>
      </c>
      <c r="AG923" s="204" t="s">
        <v>398</v>
      </c>
      <c r="AS923" s="65" t="str">
        <f>IFERROR(VLOOKUP(#REF!,[1]Lookup!$B$2:$E$115,4,FALSE),"")</f>
        <v/>
      </c>
      <c r="AT923" s="65" t="str">
        <f>IFERROR(VLOOKUP(#REF!,[1]Lookup!$B$2:$E$115,2,FALSE),"")</f>
        <v/>
      </c>
      <c r="AU923" s="65" t="str">
        <f>IFERROR(VLOOKUP(#REF!,[1]Lookup!$B$2:$E$115,3,FALSE),"")</f>
        <v/>
      </c>
    </row>
    <row r="924" spans="31:47" x14ac:dyDescent="0.3">
      <c r="AE924" s="204" t="s">
        <v>398</v>
      </c>
      <c r="AF924" s="204" t="s">
        <v>398</v>
      </c>
      <c r="AG924" s="204" t="s">
        <v>398</v>
      </c>
      <c r="AS924" s="65" t="str">
        <f>IFERROR(VLOOKUP(#REF!,[1]Lookup!$B$2:$E$115,4,FALSE),"")</f>
        <v/>
      </c>
      <c r="AT924" s="65" t="str">
        <f>IFERROR(VLOOKUP(#REF!,[1]Lookup!$B$2:$E$115,2,FALSE),"")</f>
        <v/>
      </c>
      <c r="AU924" s="65" t="str">
        <f>IFERROR(VLOOKUP(#REF!,[1]Lookup!$B$2:$E$115,3,FALSE),"")</f>
        <v/>
      </c>
    </row>
    <row r="925" spans="31:47" x14ac:dyDescent="0.3">
      <c r="AE925" s="204" t="s">
        <v>398</v>
      </c>
      <c r="AF925" s="204" t="s">
        <v>398</v>
      </c>
      <c r="AG925" s="204" t="s">
        <v>398</v>
      </c>
      <c r="AS925" s="65" t="str">
        <f>IFERROR(VLOOKUP(#REF!,[1]Lookup!$B$2:$E$115,4,FALSE),"")</f>
        <v/>
      </c>
      <c r="AT925" s="65" t="str">
        <f>IFERROR(VLOOKUP(#REF!,[1]Lookup!$B$2:$E$115,2,FALSE),"")</f>
        <v/>
      </c>
      <c r="AU925" s="65" t="str">
        <f>IFERROR(VLOOKUP(#REF!,[1]Lookup!$B$2:$E$115,3,FALSE),"")</f>
        <v/>
      </c>
    </row>
    <row r="926" spans="31:47" x14ac:dyDescent="0.3">
      <c r="AE926" s="204" t="s">
        <v>398</v>
      </c>
      <c r="AF926" s="204" t="s">
        <v>398</v>
      </c>
      <c r="AG926" s="204" t="s">
        <v>398</v>
      </c>
      <c r="AS926" s="65" t="str">
        <f>IFERROR(VLOOKUP(#REF!,[1]Lookup!$B$2:$E$115,4,FALSE),"")</f>
        <v/>
      </c>
      <c r="AT926" s="65" t="str">
        <f>IFERROR(VLOOKUP(#REF!,[1]Lookup!$B$2:$E$115,2,FALSE),"")</f>
        <v/>
      </c>
      <c r="AU926" s="65" t="str">
        <f>IFERROR(VLOOKUP(#REF!,[1]Lookup!$B$2:$E$115,3,FALSE),"")</f>
        <v/>
      </c>
    </row>
    <row r="927" spans="31:47" x14ac:dyDescent="0.3">
      <c r="AE927" s="204" t="s">
        <v>398</v>
      </c>
      <c r="AF927" s="204" t="s">
        <v>398</v>
      </c>
      <c r="AG927" s="204" t="s">
        <v>398</v>
      </c>
      <c r="AS927" s="65" t="str">
        <f>IFERROR(VLOOKUP(#REF!,[1]Lookup!$B$2:$E$115,4,FALSE),"")</f>
        <v/>
      </c>
      <c r="AT927" s="65" t="str">
        <f>IFERROR(VLOOKUP(#REF!,[1]Lookup!$B$2:$E$115,2,FALSE),"")</f>
        <v/>
      </c>
      <c r="AU927" s="65" t="str">
        <f>IFERROR(VLOOKUP(#REF!,[1]Lookup!$B$2:$E$115,3,FALSE),"")</f>
        <v/>
      </c>
    </row>
    <row r="928" spans="31:47" x14ac:dyDescent="0.3">
      <c r="AE928" s="204" t="s">
        <v>398</v>
      </c>
      <c r="AF928" s="204" t="s">
        <v>398</v>
      </c>
      <c r="AG928" s="204" t="s">
        <v>398</v>
      </c>
      <c r="AS928" s="65" t="str">
        <f>IFERROR(VLOOKUP(#REF!,[1]Lookup!$B$2:$E$115,4,FALSE),"")</f>
        <v/>
      </c>
      <c r="AT928" s="65" t="str">
        <f>IFERROR(VLOOKUP(#REF!,[1]Lookup!$B$2:$E$115,2,FALSE),"")</f>
        <v/>
      </c>
      <c r="AU928" s="65" t="str">
        <f>IFERROR(VLOOKUP(#REF!,[1]Lookup!$B$2:$E$115,3,FALSE),"")</f>
        <v/>
      </c>
    </row>
    <row r="929" spans="31:47" x14ac:dyDescent="0.3">
      <c r="AE929" s="204" t="s">
        <v>398</v>
      </c>
      <c r="AF929" s="204" t="s">
        <v>398</v>
      </c>
      <c r="AG929" s="204" t="s">
        <v>398</v>
      </c>
      <c r="AS929" s="65" t="str">
        <f>IFERROR(VLOOKUP(#REF!,[1]Lookup!$B$2:$E$115,4,FALSE),"")</f>
        <v/>
      </c>
      <c r="AT929" s="65" t="str">
        <f>IFERROR(VLOOKUP(#REF!,[1]Lookup!$B$2:$E$115,2,FALSE),"")</f>
        <v/>
      </c>
      <c r="AU929" s="65" t="str">
        <f>IFERROR(VLOOKUP(#REF!,[1]Lookup!$B$2:$E$115,3,FALSE),"")</f>
        <v/>
      </c>
    </row>
    <row r="930" spans="31:47" x14ac:dyDescent="0.3">
      <c r="AE930" s="204" t="s">
        <v>398</v>
      </c>
      <c r="AF930" s="204" t="s">
        <v>398</v>
      </c>
      <c r="AG930" s="204" t="s">
        <v>398</v>
      </c>
      <c r="AS930" s="65" t="str">
        <f>IFERROR(VLOOKUP(#REF!,[1]Lookup!$B$2:$E$115,4,FALSE),"")</f>
        <v/>
      </c>
      <c r="AT930" s="65" t="str">
        <f>IFERROR(VLOOKUP(#REF!,[1]Lookup!$B$2:$E$115,2,FALSE),"")</f>
        <v/>
      </c>
      <c r="AU930" s="65" t="str">
        <f>IFERROR(VLOOKUP(#REF!,[1]Lookup!$B$2:$E$115,3,FALSE),"")</f>
        <v/>
      </c>
    </row>
    <row r="931" spans="31:47" x14ac:dyDescent="0.3">
      <c r="AE931" s="204" t="s">
        <v>398</v>
      </c>
      <c r="AF931" s="204" t="s">
        <v>398</v>
      </c>
      <c r="AG931" s="204" t="s">
        <v>398</v>
      </c>
      <c r="AS931" s="65" t="str">
        <f>IFERROR(VLOOKUP(#REF!,[1]Lookup!$B$2:$E$115,4,FALSE),"")</f>
        <v/>
      </c>
      <c r="AT931" s="65" t="str">
        <f>IFERROR(VLOOKUP(#REF!,[1]Lookup!$B$2:$E$115,2,FALSE),"")</f>
        <v/>
      </c>
      <c r="AU931" s="65" t="str">
        <f>IFERROR(VLOOKUP(#REF!,[1]Lookup!$B$2:$E$115,3,FALSE),"")</f>
        <v/>
      </c>
    </row>
    <row r="932" spans="31:47" x14ac:dyDescent="0.3">
      <c r="AE932" s="204" t="s">
        <v>398</v>
      </c>
      <c r="AF932" s="204" t="s">
        <v>398</v>
      </c>
      <c r="AG932" s="204" t="s">
        <v>398</v>
      </c>
      <c r="AS932" s="65" t="str">
        <f>IFERROR(VLOOKUP(#REF!,[1]Lookup!$B$2:$E$115,4,FALSE),"")</f>
        <v/>
      </c>
      <c r="AT932" s="65" t="str">
        <f>IFERROR(VLOOKUP(#REF!,[1]Lookup!$B$2:$E$115,2,FALSE),"")</f>
        <v/>
      </c>
      <c r="AU932" s="65" t="str">
        <f>IFERROR(VLOOKUP(#REF!,[1]Lookup!$B$2:$E$115,3,FALSE),"")</f>
        <v/>
      </c>
    </row>
    <row r="933" spans="31:47" x14ac:dyDescent="0.3">
      <c r="AE933" s="204" t="s">
        <v>398</v>
      </c>
      <c r="AF933" s="204" t="s">
        <v>398</v>
      </c>
      <c r="AG933" s="204" t="s">
        <v>398</v>
      </c>
      <c r="AS933" s="65" t="str">
        <f>IFERROR(VLOOKUP(#REF!,[1]Lookup!$B$2:$E$115,4,FALSE),"")</f>
        <v/>
      </c>
      <c r="AT933" s="65" t="str">
        <f>IFERROR(VLOOKUP(#REF!,[1]Lookup!$B$2:$E$115,2,FALSE),"")</f>
        <v/>
      </c>
      <c r="AU933" s="65" t="str">
        <f>IFERROR(VLOOKUP(#REF!,[1]Lookup!$B$2:$E$115,3,FALSE),"")</f>
        <v/>
      </c>
    </row>
    <row r="934" spans="31:47" x14ac:dyDescent="0.3">
      <c r="AE934" s="204" t="s">
        <v>398</v>
      </c>
      <c r="AF934" s="204" t="s">
        <v>398</v>
      </c>
      <c r="AG934" s="204" t="s">
        <v>398</v>
      </c>
      <c r="AS934" s="65" t="str">
        <f>IFERROR(VLOOKUP(#REF!,[1]Lookup!$B$2:$E$115,4,FALSE),"")</f>
        <v/>
      </c>
      <c r="AT934" s="65" t="str">
        <f>IFERROR(VLOOKUP(#REF!,[1]Lookup!$B$2:$E$115,2,FALSE),"")</f>
        <v/>
      </c>
      <c r="AU934" s="65" t="str">
        <f>IFERROR(VLOOKUP(#REF!,[1]Lookup!$B$2:$E$115,3,FALSE),"")</f>
        <v/>
      </c>
    </row>
    <row r="935" spans="31:47" x14ac:dyDescent="0.3">
      <c r="AE935" s="204" t="s">
        <v>398</v>
      </c>
      <c r="AF935" s="204" t="s">
        <v>398</v>
      </c>
      <c r="AG935" s="204" t="s">
        <v>398</v>
      </c>
      <c r="AS935" s="65" t="str">
        <f>IFERROR(VLOOKUP(#REF!,[1]Lookup!$B$2:$E$115,4,FALSE),"")</f>
        <v/>
      </c>
      <c r="AT935" s="65" t="str">
        <f>IFERROR(VLOOKUP(#REF!,[1]Lookup!$B$2:$E$115,2,FALSE),"")</f>
        <v/>
      </c>
      <c r="AU935" s="65" t="str">
        <f>IFERROR(VLOOKUP(#REF!,[1]Lookup!$B$2:$E$115,3,FALSE),"")</f>
        <v/>
      </c>
    </row>
    <row r="936" spans="31:47" x14ac:dyDescent="0.3">
      <c r="AE936" s="204" t="s">
        <v>398</v>
      </c>
      <c r="AF936" s="204" t="s">
        <v>398</v>
      </c>
      <c r="AG936" s="204" t="s">
        <v>398</v>
      </c>
      <c r="AS936" s="65" t="str">
        <f>IFERROR(VLOOKUP(#REF!,[1]Lookup!$B$2:$E$115,4,FALSE),"")</f>
        <v/>
      </c>
      <c r="AT936" s="65" t="str">
        <f>IFERROR(VLOOKUP(#REF!,[1]Lookup!$B$2:$E$115,2,FALSE),"")</f>
        <v/>
      </c>
      <c r="AU936" s="65" t="str">
        <f>IFERROR(VLOOKUP(#REF!,[1]Lookup!$B$2:$E$115,3,FALSE),"")</f>
        <v/>
      </c>
    </row>
    <row r="937" spans="31:47" x14ac:dyDescent="0.3">
      <c r="AE937" s="204" t="s">
        <v>398</v>
      </c>
      <c r="AF937" s="204" t="s">
        <v>398</v>
      </c>
      <c r="AG937" s="204" t="s">
        <v>398</v>
      </c>
      <c r="AS937" s="65" t="str">
        <f>IFERROR(VLOOKUP(#REF!,[1]Lookup!$B$2:$E$115,4,FALSE),"")</f>
        <v/>
      </c>
      <c r="AT937" s="65" t="str">
        <f>IFERROR(VLOOKUP(#REF!,[1]Lookup!$B$2:$E$115,2,FALSE),"")</f>
        <v/>
      </c>
      <c r="AU937" s="65" t="str">
        <f>IFERROR(VLOOKUP(#REF!,[1]Lookup!$B$2:$E$115,3,FALSE),"")</f>
        <v/>
      </c>
    </row>
    <row r="938" spans="31:47" x14ac:dyDescent="0.3">
      <c r="AE938" s="204" t="s">
        <v>398</v>
      </c>
      <c r="AF938" s="204" t="s">
        <v>398</v>
      </c>
      <c r="AG938" s="204" t="s">
        <v>398</v>
      </c>
      <c r="AS938" s="65" t="str">
        <f>IFERROR(VLOOKUP(#REF!,[1]Lookup!$B$2:$E$115,4,FALSE),"")</f>
        <v/>
      </c>
      <c r="AT938" s="65" t="str">
        <f>IFERROR(VLOOKUP(#REF!,[1]Lookup!$B$2:$E$115,2,FALSE),"")</f>
        <v/>
      </c>
      <c r="AU938" s="65" t="str">
        <f>IFERROR(VLOOKUP(#REF!,[1]Lookup!$B$2:$E$115,3,FALSE),"")</f>
        <v/>
      </c>
    </row>
    <row r="939" spans="31:47" x14ac:dyDescent="0.3">
      <c r="AE939" s="204" t="s">
        <v>398</v>
      </c>
      <c r="AF939" s="204" t="s">
        <v>398</v>
      </c>
      <c r="AG939" s="204" t="s">
        <v>398</v>
      </c>
      <c r="AS939" s="65" t="str">
        <f>IFERROR(VLOOKUP(#REF!,[1]Lookup!$B$2:$E$115,4,FALSE),"")</f>
        <v/>
      </c>
      <c r="AT939" s="65" t="str">
        <f>IFERROR(VLOOKUP(#REF!,[1]Lookup!$B$2:$E$115,2,FALSE),"")</f>
        <v/>
      </c>
      <c r="AU939" s="65" t="str">
        <f>IFERROR(VLOOKUP(#REF!,[1]Lookup!$B$2:$E$115,3,FALSE),"")</f>
        <v/>
      </c>
    </row>
    <row r="940" spans="31:47" x14ac:dyDescent="0.3">
      <c r="AE940" s="204" t="s">
        <v>398</v>
      </c>
      <c r="AF940" s="204" t="s">
        <v>398</v>
      </c>
      <c r="AG940" s="204" t="s">
        <v>398</v>
      </c>
      <c r="AS940" s="65" t="str">
        <f>IFERROR(VLOOKUP(#REF!,[1]Lookup!$B$2:$E$115,4,FALSE),"")</f>
        <v/>
      </c>
      <c r="AT940" s="65" t="str">
        <f>IFERROR(VLOOKUP(#REF!,[1]Lookup!$B$2:$E$115,2,FALSE),"")</f>
        <v/>
      </c>
      <c r="AU940" s="65" t="str">
        <f>IFERROR(VLOOKUP(#REF!,[1]Lookup!$B$2:$E$115,3,FALSE),"")</f>
        <v/>
      </c>
    </row>
    <row r="941" spans="31:47" x14ac:dyDescent="0.3">
      <c r="AE941" s="204" t="s">
        <v>398</v>
      </c>
      <c r="AF941" s="204" t="s">
        <v>398</v>
      </c>
      <c r="AG941" s="204" t="s">
        <v>398</v>
      </c>
      <c r="AS941" s="65" t="str">
        <f>IFERROR(VLOOKUP(#REF!,[1]Lookup!$B$2:$E$115,4,FALSE),"")</f>
        <v/>
      </c>
      <c r="AT941" s="65" t="str">
        <f>IFERROR(VLOOKUP(#REF!,[1]Lookup!$B$2:$E$115,2,FALSE),"")</f>
        <v/>
      </c>
      <c r="AU941" s="65" t="str">
        <f>IFERROR(VLOOKUP(#REF!,[1]Lookup!$B$2:$E$115,3,FALSE),"")</f>
        <v/>
      </c>
    </row>
    <row r="942" spans="31:47" x14ac:dyDescent="0.3">
      <c r="AE942" s="204" t="s">
        <v>398</v>
      </c>
      <c r="AF942" s="204" t="s">
        <v>398</v>
      </c>
      <c r="AG942" s="204" t="s">
        <v>398</v>
      </c>
      <c r="AS942" s="65" t="str">
        <f>IFERROR(VLOOKUP(#REF!,[1]Lookup!$B$2:$E$115,4,FALSE),"")</f>
        <v/>
      </c>
      <c r="AT942" s="65" t="str">
        <f>IFERROR(VLOOKUP(#REF!,[1]Lookup!$B$2:$E$115,2,FALSE),"")</f>
        <v/>
      </c>
      <c r="AU942" s="65" t="str">
        <f>IFERROR(VLOOKUP(#REF!,[1]Lookup!$B$2:$E$115,3,FALSE),"")</f>
        <v/>
      </c>
    </row>
    <row r="943" spans="31:47" x14ac:dyDescent="0.3">
      <c r="AE943" s="204" t="s">
        <v>398</v>
      </c>
      <c r="AF943" s="204" t="s">
        <v>398</v>
      </c>
      <c r="AG943" s="204" t="s">
        <v>398</v>
      </c>
      <c r="AS943" s="65" t="str">
        <f>IFERROR(VLOOKUP(#REF!,[1]Lookup!$B$2:$E$115,4,FALSE),"")</f>
        <v/>
      </c>
      <c r="AT943" s="65" t="str">
        <f>IFERROR(VLOOKUP(#REF!,[1]Lookup!$B$2:$E$115,2,FALSE),"")</f>
        <v/>
      </c>
      <c r="AU943" s="65" t="str">
        <f>IFERROR(VLOOKUP(#REF!,[1]Lookup!$B$2:$E$115,3,FALSE),"")</f>
        <v/>
      </c>
    </row>
    <row r="944" spans="31:47" x14ac:dyDescent="0.3">
      <c r="AE944" s="204" t="s">
        <v>398</v>
      </c>
      <c r="AF944" s="204" t="s">
        <v>398</v>
      </c>
      <c r="AG944" s="204" t="s">
        <v>398</v>
      </c>
      <c r="AS944" s="65" t="str">
        <f>IFERROR(VLOOKUP(#REF!,[1]Lookup!$B$2:$E$115,4,FALSE),"")</f>
        <v/>
      </c>
      <c r="AT944" s="65" t="str">
        <f>IFERROR(VLOOKUP(#REF!,[1]Lookup!$B$2:$E$115,2,FALSE),"")</f>
        <v/>
      </c>
      <c r="AU944" s="65" t="str">
        <f>IFERROR(VLOOKUP(#REF!,[1]Lookup!$B$2:$E$115,3,FALSE),"")</f>
        <v/>
      </c>
    </row>
    <row r="945" spans="31:47" x14ac:dyDescent="0.3">
      <c r="AE945" s="204" t="s">
        <v>398</v>
      </c>
      <c r="AF945" s="204" t="s">
        <v>398</v>
      </c>
      <c r="AG945" s="204" t="s">
        <v>398</v>
      </c>
      <c r="AS945" s="65" t="str">
        <f>IFERROR(VLOOKUP(#REF!,[1]Lookup!$B$2:$E$115,4,FALSE),"")</f>
        <v/>
      </c>
      <c r="AT945" s="65" t="str">
        <f>IFERROR(VLOOKUP(#REF!,[1]Lookup!$B$2:$E$115,2,FALSE),"")</f>
        <v/>
      </c>
      <c r="AU945" s="65" t="str">
        <f>IFERROR(VLOOKUP(#REF!,[1]Lookup!$B$2:$E$115,3,FALSE),"")</f>
        <v/>
      </c>
    </row>
    <row r="946" spans="31:47" x14ac:dyDescent="0.3">
      <c r="AE946" s="204" t="s">
        <v>398</v>
      </c>
      <c r="AF946" s="204" t="s">
        <v>398</v>
      </c>
      <c r="AG946" s="204" t="s">
        <v>398</v>
      </c>
      <c r="AS946" s="65" t="str">
        <f>IFERROR(VLOOKUP(#REF!,[1]Lookup!$B$2:$E$115,4,FALSE),"")</f>
        <v/>
      </c>
      <c r="AT946" s="65" t="str">
        <f>IFERROR(VLOOKUP(#REF!,[1]Lookup!$B$2:$E$115,2,FALSE),"")</f>
        <v/>
      </c>
      <c r="AU946" s="65" t="str">
        <f>IFERROR(VLOOKUP(#REF!,[1]Lookup!$B$2:$E$115,3,FALSE),"")</f>
        <v/>
      </c>
    </row>
    <row r="947" spans="31:47" x14ac:dyDescent="0.3">
      <c r="AE947" s="204" t="s">
        <v>398</v>
      </c>
      <c r="AF947" s="204" t="s">
        <v>398</v>
      </c>
      <c r="AG947" s="204" t="s">
        <v>398</v>
      </c>
      <c r="AS947" s="65" t="str">
        <f>IFERROR(VLOOKUP(#REF!,[1]Lookup!$B$2:$E$115,4,FALSE),"")</f>
        <v/>
      </c>
      <c r="AT947" s="65" t="str">
        <f>IFERROR(VLOOKUP(#REF!,[1]Lookup!$B$2:$E$115,2,FALSE),"")</f>
        <v/>
      </c>
      <c r="AU947" s="65" t="str">
        <f>IFERROR(VLOOKUP(#REF!,[1]Lookup!$B$2:$E$115,3,FALSE),"")</f>
        <v/>
      </c>
    </row>
    <row r="948" spans="31:47" x14ac:dyDescent="0.3">
      <c r="AE948" s="204" t="s">
        <v>398</v>
      </c>
      <c r="AF948" s="204" t="s">
        <v>398</v>
      </c>
      <c r="AG948" s="204" t="s">
        <v>398</v>
      </c>
      <c r="AS948" s="65" t="str">
        <f>IFERROR(VLOOKUP(#REF!,[1]Lookup!$B$2:$E$115,4,FALSE),"")</f>
        <v/>
      </c>
      <c r="AT948" s="65" t="str">
        <f>IFERROR(VLOOKUP(#REF!,[1]Lookup!$B$2:$E$115,2,FALSE),"")</f>
        <v/>
      </c>
      <c r="AU948" s="65" t="str">
        <f>IFERROR(VLOOKUP(#REF!,[1]Lookup!$B$2:$E$115,3,FALSE),"")</f>
        <v/>
      </c>
    </row>
    <row r="949" spans="31:47" x14ac:dyDescent="0.3">
      <c r="AE949" s="204" t="s">
        <v>398</v>
      </c>
      <c r="AF949" s="204" t="s">
        <v>398</v>
      </c>
      <c r="AG949" s="204" t="s">
        <v>398</v>
      </c>
      <c r="AS949" s="65" t="str">
        <f>IFERROR(VLOOKUP(#REF!,[1]Lookup!$B$2:$E$115,4,FALSE),"")</f>
        <v/>
      </c>
      <c r="AT949" s="65" t="str">
        <f>IFERROR(VLOOKUP(#REF!,[1]Lookup!$B$2:$E$115,2,FALSE),"")</f>
        <v/>
      </c>
      <c r="AU949" s="65" t="str">
        <f>IFERROR(VLOOKUP(#REF!,[1]Lookup!$B$2:$E$115,3,FALSE),"")</f>
        <v/>
      </c>
    </row>
    <row r="950" spans="31:47" x14ac:dyDescent="0.3">
      <c r="AE950" s="204" t="s">
        <v>398</v>
      </c>
      <c r="AF950" s="204" t="s">
        <v>398</v>
      </c>
      <c r="AG950" s="204" t="s">
        <v>398</v>
      </c>
      <c r="AS950" s="65" t="str">
        <f>IFERROR(VLOOKUP(#REF!,[1]Lookup!$B$2:$E$115,4,FALSE),"")</f>
        <v/>
      </c>
      <c r="AT950" s="65" t="str">
        <f>IFERROR(VLOOKUP(#REF!,[1]Lookup!$B$2:$E$115,2,FALSE),"")</f>
        <v/>
      </c>
      <c r="AU950" s="65" t="str">
        <f>IFERROR(VLOOKUP(#REF!,[1]Lookup!$B$2:$E$115,3,FALSE),"")</f>
        <v/>
      </c>
    </row>
    <row r="951" spans="31:47" x14ac:dyDescent="0.3">
      <c r="AE951" s="204" t="s">
        <v>398</v>
      </c>
      <c r="AF951" s="204" t="s">
        <v>398</v>
      </c>
      <c r="AG951" s="204" t="s">
        <v>398</v>
      </c>
      <c r="AS951" s="65" t="str">
        <f>IFERROR(VLOOKUP(#REF!,[1]Lookup!$B$2:$E$115,4,FALSE),"")</f>
        <v/>
      </c>
      <c r="AT951" s="65" t="str">
        <f>IFERROR(VLOOKUP(#REF!,[1]Lookup!$B$2:$E$115,2,FALSE),"")</f>
        <v/>
      </c>
      <c r="AU951" s="65" t="str">
        <f>IFERROR(VLOOKUP(#REF!,[1]Lookup!$B$2:$E$115,3,FALSE),"")</f>
        <v/>
      </c>
    </row>
    <row r="952" spans="31:47" x14ac:dyDescent="0.3">
      <c r="AE952" s="204" t="s">
        <v>398</v>
      </c>
      <c r="AF952" s="204" t="s">
        <v>398</v>
      </c>
      <c r="AG952" s="204" t="s">
        <v>398</v>
      </c>
      <c r="AS952" s="65" t="str">
        <f>IFERROR(VLOOKUP(#REF!,[1]Lookup!$B$2:$E$115,4,FALSE),"")</f>
        <v/>
      </c>
      <c r="AT952" s="65" t="str">
        <f>IFERROR(VLOOKUP(#REF!,[1]Lookup!$B$2:$E$115,2,FALSE),"")</f>
        <v/>
      </c>
      <c r="AU952" s="65" t="str">
        <f>IFERROR(VLOOKUP(#REF!,[1]Lookup!$B$2:$E$115,3,FALSE),"")</f>
        <v/>
      </c>
    </row>
    <row r="953" spans="31:47" x14ac:dyDescent="0.3">
      <c r="AE953" s="204" t="s">
        <v>398</v>
      </c>
      <c r="AF953" s="204" t="s">
        <v>398</v>
      </c>
      <c r="AG953" s="204" t="s">
        <v>398</v>
      </c>
      <c r="AS953" s="65" t="str">
        <f>IFERROR(VLOOKUP(#REF!,[1]Lookup!$B$2:$E$115,4,FALSE),"")</f>
        <v/>
      </c>
      <c r="AT953" s="65" t="str">
        <f>IFERROR(VLOOKUP(#REF!,[1]Lookup!$B$2:$E$115,2,FALSE),"")</f>
        <v/>
      </c>
      <c r="AU953" s="65" t="str">
        <f>IFERROR(VLOOKUP(#REF!,[1]Lookup!$B$2:$E$115,3,FALSE),"")</f>
        <v/>
      </c>
    </row>
    <row r="954" spans="31:47" x14ac:dyDescent="0.3">
      <c r="AE954" s="204" t="s">
        <v>398</v>
      </c>
      <c r="AF954" s="204" t="s">
        <v>398</v>
      </c>
      <c r="AG954" s="204" t="s">
        <v>398</v>
      </c>
      <c r="AS954" s="65" t="str">
        <f>IFERROR(VLOOKUP(#REF!,[1]Lookup!$B$2:$E$115,4,FALSE),"")</f>
        <v/>
      </c>
      <c r="AT954" s="65" t="str">
        <f>IFERROR(VLOOKUP(#REF!,[1]Lookup!$B$2:$E$115,2,FALSE),"")</f>
        <v/>
      </c>
      <c r="AU954" s="65" t="str">
        <f>IFERROR(VLOOKUP(#REF!,[1]Lookup!$B$2:$E$115,3,FALSE),"")</f>
        <v/>
      </c>
    </row>
    <row r="955" spans="31:47" x14ac:dyDescent="0.3">
      <c r="AE955" s="204" t="s">
        <v>398</v>
      </c>
      <c r="AF955" s="204" t="s">
        <v>398</v>
      </c>
      <c r="AG955" s="204" t="s">
        <v>398</v>
      </c>
      <c r="AS955" s="65" t="str">
        <f>IFERROR(VLOOKUP(#REF!,[1]Lookup!$B$2:$E$115,4,FALSE),"")</f>
        <v/>
      </c>
      <c r="AT955" s="65" t="str">
        <f>IFERROR(VLOOKUP(#REF!,[1]Lookup!$B$2:$E$115,2,FALSE),"")</f>
        <v/>
      </c>
      <c r="AU955" s="65" t="str">
        <f>IFERROR(VLOOKUP(#REF!,[1]Lookup!$B$2:$E$115,3,FALSE),"")</f>
        <v/>
      </c>
    </row>
    <row r="956" spans="31:47" x14ac:dyDescent="0.3">
      <c r="AE956" s="204" t="s">
        <v>398</v>
      </c>
      <c r="AF956" s="204" t="s">
        <v>398</v>
      </c>
      <c r="AG956" s="204" t="s">
        <v>398</v>
      </c>
      <c r="AS956" s="65" t="str">
        <f>IFERROR(VLOOKUP(#REF!,[1]Lookup!$B$2:$E$115,4,FALSE),"")</f>
        <v/>
      </c>
      <c r="AT956" s="65" t="str">
        <f>IFERROR(VLOOKUP(#REF!,[1]Lookup!$B$2:$E$115,2,FALSE),"")</f>
        <v/>
      </c>
      <c r="AU956" s="65" t="str">
        <f>IFERROR(VLOOKUP(#REF!,[1]Lookup!$B$2:$E$115,3,FALSE),"")</f>
        <v/>
      </c>
    </row>
    <row r="957" spans="31:47" x14ac:dyDescent="0.3">
      <c r="AE957" s="204" t="s">
        <v>398</v>
      </c>
      <c r="AF957" s="204" t="s">
        <v>398</v>
      </c>
      <c r="AG957" s="204" t="s">
        <v>398</v>
      </c>
      <c r="AS957" s="65" t="str">
        <f>IFERROR(VLOOKUP(#REF!,[1]Lookup!$B$2:$E$115,4,FALSE),"")</f>
        <v/>
      </c>
      <c r="AT957" s="65" t="str">
        <f>IFERROR(VLOOKUP(#REF!,[1]Lookup!$B$2:$E$115,2,FALSE),"")</f>
        <v/>
      </c>
      <c r="AU957" s="65" t="str">
        <f>IFERROR(VLOOKUP(#REF!,[1]Lookup!$B$2:$E$115,3,FALSE),"")</f>
        <v/>
      </c>
    </row>
    <row r="958" spans="31:47" x14ac:dyDescent="0.3">
      <c r="AE958" s="204" t="s">
        <v>398</v>
      </c>
      <c r="AF958" s="204" t="s">
        <v>398</v>
      </c>
      <c r="AG958" s="204" t="s">
        <v>398</v>
      </c>
      <c r="AS958" s="65" t="str">
        <f>IFERROR(VLOOKUP(#REF!,[1]Lookup!$B$2:$E$115,4,FALSE),"")</f>
        <v/>
      </c>
      <c r="AT958" s="65" t="str">
        <f>IFERROR(VLOOKUP(#REF!,[1]Lookup!$B$2:$E$115,2,FALSE),"")</f>
        <v/>
      </c>
      <c r="AU958" s="65" t="str">
        <f>IFERROR(VLOOKUP(#REF!,[1]Lookup!$B$2:$E$115,3,FALSE),"")</f>
        <v/>
      </c>
    </row>
    <row r="959" spans="31:47" x14ac:dyDescent="0.3">
      <c r="AE959" s="204" t="s">
        <v>398</v>
      </c>
      <c r="AF959" s="204" t="s">
        <v>398</v>
      </c>
      <c r="AG959" s="204" t="s">
        <v>398</v>
      </c>
      <c r="AS959" s="65" t="str">
        <f>IFERROR(VLOOKUP(#REF!,[1]Lookup!$B$2:$E$115,4,FALSE),"")</f>
        <v/>
      </c>
      <c r="AT959" s="65" t="str">
        <f>IFERROR(VLOOKUP(#REF!,[1]Lookup!$B$2:$E$115,2,FALSE),"")</f>
        <v/>
      </c>
      <c r="AU959" s="65" t="str">
        <f>IFERROR(VLOOKUP(#REF!,[1]Lookup!$B$2:$E$115,3,FALSE),"")</f>
        <v/>
      </c>
    </row>
    <row r="960" spans="31:47" x14ac:dyDescent="0.3">
      <c r="AE960" s="204" t="s">
        <v>398</v>
      </c>
      <c r="AF960" s="204" t="s">
        <v>398</v>
      </c>
      <c r="AG960" s="204" t="s">
        <v>398</v>
      </c>
      <c r="AS960" s="65" t="str">
        <f>IFERROR(VLOOKUP(#REF!,[1]Lookup!$B$2:$E$115,4,FALSE),"")</f>
        <v/>
      </c>
      <c r="AT960" s="65" t="str">
        <f>IFERROR(VLOOKUP(#REF!,[1]Lookup!$B$2:$E$115,2,FALSE),"")</f>
        <v/>
      </c>
      <c r="AU960" s="65" t="str">
        <f>IFERROR(VLOOKUP(#REF!,[1]Lookup!$B$2:$E$115,3,FALSE),"")</f>
        <v/>
      </c>
    </row>
    <row r="961" spans="31:47" x14ac:dyDescent="0.3">
      <c r="AE961" s="204" t="s">
        <v>398</v>
      </c>
      <c r="AF961" s="204" t="s">
        <v>398</v>
      </c>
      <c r="AG961" s="204" t="s">
        <v>398</v>
      </c>
      <c r="AS961" s="65" t="str">
        <f>IFERROR(VLOOKUP(#REF!,[1]Lookup!$B$2:$E$115,4,FALSE),"")</f>
        <v/>
      </c>
      <c r="AT961" s="65" t="str">
        <f>IFERROR(VLOOKUP(#REF!,[1]Lookup!$B$2:$E$115,2,FALSE),"")</f>
        <v/>
      </c>
      <c r="AU961" s="65" t="str">
        <f>IFERROR(VLOOKUP(#REF!,[1]Lookup!$B$2:$E$115,3,FALSE),"")</f>
        <v/>
      </c>
    </row>
    <row r="962" spans="31:47" x14ac:dyDescent="0.3">
      <c r="AE962" s="204" t="s">
        <v>398</v>
      </c>
      <c r="AF962" s="204" t="s">
        <v>398</v>
      </c>
      <c r="AG962" s="204" t="s">
        <v>398</v>
      </c>
      <c r="AS962" s="65" t="str">
        <f>IFERROR(VLOOKUP(#REF!,[1]Lookup!$B$2:$E$115,4,FALSE),"")</f>
        <v/>
      </c>
      <c r="AT962" s="65" t="str">
        <f>IFERROR(VLOOKUP(#REF!,[1]Lookup!$B$2:$E$115,2,FALSE),"")</f>
        <v/>
      </c>
      <c r="AU962" s="65" t="str">
        <f>IFERROR(VLOOKUP(#REF!,[1]Lookup!$B$2:$E$115,3,FALSE),"")</f>
        <v/>
      </c>
    </row>
    <row r="963" spans="31:47" x14ac:dyDescent="0.3">
      <c r="AE963" s="204" t="s">
        <v>398</v>
      </c>
      <c r="AF963" s="204" t="s">
        <v>398</v>
      </c>
      <c r="AG963" s="204" t="s">
        <v>398</v>
      </c>
      <c r="AS963" s="65" t="str">
        <f>IFERROR(VLOOKUP(#REF!,[1]Lookup!$B$2:$E$115,4,FALSE),"")</f>
        <v/>
      </c>
      <c r="AT963" s="65" t="str">
        <f>IFERROR(VLOOKUP(#REF!,[1]Lookup!$B$2:$E$115,2,FALSE),"")</f>
        <v/>
      </c>
      <c r="AU963" s="65" t="str">
        <f>IFERROR(VLOOKUP(#REF!,[1]Lookup!$B$2:$E$115,3,FALSE),"")</f>
        <v/>
      </c>
    </row>
    <row r="964" spans="31:47" x14ac:dyDescent="0.3">
      <c r="AE964" s="204" t="s">
        <v>398</v>
      </c>
      <c r="AF964" s="204" t="s">
        <v>398</v>
      </c>
      <c r="AG964" s="204" t="s">
        <v>398</v>
      </c>
      <c r="AS964" s="65" t="str">
        <f>IFERROR(VLOOKUP(#REF!,[1]Lookup!$B$2:$E$115,4,FALSE),"")</f>
        <v/>
      </c>
      <c r="AT964" s="65" t="str">
        <f>IFERROR(VLOOKUP(#REF!,[1]Lookup!$B$2:$E$115,2,FALSE),"")</f>
        <v/>
      </c>
      <c r="AU964" s="65" t="str">
        <f>IFERROR(VLOOKUP(#REF!,[1]Lookup!$B$2:$E$115,3,FALSE),"")</f>
        <v/>
      </c>
    </row>
    <row r="965" spans="31:47" x14ac:dyDescent="0.3">
      <c r="AE965" s="204" t="s">
        <v>398</v>
      </c>
      <c r="AF965" s="204" t="s">
        <v>398</v>
      </c>
      <c r="AG965" s="204" t="s">
        <v>398</v>
      </c>
      <c r="AS965" s="65" t="str">
        <f>IFERROR(VLOOKUP(#REF!,[1]Lookup!$B$2:$E$115,4,FALSE),"")</f>
        <v/>
      </c>
      <c r="AT965" s="65" t="str">
        <f>IFERROR(VLOOKUP(#REF!,[1]Lookup!$B$2:$E$115,2,FALSE),"")</f>
        <v/>
      </c>
      <c r="AU965" s="65" t="str">
        <f>IFERROR(VLOOKUP(#REF!,[1]Lookup!$B$2:$E$115,3,FALSE),"")</f>
        <v/>
      </c>
    </row>
    <row r="966" spans="31:47" x14ac:dyDescent="0.3">
      <c r="AE966" s="204" t="s">
        <v>398</v>
      </c>
      <c r="AF966" s="204" t="s">
        <v>398</v>
      </c>
      <c r="AG966" s="204" t="s">
        <v>398</v>
      </c>
      <c r="AS966" s="65" t="str">
        <f>IFERROR(VLOOKUP(#REF!,[1]Lookup!$B$2:$E$115,4,FALSE),"")</f>
        <v/>
      </c>
      <c r="AT966" s="65" t="str">
        <f>IFERROR(VLOOKUP(#REF!,[1]Lookup!$B$2:$E$115,2,FALSE),"")</f>
        <v/>
      </c>
      <c r="AU966" s="65" t="str">
        <f>IFERROR(VLOOKUP(#REF!,[1]Lookup!$B$2:$E$115,3,FALSE),"")</f>
        <v/>
      </c>
    </row>
    <row r="967" spans="31:47" x14ac:dyDescent="0.3">
      <c r="AE967" s="204" t="s">
        <v>398</v>
      </c>
      <c r="AF967" s="204" t="s">
        <v>398</v>
      </c>
      <c r="AG967" s="204" t="s">
        <v>398</v>
      </c>
      <c r="AS967" s="65" t="str">
        <f>IFERROR(VLOOKUP(#REF!,[1]Lookup!$B$2:$E$115,4,FALSE),"")</f>
        <v/>
      </c>
      <c r="AT967" s="65" t="str">
        <f>IFERROR(VLOOKUP(#REF!,[1]Lookup!$B$2:$E$115,2,FALSE),"")</f>
        <v/>
      </c>
      <c r="AU967" s="65" t="str">
        <f>IFERROR(VLOOKUP(#REF!,[1]Lookup!$B$2:$E$115,3,FALSE),"")</f>
        <v/>
      </c>
    </row>
    <row r="968" spans="31:47" x14ac:dyDescent="0.3">
      <c r="AE968" s="204" t="s">
        <v>398</v>
      </c>
      <c r="AF968" s="204" t="s">
        <v>398</v>
      </c>
      <c r="AG968" s="204" t="s">
        <v>398</v>
      </c>
      <c r="AS968" s="65" t="str">
        <f>IFERROR(VLOOKUP(#REF!,[1]Lookup!$B$2:$E$115,4,FALSE),"")</f>
        <v/>
      </c>
      <c r="AT968" s="65" t="str">
        <f>IFERROR(VLOOKUP(#REF!,[1]Lookup!$B$2:$E$115,2,FALSE),"")</f>
        <v/>
      </c>
      <c r="AU968" s="65" t="str">
        <f>IFERROR(VLOOKUP(#REF!,[1]Lookup!$B$2:$E$115,3,FALSE),"")</f>
        <v/>
      </c>
    </row>
    <row r="969" spans="31:47" x14ac:dyDescent="0.3">
      <c r="AE969" s="204" t="s">
        <v>398</v>
      </c>
      <c r="AF969" s="204" t="s">
        <v>398</v>
      </c>
      <c r="AG969" s="204" t="s">
        <v>398</v>
      </c>
      <c r="AS969" s="65" t="str">
        <f>IFERROR(VLOOKUP(#REF!,[1]Lookup!$B$2:$E$115,4,FALSE),"")</f>
        <v/>
      </c>
      <c r="AT969" s="65" t="str">
        <f>IFERROR(VLOOKUP(#REF!,[1]Lookup!$B$2:$E$115,2,FALSE),"")</f>
        <v/>
      </c>
      <c r="AU969" s="65" t="str">
        <f>IFERROR(VLOOKUP(#REF!,[1]Lookup!$B$2:$E$115,3,FALSE),"")</f>
        <v/>
      </c>
    </row>
    <row r="970" spans="31:47" x14ac:dyDescent="0.3">
      <c r="AE970" s="204" t="s">
        <v>398</v>
      </c>
      <c r="AF970" s="204" t="s">
        <v>398</v>
      </c>
      <c r="AG970" s="204" t="s">
        <v>398</v>
      </c>
      <c r="AS970" s="65" t="str">
        <f>IFERROR(VLOOKUP(#REF!,[1]Lookup!$B$2:$E$115,4,FALSE),"")</f>
        <v/>
      </c>
      <c r="AT970" s="65" t="str">
        <f>IFERROR(VLOOKUP(#REF!,[1]Lookup!$B$2:$E$115,2,FALSE),"")</f>
        <v/>
      </c>
      <c r="AU970" s="65" t="str">
        <f>IFERROR(VLOOKUP(#REF!,[1]Lookup!$B$2:$E$115,3,FALSE),"")</f>
        <v/>
      </c>
    </row>
    <row r="971" spans="31:47" x14ac:dyDescent="0.3">
      <c r="AE971" s="204" t="s">
        <v>398</v>
      </c>
      <c r="AF971" s="204" t="s">
        <v>398</v>
      </c>
      <c r="AG971" s="204" t="s">
        <v>398</v>
      </c>
      <c r="AS971" s="65" t="str">
        <f>IFERROR(VLOOKUP(#REF!,[1]Lookup!$B$2:$E$115,4,FALSE),"")</f>
        <v/>
      </c>
      <c r="AT971" s="65" t="str">
        <f>IFERROR(VLOOKUP(#REF!,[1]Lookup!$B$2:$E$115,2,FALSE),"")</f>
        <v/>
      </c>
      <c r="AU971" s="65" t="str">
        <f>IFERROR(VLOOKUP(#REF!,[1]Lookup!$B$2:$E$115,3,FALSE),"")</f>
        <v/>
      </c>
    </row>
    <row r="972" spans="31:47" x14ac:dyDescent="0.3">
      <c r="AE972" s="204" t="s">
        <v>398</v>
      </c>
      <c r="AF972" s="204" t="s">
        <v>398</v>
      </c>
      <c r="AG972" s="204" t="s">
        <v>398</v>
      </c>
      <c r="AS972" s="65" t="str">
        <f>IFERROR(VLOOKUP(#REF!,[1]Lookup!$B$2:$E$115,4,FALSE),"")</f>
        <v/>
      </c>
      <c r="AT972" s="65" t="str">
        <f>IFERROR(VLOOKUP(#REF!,[1]Lookup!$B$2:$E$115,2,FALSE),"")</f>
        <v/>
      </c>
      <c r="AU972" s="65" t="str">
        <f>IFERROR(VLOOKUP(#REF!,[1]Lookup!$B$2:$E$115,3,FALSE),"")</f>
        <v/>
      </c>
    </row>
    <row r="973" spans="31:47" x14ac:dyDescent="0.3">
      <c r="AE973" s="204" t="s">
        <v>398</v>
      </c>
      <c r="AF973" s="204" t="s">
        <v>398</v>
      </c>
      <c r="AG973" s="204" t="s">
        <v>398</v>
      </c>
      <c r="AS973" s="65" t="str">
        <f>IFERROR(VLOOKUP(#REF!,[1]Lookup!$B$2:$E$115,4,FALSE),"")</f>
        <v/>
      </c>
      <c r="AT973" s="65" t="str">
        <f>IFERROR(VLOOKUP(#REF!,[1]Lookup!$B$2:$E$115,2,FALSE),"")</f>
        <v/>
      </c>
      <c r="AU973" s="65" t="str">
        <f>IFERROR(VLOOKUP(#REF!,[1]Lookup!$B$2:$E$115,3,FALSE),"")</f>
        <v/>
      </c>
    </row>
    <row r="974" spans="31:47" x14ac:dyDescent="0.3">
      <c r="AE974" s="204" t="s">
        <v>398</v>
      </c>
      <c r="AF974" s="204" t="s">
        <v>398</v>
      </c>
      <c r="AG974" s="204" t="s">
        <v>398</v>
      </c>
      <c r="AS974" s="65" t="str">
        <f>IFERROR(VLOOKUP(#REF!,[1]Lookup!$B$2:$E$115,4,FALSE),"")</f>
        <v/>
      </c>
      <c r="AT974" s="65" t="str">
        <f>IFERROR(VLOOKUP(#REF!,[1]Lookup!$B$2:$E$115,2,FALSE),"")</f>
        <v/>
      </c>
      <c r="AU974" s="65" t="str">
        <f>IFERROR(VLOOKUP(#REF!,[1]Lookup!$B$2:$E$115,3,FALSE),"")</f>
        <v/>
      </c>
    </row>
    <row r="975" spans="31:47" x14ac:dyDescent="0.3">
      <c r="AE975" s="204" t="s">
        <v>398</v>
      </c>
      <c r="AF975" s="204" t="s">
        <v>398</v>
      </c>
      <c r="AG975" s="204" t="s">
        <v>398</v>
      </c>
      <c r="AS975" s="65" t="str">
        <f>IFERROR(VLOOKUP(#REF!,[1]Lookup!$B$2:$E$115,4,FALSE),"")</f>
        <v/>
      </c>
      <c r="AT975" s="65" t="str">
        <f>IFERROR(VLOOKUP(#REF!,[1]Lookup!$B$2:$E$115,2,FALSE),"")</f>
        <v/>
      </c>
      <c r="AU975" s="65" t="str">
        <f>IFERROR(VLOOKUP(#REF!,[1]Lookup!$B$2:$E$115,3,FALSE),"")</f>
        <v/>
      </c>
    </row>
    <row r="976" spans="31:47" x14ac:dyDescent="0.3">
      <c r="AE976" s="204" t="s">
        <v>398</v>
      </c>
      <c r="AF976" s="204" t="s">
        <v>398</v>
      </c>
      <c r="AG976" s="204" t="s">
        <v>398</v>
      </c>
      <c r="AS976" s="65" t="str">
        <f>IFERROR(VLOOKUP(#REF!,[1]Lookup!$B$2:$E$115,4,FALSE),"")</f>
        <v/>
      </c>
      <c r="AT976" s="65" t="str">
        <f>IFERROR(VLOOKUP(#REF!,[1]Lookup!$B$2:$E$115,2,FALSE),"")</f>
        <v/>
      </c>
      <c r="AU976" s="65" t="str">
        <f>IFERROR(VLOOKUP(#REF!,[1]Lookup!$B$2:$E$115,3,FALSE),"")</f>
        <v/>
      </c>
    </row>
    <row r="977" spans="31:47" x14ac:dyDescent="0.3">
      <c r="AE977" s="204" t="s">
        <v>398</v>
      </c>
      <c r="AF977" s="204" t="s">
        <v>398</v>
      </c>
      <c r="AG977" s="204" t="s">
        <v>398</v>
      </c>
      <c r="AS977" s="65" t="str">
        <f>IFERROR(VLOOKUP(#REF!,[1]Lookup!$B$2:$E$115,4,FALSE),"")</f>
        <v/>
      </c>
      <c r="AT977" s="65" t="str">
        <f>IFERROR(VLOOKUP(#REF!,[1]Lookup!$B$2:$E$115,2,FALSE),"")</f>
        <v/>
      </c>
      <c r="AU977" s="65" t="str">
        <f>IFERROR(VLOOKUP(#REF!,[1]Lookup!$B$2:$E$115,3,FALSE),"")</f>
        <v/>
      </c>
    </row>
    <row r="978" spans="31:47" x14ac:dyDescent="0.3">
      <c r="AE978" s="204" t="s">
        <v>398</v>
      </c>
      <c r="AF978" s="204" t="s">
        <v>398</v>
      </c>
      <c r="AG978" s="204" t="s">
        <v>398</v>
      </c>
      <c r="AS978" s="65" t="str">
        <f>IFERROR(VLOOKUP(#REF!,[1]Lookup!$B$2:$E$115,4,FALSE),"")</f>
        <v/>
      </c>
      <c r="AT978" s="65" t="str">
        <f>IFERROR(VLOOKUP(#REF!,[1]Lookup!$B$2:$E$115,2,FALSE),"")</f>
        <v/>
      </c>
      <c r="AU978" s="65" t="str">
        <f>IFERROR(VLOOKUP(#REF!,[1]Lookup!$B$2:$E$115,3,FALSE),"")</f>
        <v/>
      </c>
    </row>
    <row r="979" spans="31:47" x14ac:dyDescent="0.3">
      <c r="AE979" s="204" t="s">
        <v>398</v>
      </c>
      <c r="AF979" s="204" t="s">
        <v>398</v>
      </c>
      <c r="AG979" s="204" t="s">
        <v>398</v>
      </c>
      <c r="AS979" s="65" t="str">
        <f>IFERROR(VLOOKUP(#REF!,[1]Lookup!$B$2:$E$115,4,FALSE),"")</f>
        <v/>
      </c>
      <c r="AT979" s="65" t="str">
        <f>IFERROR(VLOOKUP(#REF!,[1]Lookup!$B$2:$E$115,2,FALSE),"")</f>
        <v/>
      </c>
      <c r="AU979" s="65" t="str">
        <f>IFERROR(VLOOKUP(#REF!,[1]Lookup!$B$2:$E$115,3,FALSE),"")</f>
        <v/>
      </c>
    </row>
    <row r="980" spans="31:47" x14ac:dyDescent="0.3">
      <c r="AE980" s="204" t="s">
        <v>398</v>
      </c>
      <c r="AF980" s="204" t="s">
        <v>398</v>
      </c>
      <c r="AG980" s="204" t="s">
        <v>398</v>
      </c>
      <c r="AS980" s="65" t="str">
        <f>IFERROR(VLOOKUP(#REF!,[1]Lookup!$B$2:$E$115,4,FALSE),"")</f>
        <v/>
      </c>
      <c r="AT980" s="65" t="str">
        <f>IFERROR(VLOOKUP(#REF!,[1]Lookup!$B$2:$E$115,2,FALSE),"")</f>
        <v/>
      </c>
      <c r="AU980" s="65" t="str">
        <f>IFERROR(VLOOKUP(#REF!,[1]Lookup!$B$2:$E$115,3,FALSE),"")</f>
        <v/>
      </c>
    </row>
    <row r="981" spans="31:47" x14ac:dyDescent="0.3">
      <c r="AE981" s="204" t="s">
        <v>398</v>
      </c>
      <c r="AF981" s="204" t="s">
        <v>398</v>
      </c>
      <c r="AG981" s="204" t="s">
        <v>398</v>
      </c>
      <c r="AS981" s="65" t="str">
        <f>IFERROR(VLOOKUP(#REF!,[1]Lookup!$B$2:$E$115,4,FALSE),"")</f>
        <v/>
      </c>
      <c r="AT981" s="65" t="str">
        <f>IFERROR(VLOOKUP(#REF!,[1]Lookup!$B$2:$E$115,2,FALSE),"")</f>
        <v/>
      </c>
      <c r="AU981" s="65" t="str">
        <f>IFERROR(VLOOKUP(#REF!,[1]Lookup!$B$2:$E$115,3,FALSE),"")</f>
        <v/>
      </c>
    </row>
    <row r="982" spans="31:47" x14ac:dyDescent="0.3">
      <c r="AE982" s="204" t="s">
        <v>398</v>
      </c>
      <c r="AF982" s="204" t="s">
        <v>398</v>
      </c>
      <c r="AG982" s="204" t="s">
        <v>398</v>
      </c>
      <c r="AS982" s="65" t="str">
        <f>IFERROR(VLOOKUP(#REF!,[1]Lookup!$B$2:$E$115,4,FALSE),"")</f>
        <v/>
      </c>
      <c r="AT982" s="65" t="str">
        <f>IFERROR(VLOOKUP(#REF!,[1]Lookup!$B$2:$E$115,2,FALSE),"")</f>
        <v/>
      </c>
      <c r="AU982" s="65" t="str">
        <f>IFERROR(VLOOKUP(#REF!,[1]Lookup!$B$2:$E$115,3,FALSE),"")</f>
        <v/>
      </c>
    </row>
    <row r="983" spans="31:47" x14ac:dyDescent="0.3">
      <c r="AE983" s="204" t="s">
        <v>398</v>
      </c>
      <c r="AF983" s="204" t="s">
        <v>398</v>
      </c>
      <c r="AG983" s="204" t="s">
        <v>398</v>
      </c>
      <c r="AS983" s="65" t="str">
        <f>IFERROR(VLOOKUP(#REF!,[1]Lookup!$B$2:$E$115,4,FALSE),"")</f>
        <v/>
      </c>
      <c r="AT983" s="65" t="str">
        <f>IFERROR(VLOOKUP(#REF!,[1]Lookup!$B$2:$E$115,2,FALSE),"")</f>
        <v/>
      </c>
      <c r="AU983" s="65" t="str">
        <f>IFERROR(VLOOKUP(#REF!,[1]Lookup!$B$2:$E$115,3,FALSE),"")</f>
        <v/>
      </c>
    </row>
    <row r="984" spans="31:47" x14ac:dyDescent="0.3">
      <c r="AE984" s="204" t="s">
        <v>398</v>
      </c>
      <c r="AF984" s="204" t="s">
        <v>398</v>
      </c>
      <c r="AG984" s="204" t="s">
        <v>398</v>
      </c>
      <c r="AS984" s="65" t="str">
        <f>IFERROR(VLOOKUP(#REF!,[1]Lookup!$B$2:$E$115,4,FALSE),"")</f>
        <v/>
      </c>
      <c r="AT984" s="65" t="str">
        <f>IFERROR(VLOOKUP(#REF!,[1]Lookup!$B$2:$E$115,2,FALSE),"")</f>
        <v/>
      </c>
      <c r="AU984" s="65" t="str">
        <f>IFERROR(VLOOKUP(#REF!,[1]Lookup!$B$2:$E$115,3,FALSE),"")</f>
        <v/>
      </c>
    </row>
    <row r="985" spans="31:47" x14ac:dyDescent="0.3">
      <c r="AE985" s="204" t="s">
        <v>398</v>
      </c>
      <c r="AF985" s="204" t="s">
        <v>398</v>
      </c>
      <c r="AG985" s="204" t="s">
        <v>398</v>
      </c>
      <c r="AS985" s="65" t="str">
        <f>IFERROR(VLOOKUP(#REF!,[1]Lookup!$B$2:$E$115,4,FALSE),"")</f>
        <v/>
      </c>
      <c r="AT985" s="65" t="str">
        <f>IFERROR(VLOOKUP(#REF!,[1]Lookup!$B$2:$E$115,2,FALSE),"")</f>
        <v/>
      </c>
      <c r="AU985" s="65" t="str">
        <f>IFERROR(VLOOKUP(#REF!,[1]Lookup!$B$2:$E$115,3,FALSE),"")</f>
        <v/>
      </c>
    </row>
    <row r="986" spans="31:47" x14ac:dyDescent="0.3">
      <c r="AE986" s="204" t="s">
        <v>398</v>
      </c>
      <c r="AF986" s="204" t="s">
        <v>398</v>
      </c>
      <c r="AG986" s="204" t="s">
        <v>398</v>
      </c>
      <c r="AS986" s="65" t="str">
        <f>IFERROR(VLOOKUP(#REF!,[1]Lookup!$B$2:$E$115,4,FALSE),"")</f>
        <v/>
      </c>
      <c r="AT986" s="65" t="str">
        <f>IFERROR(VLOOKUP(#REF!,[1]Lookup!$B$2:$E$115,2,FALSE),"")</f>
        <v/>
      </c>
      <c r="AU986" s="65" t="str">
        <f>IFERROR(VLOOKUP(#REF!,[1]Lookup!$B$2:$E$115,3,FALSE),"")</f>
        <v/>
      </c>
    </row>
    <row r="987" spans="31:47" x14ac:dyDescent="0.3">
      <c r="AE987" s="204" t="s">
        <v>398</v>
      </c>
      <c r="AF987" s="204" t="s">
        <v>398</v>
      </c>
      <c r="AG987" s="204" t="s">
        <v>398</v>
      </c>
      <c r="AS987" s="65" t="str">
        <f>IFERROR(VLOOKUP(#REF!,[1]Lookup!$B$2:$E$115,4,FALSE),"")</f>
        <v/>
      </c>
      <c r="AT987" s="65" t="str">
        <f>IFERROR(VLOOKUP(#REF!,[1]Lookup!$B$2:$E$115,2,FALSE),"")</f>
        <v/>
      </c>
      <c r="AU987" s="65" t="str">
        <f>IFERROR(VLOOKUP(#REF!,[1]Lookup!$B$2:$E$115,3,FALSE),"")</f>
        <v/>
      </c>
    </row>
    <row r="988" spans="31:47" x14ac:dyDescent="0.3">
      <c r="AE988" s="204" t="s">
        <v>398</v>
      </c>
      <c r="AF988" s="204" t="s">
        <v>398</v>
      </c>
      <c r="AG988" s="204" t="s">
        <v>398</v>
      </c>
      <c r="AS988" s="65" t="str">
        <f>IFERROR(VLOOKUP(#REF!,[1]Lookup!$B$2:$E$115,4,FALSE),"")</f>
        <v/>
      </c>
      <c r="AT988" s="65" t="str">
        <f>IFERROR(VLOOKUP(#REF!,[1]Lookup!$B$2:$E$115,2,FALSE),"")</f>
        <v/>
      </c>
      <c r="AU988" s="65" t="str">
        <f>IFERROR(VLOOKUP(#REF!,[1]Lookup!$B$2:$E$115,3,FALSE),"")</f>
        <v/>
      </c>
    </row>
    <row r="989" spans="31:47" x14ac:dyDescent="0.3">
      <c r="AE989" s="204" t="s">
        <v>398</v>
      </c>
      <c r="AF989" s="204" t="s">
        <v>398</v>
      </c>
      <c r="AG989" s="204" t="s">
        <v>398</v>
      </c>
      <c r="AS989" s="65" t="str">
        <f>IFERROR(VLOOKUP(#REF!,[1]Lookup!$B$2:$E$115,4,FALSE),"")</f>
        <v/>
      </c>
      <c r="AT989" s="65" t="str">
        <f>IFERROR(VLOOKUP(#REF!,[1]Lookup!$B$2:$E$115,2,FALSE),"")</f>
        <v/>
      </c>
      <c r="AU989" s="65" t="str">
        <f>IFERROR(VLOOKUP(#REF!,[1]Lookup!$B$2:$E$115,3,FALSE),"")</f>
        <v/>
      </c>
    </row>
    <row r="990" spans="31:47" x14ac:dyDescent="0.3">
      <c r="AE990" s="204" t="s">
        <v>398</v>
      </c>
      <c r="AF990" s="204" t="s">
        <v>398</v>
      </c>
      <c r="AG990" s="204" t="s">
        <v>398</v>
      </c>
      <c r="AS990" s="65" t="str">
        <f>IFERROR(VLOOKUP(#REF!,[1]Lookup!$B$2:$E$115,4,FALSE),"")</f>
        <v/>
      </c>
      <c r="AT990" s="65" t="str">
        <f>IFERROR(VLOOKUP(#REF!,[1]Lookup!$B$2:$E$115,2,FALSE),"")</f>
        <v/>
      </c>
      <c r="AU990" s="65" t="str">
        <f>IFERROR(VLOOKUP(#REF!,[1]Lookup!$B$2:$E$115,3,FALSE),"")</f>
        <v/>
      </c>
    </row>
    <row r="991" spans="31:47" x14ac:dyDescent="0.3">
      <c r="AE991" s="204" t="s">
        <v>398</v>
      </c>
      <c r="AF991" s="204" t="s">
        <v>398</v>
      </c>
      <c r="AG991" s="204" t="s">
        <v>398</v>
      </c>
      <c r="AS991" s="65" t="str">
        <f>IFERROR(VLOOKUP(#REF!,[1]Lookup!$B$2:$E$115,4,FALSE),"")</f>
        <v/>
      </c>
      <c r="AT991" s="65" t="str">
        <f>IFERROR(VLOOKUP(#REF!,[1]Lookup!$B$2:$E$115,2,FALSE),"")</f>
        <v/>
      </c>
      <c r="AU991" s="65" t="str">
        <f>IFERROR(VLOOKUP(#REF!,[1]Lookup!$B$2:$E$115,3,FALSE),"")</f>
        <v/>
      </c>
    </row>
    <row r="992" spans="31:47" x14ac:dyDescent="0.3">
      <c r="AE992" s="204" t="s">
        <v>398</v>
      </c>
      <c r="AF992" s="204" t="s">
        <v>398</v>
      </c>
      <c r="AG992" s="204" t="s">
        <v>398</v>
      </c>
      <c r="AS992" s="65" t="str">
        <f>IFERROR(VLOOKUP(#REF!,[1]Lookup!$B$2:$E$115,4,FALSE),"")</f>
        <v/>
      </c>
      <c r="AT992" s="65" t="str">
        <f>IFERROR(VLOOKUP(#REF!,[1]Lookup!$B$2:$E$115,2,FALSE),"")</f>
        <v/>
      </c>
      <c r="AU992" s="65" t="str">
        <f>IFERROR(VLOOKUP(#REF!,[1]Lookup!$B$2:$E$115,3,FALSE),"")</f>
        <v/>
      </c>
    </row>
    <row r="993" spans="31:47" x14ac:dyDescent="0.3">
      <c r="AE993" s="204" t="s">
        <v>398</v>
      </c>
      <c r="AF993" s="204" t="s">
        <v>398</v>
      </c>
      <c r="AG993" s="204" t="s">
        <v>398</v>
      </c>
      <c r="AS993" s="65" t="str">
        <f>IFERROR(VLOOKUP(#REF!,[1]Lookup!$B$2:$E$115,4,FALSE),"")</f>
        <v/>
      </c>
      <c r="AT993" s="65" t="str">
        <f>IFERROR(VLOOKUP(#REF!,[1]Lookup!$B$2:$E$115,2,FALSE),"")</f>
        <v/>
      </c>
      <c r="AU993" s="65" t="str">
        <f>IFERROR(VLOOKUP(#REF!,[1]Lookup!$B$2:$E$115,3,FALSE),"")</f>
        <v/>
      </c>
    </row>
    <row r="994" spans="31:47" x14ac:dyDescent="0.3">
      <c r="AE994" s="204" t="s">
        <v>398</v>
      </c>
      <c r="AF994" s="204" t="s">
        <v>398</v>
      </c>
      <c r="AG994" s="204" t="s">
        <v>398</v>
      </c>
      <c r="AS994" s="65" t="str">
        <f>IFERROR(VLOOKUP(#REF!,[1]Lookup!$B$2:$E$115,4,FALSE),"")</f>
        <v/>
      </c>
      <c r="AT994" s="65" t="str">
        <f>IFERROR(VLOOKUP(#REF!,[1]Lookup!$B$2:$E$115,2,FALSE),"")</f>
        <v/>
      </c>
      <c r="AU994" s="65" t="str">
        <f>IFERROR(VLOOKUP(#REF!,[1]Lookup!$B$2:$E$115,3,FALSE),"")</f>
        <v/>
      </c>
    </row>
    <row r="995" spans="31:47" x14ac:dyDescent="0.3">
      <c r="AE995" s="204" t="s">
        <v>398</v>
      </c>
      <c r="AF995" s="204" t="s">
        <v>398</v>
      </c>
      <c r="AG995" s="204" t="s">
        <v>398</v>
      </c>
      <c r="AS995" s="65" t="str">
        <f>IFERROR(VLOOKUP(#REF!,[1]Lookup!$B$2:$E$115,4,FALSE),"")</f>
        <v/>
      </c>
      <c r="AT995" s="65" t="str">
        <f>IFERROR(VLOOKUP(#REF!,[1]Lookup!$B$2:$E$115,2,FALSE),"")</f>
        <v/>
      </c>
      <c r="AU995" s="65" t="str">
        <f>IFERROR(VLOOKUP(#REF!,[1]Lookup!$B$2:$E$115,3,FALSE),"")</f>
        <v/>
      </c>
    </row>
    <row r="996" spans="31:47" x14ac:dyDescent="0.3">
      <c r="AE996" s="204" t="s">
        <v>398</v>
      </c>
      <c r="AF996" s="204" t="s">
        <v>398</v>
      </c>
      <c r="AG996" s="204" t="s">
        <v>398</v>
      </c>
      <c r="AS996" s="65" t="str">
        <f>IFERROR(VLOOKUP(#REF!,[1]Lookup!$B$2:$E$115,4,FALSE),"")</f>
        <v/>
      </c>
      <c r="AT996" s="65" t="str">
        <f>IFERROR(VLOOKUP(#REF!,[1]Lookup!$B$2:$E$115,2,FALSE),"")</f>
        <v/>
      </c>
      <c r="AU996" s="65" t="str">
        <f>IFERROR(VLOOKUP(#REF!,[1]Lookup!$B$2:$E$115,3,FALSE),"")</f>
        <v/>
      </c>
    </row>
    <row r="997" spans="31:47" x14ac:dyDescent="0.3">
      <c r="AE997" s="204" t="s">
        <v>398</v>
      </c>
      <c r="AF997" s="204" t="s">
        <v>398</v>
      </c>
      <c r="AG997" s="204" t="s">
        <v>398</v>
      </c>
      <c r="AS997" s="65" t="str">
        <f>IFERROR(VLOOKUP(#REF!,[1]Lookup!$B$2:$E$115,4,FALSE),"")</f>
        <v/>
      </c>
      <c r="AT997" s="65" t="str">
        <f>IFERROR(VLOOKUP(#REF!,[1]Lookup!$B$2:$E$115,2,FALSE),"")</f>
        <v/>
      </c>
      <c r="AU997" s="65" t="str">
        <f>IFERROR(VLOOKUP(#REF!,[1]Lookup!$B$2:$E$115,3,FALSE),"")</f>
        <v/>
      </c>
    </row>
    <row r="998" spans="31:47" x14ac:dyDescent="0.3">
      <c r="AE998" s="204" t="s">
        <v>398</v>
      </c>
      <c r="AF998" s="204" t="s">
        <v>398</v>
      </c>
      <c r="AG998" s="204" t="s">
        <v>398</v>
      </c>
      <c r="AS998" s="65" t="str">
        <f>IFERROR(VLOOKUP(#REF!,[1]Lookup!$B$2:$E$115,4,FALSE),"")</f>
        <v/>
      </c>
      <c r="AT998" s="65" t="str">
        <f>IFERROR(VLOOKUP(#REF!,[1]Lookup!$B$2:$E$115,2,FALSE),"")</f>
        <v/>
      </c>
      <c r="AU998" s="65" t="str">
        <f>IFERROR(VLOOKUP(#REF!,[1]Lookup!$B$2:$E$115,3,FALSE),"")</f>
        <v/>
      </c>
    </row>
    <row r="999" spans="31:47" x14ac:dyDescent="0.3">
      <c r="AE999" s="204" t="s">
        <v>398</v>
      </c>
      <c r="AF999" s="204" t="s">
        <v>398</v>
      </c>
      <c r="AG999" s="204" t="s">
        <v>398</v>
      </c>
      <c r="AS999" s="65" t="str">
        <f>IFERROR(VLOOKUP(#REF!,[1]Lookup!$B$2:$E$115,4,FALSE),"")</f>
        <v/>
      </c>
      <c r="AT999" s="65" t="str">
        <f>IFERROR(VLOOKUP(#REF!,[1]Lookup!$B$2:$E$115,2,FALSE),"")</f>
        <v/>
      </c>
      <c r="AU999" s="65" t="str">
        <f>IFERROR(VLOOKUP(#REF!,[1]Lookup!$B$2:$E$115,3,FALSE),"")</f>
        <v/>
      </c>
    </row>
    <row r="1000" spans="31:47" x14ac:dyDescent="0.3">
      <c r="AE1000" s="204" t="s">
        <v>398</v>
      </c>
      <c r="AF1000" s="204" t="s">
        <v>398</v>
      </c>
      <c r="AG1000" s="204" t="s">
        <v>398</v>
      </c>
      <c r="AS1000" s="65" t="str">
        <f>IFERROR(VLOOKUP(#REF!,[1]Lookup!$B$2:$E$115,4,FALSE),"")</f>
        <v/>
      </c>
      <c r="AT1000" s="65" t="str">
        <f>IFERROR(VLOOKUP(#REF!,[1]Lookup!$B$2:$E$115,2,FALSE),"")</f>
        <v/>
      </c>
      <c r="AU1000" s="65" t="str">
        <f>IFERROR(VLOOKUP(#REF!,[1]Lookup!$B$2:$E$115,3,FALSE),"")</f>
        <v/>
      </c>
    </row>
    <row r="1001" spans="31:47" x14ac:dyDescent="0.3">
      <c r="AE1001" s="204" t="s">
        <v>398</v>
      </c>
      <c r="AF1001" s="204" t="s">
        <v>398</v>
      </c>
      <c r="AG1001" s="204" t="s">
        <v>398</v>
      </c>
      <c r="AS1001" s="65" t="str">
        <f>IFERROR(VLOOKUP(#REF!,[1]Lookup!$B$2:$E$115,4,FALSE),"")</f>
        <v/>
      </c>
      <c r="AT1001" s="65" t="str">
        <f>IFERROR(VLOOKUP(#REF!,[1]Lookup!$B$2:$E$115,2,FALSE),"")</f>
        <v/>
      </c>
      <c r="AU1001" s="65" t="str">
        <f>IFERROR(VLOOKUP(#REF!,[1]Lookup!$B$2:$E$115,3,FALSE),"")</f>
        <v/>
      </c>
    </row>
    <row r="1002" spans="31:47" x14ac:dyDescent="0.3">
      <c r="AE1002" s="204" t="s">
        <v>398</v>
      </c>
      <c r="AF1002" s="204" t="s">
        <v>398</v>
      </c>
      <c r="AG1002" s="204" t="s">
        <v>398</v>
      </c>
      <c r="AS1002" s="65" t="str">
        <f>IFERROR(VLOOKUP(#REF!,[1]Lookup!$B$2:$E$115,4,FALSE),"")</f>
        <v/>
      </c>
      <c r="AT1002" s="65" t="str">
        <f>IFERROR(VLOOKUP(#REF!,[1]Lookup!$B$2:$E$115,2,FALSE),"")</f>
        <v/>
      </c>
      <c r="AU1002" s="65" t="str">
        <f>IFERROR(VLOOKUP(#REF!,[1]Lookup!$B$2:$E$115,3,FALSE),"")</f>
        <v/>
      </c>
    </row>
    <row r="1003" spans="31:47" x14ac:dyDescent="0.3">
      <c r="AE1003" s="204" t="s">
        <v>398</v>
      </c>
      <c r="AF1003" s="204" t="s">
        <v>398</v>
      </c>
      <c r="AG1003" s="204" t="s">
        <v>398</v>
      </c>
      <c r="AS1003" s="65" t="str">
        <f>IFERROR(VLOOKUP(#REF!,[1]Lookup!$B$2:$E$115,4,FALSE),"")</f>
        <v/>
      </c>
      <c r="AT1003" s="65" t="str">
        <f>IFERROR(VLOOKUP(#REF!,[1]Lookup!$B$2:$E$115,2,FALSE),"")</f>
        <v/>
      </c>
      <c r="AU1003" s="65" t="str">
        <f>IFERROR(VLOOKUP(#REF!,[1]Lookup!$B$2:$E$115,3,FALSE),"")</f>
        <v/>
      </c>
    </row>
    <row r="1004" spans="31:47" x14ac:dyDescent="0.3">
      <c r="AE1004" s="204" t="s">
        <v>398</v>
      </c>
      <c r="AF1004" s="204" t="s">
        <v>398</v>
      </c>
      <c r="AG1004" s="204" t="s">
        <v>398</v>
      </c>
      <c r="AS1004" s="65" t="str">
        <f>IFERROR(VLOOKUP(#REF!,[1]Lookup!$B$2:$E$115,4,FALSE),"")</f>
        <v/>
      </c>
      <c r="AT1004" s="65" t="str">
        <f>IFERROR(VLOOKUP(#REF!,[1]Lookup!$B$2:$E$115,2,FALSE),"")</f>
        <v/>
      </c>
      <c r="AU1004" s="65" t="str">
        <f>IFERROR(VLOOKUP(#REF!,[1]Lookup!$B$2:$E$115,3,FALSE),"")</f>
        <v/>
      </c>
    </row>
    <row r="1005" spans="31:47" x14ac:dyDescent="0.3">
      <c r="AE1005" s="204" t="s">
        <v>398</v>
      </c>
      <c r="AF1005" s="204" t="s">
        <v>398</v>
      </c>
      <c r="AG1005" s="204" t="s">
        <v>398</v>
      </c>
      <c r="AS1005" s="65" t="str">
        <f>IFERROR(VLOOKUP(#REF!,[1]Lookup!$B$2:$E$115,4,FALSE),"")</f>
        <v/>
      </c>
      <c r="AT1005" s="65" t="str">
        <f>IFERROR(VLOOKUP(#REF!,[1]Lookup!$B$2:$E$115,2,FALSE),"")</f>
        <v/>
      </c>
      <c r="AU1005" s="65" t="str">
        <f>IFERROR(VLOOKUP(#REF!,[1]Lookup!$B$2:$E$115,3,FALSE),"")</f>
        <v/>
      </c>
    </row>
    <row r="1006" spans="31:47" x14ac:dyDescent="0.3">
      <c r="AE1006" s="204" t="s">
        <v>398</v>
      </c>
      <c r="AF1006" s="204" t="s">
        <v>398</v>
      </c>
      <c r="AG1006" s="204" t="s">
        <v>398</v>
      </c>
      <c r="AS1006" s="65" t="str">
        <f>IFERROR(VLOOKUP(#REF!,[1]Lookup!$B$2:$E$115,4,FALSE),"")</f>
        <v/>
      </c>
      <c r="AT1006" s="65" t="str">
        <f>IFERROR(VLOOKUP(#REF!,[1]Lookup!$B$2:$E$115,2,FALSE),"")</f>
        <v/>
      </c>
      <c r="AU1006" s="65" t="str">
        <f>IFERROR(VLOOKUP(#REF!,[1]Lookup!$B$2:$E$115,3,FALSE),"")</f>
        <v/>
      </c>
    </row>
    <row r="1007" spans="31:47" x14ac:dyDescent="0.3">
      <c r="AE1007" s="204" t="s">
        <v>398</v>
      </c>
      <c r="AF1007" s="204" t="s">
        <v>398</v>
      </c>
      <c r="AG1007" s="204" t="s">
        <v>398</v>
      </c>
      <c r="AS1007" s="65" t="str">
        <f>IFERROR(VLOOKUP(#REF!,[1]Lookup!$B$2:$E$115,4,FALSE),"")</f>
        <v/>
      </c>
      <c r="AT1007" s="65" t="str">
        <f>IFERROR(VLOOKUP(#REF!,[1]Lookup!$B$2:$E$115,2,FALSE),"")</f>
        <v/>
      </c>
      <c r="AU1007" s="65" t="str">
        <f>IFERROR(VLOOKUP(#REF!,[1]Lookup!$B$2:$E$115,3,FALSE),"")</f>
        <v/>
      </c>
    </row>
    <row r="1008" spans="31:47" x14ac:dyDescent="0.3">
      <c r="AE1008" s="204" t="s">
        <v>398</v>
      </c>
      <c r="AF1008" s="204" t="s">
        <v>398</v>
      </c>
      <c r="AG1008" s="204" t="s">
        <v>398</v>
      </c>
      <c r="AS1008" s="65" t="str">
        <f>IFERROR(VLOOKUP(#REF!,[1]Lookup!$B$2:$E$115,4,FALSE),"")</f>
        <v/>
      </c>
      <c r="AT1008" s="65" t="str">
        <f>IFERROR(VLOOKUP(#REF!,[1]Lookup!$B$2:$E$115,2,FALSE),"")</f>
        <v/>
      </c>
      <c r="AU1008" s="65" t="str">
        <f>IFERROR(VLOOKUP(#REF!,[1]Lookup!$B$2:$E$115,3,FALSE),"")</f>
        <v/>
      </c>
    </row>
    <row r="1009" spans="31:47" x14ac:dyDescent="0.3">
      <c r="AE1009" s="204" t="s">
        <v>398</v>
      </c>
      <c r="AF1009" s="204" t="s">
        <v>398</v>
      </c>
      <c r="AG1009" s="204" t="s">
        <v>398</v>
      </c>
      <c r="AS1009" s="65" t="str">
        <f>IFERROR(VLOOKUP(#REF!,[1]Lookup!$B$2:$E$115,4,FALSE),"")</f>
        <v/>
      </c>
      <c r="AT1009" s="65" t="str">
        <f>IFERROR(VLOOKUP(#REF!,[1]Lookup!$B$2:$E$115,2,FALSE),"")</f>
        <v/>
      </c>
      <c r="AU1009" s="65" t="str">
        <f>IFERROR(VLOOKUP(#REF!,[1]Lookup!$B$2:$E$115,3,FALSE),"")</f>
        <v/>
      </c>
    </row>
    <row r="1010" spans="31:47" x14ac:dyDescent="0.3">
      <c r="AE1010" s="204" t="s">
        <v>398</v>
      </c>
      <c r="AF1010" s="204" t="s">
        <v>398</v>
      </c>
      <c r="AG1010" s="204" t="s">
        <v>398</v>
      </c>
      <c r="AS1010" s="65" t="str">
        <f>IFERROR(VLOOKUP(#REF!,[1]Lookup!$B$2:$E$115,4,FALSE),"")</f>
        <v/>
      </c>
      <c r="AT1010" s="65" t="str">
        <f>IFERROR(VLOOKUP(#REF!,[1]Lookup!$B$2:$E$115,2,FALSE),"")</f>
        <v/>
      </c>
      <c r="AU1010" s="65" t="str">
        <f>IFERROR(VLOOKUP(#REF!,[1]Lookup!$B$2:$E$115,3,FALSE),"")</f>
        <v/>
      </c>
    </row>
    <row r="1011" spans="31:47" x14ac:dyDescent="0.3">
      <c r="AE1011" s="204" t="s">
        <v>398</v>
      </c>
      <c r="AF1011" s="204" t="s">
        <v>398</v>
      </c>
      <c r="AG1011" s="204" t="s">
        <v>398</v>
      </c>
      <c r="AS1011" s="65" t="str">
        <f>IFERROR(VLOOKUP(#REF!,[1]Lookup!$B$2:$E$115,4,FALSE),"")</f>
        <v/>
      </c>
      <c r="AT1011" s="65" t="str">
        <f>IFERROR(VLOOKUP(#REF!,[1]Lookup!$B$2:$E$115,2,FALSE),"")</f>
        <v/>
      </c>
      <c r="AU1011" s="65" t="str">
        <f>IFERROR(VLOOKUP(#REF!,[1]Lookup!$B$2:$E$115,3,FALSE),"")</f>
        <v/>
      </c>
    </row>
    <row r="1012" spans="31:47" x14ac:dyDescent="0.3">
      <c r="AE1012" s="204" t="s">
        <v>398</v>
      </c>
      <c r="AF1012" s="204" t="s">
        <v>398</v>
      </c>
      <c r="AG1012" s="204" t="s">
        <v>398</v>
      </c>
      <c r="AS1012" s="65" t="str">
        <f>IFERROR(VLOOKUP(#REF!,[1]Lookup!$B$2:$E$115,4,FALSE),"")</f>
        <v/>
      </c>
      <c r="AT1012" s="65" t="str">
        <f>IFERROR(VLOOKUP(#REF!,[1]Lookup!$B$2:$E$115,2,FALSE),"")</f>
        <v/>
      </c>
      <c r="AU1012" s="65" t="str">
        <f>IFERROR(VLOOKUP(#REF!,[1]Lookup!$B$2:$E$115,3,FALSE),"")</f>
        <v/>
      </c>
    </row>
    <row r="1013" spans="31:47" x14ac:dyDescent="0.3">
      <c r="AE1013" s="204" t="s">
        <v>398</v>
      </c>
      <c r="AF1013" s="204" t="s">
        <v>398</v>
      </c>
      <c r="AG1013" s="204" t="s">
        <v>398</v>
      </c>
      <c r="AS1013" s="65" t="str">
        <f>IFERROR(VLOOKUP(#REF!,[1]Lookup!$B$2:$E$115,4,FALSE),"")</f>
        <v/>
      </c>
      <c r="AT1013" s="65" t="str">
        <f>IFERROR(VLOOKUP(#REF!,[1]Lookup!$B$2:$E$115,2,FALSE),"")</f>
        <v/>
      </c>
      <c r="AU1013" s="65" t="str">
        <f>IFERROR(VLOOKUP(#REF!,[1]Lookup!$B$2:$E$115,3,FALSE),"")</f>
        <v/>
      </c>
    </row>
    <row r="1014" spans="31:47" x14ac:dyDescent="0.3">
      <c r="AE1014" s="204" t="s">
        <v>398</v>
      </c>
      <c r="AF1014" s="204" t="s">
        <v>398</v>
      </c>
      <c r="AG1014" s="204" t="s">
        <v>398</v>
      </c>
      <c r="AS1014" s="65" t="str">
        <f>IFERROR(VLOOKUP(#REF!,[1]Lookup!$B$2:$E$115,4,FALSE),"")</f>
        <v/>
      </c>
      <c r="AT1014" s="65" t="str">
        <f>IFERROR(VLOOKUP(#REF!,[1]Lookup!$B$2:$E$115,2,FALSE),"")</f>
        <v/>
      </c>
      <c r="AU1014" s="65" t="str">
        <f>IFERROR(VLOOKUP(#REF!,[1]Lookup!$B$2:$E$115,3,FALSE),"")</f>
        <v/>
      </c>
    </row>
    <row r="1015" spans="31:47" x14ac:dyDescent="0.3">
      <c r="AE1015" s="204" t="s">
        <v>398</v>
      </c>
      <c r="AF1015" s="204" t="s">
        <v>398</v>
      </c>
      <c r="AG1015" s="204" t="s">
        <v>398</v>
      </c>
      <c r="AS1015" s="65" t="str">
        <f>IFERROR(VLOOKUP(#REF!,[1]Lookup!$B$2:$E$115,4,FALSE),"")</f>
        <v/>
      </c>
      <c r="AT1015" s="65" t="str">
        <f>IFERROR(VLOOKUP(#REF!,[1]Lookup!$B$2:$E$115,2,FALSE),"")</f>
        <v/>
      </c>
      <c r="AU1015" s="65" t="str">
        <f>IFERROR(VLOOKUP(#REF!,[1]Lookup!$B$2:$E$115,3,FALSE),"")</f>
        <v/>
      </c>
    </row>
    <row r="1016" spans="31:47" x14ac:dyDescent="0.3">
      <c r="AE1016" s="204" t="s">
        <v>398</v>
      </c>
      <c r="AF1016" s="204" t="s">
        <v>398</v>
      </c>
      <c r="AG1016" s="204" t="s">
        <v>398</v>
      </c>
      <c r="AS1016" s="65" t="str">
        <f>IFERROR(VLOOKUP(#REF!,[1]Lookup!$B$2:$E$115,4,FALSE),"")</f>
        <v/>
      </c>
      <c r="AT1016" s="65" t="str">
        <f>IFERROR(VLOOKUP(#REF!,[1]Lookup!$B$2:$E$115,2,FALSE),"")</f>
        <v/>
      </c>
      <c r="AU1016" s="65" t="str">
        <f>IFERROR(VLOOKUP(#REF!,[1]Lookup!$B$2:$E$115,3,FALSE),"")</f>
        <v/>
      </c>
    </row>
    <row r="1017" spans="31:47" x14ac:dyDescent="0.3">
      <c r="AE1017" s="204" t="s">
        <v>398</v>
      </c>
      <c r="AF1017" s="204" t="s">
        <v>398</v>
      </c>
      <c r="AG1017" s="204" t="s">
        <v>398</v>
      </c>
      <c r="AS1017" s="65" t="str">
        <f>IFERROR(VLOOKUP(#REF!,[1]Lookup!$B$2:$E$115,4,FALSE),"")</f>
        <v/>
      </c>
      <c r="AT1017" s="65" t="str">
        <f>IFERROR(VLOOKUP(#REF!,[1]Lookup!$B$2:$E$115,2,FALSE),"")</f>
        <v/>
      </c>
      <c r="AU1017" s="65" t="str">
        <f>IFERROR(VLOOKUP(#REF!,[1]Lookup!$B$2:$E$115,3,FALSE),"")</f>
        <v/>
      </c>
    </row>
    <row r="1018" spans="31:47" x14ac:dyDescent="0.3">
      <c r="AE1018" s="204" t="s">
        <v>398</v>
      </c>
      <c r="AF1018" s="204" t="s">
        <v>398</v>
      </c>
      <c r="AG1018" s="204" t="s">
        <v>398</v>
      </c>
      <c r="AS1018" s="65" t="str">
        <f>IFERROR(VLOOKUP(#REF!,[1]Lookup!$B$2:$E$115,4,FALSE),"")</f>
        <v/>
      </c>
      <c r="AT1018" s="65" t="str">
        <f>IFERROR(VLOOKUP(#REF!,[1]Lookup!$B$2:$E$115,2,FALSE),"")</f>
        <v/>
      </c>
      <c r="AU1018" s="65" t="str">
        <f>IFERROR(VLOOKUP(#REF!,[1]Lookup!$B$2:$E$115,3,FALSE),"")</f>
        <v/>
      </c>
    </row>
    <row r="1019" spans="31:47" x14ac:dyDescent="0.3">
      <c r="AE1019" s="204" t="s">
        <v>398</v>
      </c>
      <c r="AF1019" s="204" t="s">
        <v>398</v>
      </c>
      <c r="AG1019" s="204" t="s">
        <v>398</v>
      </c>
      <c r="AS1019" s="65" t="str">
        <f>IFERROR(VLOOKUP(#REF!,[1]Lookup!$B$2:$E$115,4,FALSE),"")</f>
        <v/>
      </c>
      <c r="AT1019" s="65" t="str">
        <f>IFERROR(VLOOKUP(#REF!,[1]Lookup!$B$2:$E$115,2,FALSE),"")</f>
        <v/>
      </c>
      <c r="AU1019" s="65" t="str">
        <f>IFERROR(VLOOKUP(#REF!,[1]Lookup!$B$2:$E$115,3,FALSE),"")</f>
        <v/>
      </c>
    </row>
    <row r="1020" spans="31:47" x14ac:dyDescent="0.3">
      <c r="AE1020" s="204" t="s">
        <v>398</v>
      </c>
      <c r="AF1020" s="204" t="s">
        <v>398</v>
      </c>
      <c r="AG1020" s="204" t="s">
        <v>398</v>
      </c>
      <c r="AS1020" s="65" t="str">
        <f>IFERROR(VLOOKUP(#REF!,[1]Lookup!$B$2:$E$115,4,FALSE),"")</f>
        <v/>
      </c>
      <c r="AT1020" s="65" t="str">
        <f>IFERROR(VLOOKUP(#REF!,[1]Lookup!$B$2:$E$115,2,FALSE),"")</f>
        <v/>
      </c>
      <c r="AU1020" s="65" t="str">
        <f>IFERROR(VLOOKUP(#REF!,[1]Lookup!$B$2:$E$115,3,FALSE),"")</f>
        <v/>
      </c>
    </row>
    <row r="1021" spans="31:47" x14ac:dyDescent="0.3">
      <c r="AE1021" s="204" t="s">
        <v>398</v>
      </c>
      <c r="AF1021" s="204" t="s">
        <v>398</v>
      </c>
      <c r="AG1021" s="204" t="s">
        <v>398</v>
      </c>
      <c r="AS1021" s="65" t="str">
        <f>IFERROR(VLOOKUP(#REF!,[1]Lookup!$B$2:$E$115,4,FALSE),"")</f>
        <v/>
      </c>
      <c r="AT1021" s="65" t="str">
        <f>IFERROR(VLOOKUP(#REF!,[1]Lookup!$B$2:$E$115,2,FALSE),"")</f>
        <v/>
      </c>
      <c r="AU1021" s="65" t="str">
        <f>IFERROR(VLOOKUP(#REF!,[1]Lookup!$B$2:$E$115,3,FALSE),"")</f>
        <v/>
      </c>
    </row>
    <row r="1022" spans="31:47" x14ac:dyDescent="0.3">
      <c r="AE1022" s="204" t="s">
        <v>398</v>
      </c>
      <c r="AF1022" s="204" t="s">
        <v>398</v>
      </c>
      <c r="AG1022" s="204" t="s">
        <v>398</v>
      </c>
      <c r="AS1022" s="65" t="str">
        <f>IFERROR(VLOOKUP(#REF!,[1]Lookup!$B$2:$E$115,4,FALSE),"")</f>
        <v/>
      </c>
      <c r="AT1022" s="65" t="str">
        <f>IFERROR(VLOOKUP(#REF!,[1]Lookup!$B$2:$E$115,2,FALSE),"")</f>
        <v/>
      </c>
      <c r="AU1022" s="65" t="str">
        <f>IFERROR(VLOOKUP(#REF!,[1]Lookup!$B$2:$E$115,3,FALSE),"")</f>
        <v/>
      </c>
    </row>
    <row r="1023" spans="31:47" x14ac:dyDescent="0.3">
      <c r="AE1023" s="204" t="s">
        <v>398</v>
      </c>
      <c r="AF1023" s="204" t="s">
        <v>398</v>
      </c>
      <c r="AG1023" s="204" t="s">
        <v>398</v>
      </c>
      <c r="AS1023" s="65" t="str">
        <f>IFERROR(VLOOKUP(#REF!,[1]Lookup!$B$2:$E$115,4,FALSE),"")</f>
        <v/>
      </c>
      <c r="AT1023" s="65" t="str">
        <f>IFERROR(VLOOKUP(#REF!,[1]Lookup!$B$2:$E$115,2,FALSE),"")</f>
        <v/>
      </c>
      <c r="AU1023" s="65" t="str">
        <f>IFERROR(VLOOKUP(#REF!,[1]Lookup!$B$2:$E$115,3,FALSE),"")</f>
        <v/>
      </c>
    </row>
    <row r="1024" spans="31:47" x14ac:dyDescent="0.3">
      <c r="AE1024" s="204" t="s">
        <v>398</v>
      </c>
      <c r="AF1024" s="204" t="s">
        <v>398</v>
      </c>
      <c r="AG1024" s="204" t="s">
        <v>398</v>
      </c>
      <c r="AS1024" s="65" t="str">
        <f>IFERROR(VLOOKUP(#REF!,[1]Lookup!$B$2:$E$115,4,FALSE),"")</f>
        <v/>
      </c>
      <c r="AT1024" s="65" t="str">
        <f>IFERROR(VLOOKUP(#REF!,[1]Lookup!$B$2:$E$115,2,FALSE),"")</f>
        <v/>
      </c>
      <c r="AU1024" s="65" t="str">
        <f>IFERROR(VLOOKUP(#REF!,[1]Lookup!$B$2:$E$115,3,FALSE),"")</f>
        <v/>
      </c>
    </row>
    <row r="1025" spans="31:47" x14ac:dyDescent="0.3">
      <c r="AE1025" s="204" t="s">
        <v>398</v>
      </c>
      <c r="AF1025" s="204" t="s">
        <v>398</v>
      </c>
      <c r="AG1025" s="204" t="s">
        <v>398</v>
      </c>
      <c r="AS1025" s="65" t="str">
        <f>IFERROR(VLOOKUP(#REF!,[1]Lookup!$B$2:$E$115,4,FALSE),"")</f>
        <v/>
      </c>
      <c r="AT1025" s="65" t="str">
        <f>IFERROR(VLOOKUP(#REF!,[1]Lookup!$B$2:$E$115,2,FALSE),"")</f>
        <v/>
      </c>
      <c r="AU1025" s="65" t="str">
        <f>IFERROR(VLOOKUP(#REF!,[1]Lookup!$B$2:$E$115,3,FALSE),"")</f>
        <v/>
      </c>
    </row>
    <row r="1026" spans="31:47" x14ac:dyDescent="0.3">
      <c r="AE1026" s="204" t="s">
        <v>398</v>
      </c>
      <c r="AF1026" s="204" t="s">
        <v>398</v>
      </c>
      <c r="AG1026" s="204" t="s">
        <v>398</v>
      </c>
      <c r="AS1026" s="65" t="str">
        <f>IFERROR(VLOOKUP(#REF!,[1]Lookup!$B$2:$E$115,4,FALSE),"")</f>
        <v/>
      </c>
      <c r="AT1026" s="65" t="str">
        <f>IFERROR(VLOOKUP(#REF!,[1]Lookup!$B$2:$E$115,2,FALSE),"")</f>
        <v/>
      </c>
      <c r="AU1026" s="65" t="str">
        <f>IFERROR(VLOOKUP(#REF!,[1]Lookup!$B$2:$E$115,3,FALSE),"")</f>
        <v/>
      </c>
    </row>
    <row r="1027" spans="31:47" x14ac:dyDescent="0.3">
      <c r="AE1027" s="204" t="s">
        <v>398</v>
      </c>
      <c r="AF1027" s="204" t="s">
        <v>398</v>
      </c>
      <c r="AG1027" s="204" t="s">
        <v>398</v>
      </c>
      <c r="AS1027" s="65" t="str">
        <f>IFERROR(VLOOKUP(#REF!,[1]Lookup!$B$2:$E$115,4,FALSE),"")</f>
        <v/>
      </c>
      <c r="AT1027" s="65" t="str">
        <f>IFERROR(VLOOKUP(#REF!,[1]Lookup!$B$2:$E$115,2,FALSE),"")</f>
        <v/>
      </c>
      <c r="AU1027" s="65" t="str">
        <f>IFERROR(VLOOKUP(#REF!,[1]Lookup!$B$2:$E$115,3,FALSE),"")</f>
        <v/>
      </c>
    </row>
    <row r="1028" spans="31:47" x14ac:dyDescent="0.3">
      <c r="AE1028" s="204" t="s">
        <v>398</v>
      </c>
      <c r="AF1028" s="204" t="s">
        <v>398</v>
      </c>
      <c r="AG1028" s="204" t="s">
        <v>398</v>
      </c>
      <c r="AS1028" s="65" t="str">
        <f>IFERROR(VLOOKUP(#REF!,[1]Lookup!$B$2:$E$115,4,FALSE),"")</f>
        <v/>
      </c>
      <c r="AT1028" s="65" t="str">
        <f>IFERROR(VLOOKUP(#REF!,[1]Lookup!$B$2:$E$115,2,FALSE),"")</f>
        <v/>
      </c>
      <c r="AU1028" s="65" t="str">
        <f>IFERROR(VLOOKUP(#REF!,[1]Lookup!$B$2:$E$115,3,FALSE),"")</f>
        <v/>
      </c>
    </row>
    <row r="1029" spans="31:47" x14ac:dyDescent="0.3">
      <c r="AE1029" s="204" t="s">
        <v>398</v>
      </c>
      <c r="AF1029" s="204" t="s">
        <v>398</v>
      </c>
      <c r="AG1029" s="204" t="s">
        <v>398</v>
      </c>
      <c r="AS1029" s="65" t="str">
        <f>IFERROR(VLOOKUP(#REF!,[1]Lookup!$B$2:$E$115,4,FALSE),"")</f>
        <v/>
      </c>
      <c r="AT1029" s="65" t="str">
        <f>IFERROR(VLOOKUP(#REF!,[1]Lookup!$B$2:$E$115,2,FALSE),"")</f>
        <v/>
      </c>
      <c r="AU1029" s="65" t="str">
        <f>IFERROR(VLOOKUP(#REF!,[1]Lookup!$B$2:$E$115,3,FALSE),"")</f>
        <v/>
      </c>
    </row>
    <row r="1030" spans="31:47" x14ac:dyDescent="0.3">
      <c r="AE1030" s="204" t="s">
        <v>398</v>
      </c>
      <c r="AF1030" s="204" t="s">
        <v>398</v>
      </c>
      <c r="AG1030" s="204" t="s">
        <v>398</v>
      </c>
      <c r="AS1030" s="65" t="str">
        <f>IFERROR(VLOOKUP(#REF!,[1]Lookup!$B$2:$E$115,4,FALSE),"")</f>
        <v/>
      </c>
      <c r="AT1030" s="65" t="str">
        <f>IFERROR(VLOOKUP(#REF!,[1]Lookup!$B$2:$E$115,2,FALSE),"")</f>
        <v/>
      </c>
      <c r="AU1030" s="65" t="str">
        <f>IFERROR(VLOOKUP(#REF!,[1]Lookup!$B$2:$E$115,3,FALSE),"")</f>
        <v/>
      </c>
    </row>
    <row r="1031" spans="31:47" x14ac:dyDescent="0.3">
      <c r="AE1031" s="204" t="s">
        <v>398</v>
      </c>
      <c r="AF1031" s="204" t="s">
        <v>398</v>
      </c>
      <c r="AG1031" s="204" t="s">
        <v>398</v>
      </c>
      <c r="AS1031" s="65" t="str">
        <f>IFERROR(VLOOKUP(#REF!,[1]Lookup!$B$2:$E$115,4,FALSE),"")</f>
        <v/>
      </c>
      <c r="AT1031" s="65" t="str">
        <f>IFERROR(VLOOKUP(#REF!,[1]Lookup!$B$2:$E$115,2,FALSE),"")</f>
        <v/>
      </c>
      <c r="AU1031" s="65" t="str">
        <f>IFERROR(VLOOKUP(#REF!,[1]Lookup!$B$2:$E$115,3,FALSE),"")</f>
        <v/>
      </c>
    </row>
    <row r="1032" spans="31:47" x14ac:dyDescent="0.3">
      <c r="AE1032" s="204" t="s">
        <v>398</v>
      </c>
      <c r="AF1032" s="204" t="s">
        <v>398</v>
      </c>
      <c r="AG1032" s="204" t="s">
        <v>398</v>
      </c>
      <c r="AS1032" s="65" t="str">
        <f>IFERROR(VLOOKUP(#REF!,[1]Lookup!$B$2:$E$115,4,FALSE),"")</f>
        <v/>
      </c>
      <c r="AT1032" s="65" t="str">
        <f>IFERROR(VLOOKUP(#REF!,[1]Lookup!$B$2:$E$115,2,FALSE),"")</f>
        <v/>
      </c>
      <c r="AU1032" s="65" t="str">
        <f>IFERROR(VLOOKUP(#REF!,[1]Lookup!$B$2:$E$115,3,FALSE),"")</f>
        <v/>
      </c>
    </row>
    <row r="1033" spans="31:47" x14ac:dyDescent="0.3">
      <c r="AE1033" s="204" t="s">
        <v>398</v>
      </c>
      <c r="AF1033" s="204" t="s">
        <v>398</v>
      </c>
      <c r="AG1033" s="204" t="s">
        <v>398</v>
      </c>
      <c r="AS1033" s="65" t="str">
        <f>IFERROR(VLOOKUP(#REF!,[1]Lookup!$B$2:$E$115,4,FALSE),"")</f>
        <v/>
      </c>
      <c r="AT1033" s="65" t="str">
        <f>IFERROR(VLOOKUP(#REF!,[1]Lookup!$B$2:$E$115,2,FALSE),"")</f>
        <v/>
      </c>
      <c r="AU1033" s="65" t="str">
        <f>IFERROR(VLOOKUP(#REF!,[1]Lookup!$B$2:$E$115,3,FALSE),"")</f>
        <v/>
      </c>
    </row>
    <row r="1034" spans="31:47" x14ac:dyDescent="0.3">
      <c r="AE1034" s="204" t="s">
        <v>398</v>
      </c>
      <c r="AF1034" s="204" t="s">
        <v>398</v>
      </c>
      <c r="AG1034" s="204" t="s">
        <v>398</v>
      </c>
      <c r="AS1034" s="65" t="str">
        <f>IFERROR(VLOOKUP(#REF!,[1]Lookup!$B$2:$E$115,4,FALSE),"")</f>
        <v/>
      </c>
      <c r="AT1034" s="65" t="str">
        <f>IFERROR(VLOOKUP(#REF!,[1]Lookup!$B$2:$E$115,2,FALSE),"")</f>
        <v/>
      </c>
      <c r="AU1034" s="65" t="str">
        <f>IFERROR(VLOOKUP(#REF!,[1]Lookup!$B$2:$E$115,3,FALSE),"")</f>
        <v/>
      </c>
    </row>
    <row r="1035" spans="31:47" x14ac:dyDescent="0.3">
      <c r="AE1035" s="204" t="s">
        <v>398</v>
      </c>
      <c r="AF1035" s="204" t="s">
        <v>398</v>
      </c>
      <c r="AG1035" s="204" t="s">
        <v>398</v>
      </c>
      <c r="AS1035" s="65" t="str">
        <f>IFERROR(VLOOKUP(#REF!,[1]Lookup!$B$2:$E$115,4,FALSE),"")</f>
        <v/>
      </c>
      <c r="AT1035" s="65" t="str">
        <f>IFERROR(VLOOKUP(#REF!,[1]Lookup!$B$2:$E$115,2,FALSE),"")</f>
        <v/>
      </c>
      <c r="AU1035" s="65" t="str">
        <f>IFERROR(VLOOKUP(#REF!,[1]Lookup!$B$2:$E$115,3,FALSE),"")</f>
        <v/>
      </c>
    </row>
    <row r="1036" spans="31:47" x14ac:dyDescent="0.3">
      <c r="AE1036" s="204" t="s">
        <v>398</v>
      </c>
      <c r="AF1036" s="204" t="s">
        <v>398</v>
      </c>
      <c r="AG1036" s="204" t="s">
        <v>398</v>
      </c>
      <c r="AS1036" s="65" t="str">
        <f>IFERROR(VLOOKUP(#REF!,[1]Lookup!$B$2:$E$115,4,FALSE),"")</f>
        <v/>
      </c>
      <c r="AT1036" s="65" t="str">
        <f>IFERROR(VLOOKUP(#REF!,[1]Lookup!$B$2:$E$115,2,FALSE),"")</f>
        <v/>
      </c>
      <c r="AU1036" s="65" t="str">
        <f>IFERROR(VLOOKUP(#REF!,[1]Lookup!$B$2:$E$115,3,FALSE),"")</f>
        <v/>
      </c>
    </row>
    <row r="1037" spans="31:47" x14ac:dyDescent="0.3">
      <c r="AE1037" s="204" t="s">
        <v>398</v>
      </c>
      <c r="AF1037" s="204" t="s">
        <v>398</v>
      </c>
      <c r="AG1037" s="204" t="s">
        <v>398</v>
      </c>
      <c r="AS1037" s="65" t="str">
        <f>IFERROR(VLOOKUP(#REF!,[1]Lookup!$B$2:$E$115,4,FALSE),"")</f>
        <v/>
      </c>
      <c r="AT1037" s="65" t="str">
        <f>IFERROR(VLOOKUP(#REF!,[1]Lookup!$B$2:$E$115,2,FALSE),"")</f>
        <v/>
      </c>
      <c r="AU1037" s="65" t="str">
        <f>IFERROR(VLOOKUP(#REF!,[1]Lookup!$B$2:$E$115,3,FALSE),"")</f>
        <v/>
      </c>
    </row>
    <row r="1038" spans="31:47" x14ac:dyDescent="0.3">
      <c r="AE1038" s="204" t="s">
        <v>398</v>
      </c>
      <c r="AF1038" s="204" t="s">
        <v>398</v>
      </c>
      <c r="AG1038" s="204" t="s">
        <v>398</v>
      </c>
      <c r="AS1038" s="65" t="str">
        <f>IFERROR(VLOOKUP(#REF!,[1]Lookup!$B$2:$E$115,4,FALSE),"")</f>
        <v/>
      </c>
      <c r="AT1038" s="65" t="str">
        <f>IFERROR(VLOOKUP(#REF!,[1]Lookup!$B$2:$E$115,2,FALSE),"")</f>
        <v/>
      </c>
      <c r="AU1038" s="65" t="str">
        <f>IFERROR(VLOOKUP(#REF!,[1]Lookup!$B$2:$E$115,3,FALSE),"")</f>
        <v/>
      </c>
    </row>
    <row r="1039" spans="31:47" x14ac:dyDescent="0.3">
      <c r="AE1039" s="204" t="s">
        <v>398</v>
      </c>
      <c r="AF1039" s="204" t="s">
        <v>398</v>
      </c>
      <c r="AG1039" s="204" t="s">
        <v>398</v>
      </c>
      <c r="AS1039" s="65" t="str">
        <f>IFERROR(VLOOKUP(#REF!,[1]Lookup!$B$2:$E$115,4,FALSE),"")</f>
        <v/>
      </c>
      <c r="AT1039" s="65" t="str">
        <f>IFERROR(VLOOKUP(#REF!,[1]Lookup!$B$2:$E$115,2,FALSE),"")</f>
        <v/>
      </c>
      <c r="AU1039" s="65" t="str">
        <f>IFERROR(VLOOKUP(#REF!,[1]Lookup!$B$2:$E$115,3,FALSE),"")</f>
        <v/>
      </c>
    </row>
    <row r="1040" spans="31:47" x14ac:dyDescent="0.3">
      <c r="AE1040" s="204" t="s">
        <v>398</v>
      </c>
      <c r="AF1040" s="204" t="s">
        <v>398</v>
      </c>
      <c r="AG1040" s="204" t="s">
        <v>398</v>
      </c>
      <c r="AS1040" s="65" t="str">
        <f>IFERROR(VLOOKUP(#REF!,[1]Lookup!$B$2:$E$115,4,FALSE),"")</f>
        <v/>
      </c>
      <c r="AT1040" s="65" t="str">
        <f>IFERROR(VLOOKUP(#REF!,[1]Lookup!$B$2:$E$115,2,FALSE),"")</f>
        <v/>
      </c>
      <c r="AU1040" s="65" t="str">
        <f>IFERROR(VLOOKUP(#REF!,[1]Lookup!$B$2:$E$115,3,FALSE),"")</f>
        <v/>
      </c>
    </row>
    <row r="1041" spans="31:47" x14ac:dyDescent="0.3">
      <c r="AE1041" s="204" t="s">
        <v>398</v>
      </c>
      <c r="AF1041" s="204" t="s">
        <v>398</v>
      </c>
      <c r="AG1041" s="204" t="s">
        <v>398</v>
      </c>
      <c r="AS1041" s="65" t="str">
        <f>IFERROR(VLOOKUP(#REF!,[1]Lookup!$B$2:$E$115,4,FALSE),"")</f>
        <v/>
      </c>
      <c r="AT1041" s="65" t="str">
        <f>IFERROR(VLOOKUP(#REF!,[1]Lookup!$B$2:$E$115,2,FALSE),"")</f>
        <v/>
      </c>
      <c r="AU1041" s="65" t="str">
        <f>IFERROR(VLOOKUP(#REF!,[1]Lookup!$B$2:$E$115,3,FALSE),"")</f>
        <v/>
      </c>
    </row>
    <row r="1042" spans="31:47" x14ac:dyDescent="0.3">
      <c r="AE1042" s="204" t="s">
        <v>398</v>
      </c>
      <c r="AF1042" s="204" t="s">
        <v>398</v>
      </c>
      <c r="AG1042" s="204" t="s">
        <v>398</v>
      </c>
      <c r="AS1042" s="65" t="str">
        <f>IFERROR(VLOOKUP(#REF!,[1]Lookup!$B$2:$E$115,4,FALSE),"")</f>
        <v/>
      </c>
      <c r="AT1042" s="65" t="str">
        <f>IFERROR(VLOOKUP(#REF!,[1]Lookup!$B$2:$E$115,2,FALSE),"")</f>
        <v/>
      </c>
      <c r="AU1042" s="65" t="str">
        <f>IFERROR(VLOOKUP(#REF!,[1]Lookup!$B$2:$E$115,3,FALSE),"")</f>
        <v/>
      </c>
    </row>
    <row r="1043" spans="31:47" x14ac:dyDescent="0.3">
      <c r="AE1043" s="204" t="s">
        <v>398</v>
      </c>
      <c r="AF1043" s="204" t="s">
        <v>398</v>
      </c>
      <c r="AG1043" s="204" t="s">
        <v>398</v>
      </c>
      <c r="AS1043" s="65" t="str">
        <f>IFERROR(VLOOKUP(#REF!,[1]Lookup!$B$2:$E$115,4,FALSE),"")</f>
        <v/>
      </c>
      <c r="AT1043" s="65" t="str">
        <f>IFERROR(VLOOKUP(#REF!,[1]Lookup!$B$2:$E$115,2,FALSE),"")</f>
        <v/>
      </c>
      <c r="AU1043" s="65" t="str">
        <f>IFERROR(VLOOKUP(#REF!,[1]Lookup!$B$2:$E$115,3,FALSE),"")</f>
        <v/>
      </c>
    </row>
    <row r="1044" spans="31:47" x14ac:dyDescent="0.3">
      <c r="AE1044" s="204" t="s">
        <v>398</v>
      </c>
      <c r="AF1044" s="204" t="s">
        <v>398</v>
      </c>
      <c r="AG1044" s="204" t="s">
        <v>398</v>
      </c>
      <c r="AS1044" s="65" t="str">
        <f>IFERROR(VLOOKUP(#REF!,[1]Lookup!$B$2:$E$115,4,FALSE),"")</f>
        <v/>
      </c>
      <c r="AT1044" s="65" t="str">
        <f>IFERROR(VLOOKUP(#REF!,[1]Lookup!$B$2:$E$115,2,FALSE),"")</f>
        <v/>
      </c>
      <c r="AU1044" s="65" t="str">
        <f>IFERROR(VLOOKUP(#REF!,[1]Lookup!$B$2:$E$115,3,FALSE),"")</f>
        <v/>
      </c>
    </row>
    <row r="1045" spans="31:47" x14ac:dyDescent="0.3">
      <c r="AE1045" s="204" t="s">
        <v>398</v>
      </c>
      <c r="AF1045" s="204" t="s">
        <v>398</v>
      </c>
      <c r="AG1045" s="204" t="s">
        <v>398</v>
      </c>
      <c r="AS1045" s="65" t="str">
        <f>IFERROR(VLOOKUP(#REF!,[1]Lookup!$B$2:$E$115,4,FALSE),"")</f>
        <v/>
      </c>
      <c r="AT1045" s="65" t="str">
        <f>IFERROR(VLOOKUP(#REF!,[1]Lookup!$B$2:$E$115,2,FALSE),"")</f>
        <v/>
      </c>
      <c r="AU1045" s="65" t="str">
        <f>IFERROR(VLOOKUP(#REF!,[1]Lookup!$B$2:$E$115,3,FALSE),"")</f>
        <v/>
      </c>
    </row>
    <row r="1046" spans="31:47" x14ac:dyDescent="0.3">
      <c r="AE1046" s="204" t="s">
        <v>398</v>
      </c>
      <c r="AF1046" s="204" t="s">
        <v>398</v>
      </c>
      <c r="AG1046" s="204" t="s">
        <v>398</v>
      </c>
      <c r="AS1046" s="65" t="str">
        <f>IFERROR(VLOOKUP(#REF!,[1]Lookup!$B$2:$E$115,4,FALSE),"")</f>
        <v/>
      </c>
      <c r="AT1046" s="65" t="str">
        <f>IFERROR(VLOOKUP(#REF!,[1]Lookup!$B$2:$E$115,2,FALSE),"")</f>
        <v/>
      </c>
      <c r="AU1046" s="65" t="str">
        <f>IFERROR(VLOOKUP(#REF!,[1]Lookup!$B$2:$E$115,3,FALSE),"")</f>
        <v/>
      </c>
    </row>
    <row r="1047" spans="31:47" x14ac:dyDescent="0.3">
      <c r="AE1047" s="204" t="s">
        <v>398</v>
      </c>
      <c r="AF1047" s="204" t="s">
        <v>398</v>
      </c>
      <c r="AG1047" s="204" t="s">
        <v>398</v>
      </c>
      <c r="AS1047" s="65" t="str">
        <f>IFERROR(VLOOKUP(#REF!,[1]Lookup!$B$2:$E$115,4,FALSE),"")</f>
        <v/>
      </c>
      <c r="AT1047" s="65" t="str">
        <f>IFERROR(VLOOKUP(#REF!,[1]Lookup!$B$2:$E$115,2,FALSE),"")</f>
        <v/>
      </c>
      <c r="AU1047" s="65" t="str">
        <f>IFERROR(VLOOKUP(#REF!,[1]Lookup!$B$2:$E$115,3,FALSE),"")</f>
        <v/>
      </c>
    </row>
    <row r="1048" spans="31:47" x14ac:dyDescent="0.3">
      <c r="AE1048" s="204" t="s">
        <v>398</v>
      </c>
      <c r="AF1048" s="204" t="s">
        <v>398</v>
      </c>
      <c r="AG1048" s="204" t="s">
        <v>398</v>
      </c>
      <c r="AS1048" s="65" t="str">
        <f>IFERROR(VLOOKUP(#REF!,[1]Lookup!$B$2:$E$115,4,FALSE),"")</f>
        <v/>
      </c>
      <c r="AT1048" s="65" t="str">
        <f>IFERROR(VLOOKUP(#REF!,[1]Lookup!$B$2:$E$115,2,FALSE),"")</f>
        <v/>
      </c>
      <c r="AU1048" s="65" t="str">
        <f>IFERROR(VLOOKUP(#REF!,[1]Lookup!$B$2:$E$115,3,FALSE),"")</f>
        <v/>
      </c>
    </row>
    <row r="1049" spans="31:47" x14ac:dyDescent="0.3">
      <c r="AE1049" s="204" t="s">
        <v>398</v>
      </c>
      <c r="AF1049" s="204" t="s">
        <v>398</v>
      </c>
      <c r="AG1049" s="204" t="s">
        <v>398</v>
      </c>
      <c r="AS1049" s="65" t="str">
        <f>IFERROR(VLOOKUP(#REF!,[1]Lookup!$B$2:$E$115,4,FALSE),"")</f>
        <v/>
      </c>
      <c r="AT1049" s="65" t="str">
        <f>IFERROR(VLOOKUP(#REF!,[1]Lookup!$B$2:$E$115,2,FALSE),"")</f>
        <v/>
      </c>
      <c r="AU1049" s="65" t="str">
        <f>IFERROR(VLOOKUP(#REF!,[1]Lookup!$B$2:$E$115,3,FALSE),"")</f>
        <v/>
      </c>
    </row>
    <row r="1050" spans="31:47" x14ac:dyDescent="0.3">
      <c r="AE1050" s="204" t="s">
        <v>398</v>
      </c>
      <c r="AF1050" s="204" t="s">
        <v>398</v>
      </c>
      <c r="AG1050" s="204" t="s">
        <v>398</v>
      </c>
      <c r="AS1050" s="65" t="str">
        <f>IFERROR(VLOOKUP(#REF!,[1]Lookup!$B$2:$E$115,4,FALSE),"")</f>
        <v/>
      </c>
      <c r="AT1050" s="65" t="str">
        <f>IFERROR(VLOOKUP(#REF!,[1]Lookup!$B$2:$E$115,2,FALSE),"")</f>
        <v/>
      </c>
      <c r="AU1050" s="65" t="str">
        <f>IFERROR(VLOOKUP(#REF!,[1]Lookup!$B$2:$E$115,3,FALSE),"")</f>
        <v/>
      </c>
    </row>
    <row r="1051" spans="31:47" x14ac:dyDescent="0.3">
      <c r="AE1051" s="204" t="s">
        <v>398</v>
      </c>
      <c r="AF1051" s="204" t="s">
        <v>398</v>
      </c>
      <c r="AG1051" s="204" t="s">
        <v>398</v>
      </c>
      <c r="AS1051" s="65" t="str">
        <f>IFERROR(VLOOKUP(#REF!,[1]Lookup!$B$2:$E$115,4,FALSE),"")</f>
        <v/>
      </c>
      <c r="AT1051" s="65" t="str">
        <f>IFERROR(VLOOKUP(#REF!,[1]Lookup!$B$2:$E$115,2,FALSE),"")</f>
        <v/>
      </c>
      <c r="AU1051" s="65" t="str">
        <f>IFERROR(VLOOKUP(#REF!,[1]Lookup!$B$2:$E$115,3,FALSE),"")</f>
        <v/>
      </c>
    </row>
    <row r="1052" spans="31:47" x14ac:dyDescent="0.3">
      <c r="AE1052" s="204" t="s">
        <v>398</v>
      </c>
      <c r="AF1052" s="204" t="s">
        <v>398</v>
      </c>
      <c r="AG1052" s="204" t="s">
        <v>398</v>
      </c>
      <c r="AS1052" s="65" t="str">
        <f>IFERROR(VLOOKUP(#REF!,[1]Lookup!$B$2:$E$115,4,FALSE),"")</f>
        <v/>
      </c>
      <c r="AT1052" s="65" t="str">
        <f>IFERROR(VLOOKUP(#REF!,[1]Lookup!$B$2:$E$115,2,FALSE),"")</f>
        <v/>
      </c>
      <c r="AU1052" s="65" t="str">
        <f>IFERROR(VLOOKUP(#REF!,[1]Lookup!$B$2:$E$115,3,FALSE),"")</f>
        <v/>
      </c>
    </row>
    <row r="1053" spans="31:47" x14ac:dyDescent="0.3">
      <c r="AE1053" s="204" t="s">
        <v>398</v>
      </c>
      <c r="AF1053" s="204" t="s">
        <v>398</v>
      </c>
      <c r="AG1053" s="204" t="s">
        <v>398</v>
      </c>
      <c r="AS1053" s="65" t="str">
        <f>IFERROR(VLOOKUP(#REF!,[1]Lookup!$B$2:$E$115,4,FALSE),"")</f>
        <v/>
      </c>
      <c r="AT1053" s="65" t="str">
        <f>IFERROR(VLOOKUP(#REF!,[1]Lookup!$B$2:$E$115,2,FALSE),"")</f>
        <v/>
      </c>
      <c r="AU1053" s="65" t="str">
        <f>IFERROR(VLOOKUP(#REF!,[1]Lookup!$B$2:$E$115,3,FALSE),"")</f>
        <v/>
      </c>
    </row>
    <row r="1054" spans="31:47" x14ac:dyDescent="0.3">
      <c r="AE1054" s="204" t="s">
        <v>398</v>
      </c>
      <c r="AF1054" s="204" t="s">
        <v>398</v>
      </c>
      <c r="AG1054" s="204" t="s">
        <v>398</v>
      </c>
      <c r="AS1054" s="65" t="str">
        <f>IFERROR(VLOOKUP(#REF!,[1]Lookup!$B$2:$E$115,4,FALSE),"")</f>
        <v/>
      </c>
      <c r="AT1054" s="65" t="str">
        <f>IFERROR(VLOOKUP(#REF!,[1]Lookup!$B$2:$E$115,2,FALSE),"")</f>
        <v/>
      </c>
      <c r="AU1054" s="65" t="str">
        <f>IFERROR(VLOOKUP(#REF!,[1]Lookup!$B$2:$E$115,3,FALSE),"")</f>
        <v/>
      </c>
    </row>
    <row r="1055" spans="31:47" x14ac:dyDescent="0.3">
      <c r="AE1055" s="204" t="s">
        <v>398</v>
      </c>
      <c r="AF1055" s="204" t="s">
        <v>398</v>
      </c>
      <c r="AG1055" s="204" t="s">
        <v>398</v>
      </c>
      <c r="AS1055" s="65" t="str">
        <f>IFERROR(VLOOKUP(#REF!,[1]Lookup!$B$2:$E$115,4,FALSE),"")</f>
        <v/>
      </c>
      <c r="AT1055" s="65" t="str">
        <f>IFERROR(VLOOKUP(#REF!,[1]Lookup!$B$2:$E$115,2,FALSE),"")</f>
        <v/>
      </c>
      <c r="AU1055" s="65" t="str">
        <f>IFERROR(VLOOKUP(#REF!,[1]Lookup!$B$2:$E$115,3,FALSE),"")</f>
        <v/>
      </c>
    </row>
    <row r="1056" spans="31:47" x14ac:dyDescent="0.3">
      <c r="AE1056" s="204" t="s">
        <v>398</v>
      </c>
      <c r="AF1056" s="204" t="s">
        <v>398</v>
      </c>
      <c r="AG1056" s="204" t="s">
        <v>398</v>
      </c>
      <c r="AS1056" s="65" t="str">
        <f>IFERROR(VLOOKUP(#REF!,[1]Lookup!$B$2:$E$115,4,FALSE),"")</f>
        <v/>
      </c>
      <c r="AT1056" s="65" t="str">
        <f>IFERROR(VLOOKUP(#REF!,[1]Lookup!$B$2:$E$115,2,FALSE),"")</f>
        <v/>
      </c>
      <c r="AU1056" s="65" t="str">
        <f>IFERROR(VLOOKUP(#REF!,[1]Lookup!$B$2:$E$115,3,FALSE),"")</f>
        <v/>
      </c>
    </row>
    <row r="1057" spans="31:47" x14ac:dyDescent="0.3">
      <c r="AE1057" s="204" t="s">
        <v>398</v>
      </c>
      <c r="AF1057" s="204" t="s">
        <v>398</v>
      </c>
      <c r="AG1057" s="204" t="s">
        <v>398</v>
      </c>
      <c r="AS1057" s="65" t="str">
        <f>IFERROR(VLOOKUP(#REF!,[1]Lookup!$B$2:$E$115,4,FALSE),"")</f>
        <v/>
      </c>
      <c r="AT1057" s="65" t="str">
        <f>IFERROR(VLOOKUP(#REF!,[1]Lookup!$B$2:$E$115,2,FALSE),"")</f>
        <v/>
      </c>
      <c r="AU1057" s="65" t="str">
        <f>IFERROR(VLOOKUP(#REF!,[1]Lookup!$B$2:$E$115,3,FALSE),"")</f>
        <v/>
      </c>
    </row>
    <row r="1058" spans="31:47" x14ac:dyDescent="0.3">
      <c r="AE1058" s="204" t="s">
        <v>398</v>
      </c>
      <c r="AF1058" s="204" t="s">
        <v>398</v>
      </c>
      <c r="AG1058" s="204" t="s">
        <v>398</v>
      </c>
      <c r="AS1058" s="65" t="str">
        <f>IFERROR(VLOOKUP(#REF!,[1]Lookup!$B$2:$E$115,4,FALSE),"")</f>
        <v/>
      </c>
      <c r="AT1058" s="65" t="str">
        <f>IFERROR(VLOOKUP(#REF!,[1]Lookup!$B$2:$E$115,2,FALSE),"")</f>
        <v/>
      </c>
      <c r="AU1058" s="65" t="str">
        <f>IFERROR(VLOOKUP(#REF!,[1]Lookup!$B$2:$E$115,3,FALSE),"")</f>
        <v/>
      </c>
    </row>
    <row r="1059" spans="31:47" x14ac:dyDescent="0.3">
      <c r="AE1059" s="204" t="s">
        <v>398</v>
      </c>
      <c r="AF1059" s="204" t="s">
        <v>398</v>
      </c>
      <c r="AG1059" s="204" t="s">
        <v>398</v>
      </c>
      <c r="AS1059" s="65" t="str">
        <f>IFERROR(VLOOKUP(#REF!,[1]Lookup!$B$2:$E$115,4,FALSE),"")</f>
        <v/>
      </c>
      <c r="AT1059" s="65" t="str">
        <f>IFERROR(VLOOKUP(#REF!,[1]Lookup!$B$2:$E$115,2,FALSE),"")</f>
        <v/>
      </c>
      <c r="AU1059" s="65" t="str">
        <f>IFERROR(VLOOKUP(#REF!,[1]Lookup!$B$2:$E$115,3,FALSE),"")</f>
        <v/>
      </c>
    </row>
    <row r="1060" spans="31:47" x14ac:dyDescent="0.3">
      <c r="AE1060" s="204" t="s">
        <v>398</v>
      </c>
      <c r="AF1060" s="204" t="s">
        <v>398</v>
      </c>
      <c r="AG1060" s="204" t="s">
        <v>398</v>
      </c>
      <c r="AS1060" s="65" t="str">
        <f>IFERROR(VLOOKUP(#REF!,[1]Lookup!$B$2:$E$115,4,FALSE),"")</f>
        <v/>
      </c>
      <c r="AT1060" s="65" t="str">
        <f>IFERROR(VLOOKUP(#REF!,[1]Lookup!$B$2:$E$115,2,FALSE),"")</f>
        <v/>
      </c>
      <c r="AU1060" s="65" t="str">
        <f>IFERROR(VLOOKUP(#REF!,[1]Lookup!$B$2:$E$115,3,FALSE),"")</f>
        <v/>
      </c>
    </row>
    <row r="1061" spans="31:47" x14ac:dyDescent="0.3">
      <c r="AE1061" s="204" t="s">
        <v>398</v>
      </c>
      <c r="AF1061" s="204" t="s">
        <v>398</v>
      </c>
      <c r="AG1061" s="204" t="s">
        <v>398</v>
      </c>
      <c r="AS1061" s="65" t="str">
        <f>IFERROR(VLOOKUP(#REF!,[1]Lookup!$B$2:$E$115,4,FALSE),"")</f>
        <v/>
      </c>
      <c r="AT1061" s="65" t="str">
        <f>IFERROR(VLOOKUP(#REF!,[1]Lookup!$B$2:$E$115,2,FALSE),"")</f>
        <v/>
      </c>
      <c r="AU1061" s="65" t="str">
        <f>IFERROR(VLOOKUP(#REF!,[1]Lookup!$B$2:$E$115,3,FALSE),"")</f>
        <v/>
      </c>
    </row>
    <row r="1062" spans="31:47" x14ac:dyDescent="0.3">
      <c r="AE1062" s="204" t="s">
        <v>398</v>
      </c>
      <c r="AF1062" s="204" t="s">
        <v>398</v>
      </c>
      <c r="AG1062" s="204" t="s">
        <v>398</v>
      </c>
      <c r="AS1062" s="65" t="str">
        <f>IFERROR(VLOOKUP(#REF!,[1]Lookup!$B$2:$E$115,4,FALSE),"")</f>
        <v/>
      </c>
      <c r="AT1062" s="65" t="str">
        <f>IFERROR(VLOOKUP(#REF!,[1]Lookup!$B$2:$E$115,2,FALSE),"")</f>
        <v/>
      </c>
      <c r="AU1062" s="65" t="str">
        <f>IFERROR(VLOOKUP(#REF!,[1]Lookup!$B$2:$E$115,3,FALSE),"")</f>
        <v/>
      </c>
    </row>
    <row r="1063" spans="31:47" x14ac:dyDescent="0.3">
      <c r="AE1063" s="204" t="s">
        <v>398</v>
      </c>
      <c r="AF1063" s="204" t="s">
        <v>398</v>
      </c>
      <c r="AG1063" s="204" t="s">
        <v>398</v>
      </c>
      <c r="AS1063" s="65" t="str">
        <f>IFERROR(VLOOKUP(#REF!,[1]Lookup!$B$2:$E$115,4,FALSE),"")</f>
        <v/>
      </c>
      <c r="AT1063" s="65" t="str">
        <f>IFERROR(VLOOKUP(#REF!,[1]Lookup!$B$2:$E$115,2,FALSE),"")</f>
        <v/>
      </c>
      <c r="AU1063" s="65" t="str">
        <f>IFERROR(VLOOKUP(#REF!,[1]Lookup!$B$2:$E$115,3,FALSE),"")</f>
        <v/>
      </c>
    </row>
    <row r="1064" spans="31:47" x14ac:dyDescent="0.3">
      <c r="AE1064" s="204" t="s">
        <v>398</v>
      </c>
      <c r="AF1064" s="204" t="s">
        <v>398</v>
      </c>
      <c r="AG1064" s="204" t="s">
        <v>398</v>
      </c>
      <c r="AS1064" s="65" t="str">
        <f>IFERROR(VLOOKUP(#REF!,[1]Lookup!$B$2:$E$115,4,FALSE),"")</f>
        <v/>
      </c>
      <c r="AT1064" s="65" t="str">
        <f>IFERROR(VLOOKUP(#REF!,[1]Lookup!$B$2:$E$115,2,FALSE),"")</f>
        <v/>
      </c>
      <c r="AU1064" s="65" t="str">
        <f>IFERROR(VLOOKUP(#REF!,[1]Lookup!$B$2:$E$115,3,FALSE),"")</f>
        <v/>
      </c>
    </row>
    <row r="1065" spans="31:47" x14ac:dyDescent="0.3">
      <c r="AE1065" s="204" t="s">
        <v>398</v>
      </c>
      <c r="AF1065" s="204" t="s">
        <v>398</v>
      </c>
      <c r="AG1065" s="204" t="s">
        <v>398</v>
      </c>
      <c r="AS1065" s="65" t="str">
        <f>IFERROR(VLOOKUP(#REF!,[1]Lookup!$B$2:$E$115,4,FALSE),"")</f>
        <v/>
      </c>
      <c r="AT1065" s="65" t="str">
        <f>IFERROR(VLOOKUP(#REF!,[1]Lookup!$B$2:$E$115,2,FALSE),"")</f>
        <v/>
      </c>
      <c r="AU1065" s="65" t="str">
        <f>IFERROR(VLOOKUP(#REF!,[1]Lookup!$B$2:$E$115,3,FALSE),"")</f>
        <v/>
      </c>
    </row>
    <row r="1066" spans="31:47" x14ac:dyDescent="0.3">
      <c r="AE1066" s="204" t="s">
        <v>398</v>
      </c>
      <c r="AF1066" s="204" t="s">
        <v>398</v>
      </c>
      <c r="AG1066" s="204" t="s">
        <v>398</v>
      </c>
      <c r="AS1066" s="65" t="str">
        <f>IFERROR(VLOOKUP(#REF!,[1]Lookup!$B$2:$E$115,4,FALSE),"")</f>
        <v/>
      </c>
      <c r="AT1066" s="65" t="str">
        <f>IFERROR(VLOOKUP(#REF!,[1]Lookup!$B$2:$E$115,2,FALSE),"")</f>
        <v/>
      </c>
      <c r="AU1066" s="65" t="str">
        <f>IFERROR(VLOOKUP(#REF!,[1]Lookup!$B$2:$E$115,3,FALSE),"")</f>
        <v/>
      </c>
    </row>
    <row r="1067" spans="31:47" x14ac:dyDescent="0.3">
      <c r="AE1067" s="204" t="s">
        <v>398</v>
      </c>
      <c r="AF1067" s="204" t="s">
        <v>398</v>
      </c>
      <c r="AG1067" s="204" t="s">
        <v>398</v>
      </c>
      <c r="AS1067" s="65" t="str">
        <f>IFERROR(VLOOKUP(#REF!,[1]Lookup!$B$2:$E$115,4,FALSE),"")</f>
        <v/>
      </c>
      <c r="AT1067" s="65" t="str">
        <f>IFERROR(VLOOKUP(#REF!,[1]Lookup!$B$2:$E$115,2,FALSE),"")</f>
        <v/>
      </c>
      <c r="AU1067" s="65" t="str">
        <f>IFERROR(VLOOKUP(#REF!,[1]Lookup!$B$2:$E$115,3,FALSE),"")</f>
        <v/>
      </c>
    </row>
    <row r="1068" spans="31:47" x14ac:dyDescent="0.3">
      <c r="AE1068" s="204" t="s">
        <v>398</v>
      </c>
      <c r="AF1068" s="204" t="s">
        <v>398</v>
      </c>
      <c r="AG1068" s="204" t="s">
        <v>398</v>
      </c>
      <c r="AS1068" s="65" t="str">
        <f>IFERROR(VLOOKUP(#REF!,[1]Lookup!$B$2:$E$115,4,FALSE),"")</f>
        <v/>
      </c>
      <c r="AT1068" s="65" t="str">
        <f>IFERROR(VLOOKUP(#REF!,[1]Lookup!$B$2:$E$115,2,FALSE),"")</f>
        <v/>
      </c>
      <c r="AU1068" s="65" t="str">
        <f>IFERROR(VLOOKUP(#REF!,[1]Lookup!$B$2:$E$115,3,FALSE),"")</f>
        <v/>
      </c>
    </row>
    <row r="1069" spans="31:47" x14ac:dyDescent="0.3">
      <c r="AE1069" s="204" t="s">
        <v>398</v>
      </c>
      <c r="AF1069" s="204" t="s">
        <v>398</v>
      </c>
      <c r="AG1069" s="204" t="s">
        <v>398</v>
      </c>
      <c r="AS1069" s="65" t="str">
        <f>IFERROR(VLOOKUP(#REF!,[1]Lookup!$B$2:$E$115,4,FALSE),"")</f>
        <v/>
      </c>
      <c r="AT1069" s="65" t="str">
        <f>IFERROR(VLOOKUP(#REF!,[1]Lookup!$B$2:$E$115,2,FALSE),"")</f>
        <v/>
      </c>
      <c r="AU1069" s="65" t="str">
        <f>IFERROR(VLOOKUP(#REF!,[1]Lookup!$B$2:$E$115,3,FALSE),"")</f>
        <v/>
      </c>
    </row>
    <row r="1070" spans="31:47" x14ac:dyDescent="0.3">
      <c r="AE1070" s="204" t="s">
        <v>398</v>
      </c>
      <c r="AF1070" s="204" t="s">
        <v>398</v>
      </c>
      <c r="AG1070" s="204" t="s">
        <v>398</v>
      </c>
      <c r="AS1070" s="65" t="str">
        <f>IFERROR(VLOOKUP(#REF!,[1]Lookup!$B$2:$E$115,4,FALSE),"")</f>
        <v/>
      </c>
      <c r="AT1070" s="65" t="str">
        <f>IFERROR(VLOOKUP(#REF!,[1]Lookup!$B$2:$E$115,2,FALSE),"")</f>
        <v/>
      </c>
      <c r="AU1070" s="65" t="str">
        <f>IFERROR(VLOOKUP(#REF!,[1]Lookup!$B$2:$E$115,3,FALSE),"")</f>
        <v/>
      </c>
    </row>
    <row r="1071" spans="31:47" x14ac:dyDescent="0.3">
      <c r="AE1071" s="204" t="s">
        <v>398</v>
      </c>
      <c r="AF1071" s="204" t="s">
        <v>398</v>
      </c>
      <c r="AG1071" s="204" t="s">
        <v>398</v>
      </c>
      <c r="AS1071" s="65" t="str">
        <f>IFERROR(VLOOKUP(#REF!,[1]Lookup!$B$2:$E$115,4,FALSE),"")</f>
        <v/>
      </c>
      <c r="AT1071" s="65" t="str">
        <f>IFERROR(VLOOKUP(#REF!,[1]Lookup!$B$2:$E$115,2,FALSE),"")</f>
        <v/>
      </c>
      <c r="AU1071" s="65" t="str">
        <f>IFERROR(VLOOKUP(#REF!,[1]Lookup!$B$2:$E$115,3,FALSE),"")</f>
        <v/>
      </c>
    </row>
    <row r="1072" spans="31:47" x14ac:dyDescent="0.3">
      <c r="AE1072" s="204" t="s">
        <v>398</v>
      </c>
      <c r="AF1072" s="204" t="s">
        <v>398</v>
      </c>
      <c r="AG1072" s="204" t="s">
        <v>398</v>
      </c>
      <c r="AS1072" s="65" t="str">
        <f>IFERROR(VLOOKUP(#REF!,[1]Lookup!$B$2:$E$115,4,FALSE),"")</f>
        <v/>
      </c>
      <c r="AT1072" s="65" t="str">
        <f>IFERROR(VLOOKUP(#REF!,[1]Lookup!$B$2:$E$115,2,FALSE),"")</f>
        <v/>
      </c>
      <c r="AU1072" s="65" t="str">
        <f>IFERROR(VLOOKUP(#REF!,[1]Lookup!$B$2:$E$115,3,FALSE),"")</f>
        <v/>
      </c>
    </row>
    <row r="1073" spans="31:47" x14ac:dyDescent="0.3">
      <c r="AE1073" s="204" t="s">
        <v>398</v>
      </c>
      <c r="AF1073" s="204" t="s">
        <v>398</v>
      </c>
      <c r="AG1073" s="204" t="s">
        <v>398</v>
      </c>
      <c r="AS1073" s="65" t="str">
        <f>IFERROR(VLOOKUP(#REF!,[1]Lookup!$B$2:$E$115,4,FALSE),"")</f>
        <v/>
      </c>
      <c r="AT1073" s="65" t="str">
        <f>IFERROR(VLOOKUP(#REF!,[1]Lookup!$B$2:$E$115,2,FALSE),"")</f>
        <v/>
      </c>
      <c r="AU1073" s="65" t="str">
        <f>IFERROR(VLOOKUP(#REF!,[1]Lookup!$B$2:$E$115,3,FALSE),"")</f>
        <v/>
      </c>
    </row>
    <row r="1074" spans="31:47" x14ac:dyDescent="0.3">
      <c r="AE1074" s="204" t="s">
        <v>398</v>
      </c>
      <c r="AF1074" s="204" t="s">
        <v>398</v>
      </c>
      <c r="AG1074" s="204" t="s">
        <v>398</v>
      </c>
      <c r="AS1074" s="65" t="str">
        <f>IFERROR(VLOOKUP(#REF!,[1]Lookup!$B$2:$E$115,4,FALSE),"")</f>
        <v/>
      </c>
      <c r="AT1074" s="65" t="str">
        <f>IFERROR(VLOOKUP(#REF!,[1]Lookup!$B$2:$E$115,2,FALSE),"")</f>
        <v/>
      </c>
      <c r="AU1074" s="65" t="str">
        <f>IFERROR(VLOOKUP(#REF!,[1]Lookup!$B$2:$E$115,3,FALSE),"")</f>
        <v/>
      </c>
    </row>
    <row r="1075" spans="31:47" x14ac:dyDescent="0.3">
      <c r="AE1075" s="204" t="s">
        <v>398</v>
      </c>
      <c r="AF1075" s="204" t="s">
        <v>398</v>
      </c>
      <c r="AG1075" s="204" t="s">
        <v>398</v>
      </c>
      <c r="AS1075" s="65" t="str">
        <f>IFERROR(VLOOKUP(#REF!,[1]Lookup!$B$2:$E$115,4,FALSE),"")</f>
        <v/>
      </c>
      <c r="AT1075" s="65" t="str">
        <f>IFERROR(VLOOKUP(#REF!,[1]Lookup!$B$2:$E$115,2,FALSE),"")</f>
        <v/>
      </c>
      <c r="AU1075" s="65" t="str">
        <f>IFERROR(VLOOKUP(#REF!,[1]Lookup!$B$2:$E$115,3,FALSE),"")</f>
        <v/>
      </c>
    </row>
    <row r="1076" spans="31:47" x14ac:dyDescent="0.3">
      <c r="AE1076" s="204" t="s">
        <v>398</v>
      </c>
      <c r="AF1076" s="204" t="s">
        <v>398</v>
      </c>
      <c r="AG1076" s="204" t="s">
        <v>398</v>
      </c>
      <c r="AS1076" s="65" t="str">
        <f>IFERROR(VLOOKUP(#REF!,[1]Lookup!$B$2:$E$115,4,FALSE),"")</f>
        <v/>
      </c>
      <c r="AT1076" s="65" t="str">
        <f>IFERROR(VLOOKUP(#REF!,[1]Lookup!$B$2:$E$115,2,FALSE),"")</f>
        <v/>
      </c>
      <c r="AU1076" s="65" t="str">
        <f>IFERROR(VLOOKUP(#REF!,[1]Lookup!$B$2:$E$115,3,FALSE),"")</f>
        <v/>
      </c>
    </row>
    <row r="1077" spans="31:47" x14ac:dyDescent="0.3">
      <c r="AE1077" s="204" t="s">
        <v>398</v>
      </c>
      <c r="AF1077" s="204" t="s">
        <v>398</v>
      </c>
      <c r="AG1077" s="204" t="s">
        <v>398</v>
      </c>
      <c r="AS1077" s="65" t="str">
        <f>IFERROR(VLOOKUP(#REF!,[1]Lookup!$B$2:$E$115,4,FALSE),"")</f>
        <v/>
      </c>
      <c r="AT1077" s="65" t="str">
        <f>IFERROR(VLOOKUP(#REF!,[1]Lookup!$B$2:$E$115,2,FALSE),"")</f>
        <v/>
      </c>
      <c r="AU1077" s="65" t="str">
        <f>IFERROR(VLOOKUP(#REF!,[1]Lookup!$B$2:$E$115,3,FALSE),"")</f>
        <v/>
      </c>
    </row>
    <row r="1078" spans="31:47" x14ac:dyDescent="0.3">
      <c r="AE1078" s="204" t="s">
        <v>398</v>
      </c>
      <c r="AF1078" s="204" t="s">
        <v>398</v>
      </c>
      <c r="AG1078" s="204" t="s">
        <v>398</v>
      </c>
      <c r="AS1078" s="65" t="str">
        <f>IFERROR(VLOOKUP(#REF!,[1]Lookup!$B$2:$E$115,4,FALSE),"")</f>
        <v/>
      </c>
      <c r="AT1078" s="65" t="str">
        <f>IFERROR(VLOOKUP(#REF!,[1]Lookup!$B$2:$E$115,2,FALSE),"")</f>
        <v/>
      </c>
      <c r="AU1078" s="65" t="str">
        <f>IFERROR(VLOOKUP(#REF!,[1]Lookup!$B$2:$E$115,3,FALSE),"")</f>
        <v/>
      </c>
    </row>
    <row r="1079" spans="31:47" x14ac:dyDescent="0.3">
      <c r="AE1079" s="204" t="s">
        <v>398</v>
      </c>
      <c r="AF1079" s="204" t="s">
        <v>398</v>
      </c>
      <c r="AG1079" s="204" t="s">
        <v>398</v>
      </c>
      <c r="AS1079" s="65" t="str">
        <f>IFERROR(VLOOKUP(#REF!,[1]Lookup!$B$2:$E$115,4,FALSE),"")</f>
        <v/>
      </c>
      <c r="AT1079" s="65" t="str">
        <f>IFERROR(VLOOKUP(#REF!,[1]Lookup!$B$2:$E$115,2,FALSE),"")</f>
        <v/>
      </c>
      <c r="AU1079" s="65" t="str">
        <f>IFERROR(VLOOKUP(#REF!,[1]Lookup!$B$2:$E$115,3,FALSE),"")</f>
        <v/>
      </c>
    </row>
    <row r="1080" spans="31:47" x14ac:dyDescent="0.3">
      <c r="AE1080" s="204" t="s">
        <v>398</v>
      </c>
      <c r="AF1080" s="204" t="s">
        <v>398</v>
      </c>
      <c r="AG1080" s="204" t="s">
        <v>398</v>
      </c>
      <c r="AS1080" s="65" t="str">
        <f>IFERROR(VLOOKUP(#REF!,[1]Lookup!$B$2:$E$115,4,FALSE),"")</f>
        <v/>
      </c>
      <c r="AT1080" s="65" t="str">
        <f>IFERROR(VLOOKUP(#REF!,[1]Lookup!$B$2:$E$115,2,FALSE),"")</f>
        <v/>
      </c>
      <c r="AU1080" s="65" t="str">
        <f>IFERROR(VLOOKUP(#REF!,[1]Lookup!$B$2:$E$115,3,FALSE),"")</f>
        <v/>
      </c>
    </row>
    <row r="1081" spans="31:47" x14ac:dyDescent="0.3">
      <c r="AE1081" s="204" t="s">
        <v>398</v>
      </c>
      <c r="AF1081" s="204" t="s">
        <v>398</v>
      </c>
      <c r="AG1081" s="204" t="s">
        <v>398</v>
      </c>
      <c r="AS1081" s="65" t="str">
        <f>IFERROR(VLOOKUP(#REF!,[1]Lookup!$B$2:$E$115,4,FALSE),"")</f>
        <v/>
      </c>
      <c r="AT1081" s="65" t="str">
        <f>IFERROR(VLOOKUP(#REF!,[1]Lookup!$B$2:$E$115,2,FALSE),"")</f>
        <v/>
      </c>
      <c r="AU1081" s="65" t="str">
        <f>IFERROR(VLOOKUP(#REF!,[1]Lookup!$B$2:$E$115,3,FALSE),"")</f>
        <v/>
      </c>
    </row>
    <row r="1082" spans="31:47" x14ac:dyDescent="0.3">
      <c r="AE1082" s="204" t="s">
        <v>398</v>
      </c>
      <c r="AF1082" s="204" t="s">
        <v>398</v>
      </c>
      <c r="AG1082" s="204" t="s">
        <v>398</v>
      </c>
      <c r="AS1082" s="65" t="str">
        <f>IFERROR(VLOOKUP(#REF!,[1]Lookup!$B$2:$E$115,4,FALSE),"")</f>
        <v/>
      </c>
      <c r="AT1082" s="65" t="str">
        <f>IFERROR(VLOOKUP(#REF!,[1]Lookup!$B$2:$E$115,2,FALSE),"")</f>
        <v/>
      </c>
      <c r="AU1082" s="65" t="str">
        <f>IFERROR(VLOOKUP(#REF!,[1]Lookup!$B$2:$E$115,3,FALSE),"")</f>
        <v/>
      </c>
    </row>
    <row r="1083" spans="31:47" x14ac:dyDescent="0.3">
      <c r="AE1083" s="204" t="s">
        <v>398</v>
      </c>
      <c r="AF1083" s="204" t="s">
        <v>398</v>
      </c>
      <c r="AG1083" s="204" t="s">
        <v>398</v>
      </c>
      <c r="AS1083" s="65" t="str">
        <f>IFERROR(VLOOKUP(#REF!,[1]Lookup!$B$2:$E$115,4,FALSE),"")</f>
        <v/>
      </c>
      <c r="AT1083" s="65" t="str">
        <f>IFERROR(VLOOKUP(#REF!,[1]Lookup!$B$2:$E$115,2,FALSE),"")</f>
        <v/>
      </c>
      <c r="AU1083" s="65" t="str">
        <f>IFERROR(VLOOKUP(#REF!,[1]Lookup!$B$2:$E$115,3,FALSE),"")</f>
        <v/>
      </c>
    </row>
    <row r="1084" spans="31:47" x14ac:dyDescent="0.3">
      <c r="AE1084" s="204" t="s">
        <v>398</v>
      </c>
      <c r="AF1084" s="204" t="s">
        <v>398</v>
      </c>
      <c r="AG1084" s="204" t="s">
        <v>398</v>
      </c>
      <c r="AS1084" s="65" t="str">
        <f>IFERROR(VLOOKUP(#REF!,[1]Lookup!$B$2:$E$115,4,FALSE),"")</f>
        <v/>
      </c>
      <c r="AT1084" s="65" t="str">
        <f>IFERROR(VLOOKUP(#REF!,[1]Lookup!$B$2:$E$115,2,FALSE),"")</f>
        <v/>
      </c>
      <c r="AU1084" s="65" t="str">
        <f>IFERROR(VLOOKUP(#REF!,[1]Lookup!$B$2:$E$115,3,FALSE),"")</f>
        <v/>
      </c>
    </row>
    <row r="1085" spans="31:47" x14ac:dyDescent="0.3">
      <c r="AE1085" s="204" t="s">
        <v>398</v>
      </c>
      <c r="AF1085" s="204" t="s">
        <v>398</v>
      </c>
      <c r="AG1085" s="204" t="s">
        <v>398</v>
      </c>
      <c r="AS1085" s="65" t="str">
        <f>IFERROR(VLOOKUP(#REF!,[1]Lookup!$B$2:$E$115,4,FALSE),"")</f>
        <v/>
      </c>
      <c r="AT1085" s="65" t="str">
        <f>IFERROR(VLOOKUP(#REF!,[1]Lookup!$B$2:$E$115,2,FALSE),"")</f>
        <v/>
      </c>
      <c r="AU1085" s="65" t="str">
        <f>IFERROR(VLOOKUP(#REF!,[1]Lookup!$B$2:$E$115,3,FALSE),"")</f>
        <v/>
      </c>
    </row>
    <row r="1086" spans="31:47" x14ac:dyDescent="0.3">
      <c r="AE1086" s="204" t="s">
        <v>398</v>
      </c>
      <c r="AF1086" s="204" t="s">
        <v>398</v>
      </c>
      <c r="AG1086" s="204" t="s">
        <v>398</v>
      </c>
      <c r="AS1086" s="65" t="str">
        <f>IFERROR(VLOOKUP(#REF!,[1]Lookup!$B$2:$E$115,4,FALSE),"")</f>
        <v/>
      </c>
      <c r="AT1086" s="65" t="str">
        <f>IFERROR(VLOOKUP(#REF!,[1]Lookup!$B$2:$E$115,2,FALSE),"")</f>
        <v/>
      </c>
      <c r="AU1086" s="65" t="str">
        <f>IFERROR(VLOOKUP(#REF!,[1]Lookup!$B$2:$E$115,3,FALSE),"")</f>
        <v/>
      </c>
    </row>
    <row r="1087" spans="31:47" x14ac:dyDescent="0.3">
      <c r="AE1087" s="204" t="s">
        <v>398</v>
      </c>
      <c r="AF1087" s="204" t="s">
        <v>398</v>
      </c>
      <c r="AG1087" s="204" t="s">
        <v>398</v>
      </c>
      <c r="AS1087" s="65" t="str">
        <f>IFERROR(VLOOKUP(#REF!,[1]Lookup!$B$2:$E$115,4,FALSE),"")</f>
        <v/>
      </c>
      <c r="AT1087" s="65" t="str">
        <f>IFERROR(VLOOKUP(#REF!,[1]Lookup!$B$2:$E$115,2,FALSE),"")</f>
        <v/>
      </c>
      <c r="AU1087" s="65" t="str">
        <f>IFERROR(VLOOKUP(#REF!,[1]Lookup!$B$2:$E$115,3,FALSE),"")</f>
        <v/>
      </c>
    </row>
    <row r="1088" spans="31:47" x14ac:dyDescent="0.3">
      <c r="AE1088" s="204" t="s">
        <v>398</v>
      </c>
      <c r="AF1088" s="204" t="s">
        <v>398</v>
      </c>
      <c r="AG1088" s="204" t="s">
        <v>398</v>
      </c>
      <c r="AS1088" s="65" t="str">
        <f>IFERROR(VLOOKUP(#REF!,[1]Lookup!$B$2:$E$115,4,FALSE),"")</f>
        <v/>
      </c>
      <c r="AT1088" s="65" t="str">
        <f>IFERROR(VLOOKUP(#REF!,[1]Lookup!$B$2:$E$115,2,FALSE),"")</f>
        <v/>
      </c>
      <c r="AU1088" s="65" t="str">
        <f>IFERROR(VLOOKUP(#REF!,[1]Lookup!$B$2:$E$115,3,FALSE),"")</f>
        <v/>
      </c>
    </row>
    <row r="1089" spans="31:47" x14ac:dyDescent="0.3">
      <c r="AE1089" s="204" t="s">
        <v>398</v>
      </c>
      <c r="AF1089" s="204" t="s">
        <v>398</v>
      </c>
      <c r="AG1089" s="204" t="s">
        <v>398</v>
      </c>
      <c r="AS1089" s="65" t="str">
        <f>IFERROR(VLOOKUP(#REF!,[1]Lookup!$B$2:$E$115,4,FALSE),"")</f>
        <v/>
      </c>
      <c r="AT1089" s="65" t="str">
        <f>IFERROR(VLOOKUP(#REF!,[1]Lookup!$B$2:$E$115,2,FALSE),"")</f>
        <v/>
      </c>
      <c r="AU1089" s="65" t="str">
        <f>IFERROR(VLOOKUP(#REF!,[1]Lookup!$B$2:$E$115,3,FALSE),"")</f>
        <v/>
      </c>
    </row>
    <row r="1090" spans="31:47" x14ac:dyDescent="0.3">
      <c r="AE1090" s="204" t="s">
        <v>398</v>
      </c>
      <c r="AF1090" s="204" t="s">
        <v>398</v>
      </c>
      <c r="AG1090" s="204" t="s">
        <v>398</v>
      </c>
      <c r="AS1090" s="65" t="str">
        <f>IFERROR(VLOOKUP(#REF!,[1]Lookup!$B$2:$E$115,4,FALSE),"")</f>
        <v/>
      </c>
      <c r="AT1090" s="65" t="str">
        <f>IFERROR(VLOOKUP(#REF!,[1]Lookup!$B$2:$E$115,2,FALSE),"")</f>
        <v/>
      </c>
      <c r="AU1090" s="65" t="str">
        <f>IFERROR(VLOOKUP(#REF!,[1]Lookup!$B$2:$E$115,3,FALSE),"")</f>
        <v/>
      </c>
    </row>
    <row r="1091" spans="31:47" x14ac:dyDescent="0.3">
      <c r="AE1091" s="204" t="s">
        <v>398</v>
      </c>
      <c r="AF1091" s="204" t="s">
        <v>398</v>
      </c>
      <c r="AG1091" s="204" t="s">
        <v>398</v>
      </c>
      <c r="AS1091" s="65" t="str">
        <f>IFERROR(VLOOKUP(#REF!,[1]Lookup!$B$2:$E$115,4,FALSE),"")</f>
        <v/>
      </c>
      <c r="AT1091" s="65" t="str">
        <f>IFERROR(VLOOKUP(#REF!,[1]Lookup!$B$2:$E$115,2,FALSE),"")</f>
        <v/>
      </c>
      <c r="AU1091" s="65" t="str">
        <f>IFERROR(VLOOKUP(#REF!,[1]Lookup!$B$2:$E$115,3,FALSE),"")</f>
        <v/>
      </c>
    </row>
    <row r="1092" spans="31:47" x14ac:dyDescent="0.3">
      <c r="AE1092" s="204" t="s">
        <v>398</v>
      </c>
      <c r="AF1092" s="204" t="s">
        <v>398</v>
      </c>
      <c r="AG1092" s="204" t="s">
        <v>398</v>
      </c>
      <c r="AS1092" s="65" t="str">
        <f>IFERROR(VLOOKUP(#REF!,[1]Lookup!$B$2:$E$115,4,FALSE),"")</f>
        <v/>
      </c>
      <c r="AT1092" s="65" t="str">
        <f>IFERROR(VLOOKUP(#REF!,[1]Lookup!$B$2:$E$115,2,FALSE),"")</f>
        <v/>
      </c>
      <c r="AU1092" s="65" t="str">
        <f>IFERROR(VLOOKUP(#REF!,[1]Lookup!$B$2:$E$115,3,FALSE),"")</f>
        <v/>
      </c>
    </row>
    <row r="1093" spans="31:47" x14ac:dyDescent="0.3">
      <c r="AE1093" s="204" t="s">
        <v>398</v>
      </c>
      <c r="AF1093" s="204" t="s">
        <v>398</v>
      </c>
      <c r="AG1093" s="204" t="s">
        <v>398</v>
      </c>
      <c r="AS1093" s="65" t="str">
        <f>IFERROR(VLOOKUP(#REF!,[1]Lookup!$B$2:$E$115,4,FALSE),"")</f>
        <v/>
      </c>
      <c r="AT1093" s="65" t="str">
        <f>IFERROR(VLOOKUP(#REF!,[1]Lookup!$B$2:$E$115,2,FALSE),"")</f>
        <v/>
      </c>
      <c r="AU1093" s="65" t="str">
        <f>IFERROR(VLOOKUP(#REF!,[1]Lookup!$B$2:$E$115,3,FALSE),"")</f>
        <v/>
      </c>
    </row>
    <row r="1094" spans="31:47" x14ac:dyDescent="0.3">
      <c r="AE1094" s="204" t="s">
        <v>398</v>
      </c>
      <c r="AF1094" s="204" t="s">
        <v>398</v>
      </c>
      <c r="AG1094" s="204" t="s">
        <v>398</v>
      </c>
      <c r="AS1094" s="65" t="str">
        <f>IFERROR(VLOOKUP(#REF!,[1]Lookup!$B$2:$E$115,4,FALSE),"")</f>
        <v/>
      </c>
      <c r="AT1094" s="65" t="str">
        <f>IFERROR(VLOOKUP(#REF!,[1]Lookup!$B$2:$E$115,2,FALSE),"")</f>
        <v/>
      </c>
      <c r="AU1094" s="65" t="str">
        <f>IFERROR(VLOOKUP(#REF!,[1]Lookup!$B$2:$E$115,3,FALSE),"")</f>
        <v/>
      </c>
    </row>
    <row r="1095" spans="31:47" x14ac:dyDescent="0.3">
      <c r="AE1095" s="204" t="s">
        <v>398</v>
      </c>
      <c r="AF1095" s="204" t="s">
        <v>398</v>
      </c>
      <c r="AG1095" s="204" t="s">
        <v>398</v>
      </c>
      <c r="AS1095" s="65" t="str">
        <f>IFERROR(VLOOKUP(#REF!,[1]Lookup!$B$2:$E$115,4,FALSE),"")</f>
        <v/>
      </c>
      <c r="AT1095" s="65" t="str">
        <f>IFERROR(VLOOKUP(#REF!,[1]Lookup!$B$2:$E$115,2,FALSE),"")</f>
        <v/>
      </c>
      <c r="AU1095" s="65" t="str">
        <f>IFERROR(VLOOKUP(#REF!,[1]Lookup!$B$2:$E$115,3,FALSE),"")</f>
        <v/>
      </c>
    </row>
    <row r="1096" spans="31:47" x14ac:dyDescent="0.3">
      <c r="AE1096" s="204" t="s">
        <v>398</v>
      </c>
      <c r="AF1096" s="204" t="s">
        <v>398</v>
      </c>
      <c r="AG1096" s="204" t="s">
        <v>398</v>
      </c>
      <c r="AS1096" s="65" t="str">
        <f>IFERROR(VLOOKUP(#REF!,[1]Lookup!$B$2:$E$115,4,FALSE),"")</f>
        <v/>
      </c>
      <c r="AT1096" s="65" t="str">
        <f>IFERROR(VLOOKUP(#REF!,[1]Lookup!$B$2:$E$115,2,FALSE),"")</f>
        <v/>
      </c>
      <c r="AU1096" s="65" t="str">
        <f>IFERROR(VLOOKUP(#REF!,[1]Lookup!$B$2:$E$115,3,FALSE),"")</f>
        <v/>
      </c>
    </row>
    <row r="1097" spans="31:47" x14ac:dyDescent="0.3">
      <c r="AE1097" s="204" t="s">
        <v>398</v>
      </c>
      <c r="AF1097" s="204" t="s">
        <v>398</v>
      </c>
      <c r="AG1097" s="204" t="s">
        <v>398</v>
      </c>
      <c r="AS1097" s="65" t="str">
        <f>IFERROR(VLOOKUP(#REF!,[1]Lookup!$B$2:$E$115,4,FALSE),"")</f>
        <v/>
      </c>
      <c r="AT1097" s="65" t="str">
        <f>IFERROR(VLOOKUP(#REF!,[1]Lookup!$B$2:$E$115,2,FALSE),"")</f>
        <v/>
      </c>
      <c r="AU1097" s="65" t="str">
        <f>IFERROR(VLOOKUP(#REF!,[1]Lookup!$B$2:$E$115,3,FALSE),"")</f>
        <v/>
      </c>
    </row>
    <row r="1098" spans="31:47" x14ac:dyDescent="0.3">
      <c r="AE1098" s="204" t="s">
        <v>398</v>
      </c>
      <c r="AF1098" s="204" t="s">
        <v>398</v>
      </c>
      <c r="AG1098" s="204" t="s">
        <v>398</v>
      </c>
      <c r="AS1098" s="65" t="str">
        <f>IFERROR(VLOOKUP(#REF!,[1]Lookup!$B$2:$E$115,4,FALSE),"")</f>
        <v/>
      </c>
      <c r="AT1098" s="65" t="str">
        <f>IFERROR(VLOOKUP(#REF!,[1]Lookup!$B$2:$E$115,2,FALSE),"")</f>
        <v/>
      </c>
      <c r="AU1098" s="65" t="str">
        <f>IFERROR(VLOOKUP(#REF!,[1]Lookup!$B$2:$E$115,3,FALSE),"")</f>
        <v/>
      </c>
    </row>
    <row r="1099" spans="31:47" x14ac:dyDescent="0.3">
      <c r="AE1099" s="204" t="s">
        <v>398</v>
      </c>
      <c r="AF1099" s="204" t="s">
        <v>398</v>
      </c>
      <c r="AG1099" s="204" t="s">
        <v>398</v>
      </c>
      <c r="AS1099" s="65" t="str">
        <f>IFERROR(VLOOKUP(#REF!,[1]Lookup!$B$2:$E$115,4,FALSE),"")</f>
        <v/>
      </c>
      <c r="AT1099" s="65" t="str">
        <f>IFERROR(VLOOKUP(#REF!,[1]Lookup!$B$2:$E$115,2,FALSE),"")</f>
        <v/>
      </c>
      <c r="AU1099" s="65" t="str">
        <f>IFERROR(VLOOKUP(#REF!,[1]Lookup!$B$2:$E$115,3,FALSE),"")</f>
        <v/>
      </c>
    </row>
    <row r="1100" spans="31:47" x14ac:dyDescent="0.3">
      <c r="AE1100" s="204" t="s">
        <v>398</v>
      </c>
      <c r="AF1100" s="204" t="s">
        <v>398</v>
      </c>
      <c r="AG1100" s="204" t="s">
        <v>398</v>
      </c>
      <c r="AS1100" s="65" t="str">
        <f>IFERROR(VLOOKUP(#REF!,[1]Lookup!$B$2:$E$115,4,FALSE),"")</f>
        <v/>
      </c>
      <c r="AT1100" s="65" t="str">
        <f>IFERROR(VLOOKUP(#REF!,[1]Lookup!$B$2:$E$115,2,FALSE),"")</f>
        <v/>
      </c>
      <c r="AU1100" s="65" t="str">
        <f>IFERROR(VLOOKUP(#REF!,[1]Lookup!$B$2:$E$115,3,FALSE),"")</f>
        <v/>
      </c>
    </row>
    <row r="1101" spans="31:47" x14ac:dyDescent="0.3">
      <c r="AE1101" s="204" t="s">
        <v>398</v>
      </c>
      <c r="AF1101" s="204" t="s">
        <v>398</v>
      </c>
      <c r="AG1101" s="204" t="s">
        <v>398</v>
      </c>
      <c r="AS1101" s="65" t="str">
        <f>IFERROR(VLOOKUP(#REF!,[1]Lookup!$B$2:$E$115,4,FALSE),"")</f>
        <v/>
      </c>
      <c r="AT1101" s="65" t="str">
        <f>IFERROR(VLOOKUP(#REF!,[1]Lookup!$B$2:$E$115,2,FALSE),"")</f>
        <v/>
      </c>
      <c r="AU1101" s="65" t="str">
        <f>IFERROR(VLOOKUP(#REF!,[1]Lookup!$B$2:$E$115,3,FALSE),"")</f>
        <v/>
      </c>
    </row>
    <row r="1102" spans="31:47" x14ac:dyDescent="0.3">
      <c r="AE1102" s="204" t="s">
        <v>398</v>
      </c>
      <c r="AF1102" s="204" t="s">
        <v>398</v>
      </c>
      <c r="AG1102" s="204" t="s">
        <v>398</v>
      </c>
      <c r="AS1102" s="65" t="str">
        <f>IFERROR(VLOOKUP(#REF!,[1]Lookup!$B$2:$E$115,4,FALSE),"")</f>
        <v/>
      </c>
      <c r="AT1102" s="65" t="str">
        <f>IFERROR(VLOOKUP(#REF!,[1]Lookup!$B$2:$E$115,2,FALSE),"")</f>
        <v/>
      </c>
      <c r="AU1102" s="65" t="str">
        <f>IFERROR(VLOOKUP(#REF!,[1]Lookup!$B$2:$E$115,3,FALSE),"")</f>
        <v/>
      </c>
    </row>
    <row r="1103" spans="31:47" x14ac:dyDescent="0.3">
      <c r="AE1103" s="204" t="s">
        <v>398</v>
      </c>
      <c r="AF1103" s="204" t="s">
        <v>398</v>
      </c>
      <c r="AG1103" s="204" t="s">
        <v>398</v>
      </c>
      <c r="AS1103" s="65" t="str">
        <f>IFERROR(VLOOKUP(#REF!,[1]Lookup!$B$2:$E$115,4,FALSE),"")</f>
        <v/>
      </c>
      <c r="AT1103" s="65" t="str">
        <f>IFERROR(VLOOKUP(#REF!,[1]Lookup!$B$2:$E$115,2,FALSE),"")</f>
        <v/>
      </c>
      <c r="AU1103" s="65" t="str">
        <f>IFERROR(VLOOKUP(#REF!,[1]Lookup!$B$2:$E$115,3,FALSE),"")</f>
        <v/>
      </c>
    </row>
    <row r="1104" spans="31:47" x14ac:dyDescent="0.3">
      <c r="AE1104" s="204" t="s">
        <v>398</v>
      </c>
      <c r="AF1104" s="204" t="s">
        <v>398</v>
      </c>
      <c r="AG1104" s="204" t="s">
        <v>398</v>
      </c>
      <c r="AS1104" s="65" t="str">
        <f>IFERROR(VLOOKUP(#REF!,[1]Lookup!$B$2:$E$115,4,FALSE),"")</f>
        <v/>
      </c>
      <c r="AT1104" s="65" t="str">
        <f>IFERROR(VLOOKUP(#REF!,[1]Lookup!$B$2:$E$115,2,FALSE),"")</f>
        <v/>
      </c>
      <c r="AU1104" s="65" t="str">
        <f>IFERROR(VLOOKUP(#REF!,[1]Lookup!$B$2:$E$115,3,FALSE),"")</f>
        <v/>
      </c>
    </row>
    <row r="1105" spans="31:47" x14ac:dyDescent="0.3">
      <c r="AE1105" s="204" t="s">
        <v>398</v>
      </c>
      <c r="AF1105" s="204" t="s">
        <v>398</v>
      </c>
      <c r="AG1105" s="204" t="s">
        <v>398</v>
      </c>
      <c r="AS1105" s="65" t="str">
        <f>IFERROR(VLOOKUP(#REF!,[1]Lookup!$B$2:$E$115,4,FALSE),"")</f>
        <v/>
      </c>
      <c r="AT1105" s="65" t="str">
        <f>IFERROR(VLOOKUP(#REF!,[1]Lookup!$B$2:$E$115,2,FALSE),"")</f>
        <v/>
      </c>
      <c r="AU1105" s="65" t="str">
        <f>IFERROR(VLOOKUP(#REF!,[1]Lookup!$B$2:$E$115,3,FALSE),"")</f>
        <v/>
      </c>
    </row>
    <row r="1106" spans="31:47" x14ac:dyDescent="0.3">
      <c r="AE1106" s="204" t="s">
        <v>398</v>
      </c>
      <c r="AF1106" s="204" t="s">
        <v>398</v>
      </c>
      <c r="AG1106" s="204" t="s">
        <v>398</v>
      </c>
      <c r="AS1106" s="65" t="str">
        <f>IFERROR(VLOOKUP(#REF!,[1]Lookup!$B$2:$E$115,4,FALSE),"")</f>
        <v/>
      </c>
      <c r="AT1106" s="65" t="str">
        <f>IFERROR(VLOOKUP(#REF!,[1]Lookup!$B$2:$E$115,2,FALSE),"")</f>
        <v/>
      </c>
      <c r="AU1106" s="65" t="str">
        <f>IFERROR(VLOOKUP(#REF!,[1]Lookup!$B$2:$E$115,3,FALSE),"")</f>
        <v/>
      </c>
    </row>
    <row r="1107" spans="31:47" x14ac:dyDescent="0.3">
      <c r="AE1107" s="204" t="s">
        <v>398</v>
      </c>
      <c r="AF1107" s="204" t="s">
        <v>398</v>
      </c>
      <c r="AG1107" s="204" t="s">
        <v>398</v>
      </c>
      <c r="AS1107" s="65" t="str">
        <f>IFERROR(VLOOKUP(#REF!,[1]Lookup!$B$2:$E$115,4,FALSE),"")</f>
        <v/>
      </c>
      <c r="AT1107" s="65" t="str">
        <f>IFERROR(VLOOKUP(#REF!,[1]Lookup!$B$2:$E$115,2,FALSE),"")</f>
        <v/>
      </c>
      <c r="AU1107" s="65" t="str">
        <f>IFERROR(VLOOKUP(#REF!,[1]Lookup!$B$2:$E$115,3,FALSE),"")</f>
        <v/>
      </c>
    </row>
    <row r="1108" spans="31:47" x14ac:dyDescent="0.3">
      <c r="AE1108" s="204" t="s">
        <v>398</v>
      </c>
      <c r="AF1108" s="204" t="s">
        <v>398</v>
      </c>
      <c r="AG1108" s="204" t="s">
        <v>398</v>
      </c>
      <c r="AS1108" s="65" t="str">
        <f>IFERROR(VLOOKUP(#REF!,[1]Lookup!$B$2:$E$115,4,FALSE),"")</f>
        <v/>
      </c>
      <c r="AT1108" s="65" t="str">
        <f>IFERROR(VLOOKUP(#REF!,[1]Lookup!$B$2:$E$115,2,FALSE),"")</f>
        <v/>
      </c>
      <c r="AU1108" s="65" t="str">
        <f>IFERROR(VLOOKUP(#REF!,[1]Lookup!$B$2:$E$115,3,FALSE),"")</f>
        <v/>
      </c>
    </row>
    <row r="1109" spans="31:47" x14ac:dyDescent="0.3">
      <c r="AE1109" s="204" t="s">
        <v>398</v>
      </c>
      <c r="AF1109" s="204" t="s">
        <v>398</v>
      </c>
      <c r="AG1109" s="204" t="s">
        <v>398</v>
      </c>
      <c r="AS1109" s="65" t="str">
        <f>IFERROR(VLOOKUP(#REF!,[1]Lookup!$B$2:$E$115,4,FALSE),"")</f>
        <v/>
      </c>
      <c r="AT1109" s="65" t="str">
        <f>IFERROR(VLOOKUP(#REF!,[1]Lookup!$B$2:$E$115,2,FALSE),"")</f>
        <v/>
      </c>
      <c r="AU1109" s="65" t="str">
        <f>IFERROR(VLOOKUP(#REF!,[1]Lookup!$B$2:$E$115,3,FALSE),"")</f>
        <v/>
      </c>
    </row>
    <row r="1110" spans="31:47" x14ac:dyDescent="0.3">
      <c r="AE1110" s="204" t="s">
        <v>398</v>
      </c>
      <c r="AF1110" s="204" t="s">
        <v>398</v>
      </c>
      <c r="AG1110" s="204" t="s">
        <v>398</v>
      </c>
      <c r="AS1110" s="65" t="str">
        <f>IFERROR(VLOOKUP(#REF!,[1]Lookup!$B$2:$E$115,4,FALSE),"")</f>
        <v/>
      </c>
      <c r="AT1110" s="65" t="str">
        <f>IFERROR(VLOOKUP(#REF!,[1]Lookup!$B$2:$E$115,2,FALSE),"")</f>
        <v/>
      </c>
      <c r="AU1110" s="65" t="str">
        <f>IFERROR(VLOOKUP(#REF!,[1]Lookup!$B$2:$E$115,3,FALSE),"")</f>
        <v/>
      </c>
    </row>
    <row r="1111" spans="31:47" x14ac:dyDescent="0.3">
      <c r="AE1111" s="204" t="s">
        <v>398</v>
      </c>
      <c r="AF1111" s="204" t="s">
        <v>398</v>
      </c>
      <c r="AG1111" s="204" t="s">
        <v>398</v>
      </c>
      <c r="AS1111" s="65" t="str">
        <f>IFERROR(VLOOKUP(#REF!,[1]Lookup!$B$2:$E$115,4,FALSE),"")</f>
        <v/>
      </c>
      <c r="AT1111" s="65" t="str">
        <f>IFERROR(VLOOKUP(#REF!,[1]Lookup!$B$2:$E$115,2,FALSE),"")</f>
        <v/>
      </c>
      <c r="AU1111" s="65" t="str">
        <f>IFERROR(VLOOKUP(#REF!,[1]Lookup!$B$2:$E$115,3,FALSE),"")</f>
        <v/>
      </c>
    </row>
    <row r="1112" spans="31:47" x14ac:dyDescent="0.3">
      <c r="AE1112" s="204" t="s">
        <v>398</v>
      </c>
      <c r="AF1112" s="204" t="s">
        <v>398</v>
      </c>
      <c r="AG1112" s="204" t="s">
        <v>398</v>
      </c>
      <c r="AS1112" s="65" t="str">
        <f>IFERROR(VLOOKUP(#REF!,[1]Lookup!$B$2:$E$115,4,FALSE),"")</f>
        <v/>
      </c>
      <c r="AT1112" s="65" t="str">
        <f>IFERROR(VLOOKUP(#REF!,[1]Lookup!$B$2:$E$115,2,FALSE),"")</f>
        <v/>
      </c>
      <c r="AU1112" s="65" t="str">
        <f>IFERROR(VLOOKUP(#REF!,[1]Lookup!$B$2:$E$115,3,FALSE),"")</f>
        <v/>
      </c>
    </row>
    <row r="1113" spans="31:47" x14ac:dyDescent="0.3">
      <c r="AE1113" s="204" t="s">
        <v>398</v>
      </c>
      <c r="AF1113" s="204" t="s">
        <v>398</v>
      </c>
      <c r="AG1113" s="204" t="s">
        <v>398</v>
      </c>
      <c r="AS1113" s="65" t="str">
        <f>IFERROR(VLOOKUP(#REF!,[1]Lookup!$B$2:$E$115,4,FALSE),"")</f>
        <v/>
      </c>
      <c r="AT1113" s="65" t="str">
        <f>IFERROR(VLOOKUP(#REF!,[1]Lookup!$B$2:$E$115,2,FALSE),"")</f>
        <v/>
      </c>
      <c r="AU1113" s="65" t="str">
        <f>IFERROR(VLOOKUP(#REF!,[1]Lookup!$B$2:$E$115,3,FALSE),"")</f>
        <v/>
      </c>
    </row>
    <row r="1114" spans="31:47" x14ac:dyDescent="0.3">
      <c r="AE1114" s="204" t="s">
        <v>398</v>
      </c>
      <c r="AF1114" s="204" t="s">
        <v>398</v>
      </c>
      <c r="AG1114" s="204" t="s">
        <v>398</v>
      </c>
      <c r="AS1114" s="65" t="str">
        <f>IFERROR(VLOOKUP(#REF!,[1]Lookup!$B$2:$E$115,4,FALSE),"")</f>
        <v/>
      </c>
      <c r="AT1114" s="65" t="str">
        <f>IFERROR(VLOOKUP(#REF!,[1]Lookup!$B$2:$E$115,2,FALSE),"")</f>
        <v/>
      </c>
      <c r="AU1114" s="65" t="str">
        <f>IFERROR(VLOOKUP(#REF!,[1]Lookup!$B$2:$E$115,3,FALSE),"")</f>
        <v/>
      </c>
    </row>
    <row r="1115" spans="31:47" x14ac:dyDescent="0.3">
      <c r="AE1115" s="204" t="s">
        <v>398</v>
      </c>
      <c r="AF1115" s="204" t="s">
        <v>398</v>
      </c>
      <c r="AG1115" s="204" t="s">
        <v>398</v>
      </c>
      <c r="AS1115" s="65" t="str">
        <f>IFERROR(VLOOKUP(#REF!,[1]Lookup!$B$2:$E$115,4,FALSE),"")</f>
        <v/>
      </c>
      <c r="AT1115" s="65" t="str">
        <f>IFERROR(VLOOKUP(#REF!,[1]Lookup!$B$2:$E$115,2,FALSE),"")</f>
        <v/>
      </c>
      <c r="AU1115" s="65" t="str">
        <f>IFERROR(VLOOKUP(#REF!,[1]Lookup!$B$2:$E$115,3,FALSE),"")</f>
        <v/>
      </c>
    </row>
    <row r="1116" spans="31:47" x14ac:dyDescent="0.3">
      <c r="AE1116" s="204" t="s">
        <v>398</v>
      </c>
      <c r="AF1116" s="204" t="s">
        <v>398</v>
      </c>
      <c r="AG1116" s="204" t="s">
        <v>398</v>
      </c>
      <c r="AS1116" s="65" t="str">
        <f>IFERROR(VLOOKUP(#REF!,[1]Lookup!$B$2:$E$115,4,FALSE),"")</f>
        <v/>
      </c>
      <c r="AT1116" s="65" t="str">
        <f>IFERROR(VLOOKUP(#REF!,[1]Lookup!$B$2:$E$115,2,FALSE),"")</f>
        <v/>
      </c>
      <c r="AU1116" s="65" t="str">
        <f>IFERROR(VLOOKUP(#REF!,[1]Lookup!$B$2:$E$115,3,FALSE),"")</f>
        <v/>
      </c>
    </row>
    <row r="1117" spans="31:47" x14ac:dyDescent="0.3">
      <c r="AE1117" s="204" t="s">
        <v>398</v>
      </c>
      <c r="AF1117" s="204" t="s">
        <v>398</v>
      </c>
      <c r="AG1117" s="204" t="s">
        <v>398</v>
      </c>
      <c r="AS1117" s="65" t="str">
        <f>IFERROR(VLOOKUP(#REF!,[1]Lookup!$B$2:$E$115,4,FALSE),"")</f>
        <v/>
      </c>
      <c r="AT1117" s="65" t="str">
        <f>IFERROR(VLOOKUP(#REF!,[1]Lookup!$B$2:$E$115,2,FALSE),"")</f>
        <v/>
      </c>
      <c r="AU1117" s="65" t="str">
        <f>IFERROR(VLOOKUP(#REF!,[1]Lookup!$B$2:$E$115,3,FALSE),"")</f>
        <v/>
      </c>
    </row>
    <row r="1118" spans="31:47" x14ac:dyDescent="0.3">
      <c r="AE1118" s="204" t="s">
        <v>398</v>
      </c>
      <c r="AF1118" s="204" t="s">
        <v>398</v>
      </c>
      <c r="AG1118" s="204" t="s">
        <v>398</v>
      </c>
      <c r="AS1118" s="65" t="str">
        <f>IFERROR(VLOOKUP(#REF!,[1]Lookup!$B$2:$E$115,4,FALSE),"")</f>
        <v/>
      </c>
      <c r="AT1118" s="65" t="str">
        <f>IFERROR(VLOOKUP(#REF!,[1]Lookup!$B$2:$E$115,2,FALSE),"")</f>
        <v/>
      </c>
      <c r="AU1118" s="65" t="str">
        <f>IFERROR(VLOOKUP(#REF!,[1]Lookup!$B$2:$E$115,3,FALSE),"")</f>
        <v/>
      </c>
    </row>
    <row r="1119" spans="31:47" x14ac:dyDescent="0.3">
      <c r="AE1119" s="204" t="s">
        <v>398</v>
      </c>
      <c r="AF1119" s="204" t="s">
        <v>398</v>
      </c>
      <c r="AG1119" s="204" t="s">
        <v>398</v>
      </c>
      <c r="AS1119" s="65" t="str">
        <f>IFERROR(VLOOKUP(#REF!,[1]Lookup!$B$2:$E$115,4,FALSE),"")</f>
        <v/>
      </c>
      <c r="AT1119" s="65" t="str">
        <f>IFERROR(VLOOKUP(#REF!,[1]Lookup!$B$2:$E$115,2,FALSE),"")</f>
        <v/>
      </c>
      <c r="AU1119" s="65" t="str">
        <f>IFERROR(VLOOKUP(#REF!,[1]Lookup!$B$2:$E$115,3,FALSE),"")</f>
        <v/>
      </c>
    </row>
    <row r="1120" spans="31:47" x14ac:dyDescent="0.3">
      <c r="AE1120" s="204" t="s">
        <v>398</v>
      </c>
      <c r="AF1120" s="204" t="s">
        <v>398</v>
      </c>
      <c r="AG1120" s="204" t="s">
        <v>398</v>
      </c>
      <c r="AS1120" s="65" t="str">
        <f>IFERROR(VLOOKUP(#REF!,[1]Lookup!$B$2:$E$115,4,FALSE),"")</f>
        <v/>
      </c>
      <c r="AT1120" s="65" t="str">
        <f>IFERROR(VLOOKUP(#REF!,[1]Lookup!$B$2:$E$115,2,FALSE),"")</f>
        <v/>
      </c>
      <c r="AU1120" s="65" t="str">
        <f>IFERROR(VLOOKUP(#REF!,[1]Lookup!$B$2:$E$115,3,FALSE),"")</f>
        <v/>
      </c>
    </row>
    <row r="1121" spans="31:47" x14ac:dyDescent="0.3">
      <c r="AE1121" s="204" t="s">
        <v>398</v>
      </c>
      <c r="AF1121" s="204" t="s">
        <v>398</v>
      </c>
      <c r="AG1121" s="204" t="s">
        <v>398</v>
      </c>
      <c r="AS1121" s="65" t="str">
        <f>IFERROR(VLOOKUP(#REF!,[1]Lookup!$B$2:$E$115,4,FALSE),"")</f>
        <v/>
      </c>
      <c r="AT1121" s="65" t="str">
        <f>IFERROR(VLOOKUP(#REF!,[1]Lookup!$B$2:$E$115,2,FALSE),"")</f>
        <v/>
      </c>
      <c r="AU1121" s="65" t="str">
        <f>IFERROR(VLOOKUP(#REF!,[1]Lookup!$B$2:$E$115,3,FALSE),"")</f>
        <v/>
      </c>
    </row>
    <row r="1122" spans="31:47" x14ac:dyDescent="0.3">
      <c r="AE1122" s="204" t="s">
        <v>398</v>
      </c>
      <c r="AF1122" s="204" t="s">
        <v>398</v>
      </c>
      <c r="AG1122" s="204" t="s">
        <v>398</v>
      </c>
      <c r="AS1122" s="65" t="str">
        <f>IFERROR(VLOOKUP(#REF!,[1]Lookup!$B$2:$E$115,4,FALSE),"")</f>
        <v/>
      </c>
      <c r="AT1122" s="65" t="str">
        <f>IFERROR(VLOOKUP(#REF!,[1]Lookup!$B$2:$E$115,2,FALSE),"")</f>
        <v/>
      </c>
      <c r="AU1122" s="65" t="str">
        <f>IFERROR(VLOOKUP(#REF!,[1]Lookup!$B$2:$E$115,3,FALSE),"")</f>
        <v/>
      </c>
    </row>
    <row r="1123" spans="31:47" x14ac:dyDescent="0.3">
      <c r="AE1123" s="204" t="s">
        <v>398</v>
      </c>
      <c r="AF1123" s="204" t="s">
        <v>398</v>
      </c>
      <c r="AG1123" s="204" t="s">
        <v>398</v>
      </c>
      <c r="AS1123" s="65" t="str">
        <f>IFERROR(VLOOKUP(#REF!,[1]Lookup!$B$2:$E$115,4,FALSE),"")</f>
        <v/>
      </c>
      <c r="AT1123" s="65" t="str">
        <f>IFERROR(VLOOKUP(#REF!,[1]Lookup!$B$2:$E$115,2,FALSE),"")</f>
        <v/>
      </c>
      <c r="AU1123" s="65" t="str">
        <f>IFERROR(VLOOKUP(#REF!,[1]Lookup!$B$2:$E$115,3,FALSE),"")</f>
        <v/>
      </c>
    </row>
    <row r="1124" spans="31:47" x14ac:dyDescent="0.3">
      <c r="AE1124" s="204" t="s">
        <v>398</v>
      </c>
      <c r="AF1124" s="204" t="s">
        <v>398</v>
      </c>
      <c r="AG1124" s="204" t="s">
        <v>398</v>
      </c>
      <c r="AS1124" s="65" t="str">
        <f>IFERROR(VLOOKUP(#REF!,[1]Lookup!$B$2:$E$115,4,FALSE),"")</f>
        <v/>
      </c>
      <c r="AT1124" s="65" t="str">
        <f>IFERROR(VLOOKUP(#REF!,[1]Lookup!$B$2:$E$115,2,FALSE),"")</f>
        <v/>
      </c>
      <c r="AU1124" s="65" t="str">
        <f>IFERROR(VLOOKUP(#REF!,[1]Lookup!$B$2:$E$115,3,FALSE),"")</f>
        <v/>
      </c>
    </row>
    <row r="1125" spans="31:47" x14ac:dyDescent="0.3">
      <c r="AE1125" s="204" t="s">
        <v>398</v>
      </c>
      <c r="AF1125" s="204" t="s">
        <v>398</v>
      </c>
      <c r="AG1125" s="204" t="s">
        <v>398</v>
      </c>
      <c r="AS1125" s="65" t="str">
        <f>IFERROR(VLOOKUP(#REF!,[1]Lookup!$B$2:$E$115,4,FALSE),"")</f>
        <v/>
      </c>
      <c r="AT1125" s="65" t="str">
        <f>IFERROR(VLOOKUP(#REF!,[1]Lookup!$B$2:$E$115,2,FALSE),"")</f>
        <v/>
      </c>
      <c r="AU1125" s="65" t="str">
        <f>IFERROR(VLOOKUP(#REF!,[1]Lookup!$B$2:$E$115,3,FALSE),"")</f>
        <v/>
      </c>
    </row>
    <row r="1126" spans="31:47" x14ac:dyDescent="0.3">
      <c r="AE1126" s="204" t="s">
        <v>398</v>
      </c>
      <c r="AF1126" s="204" t="s">
        <v>398</v>
      </c>
      <c r="AG1126" s="204" t="s">
        <v>398</v>
      </c>
      <c r="AS1126" s="65" t="str">
        <f>IFERROR(VLOOKUP(#REF!,[1]Lookup!$B$2:$E$115,4,FALSE),"")</f>
        <v/>
      </c>
      <c r="AT1126" s="65" t="str">
        <f>IFERROR(VLOOKUP(#REF!,[1]Lookup!$B$2:$E$115,2,FALSE),"")</f>
        <v/>
      </c>
      <c r="AU1126" s="65" t="str">
        <f>IFERROR(VLOOKUP(#REF!,[1]Lookup!$B$2:$E$115,3,FALSE),"")</f>
        <v/>
      </c>
    </row>
    <row r="1127" spans="31:47" x14ac:dyDescent="0.3">
      <c r="AE1127" s="204" t="s">
        <v>398</v>
      </c>
      <c r="AF1127" s="204" t="s">
        <v>398</v>
      </c>
      <c r="AG1127" s="204" t="s">
        <v>398</v>
      </c>
      <c r="AS1127" s="65" t="str">
        <f>IFERROR(VLOOKUP(#REF!,[1]Lookup!$B$2:$E$115,4,FALSE),"")</f>
        <v/>
      </c>
      <c r="AT1127" s="65" t="str">
        <f>IFERROR(VLOOKUP(#REF!,[1]Lookup!$B$2:$E$115,2,FALSE),"")</f>
        <v/>
      </c>
      <c r="AU1127" s="65" t="str">
        <f>IFERROR(VLOOKUP(#REF!,[1]Lookup!$B$2:$E$115,3,FALSE),"")</f>
        <v/>
      </c>
    </row>
    <row r="1128" spans="31:47" x14ac:dyDescent="0.3">
      <c r="AE1128" s="204" t="s">
        <v>398</v>
      </c>
      <c r="AF1128" s="204" t="s">
        <v>398</v>
      </c>
      <c r="AG1128" s="204" t="s">
        <v>398</v>
      </c>
      <c r="AS1128" s="65" t="str">
        <f>IFERROR(VLOOKUP(#REF!,[1]Lookup!$B$2:$E$115,4,FALSE),"")</f>
        <v/>
      </c>
      <c r="AT1128" s="65" t="str">
        <f>IFERROR(VLOOKUP(#REF!,[1]Lookup!$B$2:$E$115,2,FALSE),"")</f>
        <v/>
      </c>
      <c r="AU1128" s="65" t="str">
        <f>IFERROR(VLOOKUP(#REF!,[1]Lookup!$B$2:$E$115,3,FALSE),"")</f>
        <v/>
      </c>
    </row>
    <row r="1129" spans="31:47" x14ac:dyDescent="0.3">
      <c r="AE1129" s="204" t="s">
        <v>398</v>
      </c>
      <c r="AF1129" s="204" t="s">
        <v>398</v>
      </c>
      <c r="AG1129" s="204" t="s">
        <v>398</v>
      </c>
      <c r="AS1129" s="65" t="str">
        <f>IFERROR(VLOOKUP(#REF!,[1]Lookup!$B$2:$E$115,4,FALSE),"")</f>
        <v/>
      </c>
      <c r="AT1129" s="65" t="str">
        <f>IFERROR(VLOOKUP(#REF!,[1]Lookup!$B$2:$E$115,2,FALSE),"")</f>
        <v/>
      </c>
      <c r="AU1129" s="65" t="str">
        <f>IFERROR(VLOOKUP(#REF!,[1]Lookup!$B$2:$E$115,3,FALSE),"")</f>
        <v/>
      </c>
    </row>
    <row r="1130" spans="31:47" x14ac:dyDescent="0.3">
      <c r="AE1130" s="204" t="s">
        <v>398</v>
      </c>
      <c r="AF1130" s="204" t="s">
        <v>398</v>
      </c>
      <c r="AG1130" s="204" t="s">
        <v>398</v>
      </c>
      <c r="AS1130" s="65" t="str">
        <f>IFERROR(VLOOKUP(#REF!,[1]Lookup!$B$2:$E$115,4,FALSE),"")</f>
        <v/>
      </c>
      <c r="AT1130" s="65" t="str">
        <f>IFERROR(VLOOKUP(#REF!,[1]Lookup!$B$2:$E$115,2,FALSE),"")</f>
        <v/>
      </c>
      <c r="AU1130" s="65" t="str">
        <f>IFERROR(VLOOKUP(#REF!,[1]Lookup!$B$2:$E$115,3,FALSE),"")</f>
        <v/>
      </c>
    </row>
    <row r="1131" spans="31:47" x14ac:dyDescent="0.3">
      <c r="AE1131" s="204" t="s">
        <v>398</v>
      </c>
      <c r="AF1131" s="204" t="s">
        <v>398</v>
      </c>
      <c r="AG1131" s="204" t="s">
        <v>398</v>
      </c>
      <c r="AS1131" s="65" t="str">
        <f>IFERROR(VLOOKUP(#REF!,[1]Lookup!$B$2:$E$115,4,FALSE),"")</f>
        <v/>
      </c>
      <c r="AT1131" s="65" t="str">
        <f>IFERROR(VLOOKUP(#REF!,[1]Lookup!$B$2:$E$115,2,FALSE),"")</f>
        <v/>
      </c>
      <c r="AU1131" s="65" t="str">
        <f>IFERROR(VLOOKUP(#REF!,[1]Lookup!$B$2:$E$115,3,FALSE),"")</f>
        <v/>
      </c>
    </row>
    <row r="1132" spans="31:47" x14ac:dyDescent="0.3">
      <c r="AE1132" s="204" t="s">
        <v>398</v>
      </c>
      <c r="AF1132" s="204" t="s">
        <v>398</v>
      </c>
      <c r="AG1132" s="204" t="s">
        <v>398</v>
      </c>
      <c r="AS1132" s="65" t="str">
        <f>IFERROR(VLOOKUP(#REF!,[1]Lookup!$B$2:$E$115,4,FALSE),"")</f>
        <v/>
      </c>
      <c r="AT1132" s="65" t="str">
        <f>IFERROR(VLOOKUP(#REF!,[1]Lookup!$B$2:$E$115,2,FALSE),"")</f>
        <v/>
      </c>
      <c r="AU1132" s="65" t="str">
        <f>IFERROR(VLOOKUP(#REF!,[1]Lookup!$B$2:$E$115,3,FALSE),"")</f>
        <v/>
      </c>
    </row>
    <row r="1133" spans="31:47" x14ac:dyDescent="0.3">
      <c r="AE1133" s="204" t="s">
        <v>398</v>
      </c>
      <c r="AF1133" s="204" t="s">
        <v>398</v>
      </c>
      <c r="AG1133" s="204" t="s">
        <v>398</v>
      </c>
      <c r="AS1133" s="65" t="str">
        <f>IFERROR(VLOOKUP(#REF!,[1]Lookup!$B$2:$E$115,4,FALSE),"")</f>
        <v/>
      </c>
      <c r="AT1133" s="65" t="str">
        <f>IFERROR(VLOOKUP(#REF!,[1]Lookup!$B$2:$E$115,2,FALSE),"")</f>
        <v/>
      </c>
      <c r="AU1133" s="65" t="str">
        <f>IFERROR(VLOOKUP(#REF!,[1]Lookup!$B$2:$E$115,3,FALSE),"")</f>
        <v/>
      </c>
    </row>
    <row r="1134" spans="31:47" x14ac:dyDescent="0.3">
      <c r="AE1134" s="204" t="s">
        <v>398</v>
      </c>
      <c r="AF1134" s="204" t="s">
        <v>398</v>
      </c>
      <c r="AG1134" s="204" t="s">
        <v>398</v>
      </c>
      <c r="AS1134" s="65" t="str">
        <f>IFERROR(VLOOKUP(#REF!,[1]Lookup!$B$2:$E$115,4,FALSE),"")</f>
        <v/>
      </c>
      <c r="AT1134" s="65" t="str">
        <f>IFERROR(VLOOKUP(#REF!,[1]Lookup!$B$2:$E$115,2,FALSE),"")</f>
        <v/>
      </c>
      <c r="AU1134" s="65" t="str">
        <f>IFERROR(VLOOKUP(#REF!,[1]Lookup!$B$2:$E$115,3,FALSE),"")</f>
        <v/>
      </c>
    </row>
    <row r="1135" spans="31:47" x14ac:dyDescent="0.3">
      <c r="AE1135" s="204" t="s">
        <v>398</v>
      </c>
      <c r="AF1135" s="204" t="s">
        <v>398</v>
      </c>
      <c r="AG1135" s="204" t="s">
        <v>398</v>
      </c>
      <c r="AS1135" s="65" t="str">
        <f>IFERROR(VLOOKUP(#REF!,[1]Lookup!$B$2:$E$115,4,FALSE),"")</f>
        <v/>
      </c>
      <c r="AT1135" s="65" t="str">
        <f>IFERROR(VLOOKUP(#REF!,[1]Lookup!$B$2:$E$115,2,FALSE),"")</f>
        <v/>
      </c>
      <c r="AU1135" s="65" t="str">
        <f>IFERROR(VLOOKUP(#REF!,[1]Lookup!$B$2:$E$115,3,FALSE),"")</f>
        <v/>
      </c>
    </row>
    <row r="1136" spans="31:47" x14ac:dyDescent="0.3">
      <c r="AE1136" s="204" t="s">
        <v>398</v>
      </c>
      <c r="AF1136" s="204" t="s">
        <v>398</v>
      </c>
      <c r="AG1136" s="204" t="s">
        <v>398</v>
      </c>
      <c r="AS1136" s="65" t="str">
        <f>IFERROR(VLOOKUP(#REF!,[1]Lookup!$B$2:$E$115,4,FALSE),"")</f>
        <v/>
      </c>
      <c r="AT1136" s="65" t="str">
        <f>IFERROR(VLOOKUP(#REF!,[1]Lookup!$B$2:$E$115,2,FALSE),"")</f>
        <v/>
      </c>
      <c r="AU1136" s="65" t="str">
        <f>IFERROR(VLOOKUP(#REF!,[1]Lookup!$B$2:$E$115,3,FALSE),"")</f>
        <v/>
      </c>
    </row>
    <row r="1137" spans="31:47" x14ac:dyDescent="0.3">
      <c r="AE1137" s="204" t="s">
        <v>398</v>
      </c>
      <c r="AF1137" s="204" t="s">
        <v>398</v>
      </c>
      <c r="AG1137" s="204" t="s">
        <v>398</v>
      </c>
      <c r="AS1137" s="65" t="str">
        <f>IFERROR(VLOOKUP(#REF!,[1]Lookup!$B$2:$E$115,4,FALSE),"")</f>
        <v/>
      </c>
      <c r="AT1137" s="65" t="str">
        <f>IFERROR(VLOOKUP(#REF!,[1]Lookup!$B$2:$E$115,2,FALSE),"")</f>
        <v/>
      </c>
      <c r="AU1137" s="65" t="str">
        <f>IFERROR(VLOOKUP(#REF!,[1]Lookup!$B$2:$E$115,3,FALSE),"")</f>
        <v/>
      </c>
    </row>
    <row r="1138" spans="31:47" x14ac:dyDescent="0.3">
      <c r="AE1138" s="204" t="s">
        <v>398</v>
      </c>
      <c r="AF1138" s="204" t="s">
        <v>398</v>
      </c>
      <c r="AG1138" s="204" t="s">
        <v>398</v>
      </c>
      <c r="AS1138" s="65" t="str">
        <f>IFERROR(VLOOKUP(#REF!,[1]Lookup!$B$2:$E$115,4,FALSE),"")</f>
        <v/>
      </c>
      <c r="AT1138" s="65" t="str">
        <f>IFERROR(VLOOKUP(#REF!,[1]Lookup!$B$2:$E$115,2,FALSE),"")</f>
        <v/>
      </c>
      <c r="AU1138" s="65" t="str">
        <f>IFERROR(VLOOKUP(#REF!,[1]Lookup!$B$2:$E$115,3,FALSE),"")</f>
        <v/>
      </c>
    </row>
    <row r="1139" spans="31:47" x14ac:dyDescent="0.3">
      <c r="AE1139" s="204" t="s">
        <v>398</v>
      </c>
      <c r="AF1139" s="204" t="s">
        <v>398</v>
      </c>
      <c r="AG1139" s="204" t="s">
        <v>398</v>
      </c>
      <c r="AS1139" s="65" t="str">
        <f>IFERROR(VLOOKUP(#REF!,[1]Lookup!$B$2:$E$115,4,FALSE),"")</f>
        <v/>
      </c>
      <c r="AT1139" s="65" t="str">
        <f>IFERROR(VLOOKUP(#REF!,[1]Lookup!$B$2:$E$115,2,FALSE),"")</f>
        <v/>
      </c>
      <c r="AU1139" s="65" t="str">
        <f>IFERROR(VLOOKUP(#REF!,[1]Lookup!$B$2:$E$115,3,FALSE),"")</f>
        <v/>
      </c>
    </row>
    <row r="1140" spans="31:47" x14ac:dyDescent="0.3">
      <c r="AE1140" s="204" t="s">
        <v>398</v>
      </c>
      <c r="AF1140" s="204" t="s">
        <v>398</v>
      </c>
      <c r="AG1140" s="204" t="s">
        <v>398</v>
      </c>
      <c r="AS1140" s="65" t="str">
        <f>IFERROR(VLOOKUP(#REF!,[1]Lookup!$B$2:$E$115,4,FALSE),"")</f>
        <v/>
      </c>
      <c r="AT1140" s="65" t="str">
        <f>IFERROR(VLOOKUP(#REF!,[1]Lookup!$B$2:$E$115,2,FALSE),"")</f>
        <v/>
      </c>
      <c r="AU1140" s="65" t="str">
        <f>IFERROR(VLOOKUP(#REF!,[1]Lookup!$B$2:$E$115,3,FALSE),"")</f>
        <v/>
      </c>
    </row>
    <row r="1141" spans="31:47" x14ac:dyDescent="0.3">
      <c r="AE1141" s="204" t="s">
        <v>398</v>
      </c>
      <c r="AF1141" s="204" t="s">
        <v>398</v>
      </c>
      <c r="AG1141" s="204" t="s">
        <v>398</v>
      </c>
      <c r="AS1141" s="65" t="str">
        <f>IFERROR(VLOOKUP(#REF!,[1]Lookup!$B$2:$E$115,4,FALSE),"")</f>
        <v/>
      </c>
      <c r="AT1141" s="65" t="str">
        <f>IFERROR(VLOOKUP(#REF!,[1]Lookup!$B$2:$E$115,2,FALSE),"")</f>
        <v/>
      </c>
      <c r="AU1141" s="65" t="str">
        <f>IFERROR(VLOOKUP(#REF!,[1]Lookup!$B$2:$E$115,3,FALSE),"")</f>
        <v/>
      </c>
    </row>
    <row r="1142" spans="31:47" x14ac:dyDescent="0.3">
      <c r="AE1142" s="204" t="s">
        <v>398</v>
      </c>
      <c r="AF1142" s="204" t="s">
        <v>398</v>
      </c>
      <c r="AG1142" s="204" t="s">
        <v>398</v>
      </c>
      <c r="AS1142" s="65" t="str">
        <f>IFERROR(VLOOKUP(#REF!,[1]Lookup!$B$2:$E$115,4,FALSE),"")</f>
        <v/>
      </c>
      <c r="AT1142" s="65" t="str">
        <f>IFERROR(VLOOKUP(#REF!,[1]Lookup!$B$2:$E$115,2,FALSE),"")</f>
        <v/>
      </c>
      <c r="AU1142" s="65" t="str">
        <f>IFERROR(VLOOKUP(#REF!,[1]Lookup!$B$2:$E$115,3,FALSE),"")</f>
        <v/>
      </c>
    </row>
    <row r="1143" spans="31:47" x14ac:dyDescent="0.3">
      <c r="AE1143" s="204" t="s">
        <v>398</v>
      </c>
      <c r="AF1143" s="204" t="s">
        <v>398</v>
      </c>
      <c r="AG1143" s="204" t="s">
        <v>398</v>
      </c>
      <c r="AS1143" s="65" t="str">
        <f>IFERROR(VLOOKUP(#REF!,[1]Lookup!$B$2:$E$115,4,FALSE),"")</f>
        <v/>
      </c>
      <c r="AT1143" s="65" t="str">
        <f>IFERROR(VLOOKUP(#REF!,[1]Lookup!$B$2:$E$115,2,FALSE),"")</f>
        <v/>
      </c>
      <c r="AU1143" s="65" t="str">
        <f>IFERROR(VLOOKUP(#REF!,[1]Lookup!$B$2:$E$115,3,FALSE),"")</f>
        <v/>
      </c>
    </row>
    <row r="1144" spans="31:47" x14ac:dyDescent="0.3">
      <c r="AE1144" s="204" t="s">
        <v>398</v>
      </c>
      <c r="AF1144" s="204" t="s">
        <v>398</v>
      </c>
      <c r="AG1144" s="204" t="s">
        <v>398</v>
      </c>
      <c r="AS1144" s="65" t="str">
        <f>IFERROR(VLOOKUP(#REF!,[1]Lookup!$B$2:$E$115,4,FALSE),"")</f>
        <v/>
      </c>
      <c r="AT1144" s="65" t="str">
        <f>IFERROR(VLOOKUP(#REF!,[1]Lookup!$B$2:$E$115,2,FALSE),"")</f>
        <v/>
      </c>
      <c r="AU1144" s="65" t="str">
        <f>IFERROR(VLOOKUP(#REF!,[1]Lookup!$B$2:$E$115,3,FALSE),"")</f>
        <v/>
      </c>
    </row>
    <row r="1145" spans="31:47" x14ac:dyDescent="0.3">
      <c r="AE1145" s="204" t="s">
        <v>398</v>
      </c>
      <c r="AF1145" s="204" t="s">
        <v>398</v>
      </c>
      <c r="AG1145" s="204" t="s">
        <v>398</v>
      </c>
      <c r="AS1145" s="65" t="str">
        <f>IFERROR(VLOOKUP(#REF!,[1]Lookup!$B$2:$E$115,4,FALSE),"")</f>
        <v/>
      </c>
      <c r="AT1145" s="65" t="str">
        <f>IFERROR(VLOOKUP(#REF!,[1]Lookup!$B$2:$E$115,2,FALSE),"")</f>
        <v/>
      </c>
      <c r="AU1145" s="65" t="str">
        <f>IFERROR(VLOOKUP(#REF!,[1]Lookup!$B$2:$E$115,3,FALSE),"")</f>
        <v/>
      </c>
    </row>
    <row r="1146" spans="31:47" x14ac:dyDescent="0.3">
      <c r="AE1146" s="204" t="s">
        <v>398</v>
      </c>
      <c r="AF1146" s="204" t="s">
        <v>398</v>
      </c>
      <c r="AG1146" s="204" t="s">
        <v>398</v>
      </c>
      <c r="AS1146" s="65" t="str">
        <f>IFERROR(VLOOKUP(#REF!,[1]Lookup!$B$2:$E$115,4,FALSE),"")</f>
        <v/>
      </c>
      <c r="AT1146" s="65" t="str">
        <f>IFERROR(VLOOKUP(#REF!,[1]Lookup!$B$2:$E$115,2,FALSE),"")</f>
        <v/>
      </c>
      <c r="AU1146" s="65" t="str">
        <f>IFERROR(VLOOKUP(#REF!,[1]Lookup!$B$2:$E$115,3,FALSE),"")</f>
        <v/>
      </c>
    </row>
    <row r="1147" spans="31:47" x14ac:dyDescent="0.3">
      <c r="AE1147" s="204" t="s">
        <v>398</v>
      </c>
      <c r="AF1147" s="204" t="s">
        <v>398</v>
      </c>
      <c r="AG1147" s="204" t="s">
        <v>398</v>
      </c>
      <c r="AS1147" s="65" t="str">
        <f>IFERROR(VLOOKUP(#REF!,[1]Lookup!$B$2:$E$115,4,FALSE),"")</f>
        <v/>
      </c>
      <c r="AT1147" s="65" t="str">
        <f>IFERROR(VLOOKUP(#REF!,[1]Lookup!$B$2:$E$115,2,FALSE),"")</f>
        <v/>
      </c>
      <c r="AU1147" s="65" t="str">
        <f>IFERROR(VLOOKUP(#REF!,[1]Lookup!$B$2:$E$115,3,FALSE),"")</f>
        <v/>
      </c>
    </row>
    <row r="1148" spans="31:47" x14ac:dyDescent="0.3">
      <c r="AE1148" s="204" t="s">
        <v>398</v>
      </c>
      <c r="AF1148" s="204" t="s">
        <v>398</v>
      </c>
      <c r="AG1148" s="204" t="s">
        <v>398</v>
      </c>
      <c r="AS1148" s="65" t="str">
        <f>IFERROR(VLOOKUP(#REF!,[1]Lookup!$B$2:$E$115,4,FALSE),"")</f>
        <v/>
      </c>
      <c r="AT1148" s="65" t="str">
        <f>IFERROR(VLOOKUP(#REF!,[1]Lookup!$B$2:$E$115,2,FALSE),"")</f>
        <v/>
      </c>
      <c r="AU1148" s="65" t="str">
        <f>IFERROR(VLOOKUP(#REF!,[1]Lookup!$B$2:$E$115,3,FALSE),"")</f>
        <v/>
      </c>
    </row>
    <row r="1149" spans="31:47" x14ac:dyDescent="0.3">
      <c r="AE1149" s="204" t="s">
        <v>398</v>
      </c>
      <c r="AF1149" s="204" t="s">
        <v>398</v>
      </c>
      <c r="AG1149" s="204" t="s">
        <v>398</v>
      </c>
      <c r="AS1149" s="65" t="str">
        <f>IFERROR(VLOOKUP(#REF!,[1]Lookup!$B$2:$E$115,4,FALSE),"")</f>
        <v/>
      </c>
      <c r="AT1149" s="65" t="str">
        <f>IFERROR(VLOOKUP(#REF!,[1]Lookup!$B$2:$E$115,2,FALSE),"")</f>
        <v/>
      </c>
      <c r="AU1149" s="65" t="str">
        <f>IFERROR(VLOOKUP(#REF!,[1]Lookup!$B$2:$E$115,3,FALSE),"")</f>
        <v/>
      </c>
    </row>
    <row r="1150" spans="31:47" x14ac:dyDescent="0.3">
      <c r="AE1150" s="204" t="s">
        <v>398</v>
      </c>
      <c r="AF1150" s="204" t="s">
        <v>398</v>
      </c>
      <c r="AG1150" s="204" t="s">
        <v>398</v>
      </c>
      <c r="AS1150" s="65" t="str">
        <f>IFERROR(VLOOKUP(#REF!,[1]Lookup!$B$2:$E$115,4,FALSE),"")</f>
        <v/>
      </c>
      <c r="AT1150" s="65" t="str">
        <f>IFERROR(VLOOKUP(#REF!,[1]Lookup!$B$2:$E$115,2,FALSE),"")</f>
        <v/>
      </c>
      <c r="AU1150" s="65" t="str">
        <f>IFERROR(VLOOKUP(#REF!,[1]Lookup!$B$2:$E$115,3,FALSE),"")</f>
        <v/>
      </c>
    </row>
    <row r="1151" spans="31:47" x14ac:dyDescent="0.3">
      <c r="AE1151" s="204" t="s">
        <v>398</v>
      </c>
      <c r="AF1151" s="204" t="s">
        <v>398</v>
      </c>
      <c r="AG1151" s="204" t="s">
        <v>398</v>
      </c>
      <c r="AS1151" s="65" t="str">
        <f>IFERROR(VLOOKUP(#REF!,[1]Lookup!$B$2:$E$115,4,FALSE),"")</f>
        <v/>
      </c>
      <c r="AT1151" s="65" t="str">
        <f>IFERROR(VLOOKUP(#REF!,[1]Lookup!$B$2:$E$115,2,FALSE),"")</f>
        <v/>
      </c>
      <c r="AU1151" s="65" t="str">
        <f>IFERROR(VLOOKUP(#REF!,[1]Lookup!$B$2:$E$115,3,FALSE),"")</f>
        <v/>
      </c>
    </row>
    <row r="1152" spans="31:47" x14ac:dyDescent="0.3">
      <c r="AE1152" s="204" t="s">
        <v>398</v>
      </c>
      <c r="AF1152" s="204" t="s">
        <v>398</v>
      </c>
      <c r="AG1152" s="204" t="s">
        <v>398</v>
      </c>
      <c r="AS1152" s="65" t="str">
        <f>IFERROR(VLOOKUP(#REF!,[1]Lookup!$B$2:$E$115,4,FALSE),"")</f>
        <v/>
      </c>
      <c r="AT1152" s="65" t="str">
        <f>IFERROR(VLOOKUP(#REF!,[1]Lookup!$B$2:$E$115,2,FALSE),"")</f>
        <v/>
      </c>
      <c r="AU1152" s="65" t="str">
        <f>IFERROR(VLOOKUP(#REF!,[1]Lookup!$B$2:$E$115,3,FALSE),"")</f>
        <v/>
      </c>
    </row>
    <row r="1153" spans="31:47" x14ac:dyDescent="0.3">
      <c r="AE1153" s="204" t="s">
        <v>398</v>
      </c>
      <c r="AF1153" s="204" t="s">
        <v>398</v>
      </c>
      <c r="AG1153" s="204" t="s">
        <v>398</v>
      </c>
      <c r="AS1153" s="65" t="str">
        <f>IFERROR(VLOOKUP(#REF!,[1]Lookup!$B$2:$E$115,4,FALSE),"")</f>
        <v/>
      </c>
      <c r="AT1153" s="65" t="str">
        <f>IFERROR(VLOOKUP(#REF!,[1]Lookup!$B$2:$E$115,2,FALSE),"")</f>
        <v/>
      </c>
      <c r="AU1153" s="65" t="str">
        <f>IFERROR(VLOOKUP(#REF!,[1]Lookup!$B$2:$E$115,3,FALSE),"")</f>
        <v/>
      </c>
    </row>
    <row r="1154" spans="31:47" x14ac:dyDescent="0.3">
      <c r="AE1154" s="204" t="s">
        <v>398</v>
      </c>
      <c r="AF1154" s="204" t="s">
        <v>398</v>
      </c>
      <c r="AG1154" s="204" t="s">
        <v>398</v>
      </c>
      <c r="AS1154" s="65" t="str">
        <f>IFERROR(VLOOKUP(#REF!,[1]Lookup!$B$2:$E$115,4,FALSE),"")</f>
        <v/>
      </c>
      <c r="AT1154" s="65" t="str">
        <f>IFERROR(VLOOKUP(#REF!,[1]Lookup!$B$2:$E$115,2,FALSE),"")</f>
        <v/>
      </c>
      <c r="AU1154" s="65" t="str">
        <f>IFERROR(VLOOKUP(#REF!,[1]Lookup!$B$2:$E$115,3,FALSE),"")</f>
        <v/>
      </c>
    </row>
    <row r="1155" spans="31:47" x14ac:dyDescent="0.3">
      <c r="AE1155" s="204" t="s">
        <v>398</v>
      </c>
      <c r="AF1155" s="204" t="s">
        <v>398</v>
      </c>
      <c r="AG1155" s="204" t="s">
        <v>398</v>
      </c>
      <c r="AS1155" s="65" t="str">
        <f>IFERROR(VLOOKUP(#REF!,[1]Lookup!$B$2:$E$115,4,FALSE),"")</f>
        <v/>
      </c>
      <c r="AT1155" s="65" t="str">
        <f>IFERROR(VLOOKUP(#REF!,[1]Lookup!$B$2:$E$115,2,FALSE),"")</f>
        <v/>
      </c>
      <c r="AU1155" s="65" t="str">
        <f>IFERROR(VLOOKUP(#REF!,[1]Lookup!$B$2:$E$115,3,FALSE),"")</f>
        <v/>
      </c>
    </row>
    <row r="1156" spans="31:47" x14ac:dyDescent="0.3">
      <c r="AE1156" s="204" t="s">
        <v>398</v>
      </c>
      <c r="AF1156" s="204" t="s">
        <v>398</v>
      </c>
      <c r="AG1156" s="204" t="s">
        <v>398</v>
      </c>
      <c r="AS1156" s="65" t="str">
        <f>IFERROR(VLOOKUP(#REF!,[1]Lookup!$B$2:$E$115,4,FALSE),"")</f>
        <v/>
      </c>
      <c r="AT1156" s="65" t="str">
        <f>IFERROR(VLOOKUP(#REF!,[1]Lookup!$B$2:$E$115,2,FALSE),"")</f>
        <v/>
      </c>
      <c r="AU1156" s="65" t="str">
        <f>IFERROR(VLOOKUP(#REF!,[1]Lookup!$B$2:$E$115,3,FALSE),"")</f>
        <v/>
      </c>
    </row>
    <row r="1157" spans="31:47" x14ac:dyDescent="0.3">
      <c r="AE1157" s="204" t="s">
        <v>398</v>
      </c>
      <c r="AF1157" s="204" t="s">
        <v>398</v>
      </c>
      <c r="AG1157" s="204" t="s">
        <v>398</v>
      </c>
      <c r="AS1157" s="65" t="str">
        <f>IFERROR(VLOOKUP(#REF!,[1]Lookup!$B$2:$E$115,4,FALSE),"")</f>
        <v/>
      </c>
      <c r="AT1157" s="65" t="str">
        <f>IFERROR(VLOOKUP(#REF!,[1]Lookup!$B$2:$E$115,2,FALSE),"")</f>
        <v/>
      </c>
      <c r="AU1157" s="65" t="str">
        <f>IFERROR(VLOOKUP(#REF!,[1]Lookup!$B$2:$E$115,3,FALSE),"")</f>
        <v/>
      </c>
    </row>
    <row r="1158" spans="31:47" x14ac:dyDescent="0.3">
      <c r="AE1158" s="204" t="s">
        <v>398</v>
      </c>
      <c r="AF1158" s="204" t="s">
        <v>398</v>
      </c>
      <c r="AG1158" s="204" t="s">
        <v>398</v>
      </c>
      <c r="AS1158" s="65" t="str">
        <f>IFERROR(VLOOKUP(#REF!,[1]Lookup!$B$2:$E$115,4,FALSE),"")</f>
        <v/>
      </c>
      <c r="AT1158" s="65" t="str">
        <f>IFERROR(VLOOKUP(#REF!,[1]Lookup!$B$2:$E$115,2,FALSE),"")</f>
        <v/>
      </c>
      <c r="AU1158" s="65" t="str">
        <f>IFERROR(VLOOKUP(#REF!,[1]Lookup!$B$2:$E$115,3,FALSE),"")</f>
        <v/>
      </c>
    </row>
    <row r="1159" spans="31:47" x14ac:dyDescent="0.3">
      <c r="AE1159" s="204" t="s">
        <v>398</v>
      </c>
      <c r="AF1159" s="204" t="s">
        <v>398</v>
      </c>
      <c r="AG1159" s="204" t="s">
        <v>398</v>
      </c>
      <c r="AS1159" s="65" t="str">
        <f>IFERROR(VLOOKUP(#REF!,[1]Lookup!$B$2:$E$115,4,FALSE),"")</f>
        <v/>
      </c>
      <c r="AT1159" s="65" t="str">
        <f>IFERROR(VLOOKUP(#REF!,[1]Lookup!$B$2:$E$115,2,FALSE),"")</f>
        <v/>
      </c>
      <c r="AU1159" s="65" t="str">
        <f>IFERROR(VLOOKUP(#REF!,[1]Lookup!$B$2:$E$115,3,FALSE),"")</f>
        <v/>
      </c>
    </row>
    <row r="1160" spans="31:47" x14ac:dyDescent="0.3">
      <c r="AE1160" s="204" t="s">
        <v>398</v>
      </c>
      <c r="AF1160" s="204" t="s">
        <v>398</v>
      </c>
      <c r="AG1160" s="204" t="s">
        <v>398</v>
      </c>
      <c r="AS1160" s="65" t="str">
        <f>IFERROR(VLOOKUP(#REF!,[1]Lookup!$B$2:$E$115,4,FALSE),"")</f>
        <v/>
      </c>
      <c r="AT1160" s="65" t="str">
        <f>IFERROR(VLOOKUP(#REF!,[1]Lookup!$B$2:$E$115,2,FALSE),"")</f>
        <v/>
      </c>
      <c r="AU1160" s="65" t="str">
        <f>IFERROR(VLOOKUP(#REF!,[1]Lookup!$B$2:$E$115,3,FALSE),"")</f>
        <v/>
      </c>
    </row>
    <row r="1161" spans="31:47" x14ac:dyDescent="0.3">
      <c r="AE1161" s="204" t="s">
        <v>398</v>
      </c>
      <c r="AF1161" s="204" t="s">
        <v>398</v>
      </c>
      <c r="AG1161" s="204" t="s">
        <v>398</v>
      </c>
      <c r="AS1161" s="65" t="str">
        <f>IFERROR(VLOOKUP(#REF!,[1]Lookup!$B$2:$E$115,4,FALSE),"")</f>
        <v/>
      </c>
      <c r="AT1161" s="65" t="str">
        <f>IFERROR(VLOOKUP(#REF!,[1]Lookup!$B$2:$E$115,2,FALSE),"")</f>
        <v/>
      </c>
      <c r="AU1161" s="65" t="str">
        <f>IFERROR(VLOOKUP(#REF!,[1]Lookup!$B$2:$E$115,3,FALSE),"")</f>
        <v/>
      </c>
    </row>
    <row r="1162" spans="31:47" x14ac:dyDescent="0.3">
      <c r="AE1162" s="204" t="s">
        <v>398</v>
      </c>
      <c r="AF1162" s="204" t="s">
        <v>398</v>
      </c>
      <c r="AG1162" s="204" t="s">
        <v>398</v>
      </c>
      <c r="AS1162" s="65" t="str">
        <f>IFERROR(VLOOKUP(#REF!,[1]Lookup!$B$2:$E$115,4,FALSE),"")</f>
        <v/>
      </c>
      <c r="AT1162" s="65" t="str">
        <f>IFERROR(VLOOKUP(#REF!,[1]Lookup!$B$2:$E$115,2,FALSE),"")</f>
        <v/>
      </c>
      <c r="AU1162" s="65" t="str">
        <f>IFERROR(VLOOKUP(#REF!,[1]Lookup!$B$2:$E$115,3,FALSE),"")</f>
        <v/>
      </c>
    </row>
    <row r="1163" spans="31:47" x14ac:dyDescent="0.3">
      <c r="AE1163" s="204" t="s">
        <v>398</v>
      </c>
      <c r="AF1163" s="204" t="s">
        <v>398</v>
      </c>
      <c r="AG1163" s="204" t="s">
        <v>398</v>
      </c>
      <c r="AS1163" s="65" t="str">
        <f>IFERROR(VLOOKUP(#REF!,[1]Lookup!$B$2:$E$115,4,FALSE),"")</f>
        <v/>
      </c>
      <c r="AT1163" s="65" t="str">
        <f>IFERROR(VLOOKUP(#REF!,[1]Lookup!$B$2:$E$115,2,FALSE),"")</f>
        <v/>
      </c>
      <c r="AU1163" s="65" t="str">
        <f>IFERROR(VLOOKUP(#REF!,[1]Lookup!$B$2:$E$115,3,FALSE),"")</f>
        <v/>
      </c>
    </row>
    <row r="1164" spans="31:47" x14ac:dyDescent="0.3">
      <c r="AE1164" s="204" t="s">
        <v>398</v>
      </c>
      <c r="AF1164" s="204" t="s">
        <v>398</v>
      </c>
      <c r="AG1164" s="204" t="s">
        <v>398</v>
      </c>
      <c r="AS1164" s="65" t="str">
        <f>IFERROR(VLOOKUP(#REF!,[1]Lookup!$B$2:$E$115,4,FALSE),"")</f>
        <v/>
      </c>
      <c r="AT1164" s="65" t="str">
        <f>IFERROR(VLOOKUP(#REF!,[1]Lookup!$B$2:$E$115,2,FALSE),"")</f>
        <v/>
      </c>
      <c r="AU1164" s="65" t="str">
        <f>IFERROR(VLOOKUP(#REF!,[1]Lookup!$B$2:$E$115,3,FALSE),"")</f>
        <v/>
      </c>
    </row>
    <row r="1165" spans="31:47" x14ac:dyDescent="0.3">
      <c r="AE1165" s="204" t="s">
        <v>398</v>
      </c>
      <c r="AF1165" s="204" t="s">
        <v>398</v>
      </c>
      <c r="AG1165" s="204" t="s">
        <v>398</v>
      </c>
      <c r="AS1165" s="65" t="str">
        <f>IFERROR(VLOOKUP(#REF!,[1]Lookup!$B$2:$E$115,4,FALSE),"")</f>
        <v/>
      </c>
      <c r="AT1165" s="65" t="str">
        <f>IFERROR(VLOOKUP(#REF!,[1]Lookup!$B$2:$E$115,2,FALSE),"")</f>
        <v/>
      </c>
      <c r="AU1165" s="65" t="str">
        <f>IFERROR(VLOOKUP(#REF!,[1]Lookup!$B$2:$E$115,3,FALSE),"")</f>
        <v/>
      </c>
    </row>
    <row r="1166" spans="31:47" x14ac:dyDescent="0.3">
      <c r="AE1166" s="204" t="s">
        <v>398</v>
      </c>
      <c r="AF1166" s="204" t="s">
        <v>398</v>
      </c>
      <c r="AG1166" s="204" t="s">
        <v>398</v>
      </c>
      <c r="AS1166" s="65" t="str">
        <f>IFERROR(VLOOKUP(#REF!,[1]Lookup!$B$2:$E$115,4,FALSE),"")</f>
        <v/>
      </c>
      <c r="AT1166" s="65" t="str">
        <f>IFERROR(VLOOKUP(#REF!,[1]Lookup!$B$2:$E$115,2,FALSE),"")</f>
        <v/>
      </c>
      <c r="AU1166" s="65" t="str">
        <f>IFERROR(VLOOKUP(#REF!,[1]Lookup!$B$2:$E$115,3,FALSE),"")</f>
        <v/>
      </c>
    </row>
    <row r="1167" spans="31:47" x14ac:dyDescent="0.3">
      <c r="AE1167" s="204" t="s">
        <v>398</v>
      </c>
      <c r="AF1167" s="204" t="s">
        <v>398</v>
      </c>
      <c r="AG1167" s="204" t="s">
        <v>398</v>
      </c>
      <c r="AS1167" s="65" t="str">
        <f>IFERROR(VLOOKUP(#REF!,[1]Lookup!$B$2:$E$115,4,FALSE),"")</f>
        <v/>
      </c>
      <c r="AT1167" s="65" t="str">
        <f>IFERROR(VLOOKUP(#REF!,[1]Lookup!$B$2:$E$115,2,FALSE),"")</f>
        <v/>
      </c>
      <c r="AU1167" s="65" t="str">
        <f>IFERROR(VLOOKUP(#REF!,[1]Lookup!$B$2:$E$115,3,FALSE),"")</f>
        <v/>
      </c>
    </row>
    <row r="1168" spans="31:47" x14ac:dyDescent="0.3">
      <c r="AE1168" s="204" t="s">
        <v>398</v>
      </c>
      <c r="AF1168" s="204" t="s">
        <v>398</v>
      </c>
      <c r="AG1168" s="204" t="s">
        <v>398</v>
      </c>
      <c r="AS1168" s="65" t="str">
        <f>IFERROR(VLOOKUP(#REF!,[1]Lookup!$B$2:$E$115,4,FALSE),"")</f>
        <v/>
      </c>
      <c r="AT1168" s="65" t="str">
        <f>IFERROR(VLOOKUP(#REF!,[1]Lookup!$B$2:$E$115,2,FALSE),"")</f>
        <v/>
      </c>
      <c r="AU1168" s="65" t="str">
        <f>IFERROR(VLOOKUP(#REF!,[1]Lookup!$B$2:$E$115,3,FALSE),"")</f>
        <v/>
      </c>
    </row>
    <row r="1169" spans="31:47" x14ac:dyDescent="0.3">
      <c r="AE1169" s="204" t="s">
        <v>398</v>
      </c>
      <c r="AF1169" s="204" t="s">
        <v>398</v>
      </c>
      <c r="AG1169" s="204" t="s">
        <v>398</v>
      </c>
      <c r="AS1169" s="65" t="str">
        <f>IFERROR(VLOOKUP(#REF!,[1]Lookup!$B$2:$E$115,4,FALSE),"")</f>
        <v/>
      </c>
      <c r="AT1169" s="65" t="str">
        <f>IFERROR(VLOOKUP(#REF!,[1]Lookup!$B$2:$E$115,2,FALSE),"")</f>
        <v/>
      </c>
      <c r="AU1169" s="65" t="str">
        <f>IFERROR(VLOOKUP(#REF!,[1]Lookup!$B$2:$E$115,3,FALSE),"")</f>
        <v/>
      </c>
    </row>
    <row r="1170" spans="31:47" x14ac:dyDescent="0.3">
      <c r="AE1170" s="204" t="s">
        <v>398</v>
      </c>
      <c r="AF1170" s="204" t="s">
        <v>398</v>
      </c>
      <c r="AG1170" s="204" t="s">
        <v>398</v>
      </c>
      <c r="AS1170" s="65" t="str">
        <f>IFERROR(VLOOKUP(#REF!,[1]Lookup!$B$2:$E$115,4,FALSE),"")</f>
        <v/>
      </c>
      <c r="AT1170" s="65" t="str">
        <f>IFERROR(VLOOKUP(#REF!,[1]Lookup!$B$2:$E$115,2,FALSE),"")</f>
        <v/>
      </c>
      <c r="AU1170" s="65" t="str">
        <f>IFERROR(VLOOKUP(#REF!,[1]Lookup!$B$2:$E$115,3,FALSE),"")</f>
        <v/>
      </c>
    </row>
    <row r="1171" spans="31:47" x14ac:dyDescent="0.3">
      <c r="AE1171" s="204" t="s">
        <v>398</v>
      </c>
      <c r="AF1171" s="204" t="s">
        <v>398</v>
      </c>
      <c r="AG1171" s="204" t="s">
        <v>398</v>
      </c>
      <c r="AS1171" s="65" t="str">
        <f>IFERROR(VLOOKUP(#REF!,[1]Lookup!$B$2:$E$115,4,FALSE),"")</f>
        <v/>
      </c>
      <c r="AT1171" s="65" t="str">
        <f>IFERROR(VLOOKUP(#REF!,[1]Lookup!$B$2:$E$115,2,FALSE),"")</f>
        <v/>
      </c>
      <c r="AU1171" s="65" t="str">
        <f>IFERROR(VLOOKUP(#REF!,[1]Lookup!$B$2:$E$115,3,FALSE),"")</f>
        <v/>
      </c>
    </row>
    <row r="1172" spans="31:47" x14ac:dyDescent="0.3">
      <c r="AE1172" s="204" t="s">
        <v>398</v>
      </c>
      <c r="AF1172" s="204" t="s">
        <v>398</v>
      </c>
      <c r="AG1172" s="204" t="s">
        <v>398</v>
      </c>
      <c r="AS1172" s="65" t="str">
        <f>IFERROR(VLOOKUP(#REF!,[1]Lookup!$B$2:$E$115,4,FALSE),"")</f>
        <v/>
      </c>
      <c r="AT1172" s="65" t="str">
        <f>IFERROR(VLOOKUP(#REF!,[1]Lookup!$B$2:$E$115,2,FALSE),"")</f>
        <v/>
      </c>
      <c r="AU1172" s="65" t="str">
        <f>IFERROR(VLOOKUP(#REF!,[1]Lookup!$B$2:$E$115,3,FALSE),"")</f>
        <v/>
      </c>
    </row>
    <row r="1173" spans="31:47" x14ac:dyDescent="0.3">
      <c r="AE1173" s="204" t="s">
        <v>398</v>
      </c>
      <c r="AF1173" s="204" t="s">
        <v>398</v>
      </c>
      <c r="AG1173" s="204" t="s">
        <v>398</v>
      </c>
      <c r="AS1173" s="65" t="str">
        <f>IFERROR(VLOOKUP(#REF!,[1]Lookup!$B$2:$E$115,4,FALSE),"")</f>
        <v/>
      </c>
      <c r="AT1173" s="65" t="str">
        <f>IFERROR(VLOOKUP(#REF!,[1]Lookup!$B$2:$E$115,2,FALSE),"")</f>
        <v/>
      </c>
      <c r="AU1173" s="65" t="str">
        <f>IFERROR(VLOOKUP(#REF!,[1]Lookup!$B$2:$E$115,3,FALSE),"")</f>
        <v/>
      </c>
    </row>
    <row r="1174" spans="31:47" x14ac:dyDescent="0.3">
      <c r="AE1174" s="204" t="s">
        <v>398</v>
      </c>
      <c r="AF1174" s="204" t="s">
        <v>398</v>
      </c>
      <c r="AG1174" s="204" t="s">
        <v>398</v>
      </c>
      <c r="AS1174" s="65" t="str">
        <f>IFERROR(VLOOKUP(#REF!,[1]Lookup!$B$2:$E$115,4,FALSE),"")</f>
        <v/>
      </c>
      <c r="AT1174" s="65" t="str">
        <f>IFERROR(VLOOKUP(#REF!,[1]Lookup!$B$2:$E$115,2,FALSE),"")</f>
        <v/>
      </c>
      <c r="AU1174" s="65" t="str">
        <f>IFERROR(VLOOKUP(#REF!,[1]Lookup!$B$2:$E$115,3,FALSE),"")</f>
        <v/>
      </c>
    </row>
    <row r="1175" spans="31:47" x14ac:dyDescent="0.3">
      <c r="AE1175" s="204" t="s">
        <v>398</v>
      </c>
      <c r="AF1175" s="204" t="s">
        <v>398</v>
      </c>
      <c r="AG1175" s="204" t="s">
        <v>398</v>
      </c>
      <c r="AS1175" s="65" t="str">
        <f>IFERROR(VLOOKUP(#REF!,[1]Lookup!$B$2:$E$115,4,FALSE),"")</f>
        <v/>
      </c>
      <c r="AT1175" s="65" t="str">
        <f>IFERROR(VLOOKUP(#REF!,[1]Lookup!$B$2:$E$115,2,FALSE),"")</f>
        <v/>
      </c>
      <c r="AU1175" s="65" t="str">
        <f>IFERROR(VLOOKUP(#REF!,[1]Lookup!$B$2:$E$115,3,FALSE),"")</f>
        <v/>
      </c>
    </row>
    <row r="1176" spans="31:47" x14ac:dyDescent="0.3">
      <c r="AE1176" s="204" t="s">
        <v>398</v>
      </c>
      <c r="AF1176" s="204" t="s">
        <v>398</v>
      </c>
      <c r="AG1176" s="204" t="s">
        <v>398</v>
      </c>
      <c r="AS1176" s="65" t="str">
        <f>IFERROR(VLOOKUP(#REF!,[1]Lookup!$B$2:$E$115,4,FALSE),"")</f>
        <v/>
      </c>
      <c r="AT1176" s="65" t="str">
        <f>IFERROR(VLOOKUP(#REF!,[1]Lookup!$B$2:$E$115,2,FALSE),"")</f>
        <v/>
      </c>
      <c r="AU1176" s="65" t="str">
        <f>IFERROR(VLOOKUP(#REF!,[1]Lookup!$B$2:$E$115,3,FALSE),"")</f>
        <v/>
      </c>
    </row>
    <row r="1177" spans="31:47" x14ac:dyDescent="0.3">
      <c r="AE1177" s="204" t="s">
        <v>398</v>
      </c>
      <c r="AF1177" s="204" t="s">
        <v>398</v>
      </c>
      <c r="AG1177" s="204" t="s">
        <v>398</v>
      </c>
      <c r="AS1177" s="65" t="str">
        <f>IFERROR(VLOOKUP(#REF!,[1]Lookup!$B$2:$E$115,4,FALSE),"")</f>
        <v/>
      </c>
      <c r="AT1177" s="65" t="str">
        <f>IFERROR(VLOOKUP(#REF!,[1]Lookup!$B$2:$E$115,2,FALSE),"")</f>
        <v/>
      </c>
      <c r="AU1177" s="65" t="str">
        <f>IFERROR(VLOOKUP(#REF!,[1]Lookup!$B$2:$E$115,3,FALSE),"")</f>
        <v/>
      </c>
    </row>
    <row r="1178" spans="31:47" x14ac:dyDescent="0.3">
      <c r="AE1178" s="204" t="s">
        <v>398</v>
      </c>
      <c r="AF1178" s="204" t="s">
        <v>398</v>
      </c>
      <c r="AG1178" s="204" t="s">
        <v>398</v>
      </c>
      <c r="AS1178" s="65" t="str">
        <f>IFERROR(VLOOKUP(#REF!,[1]Lookup!$B$2:$E$115,4,FALSE),"")</f>
        <v/>
      </c>
      <c r="AT1178" s="65" t="str">
        <f>IFERROR(VLOOKUP(#REF!,[1]Lookup!$B$2:$E$115,2,FALSE),"")</f>
        <v/>
      </c>
      <c r="AU1178" s="65" t="str">
        <f>IFERROR(VLOOKUP(#REF!,[1]Lookup!$B$2:$E$115,3,FALSE),"")</f>
        <v/>
      </c>
    </row>
    <row r="1179" spans="31:47" x14ac:dyDescent="0.3">
      <c r="AE1179" s="204" t="s">
        <v>398</v>
      </c>
      <c r="AF1179" s="204" t="s">
        <v>398</v>
      </c>
      <c r="AG1179" s="204" t="s">
        <v>398</v>
      </c>
      <c r="AS1179" s="65" t="str">
        <f>IFERROR(VLOOKUP(#REF!,[1]Lookup!$B$2:$E$115,4,FALSE),"")</f>
        <v/>
      </c>
      <c r="AT1179" s="65" t="str">
        <f>IFERROR(VLOOKUP(#REF!,[1]Lookup!$B$2:$E$115,2,FALSE),"")</f>
        <v/>
      </c>
      <c r="AU1179" s="65" t="str">
        <f>IFERROR(VLOOKUP(#REF!,[1]Lookup!$B$2:$E$115,3,FALSE),"")</f>
        <v/>
      </c>
    </row>
    <row r="1180" spans="31:47" x14ac:dyDescent="0.3">
      <c r="AE1180" s="204" t="s">
        <v>398</v>
      </c>
      <c r="AF1180" s="204" t="s">
        <v>398</v>
      </c>
      <c r="AG1180" s="204" t="s">
        <v>398</v>
      </c>
      <c r="AS1180" s="65" t="str">
        <f>IFERROR(VLOOKUP(#REF!,[1]Lookup!$B$2:$E$115,4,FALSE),"")</f>
        <v/>
      </c>
      <c r="AT1180" s="65" t="str">
        <f>IFERROR(VLOOKUP(#REF!,[1]Lookup!$B$2:$E$115,2,FALSE),"")</f>
        <v/>
      </c>
      <c r="AU1180" s="65" t="str">
        <f>IFERROR(VLOOKUP(#REF!,[1]Lookup!$B$2:$E$115,3,FALSE),"")</f>
        <v/>
      </c>
    </row>
    <row r="1181" spans="31:47" x14ac:dyDescent="0.3">
      <c r="AE1181" s="204" t="s">
        <v>398</v>
      </c>
      <c r="AF1181" s="204" t="s">
        <v>398</v>
      </c>
      <c r="AG1181" s="204" t="s">
        <v>398</v>
      </c>
      <c r="AS1181" s="65" t="str">
        <f>IFERROR(VLOOKUP(#REF!,[1]Lookup!$B$2:$E$115,4,FALSE),"")</f>
        <v/>
      </c>
      <c r="AT1181" s="65" t="str">
        <f>IFERROR(VLOOKUP(#REF!,[1]Lookup!$B$2:$E$115,2,FALSE),"")</f>
        <v/>
      </c>
      <c r="AU1181" s="65" t="str">
        <f>IFERROR(VLOOKUP(#REF!,[1]Lookup!$B$2:$E$115,3,FALSE),"")</f>
        <v/>
      </c>
    </row>
    <row r="1182" spans="31:47" x14ac:dyDescent="0.3">
      <c r="AE1182" s="204" t="s">
        <v>398</v>
      </c>
      <c r="AF1182" s="204" t="s">
        <v>398</v>
      </c>
      <c r="AG1182" s="204" t="s">
        <v>398</v>
      </c>
      <c r="AS1182" s="65" t="str">
        <f>IFERROR(VLOOKUP(#REF!,[1]Lookup!$B$2:$E$115,4,FALSE),"")</f>
        <v/>
      </c>
      <c r="AT1182" s="65" t="str">
        <f>IFERROR(VLOOKUP(#REF!,[1]Lookup!$B$2:$E$115,2,FALSE),"")</f>
        <v/>
      </c>
      <c r="AU1182" s="65" t="str">
        <f>IFERROR(VLOOKUP(#REF!,[1]Lookup!$B$2:$E$115,3,FALSE),"")</f>
        <v/>
      </c>
    </row>
    <row r="1183" spans="31:47" x14ac:dyDescent="0.3">
      <c r="AE1183" s="204" t="s">
        <v>398</v>
      </c>
      <c r="AF1183" s="204" t="s">
        <v>398</v>
      </c>
      <c r="AG1183" s="204" t="s">
        <v>398</v>
      </c>
      <c r="AS1183" s="65" t="str">
        <f>IFERROR(VLOOKUP(#REF!,[1]Lookup!$B$2:$E$115,4,FALSE),"")</f>
        <v/>
      </c>
      <c r="AT1183" s="65" t="str">
        <f>IFERROR(VLOOKUP(#REF!,[1]Lookup!$B$2:$E$115,2,FALSE),"")</f>
        <v/>
      </c>
      <c r="AU1183" s="65" t="str">
        <f>IFERROR(VLOOKUP(#REF!,[1]Lookup!$B$2:$E$115,3,FALSE),"")</f>
        <v/>
      </c>
    </row>
    <row r="1184" spans="31:47" x14ac:dyDescent="0.3">
      <c r="AE1184" s="204" t="s">
        <v>398</v>
      </c>
      <c r="AF1184" s="204" t="s">
        <v>398</v>
      </c>
      <c r="AG1184" s="204" t="s">
        <v>398</v>
      </c>
      <c r="AS1184" s="65" t="str">
        <f>IFERROR(VLOOKUP(#REF!,[1]Lookup!$B$2:$E$115,4,FALSE),"")</f>
        <v/>
      </c>
      <c r="AT1184" s="65" t="str">
        <f>IFERROR(VLOOKUP(#REF!,[1]Lookup!$B$2:$E$115,2,FALSE),"")</f>
        <v/>
      </c>
      <c r="AU1184" s="65" t="str">
        <f>IFERROR(VLOOKUP(#REF!,[1]Lookup!$B$2:$E$115,3,FALSE),"")</f>
        <v/>
      </c>
    </row>
    <row r="1185" spans="31:47" x14ac:dyDescent="0.3">
      <c r="AE1185" s="204" t="s">
        <v>398</v>
      </c>
      <c r="AF1185" s="204" t="s">
        <v>398</v>
      </c>
      <c r="AG1185" s="204" t="s">
        <v>398</v>
      </c>
      <c r="AS1185" s="65" t="str">
        <f>IFERROR(VLOOKUP(#REF!,[1]Lookup!$B$2:$E$115,4,FALSE),"")</f>
        <v/>
      </c>
      <c r="AT1185" s="65" t="str">
        <f>IFERROR(VLOOKUP(#REF!,[1]Lookup!$B$2:$E$115,2,FALSE),"")</f>
        <v/>
      </c>
      <c r="AU1185" s="65" t="str">
        <f>IFERROR(VLOOKUP(#REF!,[1]Lookup!$B$2:$E$115,3,FALSE),"")</f>
        <v/>
      </c>
    </row>
    <row r="1186" spans="31:47" x14ac:dyDescent="0.3">
      <c r="AE1186" s="204" t="s">
        <v>398</v>
      </c>
      <c r="AF1186" s="204" t="s">
        <v>398</v>
      </c>
      <c r="AG1186" s="204" t="s">
        <v>398</v>
      </c>
      <c r="AS1186" s="65" t="str">
        <f>IFERROR(VLOOKUP(#REF!,[1]Lookup!$B$2:$E$115,4,FALSE),"")</f>
        <v/>
      </c>
      <c r="AT1186" s="65" t="str">
        <f>IFERROR(VLOOKUP(#REF!,[1]Lookup!$B$2:$E$115,2,FALSE),"")</f>
        <v/>
      </c>
      <c r="AU1186" s="65" t="str">
        <f>IFERROR(VLOOKUP(#REF!,[1]Lookup!$B$2:$E$115,3,FALSE),"")</f>
        <v/>
      </c>
    </row>
    <row r="1187" spans="31:47" x14ac:dyDescent="0.3">
      <c r="AE1187" s="204" t="s">
        <v>398</v>
      </c>
      <c r="AF1187" s="204" t="s">
        <v>398</v>
      </c>
      <c r="AG1187" s="204" t="s">
        <v>398</v>
      </c>
      <c r="AS1187" s="65" t="str">
        <f>IFERROR(VLOOKUP(#REF!,[1]Lookup!$B$2:$E$115,4,FALSE),"")</f>
        <v/>
      </c>
      <c r="AT1187" s="65" t="str">
        <f>IFERROR(VLOOKUP(#REF!,[1]Lookup!$B$2:$E$115,2,FALSE),"")</f>
        <v/>
      </c>
      <c r="AU1187" s="65" t="str">
        <f>IFERROR(VLOOKUP(#REF!,[1]Lookup!$B$2:$E$115,3,FALSE),"")</f>
        <v/>
      </c>
    </row>
    <row r="1188" spans="31:47" x14ac:dyDescent="0.3">
      <c r="AE1188" s="204" t="s">
        <v>398</v>
      </c>
      <c r="AF1188" s="204" t="s">
        <v>398</v>
      </c>
      <c r="AG1188" s="204" t="s">
        <v>398</v>
      </c>
      <c r="AS1188" s="65" t="str">
        <f>IFERROR(VLOOKUP(#REF!,[1]Lookup!$B$2:$E$115,4,FALSE),"")</f>
        <v/>
      </c>
      <c r="AT1188" s="65" t="str">
        <f>IFERROR(VLOOKUP(#REF!,[1]Lookup!$B$2:$E$115,2,FALSE),"")</f>
        <v/>
      </c>
      <c r="AU1188" s="65" t="str">
        <f>IFERROR(VLOOKUP(#REF!,[1]Lookup!$B$2:$E$115,3,FALSE),"")</f>
        <v/>
      </c>
    </row>
    <row r="1189" spans="31:47" x14ac:dyDescent="0.3">
      <c r="AE1189" s="204" t="s">
        <v>398</v>
      </c>
      <c r="AF1189" s="204" t="s">
        <v>398</v>
      </c>
      <c r="AG1189" s="204" t="s">
        <v>398</v>
      </c>
      <c r="AS1189" s="65" t="str">
        <f>IFERROR(VLOOKUP(#REF!,[1]Lookup!$B$2:$E$115,4,FALSE),"")</f>
        <v/>
      </c>
      <c r="AT1189" s="65" t="str">
        <f>IFERROR(VLOOKUP(#REF!,[1]Lookup!$B$2:$E$115,2,FALSE),"")</f>
        <v/>
      </c>
      <c r="AU1189" s="65" t="str">
        <f>IFERROR(VLOOKUP(#REF!,[1]Lookup!$B$2:$E$115,3,FALSE),"")</f>
        <v/>
      </c>
    </row>
    <row r="1190" spans="31:47" x14ac:dyDescent="0.3">
      <c r="AE1190" s="204" t="s">
        <v>398</v>
      </c>
      <c r="AF1190" s="204" t="s">
        <v>398</v>
      </c>
      <c r="AG1190" s="204" t="s">
        <v>398</v>
      </c>
      <c r="AS1190" s="65" t="str">
        <f>IFERROR(VLOOKUP(#REF!,[1]Lookup!$B$2:$E$115,4,FALSE),"")</f>
        <v/>
      </c>
      <c r="AT1190" s="65" t="str">
        <f>IFERROR(VLOOKUP(#REF!,[1]Lookup!$B$2:$E$115,2,FALSE),"")</f>
        <v/>
      </c>
      <c r="AU1190" s="65" t="str">
        <f>IFERROR(VLOOKUP(#REF!,[1]Lookup!$B$2:$E$115,3,FALSE),"")</f>
        <v/>
      </c>
    </row>
    <row r="1191" spans="31:47" x14ac:dyDescent="0.3">
      <c r="AE1191" s="204" t="s">
        <v>398</v>
      </c>
      <c r="AF1191" s="204" t="s">
        <v>398</v>
      </c>
      <c r="AG1191" s="204" t="s">
        <v>398</v>
      </c>
      <c r="AS1191" s="65" t="str">
        <f>IFERROR(VLOOKUP(#REF!,[1]Lookup!$B$2:$E$115,4,FALSE),"")</f>
        <v/>
      </c>
      <c r="AT1191" s="65" t="str">
        <f>IFERROR(VLOOKUP(#REF!,[1]Lookup!$B$2:$E$115,2,FALSE),"")</f>
        <v/>
      </c>
      <c r="AU1191" s="65" t="str">
        <f>IFERROR(VLOOKUP(#REF!,[1]Lookup!$B$2:$E$115,3,FALSE),"")</f>
        <v/>
      </c>
    </row>
    <row r="1192" spans="31:47" x14ac:dyDescent="0.3">
      <c r="AE1192" s="204" t="s">
        <v>398</v>
      </c>
      <c r="AF1192" s="204" t="s">
        <v>398</v>
      </c>
      <c r="AG1192" s="204" t="s">
        <v>398</v>
      </c>
      <c r="AS1192" s="65" t="str">
        <f>IFERROR(VLOOKUP(#REF!,[1]Lookup!$B$2:$E$115,4,FALSE),"")</f>
        <v/>
      </c>
      <c r="AT1192" s="65" t="str">
        <f>IFERROR(VLOOKUP(#REF!,[1]Lookup!$B$2:$E$115,2,FALSE),"")</f>
        <v/>
      </c>
      <c r="AU1192" s="65" t="str">
        <f>IFERROR(VLOOKUP(#REF!,[1]Lookup!$B$2:$E$115,3,FALSE),"")</f>
        <v/>
      </c>
    </row>
    <row r="1193" spans="31:47" x14ac:dyDescent="0.3">
      <c r="AE1193" s="204" t="s">
        <v>398</v>
      </c>
      <c r="AF1193" s="204" t="s">
        <v>398</v>
      </c>
      <c r="AG1193" s="204" t="s">
        <v>398</v>
      </c>
      <c r="AS1193" s="65" t="str">
        <f>IFERROR(VLOOKUP(#REF!,[1]Lookup!$B$2:$E$115,4,FALSE),"")</f>
        <v/>
      </c>
      <c r="AT1193" s="65" t="str">
        <f>IFERROR(VLOOKUP(#REF!,[1]Lookup!$B$2:$E$115,2,FALSE),"")</f>
        <v/>
      </c>
      <c r="AU1193" s="65" t="str">
        <f>IFERROR(VLOOKUP(#REF!,[1]Lookup!$B$2:$E$115,3,FALSE),"")</f>
        <v/>
      </c>
    </row>
    <row r="1194" spans="31:47" x14ac:dyDescent="0.3">
      <c r="AE1194" s="204" t="s">
        <v>398</v>
      </c>
      <c r="AF1194" s="204" t="s">
        <v>398</v>
      </c>
      <c r="AG1194" s="204" t="s">
        <v>398</v>
      </c>
      <c r="AS1194" s="65" t="str">
        <f>IFERROR(VLOOKUP(#REF!,[1]Lookup!$B$2:$E$115,4,FALSE),"")</f>
        <v/>
      </c>
      <c r="AT1194" s="65" t="str">
        <f>IFERROR(VLOOKUP(#REF!,[1]Lookup!$B$2:$E$115,2,FALSE),"")</f>
        <v/>
      </c>
      <c r="AU1194" s="65" t="str">
        <f>IFERROR(VLOOKUP(#REF!,[1]Lookup!$B$2:$E$115,3,FALSE),"")</f>
        <v/>
      </c>
    </row>
    <row r="1195" spans="31:47" x14ac:dyDescent="0.3">
      <c r="AE1195" s="204" t="s">
        <v>398</v>
      </c>
      <c r="AF1195" s="204" t="s">
        <v>398</v>
      </c>
      <c r="AG1195" s="204" t="s">
        <v>398</v>
      </c>
      <c r="AS1195" s="65" t="str">
        <f>IFERROR(VLOOKUP(#REF!,[1]Lookup!$B$2:$E$115,4,FALSE),"")</f>
        <v/>
      </c>
      <c r="AT1195" s="65" t="str">
        <f>IFERROR(VLOOKUP(#REF!,[1]Lookup!$B$2:$E$115,2,FALSE),"")</f>
        <v/>
      </c>
      <c r="AU1195" s="65" t="str">
        <f>IFERROR(VLOOKUP(#REF!,[1]Lookup!$B$2:$E$115,3,FALSE),"")</f>
        <v/>
      </c>
    </row>
    <row r="1196" spans="31:47" x14ac:dyDescent="0.3">
      <c r="AE1196" s="204" t="s">
        <v>398</v>
      </c>
      <c r="AF1196" s="204" t="s">
        <v>398</v>
      </c>
      <c r="AG1196" s="204" t="s">
        <v>398</v>
      </c>
      <c r="AS1196" s="65" t="str">
        <f>IFERROR(VLOOKUP(#REF!,[1]Lookup!$B$2:$E$115,4,FALSE),"")</f>
        <v/>
      </c>
      <c r="AT1196" s="65" t="str">
        <f>IFERROR(VLOOKUP(#REF!,[1]Lookup!$B$2:$E$115,2,FALSE),"")</f>
        <v/>
      </c>
      <c r="AU1196" s="65" t="str">
        <f>IFERROR(VLOOKUP(#REF!,[1]Lookup!$B$2:$E$115,3,FALSE),"")</f>
        <v/>
      </c>
    </row>
    <row r="1197" spans="31:47" x14ac:dyDescent="0.3">
      <c r="AE1197" s="204" t="s">
        <v>398</v>
      </c>
      <c r="AF1197" s="204" t="s">
        <v>398</v>
      </c>
      <c r="AG1197" s="204" t="s">
        <v>398</v>
      </c>
      <c r="AS1197" s="65" t="str">
        <f>IFERROR(VLOOKUP(#REF!,[1]Lookup!$B$2:$E$115,4,FALSE),"")</f>
        <v/>
      </c>
      <c r="AT1197" s="65" t="str">
        <f>IFERROR(VLOOKUP(#REF!,[1]Lookup!$B$2:$E$115,2,FALSE),"")</f>
        <v/>
      </c>
      <c r="AU1197" s="65" t="str">
        <f>IFERROR(VLOOKUP(#REF!,[1]Lookup!$B$2:$E$115,3,FALSE),"")</f>
        <v/>
      </c>
    </row>
    <row r="1198" spans="31:47" x14ac:dyDescent="0.3">
      <c r="AE1198" s="204" t="s">
        <v>398</v>
      </c>
      <c r="AF1198" s="204" t="s">
        <v>398</v>
      </c>
      <c r="AG1198" s="204" t="s">
        <v>398</v>
      </c>
      <c r="AS1198" s="65" t="str">
        <f>IFERROR(VLOOKUP(#REF!,[1]Lookup!$B$2:$E$115,4,FALSE),"")</f>
        <v/>
      </c>
      <c r="AT1198" s="65" t="str">
        <f>IFERROR(VLOOKUP(#REF!,[1]Lookup!$B$2:$E$115,2,FALSE),"")</f>
        <v/>
      </c>
      <c r="AU1198" s="65" t="str">
        <f>IFERROR(VLOOKUP(#REF!,[1]Lookup!$B$2:$E$115,3,FALSE),"")</f>
        <v/>
      </c>
    </row>
    <row r="1199" spans="31:47" x14ac:dyDescent="0.3">
      <c r="AE1199" s="204" t="s">
        <v>398</v>
      </c>
      <c r="AF1199" s="204" t="s">
        <v>398</v>
      </c>
      <c r="AG1199" s="204" t="s">
        <v>398</v>
      </c>
      <c r="AS1199" s="65" t="str">
        <f>IFERROR(VLOOKUP(#REF!,[1]Lookup!$B$2:$E$115,4,FALSE),"")</f>
        <v/>
      </c>
      <c r="AT1199" s="65" t="str">
        <f>IFERROR(VLOOKUP(#REF!,[1]Lookup!$B$2:$E$115,2,FALSE),"")</f>
        <v/>
      </c>
      <c r="AU1199" s="65" t="str">
        <f>IFERROR(VLOOKUP(#REF!,[1]Lookup!$B$2:$E$115,3,FALSE),"")</f>
        <v/>
      </c>
    </row>
    <row r="1200" spans="31:47" x14ac:dyDescent="0.3">
      <c r="AE1200" s="204" t="s">
        <v>398</v>
      </c>
      <c r="AF1200" s="204" t="s">
        <v>398</v>
      </c>
      <c r="AG1200" s="204" t="s">
        <v>398</v>
      </c>
      <c r="AS1200" s="65" t="str">
        <f>IFERROR(VLOOKUP(#REF!,[1]Lookup!$B$2:$E$115,4,FALSE),"")</f>
        <v/>
      </c>
      <c r="AT1200" s="65" t="str">
        <f>IFERROR(VLOOKUP(#REF!,[1]Lookup!$B$2:$E$115,2,FALSE),"")</f>
        <v/>
      </c>
      <c r="AU1200" s="65" t="str">
        <f>IFERROR(VLOOKUP(#REF!,[1]Lookup!$B$2:$E$115,3,FALSE),"")</f>
        <v/>
      </c>
    </row>
    <row r="1201" spans="31:47" x14ac:dyDescent="0.3">
      <c r="AE1201" s="204" t="s">
        <v>398</v>
      </c>
      <c r="AF1201" s="204" t="s">
        <v>398</v>
      </c>
      <c r="AG1201" s="204" t="s">
        <v>398</v>
      </c>
      <c r="AS1201" s="65" t="str">
        <f>IFERROR(VLOOKUP(#REF!,[1]Lookup!$B$2:$E$115,4,FALSE),"")</f>
        <v/>
      </c>
      <c r="AT1201" s="65" t="str">
        <f>IFERROR(VLOOKUP(#REF!,[1]Lookup!$B$2:$E$115,2,FALSE),"")</f>
        <v/>
      </c>
      <c r="AU1201" s="65" t="str">
        <f>IFERROR(VLOOKUP(#REF!,[1]Lookup!$B$2:$E$115,3,FALSE),"")</f>
        <v/>
      </c>
    </row>
    <row r="1202" spans="31:47" x14ac:dyDescent="0.3">
      <c r="AE1202" s="204" t="s">
        <v>398</v>
      </c>
      <c r="AF1202" s="204" t="s">
        <v>398</v>
      </c>
      <c r="AG1202" s="204" t="s">
        <v>398</v>
      </c>
      <c r="AS1202" s="65" t="str">
        <f>IFERROR(VLOOKUP(#REF!,[1]Lookup!$B$2:$E$115,4,FALSE),"")</f>
        <v/>
      </c>
      <c r="AT1202" s="65" t="str">
        <f>IFERROR(VLOOKUP(#REF!,[1]Lookup!$B$2:$E$115,2,FALSE),"")</f>
        <v/>
      </c>
      <c r="AU1202" s="65" t="str">
        <f>IFERROR(VLOOKUP(#REF!,[1]Lookup!$B$2:$E$115,3,FALSE),"")</f>
        <v/>
      </c>
    </row>
    <row r="1203" spans="31:47" x14ac:dyDescent="0.3">
      <c r="AE1203" s="204" t="s">
        <v>398</v>
      </c>
      <c r="AF1203" s="204" t="s">
        <v>398</v>
      </c>
      <c r="AG1203" s="204" t="s">
        <v>398</v>
      </c>
      <c r="AS1203" s="65" t="str">
        <f>IFERROR(VLOOKUP(#REF!,[1]Lookup!$B$2:$E$115,4,FALSE),"")</f>
        <v/>
      </c>
      <c r="AT1203" s="65" t="str">
        <f>IFERROR(VLOOKUP(#REF!,[1]Lookup!$B$2:$E$115,2,FALSE),"")</f>
        <v/>
      </c>
      <c r="AU1203" s="65" t="str">
        <f>IFERROR(VLOOKUP(#REF!,[1]Lookup!$B$2:$E$115,3,FALSE),"")</f>
        <v/>
      </c>
    </row>
    <row r="1204" spans="31:47" x14ac:dyDescent="0.3">
      <c r="AE1204" s="204" t="s">
        <v>398</v>
      </c>
      <c r="AF1204" s="204" t="s">
        <v>398</v>
      </c>
      <c r="AG1204" s="204" t="s">
        <v>398</v>
      </c>
      <c r="AS1204" s="65" t="str">
        <f>IFERROR(VLOOKUP(#REF!,[1]Lookup!$B$2:$E$115,4,FALSE),"")</f>
        <v/>
      </c>
      <c r="AT1204" s="65" t="str">
        <f>IFERROR(VLOOKUP(#REF!,[1]Lookup!$B$2:$E$115,2,FALSE),"")</f>
        <v/>
      </c>
      <c r="AU1204" s="65" t="str">
        <f>IFERROR(VLOOKUP(#REF!,[1]Lookup!$B$2:$E$115,3,FALSE),"")</f>
        <v/>
      </c>
    </row>
    <row r="1205" spans="31:47" x14ac:dyDescent="0.3">
      <c r="AE1205" s="204" t="s">
        <v>398</v>
      </c>
      <c r="AF1205" s="204" t="s">
        <v>398</v>
      </c>
      <c r="AG1205" s="204" t="s">
        <v>398</v>
      </c>
      <c r="AS1205" s="65" t="str">
        <f>IFERROR(VLOOKUP(#REF!,[1]Lookup!$B$2:$E$115,4,FALSE),"")</f>
        <v/>
      </c>
      <c r="AT1205" s="65" t="str">
        <f>IFERROR(VLOOKUP(#REF!,[1]Lookup!$B$2:$E$115,2,FALSE),"")</f>
        <v/>
      </c>
      <c r="AU1205" s="65" t="str">
        <f>IFERROR(VLOOKUP(#REF!,[1]Lookup!$B$2:$E$115,3,FALSE),"")</f>
        <v/>
      </c>
    </row>
    <row r="1206" spans="31:47" x14ac:dyDescent="0.3">
      <c r="AE1206" s="204" t="s">
        <v>398</v>
      </c>
      <c r="AF1206" s="204" t="s">
        <v>398</v>
      </c>
      <c r="AG1206" s="204" t="s">
        <v>398</v>
      </c>
      <c r="AS1206" s="65" t="str">
        <f>IFERROR(VLOOKUP(#REF!,[1]Lookup!$B$2:$E$115,4,FALSE),"")</f>
        <v/>
      </c>
      <c r="AT1206" s="65" t="str">
        <f>IFERROR(VLOOKUP(#REF!,[1]Lookup!$B$2:$E$115,2,FALSE),"")</f>
        <v/>
      </c>
      <c r="AU1206" s="65" t="str">
        <f>IFERROR(VLOOKUP(#REF!,[1]Lookup!$B$2:$E$115,3,FALSE),"")</f>
        <v/>
      </c>
    </row>
    <row r="1207" spans="31:47" x14ac:dyDescent="0.3">
      <c r="AE1207" s="204" t="s">
        <v>398</v>
      </c>
      <c r="AF1207" s="204" t="s">
        <v>398</v>
      </c>
      <c r="AG1207" s="204" t="s">
        <v>398</v>
      </c>
      <c r="AS1207" s="65" t="str">
        <f>IFERROR(VLOOKUP(#REF!,[1]Lookup!$B$2:$E$115,4,FALSE),"")</f>
        <v/>
      </c>
      <c r="AT1207" s="65" t="str">
        <f>IFERROR(VLOOKUP(#REF!,[1]Lookup!$B$2:$E$115,2,FALSE),"")</f>
        <v/>
      </c>
      <c r="AU1207" s="65" t="str">
        <f>IFERROR(VLOOKUP(#REF!,[1]Lookup!$B$2:$E$115,3,FALSE),"")</f>
        <v/>
      </c>
    </row>
    <row r="1208" spans="31:47" x14ac:dyDescent="0.3">
      <c r="AE1208" s="204" t="s">
        <v>398</v>
      </c>
      <c r="AF1208" s="204" t="s">
        <v>398</v>
      </c>
      <c r="AG1208" s="204" t="s">
        <v>398</v>
      </c>
      <c r="AS1208" s="65" t="str">
        <f>IFERROR(VLOOKUP(#REF!,[1]Lookup!$B$2:$E$115,4,FALSE),"")</f>
        <v/>
      </c>
      <c r="AT1208" s="65" t="str">
        <f>IFERROR(VLOOKUP(#REF!,[1]Lookup!$B$2:$E$115,2,FALSE),"")</f>
        <v/>
      </c>
      <c r="AU1208" s="65" t="str">
        <f>IFERROR(VLOOKUP(#REF!,[1]Lookup!$B$2:$E$115,3,FALSE),"")</f>
        <v/>
      </c>
    </row>
    <row r="1209" spans="31:47" x14ac:dyDescent="0.3">
      <c r="AE1209" s="204" t="s">
        <v>398</v>
      </c>
      <c r="AF1209" s="204" t="s">
        <v>398</v>
      </c>
      <c r="AG1209" s="204" t="s">
        <v>398</v>
      </c>
      <c r="AS1209" s="65" t="str">
        <f>IFERROR(VLOOKUP(#REF!,[1]Lookup!$B$2:$E$115,4,FALSE),"")</f>
        <v/>
      </c>
      <c r="AT1209" s="65" t="str">
        <f>IFERROR(VLOOKUP(#REF!,[1]Lookup!$B$2:$E$115,2,FALSE),"")</f>
        <v/>
      </c>
      <c r="AU1209" s="65" t="str">
        <f>IFERROR(VLOOKUP(#REF!,[1]Lookup!$B$2:$E$115,3,FALSE),"")</f>
        <v/>
      </c>
    </row>
    <row r="1210" spans="31:47" x14ac:dyDescent="0.3">
      <c r="AE1210" s="204" t="s">
        <v>398</v>
      </c>
      <c r="AF1210" s="204" t="s">
        <v>398</v>
      </c>
      <c r="AG1210" s="204" t="s">
        <v>398</v>
      </c>
      <c r="AS1210" s="65" t="str">
        <f>IFERROR(VLOOKUP(#REF!,[1]Lookup!$B$2:$E$115,4,FALSE),"")</f>
        <v/>
      </c>
      <c r="AT1210" s="65" t="str">
        <f>IFERROR(VLOOKUP(#REF!,[1]Lookup!$B$2:$E$115,2,FALSE),"")</f>
        <v/>
      </c>
      <c r="AU1210" s="65" t="str">
        <f>IFERROR(VLOOKUP(#REF!,[1]Lookup!$B$2:$E$115,3,FALSE),"")</f>
        <v/>
      </c>
    </row>
    <row r="1211" spans="31:47" x14ac:dyDescent="0.3">
      <c r="AE1211" s="204" t="s">
        <v>398</v>
      </c>
      <c r="AF1211" s="204" t="s">
        <v>398</v>
      </c>
      <c r="AG1211" s="204" t="s">
        <v>398</v>
      </c>
      <c r="AS1211" s="65" t="str">
        <f>IFERROR(VLOOKUP(#REF!,[1]Lookup!$B$2:$E$115,4,FALSE),"")</f>
        <v/>
      </c>
      <c r="AT1211" s="65" t="str">
        <f>IFERROR(VLOOKUP(#REF!,[1]Lookup!$B$2:$E$115,2,FALSE),"")</f>
        <v/>
      </c>
      <c r="AU1211" s="65" t="str">
        <f>IFERROR(VLOOKUP(#REF!,[1]Lookup!$B$2:$E$115,3,FALSE),"")</f>
        <v/>
      </c>
    </row>
    <row r="1212" spans="31:47" x14ac:dyDescent="0.3">
      <c r="AE1212" s="204" t="s">
        <v>398</v>
      </c>
      <c r="AF1212" s="204" t="s">
        <v>398</v>
      </c>
      <c r="AG1212" s="204" t="s">
        <v>398</v>
      </c>
      <c r="AS1212" s="65" t="str">
        <f>IFERROR(VLOOKUP(#REF!,[1]Lookup!$B$2:$E$115,4,FALSE),"")</f>
        <v/>
      </c>
      <c r="AT1212" s="65" t="str">
        <f>IFERROR(VLOOKUP(#REF!,[1]Lookup!$B$2:$E$115,2,FALSE),"")</f>
        <v/>
      </c>
      <c r="AU1212" s="65" t="str">
        <f>IFERROR(VLOOKUP(#REF!,[1]Lookup!$B$2:$E$115,3,FALSE),"")</f>
        <v/>
      </c>
    </row>
    <row r="1213" spans="31:47" x14ac:dyDescent="0.3">
      <c r="AE1213" s="204" t="s">
        <v>398</v>
      </c>
      <c r="AF1213" s="204" t="s">
        <v>398</v>
      </c>
      <c r="AG1213" s="204" t="s">
        <v>398</v>
      </c>
      <c r="AS1213" s="65" t="str">
        <f>IFERROR(VLOOKUP(#REF!,[1]Lookup!$B$2:$E$115,4,FALSE),"")</f>
        <v/>
      </c>
      <c r="AT1213" s="65" t="str">
        <f>IFERROR(VLOOKUP(#REF!,[1]Lookup!$B$2:$E$115,2,FALSE),"")</f>
        <v/>
      </c>
      <c r="AU1213" s="65" t="str">
        <f>IFERROR(VLOOKUP(#REF!,[1]Lookup!$B$2:$E$115,3,FALSE),"")</f>
        <v/>
      </c>
    </row>
    <row r="1214" spans="31:47" x14ac:dyDescent="0.3">
      <c r="AE1214" s="204" t="s">
        <v>398</v>
      </c>
      <c r="AF1214" s="204" t="s">
        <v>398</v>
      </c>
      <c r="AG1214" s="204" t="s">
        <v>398</v>
      </c>
      <c r="AS1214" s="65" t="str">
        <f>IFERROR(VLOOKUP(#REF!,[1]Lookup!$B$2:$E$115,4,FALSE),"")</f>
        <v/>
      </c>
      <c r="AT1214" s="65" t="str">
        <f>IFERROR(VLOOKUP(#REF!,[1]Lookup!$B$2:$E$115,2,FALSE),"")</f>
        <v/>
      </c>
      <c r="AU1214" s="65" t="str">
        <f>IFERROR(VLOOKUP(#REF!,[1]Lookup!$B$2:$E$115,3,FALSE),"")</f>
        <v/>
      </c>
    </row>
    <row r="1215" spans="31:47" x14ac:dyDescent="0.3">
      <c r="AE1215" s="204" t="s">
        <v>398</v>
      </c>
      <c r="AF1215" s="204" t="s">
        <v>398</v>
      </c>
      <c r="AG1215" s="204" t="s">
        <v>398</v>
      </c>
      <c r="AS1215" s="65" t="str">
        <f>IFERROR(VLOOKUP(#REF!,[1]Lookup!$B$2:$E$115,4,FALSE),"")</f>
        <v/>
      </c>
      <c r="AT1215" s="65" t="str">
        <f>IFERROR(VLOOKUP(#REF!,[1]Lookup!$B$2:$E$115,2,FALSE),"")</f>
        <v/>
      </c>
      <c r="AU1215" s="65" t="str">
        <f>IFERROR(VLOOKUP(#REF!,[1]Lookup!$B$2:$E$115,3,FALSE),"")</f>
        <v/>
      </c>
    </row>
    <row r="1216" spans="31:47" x14ac:dyDescent="0.3">
      <c r="AE1216" s="204" t="s">
        <v>398</v>
      </c>
      <c r="AF1216" s="204" t="s">
        <v>398</v>
      </c>
      <c r="AG1216" s="204" t="s">
        <v>398</v>
      </c>
      <c r="AS1216" s="65" t="str">
        <f>IFERROR(VLOOKUP(#REF!,[1]Lookup!$B$2:$E$115,4,FALSE),"")</f>
        <v/>
      </c>
      <c r="AT1216" s="65" t="str">
        <f>IFERROR(VLOOKUP(#REF!,[1]Lookup!$B$2:$E$115,2,FALSE),"")</f>
        <v/>
      </c>
      <c r="AU1216" s="65" t="str">
        <f>IFERROR(VLOOKUP(#REF!,[1]Lookup!$B$2:$E$115,3,FALSE),"")</f>
        <v/>
      </c>
    </row>
    <row r="1217" spans="31:47" x14ac:dyDescent="0.3">
      <c r="AE1217" s="204" t="s">
        <v>398</v>
      </c>
      <c r="AF1217" s="204" t="s">
        <v>398</v>
      </c>
      <c r="AG1217" s="204" t="s">
        <v>398</v>
      </c>
      <c r="AS1217" s="65" t="str">
        <f>IFERROR(VLOOKUP(#REF!,[1]Lookup!$B$2:$E$115,4,FALSE),"")</f>
        <v/>
      </c>
      <c r="AT1217" s="65" t="str">
        <f>IFERROR(VLOOKUP(#REF!,[1]Lookup!$B$2:$E$115,2,FALSE),"")</f>
        <v/>
      </c>
      <c r="AU1217" s="65" t="str">
        <f>IFERROR(VLOOKUP(#REF!,[1]Lookup!$B$2:$E$115,3,FALSE),"")</f>
        <v/>
      </c>
    </row>
    <row r="1218" spans="31:47" x14ac:dyDescent="0.3">
      <c r="AE1218" s="204" t="s">
        <v>398</v>
      </c>
      <c r="AF1218" s="204" t="s">
        <v>398</v>
      </c>
      <c r="AG1218" s="204" t="s">
        <v>398</v>
      </c>
      <c r="AS1218" s="65" t="str">
        <f>IFERROR(VLOOKUP(#REF!,[1]Lookup!$B$2:$E$115,4,FALSE),"")</f>
        <v/>
      </c>
      <c r="AT1218" s="65" t="str">
        <f>IFERROR(VLOOKUP(#REF!,[1]Lookup!$B$2:$E$115,2,FALSE),"")</f>
        <v/>
      </c>
      <c r="AU1218" s="65" t="str">
        <f>IFERROR(VLOOKUP(#REF!,[1]Lookup!$B$2:$E$115,3,FALSE),"")</f>
        <v/>
      </c>
    </row>
    <row r="1219" spans="31:47" x14ac:dyDescent="0.3">
      <c r="AE1219" s="204" t="s">
        <v>398</v>
      </c>
      <c r="AF1219" s="204" t="s">
        <v>398</v>
      </c>
      <c r="AG1219" s="204" t="s">
        <v>398</v>
      </c>
      <c r="AS1219" s="65" t="str">
        <f>IFERROR(VLOOKUP(#REF!,[1]Lookup!$B$2:$E$115,4,FALSE),"")</f>
        <v/>
      </c>
      <c r="AT1219" s="65" t="str">
        <f>IFERROR(VLOOKUP(#REF!,[1]Lookup!$B$2:$E$115,2,FALSE),"")</f>
        <v/>
      </c>
      <c r="AU1219" s="65" t="str">
        <f>IFERROR(VLOOKUP(#REF!,[1]Lookup!$B$2:$E$115,3,FALSE),"")</f>
        <v/>
      </c>
    </row>
    <row r="1220" spans="31:47" x14ac:dyDescent="0.3">
      <c r="AE1220" s="204" t="s">
        <v>398</v>
      </c>
      <c r="AF1220" s="204" t="s">
        <v>398</v>
      </c>
      <c r="AG1220" s="204" t="s">
        <v>398</v>
      </c>
      <c r="AS1220" s="65" t="str">
        <f>IFERROR(VLOOKUP(#REF!,[1]Lookup!$B$2:$E$115,4,FALSE),"")</f>
        <v/>
      </c>
      <c r="AT1220" s="65" t="str">
        <f>IFERROR(VLOOKUP(#REF!,[1]Lookup!$B$2:$E$115,2,FALSE),"")</f>
        <v/>
      </c>
      <c r="AU1220" s="65" t="str">
        <f>IFERROR(VLOOKUP(#REF!,[1]Lookup!$B$2:$E$115,3,FALSE),"")</f>
        <v/>
      </c>
    </row>
    <row r="1221" spans="31:47" x14ac:dyDescent="0.3">
      <c r="AE1221" s="204" t="s">
        <v>398</v>
      </c>
      <c r="AF1221" s="204" t="s">
        <v>398</v>
      </c>
      <c r="AG1221" s="204" t="s">
        <v>398</v>
      </c>
      <c r="AS1221" s="65" t="str">
        <f>IFERROR(VLOOKUP(#REF!,[1]Lookup!$B$2:$E$115,4,FALSE),"")</f>
        <v/>
      </c>
      <c r="AT1221" s="65" t="str">
        <f>IFERROR(VLOOKUP(#REF!,[1]Lookup!$B$2:$E$115,2,FALSE),"")</f>
        <v/>
      </c>
      <c r="AU1221" s="65" t="str">
        <f>IFERROR(VLOOKUP(#REF!,[1]Lookup!$B$2:$E$115,3,FALSE),"")</f>
        <v/>
      </c>
    </row>
    <row r="1222" spans="31:47" x14ac:dyDescent="0.3">
      <c r="AE1222" s="204" t="s">
        <v>398</v>
      </c>
      <c r="AF1222" s="204" t="s">
        <v>398</v>
      </c>
      <c r="AG1222" s="204" t="s">
        <v>398</v>
      </c>
      <c r="AS1222" s="65" t="str">
        <f>IFERROR(VLOOKUP(#REF!,[1]Lookup!$B$2:$E$115,4,FALSE),"")</f>
        <v/>
      </c>
      <c r="AT1222" s="65" t="str">
        <f>IFERROR(VLOOKUP(#REF!,[1]Lookup!$B$2:$E$115,2,FALSE),"")</f>
        <v/>
      </c>
      <c r="AU1222" s="65" t="str">
        <f>IFERROR(VLOOKUP(#REF!,[1]Lookup!$B$2:$E$115,3,FALSE),"")</f>
        <v/>
      </c>
    </row>
    <row r="1223" spans="31:47" x14ac:dyDescent="0.3">
      <c r="AE1223" s="204" t="s">
        <v>398</v>
      </c>
      <c r="AF1223" s="204" t="s">
        <v>398</v>
      </c>
      <c r="AG1223" s="204" t="s">
        <v>398</v>
      </c>
      <c r="AS1223" s="65" t="str">
        <f>IFERROR(VLOOKUP(#REF!,[1]Lookup!$B$2:$E$115,4,FALSE),"")</f>
        <v/>
      </c>
      <c r="AT1223" s="65" t="str">
        <f>IFERROR(VLOOKUP(#REF!,[1]Lookup!$B$2:$E$115,2,FALSE),"")</f>
        <v/>
      </c>
      <c r="AU1223" s="65" t="str">
        <f>IFERROR(VLOOKUP(#REF!,[1]Lookup!$B$2:$E$115,3,FALSE),"")</f>
        <v/>
      </c>
    </row>
    <row r="1224" spans="31:47" x14ac:dyDescent="0.3">
      <c r="AE1224" s="204" t="s">
        <v>398</v>
      </c>
      <c r="AF1224" s="204" t="s">
        <v>398</v>
      </c>
      <c r="AG1224" s="204" t="s">
        <v>398</v>
      </c>
      <c r="AS1224" s="65" t="str">
        <f>IFERROR(VLOOKUP(#REF!,[1]Lookup!$B$2:$E$115,4,FALSE),"")</f>
        <v/>
      </c>
      <c r="AT1224" s="65" t="str">
        <f>IFERROR(VLOOKUP(#REF!,[1]Lookup!$B$2:$E$115,2,FALSE),"")</f>
        <v/>
      </c>
      <c r="AU1224" s="65" t="str">
        <f>IFERROR(VLOOKUP(#REF!,[1]Lookup!$B$2:$E$115,3,FALSE),"")</f>
        <v/>
      </c>
    </row>
    <row r="1225" spans="31:47" x14ac:dyDescent="0.3">
      <c r="AE1225" s="204" t="s">
        <v>398</v>
      </c>
      <c r="AF1225" s="204" t="s">
        <v>398</v>
      </c>
      <c r="AG1225" s="204" t="s">
        <v>398</v>
      </c>
      <c r="AS1225" s="65" t="str">
        <f>IFERROR(VLOOKUP(#REF!,[1]Lookup!$B$2:$E$115,4,FALSE),"")</f>
        <v/>
      </c>
      <c r="AT1225" s="65" t="str">
        <f>IFERROR(VLOOKUP(#REF!,[1]Lookup!$B$2:$E$115,2,FALSE),"")</f>
        <v/>
      </c>
      <c r="AU1225" s="65" t="str">
        <f>IFERROR(VLOOKUP(#REF!,[1]Lookup!$B$2:$E$115,3,FALSE),"")</f>
        <v/>
      </c>
    </row>
    <row r="1226" spans="31:47" x14ac:dyDescent="0.3">
      <c r="AE1226" s="204" t="s">
        <v>398</v>
      </c>
      <c r="AF1226" s="204" t="s">
        <v>398</v>
      </c>
      <c r="AG1226" s="204" t="s">
        <v>398</v>
      </c>
      <c r="AS1226" s="65" t="str">
        <f>IFERROR(VLOOKUP(#REF!,[1]Lookup!$B$2:$E$115,4,FALSE),"")</f>
        <v/>
      </c>
      <c r="AT1226" s="65" t="str">
        <f>IFERROR(VLOOKUP(#REF!,[1]Lookup!$B$2:$E$115,2,FALSE),"")</f>
        <v/>
      </c>
      <c r="AU1226" s="65" t="str">
        <f>IFERROR(VLOOKUP(#REF!,[1]Lookup!$B$2:$E$115,3,FALSE),"")</f>
        <v/>
      </c>
    </row>
    <row r="1227" spans="31:47" x14ac:dyDescent="0.3">
      <c r="AE1227" s="204" t="s">
        <v>398</v>
      </c>
      <c r="AF1227" s="204" t="s">
        <v>398</v>
      </c>
      <c r="AG1227" s="204" t="s">
        <v>398</v>
      </c>
      <c r="AS1227" s="65" t="str">
        <f>IFERROR(VLOOKUP(#REF!,[1]Lookup!$B$2:$E$115,4,FALSE),"")</f>
        <v/>
      </c>
      <c r="AT1227" s="65" t="str">
        <f>IFERROR(VLOOKUP(#REF!,[1]Lookup!$B$2:$E$115,2,FALSE),"")</f>
        <v/>
      </c>
      <c r="AU1227" s="65" t="str">
        <f>IFERROR(VLOOKUP(#REF!,[1]Lookup!$B$2:$E$115,3,FALSE),"")</f>
        <v/>
      </c>
    </row>
    <row r="1228" spans="31:47" x14ac:dyDescent="0.3">
      <c r="AE1228" s="204" t="s">
        <v>398</v>
      </c>
      <c r="AF1228" s="204" t="s">
        <v>398</v>
      </c>
      <c r="AG1228" s="204" t="s">
        <v>398</v>
      </c>
      <c r="AS1228" s="65" t="str">
        <f>IFERROR(VLOOKUP(#REF!,[1]Lookup!$B$2:$E$115,4,FALSE),"")</f>
        <v/>
      </c>
      <c r="AT1228" s="65" t="str">
        <f>IFERROR(VLOOKUP(#REF!,[1]Lookup!$B$2:$E$115,2,FALSE),"")</f>
        <v/>
      </c>
      <c r="AU1228" s="65" t="str">
        <f>IFERROR(VLOOKUP(#REF!,[1]Lookup!$B$2:$E$115,3,FALSE),"")</f>
        <v/>
      </c>
    </row>
    <row r="1229" spans="31:47" x14ac:dyDescent="0.3">
      <c r="AE1229" s="204" t="s">
        <v>398</v>
      </c>
      <c r="AF1229" s="204" t="s">
        <v>398</v>
      </c>
      <c r="AG1229" s="204" t="s">
        <v>398</v>
      </c>
      <c r="AS1229" s="65" t="str">
        <f>IFERROR(VLOOKUP(#REF!,[1]Lookup!$B$2:$E$115,4,FALSE),"")</f>
        <v/>
      </c>
      <c r="AT1229" s="65" t="str">
        <f>IFERROR(VLOOKUP(#REF!,[1]Lookup!$B$2:$E$115,2,FALSE),"")</f>
        <v/>
      </c>
      <c r="AU1229" s="65" t="str">
        <f>IFERROR(VLOOKUP(#REF!,[1]Lookup!$B$2:$E$115,3,FALSE),"")</f>
        <v/>
      </c>
    </row>
    <row r="1230" spans="31:47" x14ac:dyDescent="0.3">
      <c r="AE1230" s="204" t="s">
        <v>398</v>
      </c>
      <c r="AF1230" s="204" t="s">
        <v>398</v>
      </c>
      <c r="AG1230" s="204" t="s">
        <v>398</v>
      </c>
      <c r="AS1230" s="65" t="str">
        <f>IFERROR(VLOOKUP(#REF!,[1]Lookup!$B$2:$E$115,4,FALSE),"")</f>
        <v/>
      </c>
      <c r="AT1230" s="65" t="str">
        <f>IFERROR(VLOOKUP(#REF!,[1]Lookup!$B$2:$E$115,2,FALSE),"")</f>
        <v/>
      </c>
      <c r="AU1230" s="65" t="str">
        <f>IFERROR(VLOOKUP(#REF!,[1]Lookup!$B$2:$E$115,3,FALSE),"")</f>
        <v/>
      </c>
    </row>
    <row r="1231" spans="31:47" x14ac:dyDescent="0.3">
      <c r="AE1231" s="204" t="s">
        <v>398</v>
      </c>
      <c r="AF1231" s="204" t="s">
        <v>398</v>
      </c>
      <c r="AG1231" s="204" t="s">
        <v>398</v>
      </c>
      <c r="AS1231" s="65" t="str">
        <f>IFERROR(VLOOKUP(#REF!,[1]Lookup!$B$2:$E$115,4,FALSE),"")</f>
        <v/>
      </c>
      <c r="AT1231" s="65" t="str">
        <f>IFERROR(VLOOKUP(#REF!,[1]Lookup!$B$2:$E$115,2,FALSE),"")</f>
        <v/>
      </c>
      <c r="AU1231" s="65" t="str">
        <f>IFERROR(VLOOKUP(#REF!,[1]Lookup!$B$2:$E$115,3,FALSE),"")</f>
        <v/>
      </c>
    </row>
    <row r="1232" spans="31:47" x14ac:dyDescent="0.3">
      <c r="AE1232" s="204" t="s">
        <v>398</v>
      </c>
      <c r="AF1232" s="204" t="s">
        <v>398</v>
      </c>
      <c r="AG1232" s="204" t="s">
        <v>398</v>
      </c>
      <c r="AS1232" s="65" t="str">
        <f>IFERROR(VLOOKUP(#REF!,[1]Lookup!$B$2:$E$115,4,FALSE),"")</f>
        <v/>
      </c>
      <c r="AT1232" s="65" t="str">
        <f>IFERROR(VLOOKUP(#REF!,[1]Lookup!$B$2:$E$115,2,FALSE),"")</f>
        <v/>
      </c>
      <c r="AU1232" s="65" t="str">
        <f>IFERROR(VLOOKUP(#REF!,[1]Lookup!$B$2:$E$115,3,FALSE),"")</f>
        <v/>
      </c>
    </row>
    <row r="1233" spans="31:47" x14ac:dyDescent="0.3">
      <c r="AE1233" s="204" t="s">
        <v>398</v>
      </c>
      <c r="AF1233" s="204" t="s">
        <v>398</v>
      </c>
      <c r="AG1233" s="204" t="s">
        <v>398</v>
      </c>
      <c r="AS1233" s="65" t="str">
        <f>IFERROR(VLOOKUP(#REF!,[1]Lookup!$B$2:$E$115,4,FALSE),"")</f>
        <v/>
      </c>
      <c r="AT1233" s="65" t="str">
        <f>IFERROR(VLOOKUP(#REF!,[1]Lookup!$B$2:$E$115,2,FALSE),"")</f>
        <v/>
      </c>
      <c r="AU1233" s="65" t="str">
        <f>IFERROR(VLOOKUP(#REF!,[1]Lookup!$B$2:$E$115,3,FALSE),"")</f>
        <v/>
      </c>
    </row>
    <row r="1234" spans="31:47" x14ac:dyDescent="0.3">
      <c r="AE1234" s="204" t="s">
        <v>398</v>
      </c>
      <c r="AF1234" s="204" t="s">
        <v>398</v>
      </c>
      <c r="AG1234" s="204" t="s">
        <v>398</v>
      </c>
      <c r="AS1234" s="65" t="str">
        <f>IFERROR(VLOOKUP(#REF!,[1]Lookup!$B$2:$E$115,4,FALSE),"")</f>
        <v/>
      </c>
      <c r="AT1234" s="65" t="str">
        <f>IFERROR(VLOOKUP(#REF!,[1]Lookup!$B$2:$E$115,2,FALSE),"")</f>
        <v/>
      </c>
      <c r="AU1234" s="65" t="str">
        <f>IFERROR(VLOOKUP(#REF!,[1]Lookup!$B$2:$E$115,3,FALSE),"")</f>
        <v/>
      </c>
    </row>
    <row r="1235" spans="31:47" x14ac:dyDescent="0.3">
      <c r="AE1235" s="204" t="s">
        <v>398</v>
      </c>
      <c r="AF1235" s="204" t="s">
        <v>398</v>
      </c>
      <c r="AG1235" s="204" t="s">
        <v>398</v>
      </c>
      <c r="AS1235" s="65" t="str">
        <f>IFERROR(VLOOKUP(#REF!,[1]Lookup!$B$2:$E$115,4,FALSE),"")</f>
        <v/>
      </c>
      <c r="AT1235" s="65" t="str">
        <f>IFERROR(VLOOKUP(#REF!,[1]Lookup!$B$2:$E$115,2,FALSE),"")</f>
        <v/>
      </c>
      <c r="AU1235" s="65" t="str">
        <f>IFERROR(VLOOKUP(#REF!,[1]Lookup!$B$2:$E$115,3,FALSE),"")</f>
        <v/>
      </c>
    </row>
    <row r="1236" spans="31:47" x14ac:dyDescent="0.3">
      <c r="AE1236" s="204" t="s">
        <v>398</v>
      </c>
      <c r="AF1236" s="204" t="s">
        <v>398</v>
      </c>
      <c r="AG1236" s="204" t="s">
        <v>398</v>
      </c>
      <c r="AS1236" s="65" t="str">
        <f>IFERROR(VLOOKUP(#REF!,[1]Lookup!$B$2:$E$115,4,FALSE),"")</f>
        <v/>
      </c>
      <c r="AT1236" s="65" t="str">
        <f>IFERROR(VLOOKUP(#REF!,[1]Lookup!$B$2:$E$115,2,FALSE),"")</f>
        <v/>
      </c>
      <c r="AU1236" s="65" t="str">
        <f>IFERROR(VLOOKUP(#REF!,[1]Lookup!$B$2:$E$115,3,FALSE),"")</f>
        <v/>
      </c>
    </row>
    <row r="1237" spans="31:47" x14ac:dyDescent="0.3">
      <c r="AE1237" s="204" t="s">
        <v>398</v>
      </c>
      <c r="AF1237" s="204" t="s">
        <v>398</v>
      </c>
      <c r="AG1237" s="204" t="s">
        <v>398</v>
      </c>
      <c r="AS1237" s="65" t="str">
        <f>IFERROR(VLOOKUP(#REF!,[1]Lookup!$B$2:$E$115,4,FALSE),"")</f>
        <v/>
      </c>
      <c r="AT1237" s="65" t="str">
        <f>IFERROR(VLOOKUP(#REF!,[1]Lookup!$B$2:$E$115,2,FALSE),"")</f>
        <v/>
      </c>
      <c r="AU1237" s="65" t="str">
        <f>IFERROR(VLOOKUP(#REF!,[1]Lookup!$B$2:$E$115,3,FALSE),"")</f>
        <v/>
      </c>
    </row>
    <row r="1238" spans="31:47" x14ac:dyDescent="0.3">
      <c r="AE1238" s="204" t="s">
        <v>398</v>
      </c>
      <c r="AF1238" s="204" t="s">
        <v>398</v>
      </c>
      <c r="AG1238" s="204" t="s">
        <v>398</v>
      </c>
      <c r="AS1238" s="65" t="str">
        <f>IFERROR(VLOOKUP(#REF!,[1]Lookup!$B$2:$E$115,4,FALSE),"")</f>
        <v/>
      </c>
      <c r="AT1238" s="65" t="str">
        <f>IFERROR(VLOOKUP(#REF!,[1]Lookup!$B$2:$E$115,2,FALSE),"")</f>
        <v/>
      </c>
      <c r="AU1238" s="65" t="str">
        <f>IFERROR(VLOOKUP(#REF!,[1]Lookup!$B$2:$E$115,3,FALSE),"")</f>
        <v/>
      </c>
    </row>
    <row r="1239" spans="31:47" x14ac:dyDescent="0.3">
      <c r="AE1239" s="204" t="s">
        <v>398</v>
      </c>
      <c r="AF1239" s="204" t="s">
        <v>398</v>
      </c>
      <c r="AG1239" s="204" t="s">
        <v>398</v>
      </c>
      <c r="AS1239" s="65" t="str">
        <f>IFERROR(VLOOKUP(#REF!,[1]Lookup!$B$2:$E$115,4,FALSE),"")</f>
        <v/>
      </c>
      <c r="AT1239" s="65" t="str">
        <f>IFERROR(VLOOKUP(#REF!,[1]Lookup!$B$2:$E$115,2,FALSE),"")</f>
        <v/>
      </c>
      <c r="AU1239" s="65" t="str">
        <f>IFERROR(VLOOKUP(#REF!,[1]Lookup!$B$2:$E$115,3,FALSE),"")</f>
        <v/>
      </c>
    </row>
    <row r="1240" spans="31:47" x14ac:dyDescent="0.3">
      <c r="AE1240" s="204" t="s">
        <v>398</v>
      </c>
      <c r="AF1240" s="204" t="s">
        <v>398</v>
      </c>
      <c r="AG1240" s="204" t="s">
        <v>398</v>
      </c>
      <c r="AS1240" s="65" t="str">
        <f>IFERROR(VLOOKUP(#REF!,[1]Lookup!$B$2:$E$115,4,FALSE),"")</f>
        <v/>
      </c>
      <c r="AT1240" s="65" t="str">
        <f>IFERROR(VLOOKUP(#REF!,[1]Lookup!$B$2:$E$115,2,FALSE),"")</f>
        <v/>
      </c>
      <c r="AU1240" s="65" t="str">
        <f>IFERROR(VLOOKUP(#REF!,[1]Lookup!$B$2:$E$115,3,FALSE),"")</f>
        <v/>
      </c>
    </row>
    <row r="1241" spans="31:47" x14ac:dyDescent="0.3">
      <c r="AE1241" s="204" t="s">
        <v>398</v>
      </c>
      <c r="AF1241" s="204" t="s">
        <v>398</v>
      </c>
      <c r="AG1241" s="204" t="s">
        <v>398</v>
      </c>
      <c r="AS1241" s="65" t="str">
        <f>IFERROR(VLOOKUP(#REF!,[1]Lookup!$B$2:$E$115,4,FALSE),"")</f>
        <v/>
      </c>
      <c r="AT1241" s="65" t="str">
        <f>IFERROR(VLOOKUP(#REF!,[1]Lookup!$B$2:$E$115,2,FALSE),"")</f>
        <v/>
      </c>
      <c r="AU1241" s="65" t="str">
        <f>IFERROR(VLOOKUP(#REF!,[1]Lookup!$B$2:$E$115,3,FALSE),"")</f>
        <v/>
      </c>
    </row>
    <row r="1242" spans="31:47" x14ac:dyDescent="0.3">
      <c r="AE1242" s="204" t="s">
        <v>398</v>
      </c>
      <c r="AF1242" s="204" t="s">
        <v>398</v>
      </c>
      <c r="AG1242" s="204" t="s">
        <v>398</v>
      </c>
      <c r="AS1242" s="65" t="str">
        <f>IFERROR(VLOOKUP(#REF!,[1]Lookup!$B$2:$E$115,4,FALSE),"")</f>
        <v/>
      </c>
      <c r="AT1242" s="65" t="str">
        <f>IFERROR(VLOOKUP(#REF!,[1]Lookup!$B$2:$E$115,2,FALSE),"")</f>
        <v/>
      </c>
      <c r="AU1242" s="65" t="str">
        <f>IFERROR(VLOOKUP(#REF!,[1]Lookup!$B$2:$E$115,3,FALSE),"")</f>
        <v/>
      </c>
    </row>
    <row r="1243" spans="31:47" x14ac:dyDescent="0.3">
      <c r="AE1243" s="204" t="s">
        <v>398</v>
      </c>
      <c r="AF1243" s="204" t="s">
        <v>398</v>
      </c>
      <c r="AG1243" s="204" t="s">
        <v>398</v>
      </c>
      <c r="AS1243" s="65" t="str">
        <f>IFERROR(VLOOKUP(#REF!,[1]Lookup!$B$2:$E$115,4,FALSE),"")</f>
        <v/>
      </c>
      <c r="AT1243" s="65" t="str">
        <f>IFERROR(VLOOKUP(#REF!,[1]Lookup!$B$2:$E$115,2,FALSE),"")</f>
        <v/>
      </c>
      <c r="AU1243" s="65" t="str">
        <f>IFERROR(VLOOKUP(#REF!,[1]Lookup!$B$2:$E$115,3,FALSE),"")</f>
        <v/>
      </c>
    </row>
    <row r="1244" spans="31:47" x14ac:dyDescent="0.3">
      <c r="AE1244" s="204" t="s">
        <v>398</v>
      </c>
      <c r="AF1244" s="204" t="s">
        <v>398</v>
      </c>
      <c r="AG1244" s="204" t="s">
        <v>398</v>
      </c>
      <c r="AS1244" s="65" t="str">
        <f>IFERROR(VLOOKUP(#REF!,[1]Lookup!$B$2:$E$115,4,FALSE),"")</f>
        <v/>
      </c>
      <c r="AT1244" s="65" t="str">
        <f>IFERROR(VLOOKUP(#REF!,[1]Lookup!$B$2:$E$115,2,FALSE),"")</f>
        <v/>
      </c>
      <c r="AU1244" s="65" t="str">
        <f>IFERROR(VLOOKUP(#REF!,[1]Lookup!$B$2:$E$115,3,FALSE),"")</f>
        <v/>
      </c>
    </row>
    <row r="1245" spans="31:47" x14ac:dyDescent="0.3">
      <c r="AE1245" s="204" t="s">
        <v>398</v>
      </c>
      <c r="AF1245" s="204" t="s">
        <v>398</v>
      </c>
      <c r="AG1245" s="204" t="s">
        <v>398</v>
      </c>
      <c r="AS1245" s="65" t="str">
        <f>IFERROR(VLOOKUP(#REF!,[1]Lookup!$B$2:$E$115,4,FALSE),"")</f>
        <v/>
      </c>
      <c r="AT1245" s="65" t="str">
        <f>IFERROR(VLOOKUP(#REF!,[1]Lookup!$B$2:$E$115,2,FALSE),"")</f>
        <v/>
      </c>
      <c r="AU1245" s="65" t="str">
        <f>IFERROR(VLOOKUP(#REF!,[1]Lookup!$B$2:$E$115,3,FALSE),"")</f>
        <v/>
      </c>
    </row>
    <row r="1246" spans="31:47" x14ac:dyDescent="0.3">
      <c r="AE1246" s="204" t="s">
        <v>398</v>
      </c>
      <c r="AF1246" s="204" t="s">
        <v>398</v>
      </c>
      <c r="AG1246" s="204" t="s">
        <v>398</v>
      </c>
      <c r="AS1246" s="65" t="str">
        <f>IFERROR(VLOOKUP(#REF!,[1]Lookup!$B$2:$E$115,4,FALSE),"")</f>
        <v/>
      </c>
      <c r="AT1246" s="65" t="str">
        <f>IFERROR(VLOOKUP(#REF!,[1]Lookup!$B$2:$E$115,2,FALSE),"")</f>
        <v/>
      </c>
      <c r="AU1246" s="65" t="str">
        <f>IFERROR(VLOOKUP(#REF!,[1]Lookup!$B$2:$E$115,3,FALSE),"")</f>
        <v/>
      </c>
    </row>
    <row r="1247" spans="31:47" x14ac:dyDescent="0.3">
      <c r="AE1247" s="204" t="s">
        <v>398</v>
      </c>
      <c r="AF1247" s="204" t="s">
        <v>398</v>
      </c>
      <c r="AG1247" s="204" t="s">
        <v>398</v>
      </c>
      <c r="AS1247" s="65" t="str">
        <f>IFERROR(VLOOKUP(#REF!,[1]Lookup!$B$2:$E$115,4,FALSE),"")</f>
        <v/>
      </c>
      <c r="AT1247" s="65" t="str">
        <f>IFERROR(VLOOKUP(#REF!,[1]Lookup!$B$2:$E$115,2,FALSE),"")</f>
        <v/>
      </c>
      <c r="AU1247" s="65" t="str">
        <f>IFERROR(VLOOKUP(#REF!,[1]Lookup!$B$2:$E$115,3,FALSE),"")</f>
        <v/>
      </c>
    </row>
    <row r="1248" spans="31:47" x14ac:dyDescent="0.3">
      <c r="AE1248" s="204" t="s">
        <v>398</v>
      </c>
      <c r="AF1248" s="204" t="s">
        <v>398</v>
      </c>
      <c r="AG1248" s="204" t="s">
        <v>398</v>
      </c>
      <c r="AS1248" s="65" t="str">
        <f>IFERROR(VLOOKUP(#REF!,[1]Lookup!$B$2:$E$115,4,FALSE),"")</f>
        <v/>
      </c>
      <c r="AT1248" s="65" t="str">
        <f>IFERROR(VLOOKUP(#REF!,[1]Lookup!$B$2:$E$115,2,FALSE),"")</f>
        <v/>
      </c>
      <c r="AU1248" s="65" t="str">
        <f>IFERROR(VLOOKUP(#REF!,[1]Lookup!$B$2:$E$115,3,FALSE),"")</f>
        <v/>
      </c>
    </row>
    <row r="1249" spans="31:47" x14ac:dyDescent="0.3">
      <c r="AE1249" s="204" t="s">
        <v>398</v>
      </c>
      <c r="AF1249" s="204" t="s">
        <v>398</v>
      </c>
      <c r="AG1249" s="204" t="s">
        <v>398</v>
      </c>
      <c r="AS1249" s="65" t="str">
        <f>IFERROR(VLOOKUP(#REF!,[1]Lookup!$B$2:$E$115,4,FALSE),"")</f>
        <v/>
      </c>
      <c r="AT1249" s="65" t="str">
        <f>IFERROR(VLOOKUP(#REF!,[1]Lookup!$B$2:$E$115,2,FALSE),"")</f>
        <v/>
      </c>
      <c r="AU1249" s="65" t="str">
        <f>IFERROR(VLOOKUP(#REF!,[1]Lookup!$B$2:$E$115,3,FALSE),"")</f>
        <v/>
      </c>
    </row>
    <row r="1250" spans="31:47" x14ac:dyDescent="0.3">
      <c r="AE1250" s="204" t="s">
        <v>398</v>
      </c>
      <c r="AF1250" s="204" t="s">
        <v>398</v>
      </c>
      <c r="AG1250" s="204" t="s">
        <v>398</v>
      </c>
      <c r="AS1250" s="65" t="str">
        <f>IFERROR(VLOOKUP(#REF!,[1]Lookup!$B$2:$E$115,4,FALSE),"")</f>
        <v/>
      </c>
      <c r="AT1250" s="65" t="str">
        <f>IFERROR(VLOOKUP(#REF!,[1]Lookup!$B$2:$E$115,2,FALSE),"")</f>
        <v/>
      </c>
      <c r="AU1250" s="65" t="str">
        <f>IFERROR(VLOOKUP(#REF!,[1]Lookup!$B$2:$E$115,3,FALSE),"")</f>
        <v/>
      </c>
    </row>
    <row r="1251" spans="31:47" x14ac:dyDescent="0.3">
      <c r="AE1251" s="204" t="s">
        <v>398</v>
      </c>
      <c r="AF1251" s="204" t="s">
        <v>398</v>
      </c>
      <c r="AG1251" s="204" t="s">
        <v>398</v>
      </c>
      <c r="AS1251" s="65" t="str">
        <f>IFERROR(VLOOKUP(#REF!,[1]Lookup!$B$2:$E$115,4,FALSE),"")</f>
        <v/>
      </c>
      <c r="AT1251" s="65" t="str">
        <f>IFERROR(VLOOKUP(#REF!,[1]Lookup!$B$2:$E$115,2,FALSE),"")</f>
        <v/>
      </c>
      <c r="AU1251" s="65" t="str">
        <f>IFERROR(VLOOKUP(#REF!,[1]Lookup!$B$2:$E$115,3,FALSE),"")</f>
        <v/>
      </c>
    </row>
    <row r="1252" spans="31:47" x14ac:dyDescent="0.3">
      <c r="AE1252" s="204" t="s">
        <v>398</v>
      </c>
      <c r="AF1252" s="204" t="s">
        <v>398</v>
      </c>
      <c r="AG1252" s="204" t="s">
        <v>398</v>
      </c>
      <c r="AS1252" s="65" t="str">
        <f>IFERROR(VLOOKUP(#REF!,[1]Lookup!$B$2:$E$115,4,FALSE),"")</f>
        <v/>
      </c>
      <c r="AT1252" s="65" t="str">
        <f>IFERROR(VLOOKUP(#REF!,[1]Lookup!$B$2:$E$115,2,FALSE),"")</f>
        <v/>
      </c>
      <c r="AU1252" s="65" t="str">
        <f>IFERROR(VLOOKUP(#REF!,[1]Lookup!$B$2:$E$115,3,FALSE),"")</f>
        <v/>
      </c>
    </row>
    <row r="1253" spans="31:47" x14ac:dyDescent="0.3">
      <c r="AE1253" s="204" t="s">
        <v>398</v>
      </c>
      <c r="AF1253" s="204" t="s">
        <v>398</v>
      </c>
      <c r="AG1253" s="204" t="s">
        <v>398</v>
      </c>
      <c r="AS1253" s="65" t="str">
        <f>IFERROR(VLOOKUP(#REF!,[1]Lookup!$B$2:$E$115,4,FALSE),"")</f>
        <v/>
      </c>
      <c r="AT1253" s="65" t="str">
        <f>IFERROR(VLOOKUP(#REF!,[1]Lookup!$B$2:$E$115,2,FALSE),"")</f>
        <v/>
      </c>
      <c r="AU1253" s="65" t="str">
        <f>IFERROR(VLOOKUP(#REF!,[1]Lookup!$B$2:$E$115,3,FALSE),"")</f>
        <v/>
      </c>
    </row>
    <row r="1254" spans="31:47" x14ac:dyDescent="0.3">
      <c r="AE1254" s="204" t="s">
        <v>398</v>
      </c>
      <c r="AF1254" s="204" t="s">
        <v>398</v>
      </c>
      <c r="AG1254" s="204" t="s">
        <v>398</v>
      </c>
      <c r="AS1254" s="65" t="str">
        <f>IFERROR(VLOOKUP(#REF!,[1]Lookup!$B$2:$E$115,4,FALSE),"")</f>
        <v/>
      </c>
      <c r="AT1254" s="65" t="str">
        <f>IFERROR(VLOOKUP(#REF!,[1]Lookup!$B$2:$E$115,2,FALSE),"")</f>
        <v/>
      </c>
      <c r="AU1254" s="65" t="str">
        <f>IFERROR(VLOOKUP(#REF!,[1]Lookup!$B$2:$E$115,3,FALSE),"")</f>
        <v/>
      </c>
    </row>
    <row r="1255" spans="31:47" x14ac:dyDescent="0.3">
      <c r="AE1255" s="204" t="s">
        <v>398</v>
      </c>
      <c r="AF1255" s="204" t="s">
        <v>398</v>
      </c>
      <c r="AG1255" s="204" t="s">
        <v>398</v>
      </c>
      <c r="AS1255" s="65" t="str">
        <f>IFERROR(VLOOKUP(#REF!,[1]Lookup!$B$2:$E$115,4,FALSE),"")</f>
        <v/>
      </c>
      <c r="AT1255" s="65" t="str">
        <f>IFERROR(VLOOKUP(#REF!,[1]Lookup!$B$2:$E$115,2,FALSE),"")</f>
        <v/>
      </c>
      <c r="AU1255" s="65" t="str">
        <f>IFERROR(VLOOKUP(#REF!,[1]Lookup!$B$2:$E$115,3,FALSE),"")</f>
        <v/>
      </c>
    </row>
    <row r="1256" spans="31:47" x14ac:dyDescent="0.3">
      <c r="AE1256" s="204" t="s">
        <v>398</v>
      </c>
      <c r="AF1256" s="204" t="s">
        <v>398</v>
      </c>
      <c r="AG1256" s="204" t="s">
        <v>398</v>
      </c>
      <c r="AS1256" s="65" t="str">
        <f>IFERROR(VLOOKUP(#REF!,[1]Lookup!$B$2:$E$115,4,FALSE),"")</f>
        <v/>
      </c>
      <c r="AT1256" s="65" t="str">
        <f>IFERROR(VLOOKUP(#REF!,[1]Lookup!$B$2:$E$115,2,FALSE),"")</f>
        <v/>
      </c>
      <c r="AU1256" s="65" t="str">
        <f>IFERROR(VLOOKUP(#REF!,[1]Lookup!$B$2:$E$115,3,FALSE),"")</f>
        <v/>
      </c>
    </row>
    <row r="1257" spans="31:47" x14ac:dyDescent="0.3">
      <c r="AE1257" s="204" t="s">
        <v>398</v>
      </c>
      <c r="AF1257" s="204" t="s">
        <v>398</v>
      </c>
      <c r="AG1257" s="204" t="s">
        <v>398</v>
      </c>
      <c r="AS1257" s="65" t="str">
        <f>IFERROR(VLOOKUP(#REF!,[1]Lookup!$B$2:$E$115,4,FALSE),"")</f>
        <v/>
      </c>
      <c r="AT1257" s="65" t="str">
        <f>IFERROR(VLOOKUP(#REF!,[1]Lookup!$B$2:$E$115,2,FALSE),"")</f>
        <v/>
      </c>
      <c r="AU1257" s="65" t="str">
        <f>IFERROR(VLOOKUP(#REF!,[1]Lookup!$B$2:$E$115,3,FALSE),"")</f>
        <v/>
      </c>
    </row>
    <row r="1258" spans="31:47" x14ac:dyDescent="0.3">
      <c r="AE1258" s="204" t="s">
        <v>398</v>
      </c>
      <c r="AF1258" s="204" t="s">
        <v>398</v>
      </c>
      <c r="AG1258" s="204" t="s">
        <v>398</v>
      </c>
      <c r="AS1258" s="65" t="str">
        <f>IFERROR(VLOOKUP(#REF!,[1]Lookup!$B$2:$E$115,4,FALSE),"")</f>
        <v/>
      </c>
      <c r="AT1258" s="65" t="str">
        <f>IFERROR(VLOOKUP(#REF!,[1]Lookup!$B$2:$E$115,2,FALSE),"")</f>
        <v/>
      </c>
      <c r="AU1258" s="65" t="str">
        <f>IFERROR(VLOOKUP(#REF!,[1]Lookup!$B$2:$E$115,3,FALSE),"")</f>
        <v/>
      </c>
    </row>
    <row r="1259" spans="31:47" x14ac:dyDescent="0.3">
      <c r="AE1259" s="204" t="s">
        <v>398</v>
      </c>
      <c r="AF1259" s="204" t="s">
        <v>398</v>
      </c>
      <c r="AG1259" s="204" t="s">
        <v>398</v>
      </c>
      <c r="AS1259" s="65" t="str">
        <f>IFERROR(VLOOKUP(#REF!,[1]Lookup!$B$2:$E$115,4,FALSE),"")</f>
        <v/>
      </c>
      <c r="AT1259" s="65" t="str">
        <f>IFERROR(VLOOKUP(#REF!,[1]Lookup!$B$2:$E$115,2,FALSE),"")</f>
        <v/>
      </c>
      <c r="AU1259" s="65" t="str">
        <f>IFERROR(VLOOKUP(#REF!,[1]Lookup!$B$2:$E$115,3,FALSE),"")</f>
        <v/>
      </c>
    </row>
    <row r="1260" spans="31:47" x14ac:dyDescent="0.3">
      <c r="AE1260" s="204" t="s">
        <v>398</v>
      </c>
      <c r="AF1260" s="204" t="s">
        <v>398</v>
      </c>
      <c r="AG1260" s="204" t="s">
        <v>398</v>
      </c>
      <c r="AS1260" s="65" t="str">
        <f>IFERROR(VLOOKUP(#REF!,[1]Lookup!$B$2:$E$115,4,FALSE),"")</f>
        <v/>
      </c>
      <c r="AT1260" s="65" t="str">
        <f>IFERROR(VLOOKUP(#REF!,[1]Lookup!$B$2:$E$115,2,FALSE),"")</f>
        <v/>
      </c>
      <c r="AU1260" s="65" t="str">
        <f>IFERROR(VLOOKUP(#REF!,[1]Lookup!$B$2:$E$115,3,FALSE),"")</f>
        <v/>
      </c>
    </row>
    <row r="1261" spans="31:47" x14ac:dyDescent="0.3">
      <c r="AE1261" s="204" t="s">
        <v>398</v>
      </c>
      <c r="AF1261" s="204" t="s">
        <v>398</v>
      </c>
      <c r="AG1261" s="204" t="s">
        <v>398</v>
      </c>
      <c r="AS1261" s="65" t="str">
        <f>IFERROR(VLOOKUP(#REF!,[1]Lookup!$B$2:$E$115,4,FALSE),"")</f>
        <v/>
      </c>
      <c r="AT1261" s="65" t="str">
        <f>IFERROR(VLOOKUP(#REF!,[1]Lookup!$B$2:$E$115,2,FALSE),"")</f>
        <v/>
      </c>
      <c r="AU1261" s="65" t="str">
        <f>IFERROR(VLOOKUP(#REF!,[1]Lookup!$B$2:$E$115,3,FALSE),"")</f>
        <v/>
      </c>
    </row>
    <row r="1262" spans="31:47" x14ac:dyDescent="0.3">
      <c r="AE1262" s="204" t="s">
        <v>398</v>
      </c>
      <c r="AF1262" s="204" t="s">
        <v>398</v>
      </c>
      <c r="AG1262" s="204" t="s">
        <v>398</v>
      </c>
      <c r="AS1262" s="65" t="str">
        <f>IFERROR(VLOOKUP(#REF!,[1]Lookup!$B$2:$E$115,4,FALSE),"")</f>
        <v/>
      </c>
      <c r="AT1262" s="65" t="str">
        <f>IFERROR(VLOOKUP(#REF!,[1]Lookup!$B$2:$E$115,2,FALSE),"")</f>
        <v/>
      </c>
      <c r="AU1262" s="65" t="str">
        <f>IFERROR(VLOOKUP(#REF!,[1]Lookup!$B$2:$E$115,3,FALSE),"")</f>
        <v/>
      </c>
    </row>
    <row r="1263" spans="31:47" x14ac:dyDescent="0.3">
      <c r="AE1263" s="204" t="s">
        <v>398</v>
      </c>
      <c r="AF1263" s="204" t="s">
        <v>398</v>
      </c>
      <c r="AG1263" s="204" t="s">
        <v>398</v>
      </c>
      <c r="AS1263" s="65" t="str">
        <f>IFERROR(VLOOKUP(#REF!,[1]Lookup!$B$2:$E$115,4,FALSE),"")</f>
        <v/>
      </c>
      <c r="AT1263" s="65" t="str">
        <f>IFERROR(VLOOKUP(#REF!,[1]Lookup!$B$2:$E$115,2,FALSE),"")</f>
        <v/>
      </c>
      <c r="AU1263" s="65" t="str">
        <f>IFERROR(VLOOKUP(#REF!,[1]Lookup!$B$2:$E$115,3,FALSE),"")</f>
        <v/>
      </c>
    </row>
    <row r="1264" spans="31:47" x14ac:dyDescent="0.3">
      <c r="AE1264" s="204" t="s">
        <v>398</v>
      </c>
      <c r="AF1264" s="204" t="s">
        <v>398</v>
      </c>
      <c r="AG1264" s="204" t="s">
        <v>398</v>
      </c>
      <c r="AS1264" s="65" t="str">
        <f>IFERROR(VLOOKUP(#REF!,[1]Lookup!$B$2:$E$115,4,FALSE),"")</f>
        <v/>
      </c>
      <c r="AT1264" s="65" t="str">
        <f>IFERROR(VLOOKUP(#REF!,[1]Lookup!$B$2:$E$115,2,FALSE),"")</f>
        <v/>
      </c>
      <c r="AU1264" s="65" t="str">
        <f>IFERROR(VLOOKUP(#REF!,[1]Lookup!$B$2:$E$115,3,FALSE),"")</f>
        <v/>
      </c>
    </row>
    <row r="1265" spans="31:47" x14ac:dyDescent="0.3">
      <c r="AE1265" s="204" t="s">
        <v>398</v>
      </c>
      <c r="AF1265" s="204" t="s">
        <v>398</v>
      </c>
      <c r="AG1265" s="204" t="s">
        <v>398</v>
      </c>
      <c r="AS1265" s="65" t="str">
        <f>IFERROR(VLOOKUP(#REF!,[1]Lookup!$B$2:$E$115,4,FALSE),"")</f>
        <v/>
      </c>
      <c r="AT1265" s="65" t="str">
        <f>IFERROR(VLOOKUP(#REF!,[1]Lookup!$B$2:$E$115,2,FALSE),"")</f>
        <v/>
      </c>
      <c r="AU1265" s="65" t="str">
        <f>IFERROR(VLOOKUP(#REF!,[1]Lookup!$B$2:$E$115,3,FALSE),"")</f>
        <v/>
      </c>
    </row>
    <row r="1266" spans="31:47" x14ac:dyDescent="0.3">
      <c r="AE1266" s="204" t="s">
        <v>398</v>
      </c>
      <c r="AF1266" s="204" t="s">
        <v>398</v>
      </c>
      <c r="AG1266" s="204" t="s">
        <v>398</v>
      </c>
      <c r="AS1266" s="65" t="str">
        <f>IFERROR(VLOOKUP(#REF!,[1]Lookup!$B$2:$E$115,4,FALSE),"")</f>
        <v/>
      </c>
      <c r="AT1266" s="65" t="str">
        <f>IFERROR(VLOOKUP(#REF!,[1]Lookup!$B$2:$E$115,2,FALSE),"")</f>
        <v/>
      </c>
      <c r="AU1266" s="65" t="str">
        <f>IFERROR(VLOOKUP(#REF!,[1]Lookup!$B$2:$E$115,3,FALSE),"")</f>
        <v/>
      </c>
    </row>
    <row r="1267" spans="31:47" x14ac:dyDescent="0.3">
      <c r="AE1267" s="204" t="s">
        <v>398</v>
      </c>
      <c r="AF1267" s="204" t="s">
        <v>398</v>
      </c>
      <c r="AG1267" s="204" t="s">
        <v>398</v>
      </c>
      <c r="AS1267" s="65" t="str">
        <f>IFERROR(VLOOKUP(#REF!,[1]Lookup!$B$2:$E$115,4,FALSE),"")</f>
        <v/>
      </c>
      <c r="AT1267" s="65" t="str">
        <f>IFERROR(VLOOKUP(#REF!,[1]Lookup!$B$2:$E$115,2,FALSE),"")</f>
        <v/>
      </c>
      <c r="AU1267" s="65" t="str">
        <f>IFERROR(VLOOKUP(#REF!,[1]Lookup!$B$2:$E$115,3,FALSE),"")</f>
        <v/>
      </c>
    </row>
    <row r="1268" spans="31:47" x14ac:dyDescent="0.3">
      <c r="AE1268" s="204" t="s">
        <v>398</v>
      </c>
      <c r="AF1268" s="204" t="s">
        <v>398</v>
      </c>
      <c r="AG1268" s="204" t="s">
        <v>398</v>
      </c>
      <c r="AS1268" s="65" t="str">
        <f>IFERROR(VLOOKUP(#REF!,[1]Lookup!$B$2:$E$115,4,FALSE),"")</f>
        <v/>
      </c>
      <c r="AT1268" s="65" t="str">
        <f>IFERROR(VLOOKUP(#REF!,[1]Lookup!$B$2:$E$115,2,FALSE),"")</f>
        <v/>
      </c>
      <c r="AU1268" s="65" t="str">
        <f>IFERROR(VLOOKUP(#REF!,[1]Lookup!$B$2:$E$115,3,FALSE),"")</f>
        <v/>
      </c>
    </row>
    <row r="1269" spans="31:47" x14ac:dyDescent="0.3">
      <c r="AE1269" s="204" t="s">
        <v>398</v>
      </c>
      <c r="AF1269" s="204" t="s">
        <v>398</v>
      </c>
      <c r="AG1269" s="204" t="s">
        <v>398</v>
      </c>
      <c r="AS1269" s="65" t="str">
        <f>IFERROR(VLOOKUP(#REF!,[1]Lookup!$B$2:$E$115,4,FALSE),"")</f>
        <v/>
      </c>
      <c r="AT1269" s="65" t="str">
        <f>IFERROR(VLOOKUP(#REF!,[1]Lookup!$B$2:$E$115,2,FALSE),"")</f>
        <v/>
      </c>
      <c r="AU1269" s="65" t="str">
        <f>IFERROR(VLOOKUP(#REF!,[1]Lookup!$B$2:$E$115,3,FALSE),"")</f>
        <v/>
      </c>
    </row>
    <row r="1270" spans="31:47" x14ac:dyDescent="0.3">
      <c r="AE1270" s="204" t="s">
        <v>398</v>
      </c>
      <c r="AF1270" s="204" t="s">
        <v>398</v>
      </c>
      <c r="AG1270" s="204" t="s">
        <v>398</v>
      </c>
      <c r="AS1270" s="65" t="str">
        <f>IFERROR(VLOOKUP(#REF!,[1]Lookup!$B$2:$E$115,4,FALSE),"")</f>
        <v/>
      </c>
      <c r="AT1270" s="65" t="str">
        <f>IFERROR(VLOOKUP(#REF!,[1]Lookup!$B$2:$E$115,2,FALSE),"")</f>
        <v/>
      </c>
      <c r="AU1270" s="65" t="str">
        <f>IFERROR(VLOOKUP(#REF!,[1]Lookup!$B$2:$E$115,3,FALSE),"")</f>
        <v/>
      </c>
    </row>
    <row r="1271" spans="31:47" x14ac:dyDescent="0.3">
      <c r="AE1271" s="204" t="s">
        <v>398</v>
      </c>
      <c r="AF1271" s="204" t="s">
        <v>398</v>
      </c>
      <c r="AG1271" s="204" t="s">
        <v>398</v>
      </c>
      <c r="AS1271" s="65" t="str">
        <f>IFERROR(VLOOKUP(#REF!,[1]Lookup!$B$2:$E$115,4,FALSE),"")</f>
        <v/>
      </c>
      <c r="AT1271" s="65" t="str">
        <f>IFERROR(VLOOKUP(#REF!,[1]Lookup!$B$2:$E$115,2,FALSE),"")</f>
        <v/>
      </c>
      <c r="AU1271" s="65" t="str">
        <f>IFERROR(VLOOKUP(#REF!,[1]Lookup!$B$2:$E$115,3,FALSE),"")</f>
        <v/>
      </c>
    </row>
    <row r="1272" spans="31:47" x14ac:dyDescent="0.3">
      <c r="AE1272" s="204" t="s">
        <v>398</v>
      </c>
      <c r="AF1272" s="204" t="s">
        <v>398</v>
      </c>
      <c r="AG1272" s="204" t="s">
        <v>398</v>
      </c>
      <c r="AS1272" s="65" t="str">
        <f>IFERROR(VLOOKUP(#REF!,[1]Lookup!$B$2:$E$115,4,FALSE),"")</f>
        <v/>
      </c>
      <c r="AT1272" s="65" t="str">
        <f>IFERROR(VLOOKUP(#REF!,[1]Lookup!$B$2:$E$115,2,FALSE),"")</f>
        <v/>
      </c>
      <c r="AU1272" s="65" t="str">
        <f>IFERROR(VLOOKUP(#REF!,[1]Lookup!$B$2:$E$115,3,FALSE),"")</f>
        <v/>
      </c>
    </row>
    <row r="1273" spans="31:47" x14ac:dyDescent="0.3">
      <c r="AE1273" s="204" t="s">
        <v>398</v>
      </c>
      <c r="AF1273" s="204" t="s">
        <v>398</v>
      </c>
      <c r="AG1273" s="204" t="s">
        <v>398</v>
      </c>
      <c r="AS1273" s="65" t="str">
        <f>IFERROR(VLOOKUP(#REF!,[1]Lookup!$B$2:$E$115,4,FALSE),"")</f>
        <v/>
      </c>
      <c r="AT1273" s="65" t="str">
        <f>IFERROR(VLOOKUP(#REF!,[1]Lookup!$B$2:$E$115,2,FALSE),"")</f>
        <v/>
      </c>
      <c r="AU1273" s="65" t="str">
        <f>IFERROR(VLOOKUP(#REF!,[1]Lookup!$B$2:$E$115,3,FALSE),"")</f>
        <v/>
      </c>
    </row>
    <row r="1274" spans="31:47" x14ac:dyDescent="0.3">
      <c r="AE1274" s="204" t="s">
        <v>398</v>
      </c>
      <c r="AF1274" s="204" t="s">
        <v>398</v>
      </c>
      <c r="AG1274" s="204" t="s">
        <v>398</v>
      </c>
      <c r="AS1274" s="65" t="str">
        <f>IFERROR(VLOOKUP(#REF!,[1]Lookup!$B$2:$E$115,4,FALSE),"")</f>
        <v/>
      </c>
      <c r="AT1274" s="65" t="str">
        <f>IFERROR(VLOOKUP(#REF!,[1]Lookup!$B$2:$E$115,2,FALSE),"")</f>
        <v/>
      </c>
      <c r="AU1274" s="65" t="str">
        <f>IFERROR(VLOOKUP(#REF!,[1]Lookup!$B$2:$E$115,3,FALSE),"")</f>
        <v/>
      </c>
    </row>
    <row r="1275" spans="31:47" x14ac:dyDescent="0.3">
      <c r="AE1275" s="204" t="s">
        <v>398</v>
      </c>
      <c r="AF1275" s="204" t="s">
        <v>398</v>
      </c>
      <c r="AG1275" s="204" t="s">
        <v>398</v>
      </c>
      <c r="AS1275" s="65" t="str">
        <f>IFERROR(VLOOKUP(#REF!,[1]Lookup!$B$2:$E$115,4,FALSE),"")</f>
        <v/>
      </c>
      <c r="AT1275" s="65" t="str">
        <f>IFERROR(VLOOKUP(#REF!,[1]Lookup!$B$2:$E$115,2,FALSE),"")</f>
        <v/>
      </c>
      <c r="AU1275" s="65" t="str">
        <f>IFERROR(VLOOKUP(#REF!,[1]Lookup!$B$2:$E$115,3,FALSE),"")</f>
        <v/>
      </c>
    </row>
    <row r="1276" spans="31:47" x14ac:dyDescent="0.3">
      <c r="AE1276" s="204" t="s">
        <v>398</v>
      </c>
      <c r="AF1276" s="204" t="s">
        <v>398</v>
      </c>
      <c r="AG1276" s="204" t="s">
        <v>398</v>
      </c>
      <c r="AS1276" s="65" t="str">
        <f>IFERROR(VLOOKUP(#REF!,[1]Lookup!$B$2:$E$115,4,FALSE),"")</f>
        <v/>
      </c>
      <c r="AT1276" s="65" t="str">
        <f>IFERROR(VLOOKUP(#REF!,[1]Lookup!$B$2:$E$115,2,FALSE),"")</f>
        <v/>
      </c>
      <c r="AU1276" s="65" t="str">
        <f>IFERROR(VLOOKUP(#REF!,[1]Lookup!$B$2:$E$115,3,FALSE),"")</f>
        <v/>
      </c>
    </row>
    <row r="1277" spans="31:47" x14ac:dyDescent="0.3">
      <c r="AE1277" s="204" t="s">
        <v>398</v>
      </c>
      <c r="AF1277" s="204" t="s">
        <v>398</v>
      </c>
      <c r="AG1277" s="204" t="s">
        <v>398</v>
      </c>
      <c r="AS1277" s="65" t="str">
        <f>IFERROR(VLOOKUP(#REF!,[1]Lookup!$B$2:$E$115,4,FALSE),"")</f>
        <v/>
      </c>
      <c r="AT1277" s="65" t="str">
        <f>IFERROR(VLOOKUP(#REF!,[1]Lookup!$B$2:$E$115,2,FALSE),"")</f>
        <v/>
      </c>
      <c r="AU1277" s="65" t="str">
        <f>IFERROR(VLOOKUP(#REF!,[1]Lookup!$B$2:$E$115,3,FALSE),"")</f>
        <v/>
      </c>
    </row>
    <row r="1278" spans="31:47" x14ac:dyDescent="0.3">
      <c r="AE1278" s="204" t="s">
        <v>398</v>
      </c>
      <c r="AF1278" s="204" t="s">
        <v>398</v>
      </c>
      <c r="AG1278" s="204" t="s">
        <v>398</v>
      </c>
      <c r="AS1278" s="65" t="str">
        <f>IFERROR(VLOOKUP(#REF!,[1]Lookup!$B$2:$E$115,4,FALSE),"")</f>
        <v/>
      </c>
      <c r="AT1278" s="65" t="str">
        <f>IFERROR(VLOOKUP(#REF!,[1]Lookup!$B$2:$E$115,2,FALSE),"")</f>
        <v/>
      </c>
      <c r="AU1278" s="65" t="str">
        <f>IFERROR(VLOOKUP(#REF!,[1]Lookup!$B$2:$E$115,3,FALSE),"")</f>
        <v/>
      </c>
    </row>
    <row r="1279" spans="31:47" x14ac:dyDescent="0.3">
      <c r="AE1279" s="204" t="s">
        <v>398</v>
      </c>
      <c r="AF1279" s="204" t="s">
        <v>398</v>
      </c>
      <c r="AG1279" s="204" t="s">
        <v>398</v>
      </c>
      <c r="AS1279" s="65" t="str">
        <f>IFERROR(VLOOKUP(#REF!,[1]Lookup!$B$2:$E$115,4,FALSE),"")</f>
        <v/>
      </c>
      <c r="AT1279" s="65" t="str">
        <f>IFERROR(VLOOKUP(#REF!,[1]Lookup!$B$2:$E$115,2,FALSE),"")</f>
        <v/>
      </c>
      <c r="AU1279" s="65" t="str">
        <f>IFERROR(VLOOKUP(#REF!,[1]Lookup!$B$2:$E$115,3,FALSE),"")</f>
        <v/>
      </c>
    </row>
    <row r="1280" spans="31:47" x14ac:dyDescent="0.3">
      <c r="AE1280" s="204" t="s">
        <v>398</v>
      </c>
      <c r="AF1280" s="204" t="s">
        <v>398</v>
      </c>
      <c r="AG1280" s="204" t="s">
        <v>398</v>
      </c>
      <c r="AS1280" s="65" t="str">
        <f>IFERROR(VLOOKUP(#REF!,[1]Lookup!$B$2:$E$115,4,FALSE),"")</f>
        <v/>
      </c>
      <c r="AT1280" s="65" t="str">
        <f>IFERROR(VLOOKUP(#REF!,[1]Lookup!$B$2:$E$115,2,FALSE),"")</f>
        <v/>
      </c>
      <c r="AU1280" s="65" t="str">
        <f>IFERROR(VLOOKUP(#REF!,[1]Lookup!$B$2:$E$115,3,FALSE),"")</f>
        <v/>
      </c>
    </row>
    <row r="1281" spans="31:47" x14ac:dyDescent="0.3">
      <c r="AE1281" s="204" t="s">
        <v>398</v>
      </c>
      <c r="AF1281" s="204" t="s">
        <v>398</v>
      </c>
      <c r="AG1281" s="204" t="s">
        <v>398</v>
      </c>
      <c r="AS1281" s="65" t="str">
        <f>IFERROR(VLOOKUP(#REF!,[1]Lookup!$B$2:$E$115,4,FALSE),"")</f>
        <v/>
      </c>
      <c r="AT1281" s="65" t="str">
        <f>IFERROR(VLOOKUP(#REF!,[1]Lookup!$B$2:$E$115,2,FALSE),"")</f>
        <v/>
      </c>
      <c r="AU1281" s="65" t="str">
        <f>IFERROR(VLOOKUP(#REF!,[1]Lookup!$B$2:$E$115,3,FALSE),"")</f>
        <v/>
      </c>
    </row>
    <row r="1282" spans="31:47" x14ac:dyDescent="0.3">
      <c r="AE1282" s="204" t="s">
        <v>398</v>
      </c>
      <c r="AF1282" s="204" t="s">
        <v>398</v>
      </c>
      <c r="AG1282" s="204" t="s">
        <v>398</v>
      </c>
      <c r="AS1282" s="65" t="str">
        <f>IFERROR(VLOOKUP(#REF!,[1]Lookup!$B$2:$E$115,4,FALSE),"")</f>
        <v/>
      </c>
      <c r="AT1282" s="65" t="str">
        <f>IFERROR(VLOOKUP(#REF!,[1]Lookup!$B$2:$E$115,2,FALSE),"")</f>
        <v/>
      </c>
      <c r="AU1282" s="65" t="str">
        <f>IFERROR(VLOOKUP(#REF!,[1]Lookup!$B$2:$E$115,3,FALSE),"")</f>
        <v/>
      </c>
    </row>
    <row r="1283" spans="31:47" x14ac:dyDescent="0.3">
      <c r="AE1283" s="204" t="s">
        <v>398</v>
      </c>
      <c r="AF1283" s="204" t="s">
        <v>398</v>
      </c>
      <c r="AG1283" s="204" t="s">
        <v>398</v>
      </c>
      <c r="AS1283" s="65" t="str">
        <f>IFERROR(VLOOKUP(#REF!,[1]Lookup!$B$2:$E$115,4,FALSE),"")</f>
        <v/>
      </c>
      <c r="AT1283" s="65" t="str">
        <f>IFERROR(VLOOKUP(#REF!,[1]Lookup!$B$2:$E$115,2,FALSE),"")</f>
        <v/>
      </c>
      <c r="AU1283" s="65" t="str">
        <f>IFERROR(VLOOKUP(#REF!,[1]Lookup!$B$2:$E$115,3,FALSE),"")</f>
        <v/>
      </c>
    </row>
    <row r="1284" spans="31:47" x14ac:dyDescent="0.3">
      <c r="AE1284" s="204" t="s">
        <v>398</v>
      </c>
      <c r="AF1284" s="204" t="s">
        <v>398</v>
      </c>
      <c r="AG1284" s="204" t="s">
        <v>398</v>
      </c>
      <c r="AS1284" s="65" t="str">
        <f>IFERROR(VLOOKUP(#REF!,[1]Lookup!$B$2:$E$115,4,FALSE),"")</f>
        <v/>
      </c>
      <c r="AT1284" s="65" t="str">
        <f>IFERROR(VLOOKUP(#REF!,[1]Lookup!$B$2:$E$115,2,FALSE),"")</f>
        <v/>
      </c>
      <c r="AU1284" s="65" t="str">
        <f>IFERROR(VLOOKUP(#REF!,[1]Lookup!$B$2:$E$115,3,FALSE),"")</f>
        <v/>
      </c>
    </row>
    <row r="1285" spans="31:47" x14ac:dyDescent="0.3">
      <c r="AE1285" s="204" t="s">
        <v>398</v>
      </c>
      <c r="AF1285" s="204" t="s">
        <v>398</v>
      </c>
      <c r="AG1285" s="204" t="s">
        <v>398</v>
      </c>
      <c r="AS1285" s="65" t="str">
        <f>IFERROR(VLOOKUP(#REF!,[1]Lookup!$B$2:$E$115,4,FALSE),"")</f>
        <v/>
      </c>
      <c r="AT1285" s="65" t="str">
        <f>IFERROR(VLOOKUP(#REF!,[1]Lookup!$B$2:$E$115,2,FALSE),"")</f>
        <v/>
      </c>
      <c r="AU1285" s="65" t="str">
        <f>IFERROR(VLOOKUP(#REF!,[1]Lookup!$B$2:$E$115,3,FALSE),"")</f>
        <v/>
      </c>
    </row>
    <row r="1286" spans="31:47" x14ac:dyDescent="0.3">
      <c r="AE1286" s="204" t="s">
        <v>398</v>
      </c>
      <c r="AF1286" s="204" t="s">
        <v>398</v>
      </c>
      <c r="AG1286" s="204" t="s">
        <v>398</v>
      </c>
      <c r="AS1286" s="65" t="str">
        <f>IFERROR(VLOOKUP(#REF!,[1]Lookup!$B$2:$E$115,4,FALSE),"")</f>
        <v/>
      </c>
      <c r="AT1286" s="65" t="str">
        <f>IFERROR(VLOOKUP(#REF!,[1]Lookup!$B$2:$E$115,2,FALSE),"")</f>
        <v/>
      </c>
      <c r="AU1286" s="65" t="str">
        <f>IFERROR(VLOOKUP(#REF!,[1]Lookup!$B$2:$E$115,3,FALSE),"")</f>
        <v/>
      </c>
    </row>
    <row r="1287" spans="31:47" x14ac:dyDescent="0.3">
      <c r="AE1287" s="204" t="s">
        <v>398</v>
      </c>
      <c r="AF1287" s="204" t="s">
        <v>398</v>
      </c>
      <c r="AG1287" s="204" t="s">
        <v>398</v>
      </c>
      <c r="AS1287" s="65" t="str">
        <f>IFERROR(VLOOKUP(#REF!,[1]Lookup!$B$2:$E$115,4,FALSE),"")</f>
        <v/>
      </c>
      <c r="AT1287" s="65" t="str">
        <f>IFERROR(VLOOKUP(#REF!,[1]Lookup!$B$2:$E$115,2,FALSE),"")</f>
        <v/>
      </c>
      <c r="AU1287" s="65" t="str">
        <f>IFERROR(VLOOKUP(#REF!,[1]Lookup!$B$2:$E$115,3,FALSE),"")</f>
        <v/>
      </c>
    </row>
    <row r="1288" spans="31:47" x14ac:dyDescent="0.3">
      <c r="AE1288" s="204" t="s">
        <v>398</v>
      </c>
      <c r="AF1288" s="204" t="s">
        <v>398</v>
      </c>
      <c r="AG1288" s="204" t="s">
        <v>398</v>
      </c>
      <c r="AS1288" s="65" t="str">
        <f>IFERROR(VLOOKUP(#REF!,[1]Lookup!$B$2:$E$115,4,FALSE),"")</f>
        <v/>
      </c>
      <c r="AT1288" s="65" t="str">
        <f>IFERROR(VLOOKUP(#REF!,[1]Lookup!$B$2:$E$115,2,FALSE),"")</f>
        <v/>
      </c>
      <c r="AU1288" s="65" t="str">
        <f>IFERROR(VLOOKUP(#REF!,[1]Lookup!$B$2:$E$115,3,FALSE),"")</f>
        <v/>
      </c>
    </row>
    <row r="1289" spans="31:47" x14ac:dyDescent="0.3">
      <c r="AE1289" s="204" t="s">
        <v>398</v>
      </c>
      <c r="AF1289" s="204" t="s">
        <v>398</v>
      </c>
      <c r="AG1289" s="204" t="s">
        <v>398</v>
      </c>
      <c r="AS1289" s="65" t="str">
        <f>IFERROR(VLOOKUP(#REF!,[1]Lookup!$B$2:$E$115,4,FALSE),"")</f>
        <v/>
      </c>
      <c r="AT1289" s="65" t="str">
        <f>IFERROR(VLOOKUP(#REF!,[1]Lookup!$B$2:$E$115,2,FALSE),"")</f>
        <v/>
      </c>
      <c r="AU1289" s="65" t="str">
        <f>IFERROR(VLOOKUP(#REF!,[1]Lookup!$B$2:$E$115,3,FALSE),"")</f>
        <v/>
      </c>
    </row>
    <row r="1290" spans="31:47" x14ac:dyDescent="0.3">
      <c r="AE1290" s="204" t="s">
        <v>398</v>
      </c>
      <c r="AF1290" s="204" t="s">
        <v>398</v>
      </c>
      <c r="AG1290" s="204" t="s">
        <v>398</v>
      </c>
      <c r="AS1290" s="65" t="str">
        <f>IFERROR(VLOOKUP(#REF!,[1]Lookup!$B$2:$E$115,4,FALSE),"")</f>
        <v/>
      </c>
      <c r="AT1290" s="65" t="str">
        <f>IFERROR(VLOOKUP(#REF!,[1]Lookup!$B$2:$E$115,2,FALSE),"")</f>
        <v/>
      </c>
      <c r="AU1290" s="65" t="str">
        <f>IFERROR(VLOOKUP(#REF!,[1]Lookup!$B$2:$E$115,3,FALSE),"")</f>
        <v/>
      </c>
    </row>
    <row r="1291" spans="31:47" x14ac:dyDescent="0.3">
      <c r="AE1291" s="204" t="s">
        <v>398</v>
      </c>
      <c r="AF1291" s="204" t="s">
        <v>398</v>
      </c>
      <c r="AG1291" s="204" t="s">
        <v>398</v>
      </c>
      <c r="AS1291" s="65" t="str">
        <f>IFERROR(VLOOKUP(#REF!,[1]Lookup!$B$2:$E$115,4,FALSE),"")</f>
        <v/>
      </c>
      <c r="AT1291" s="65" t="str">
        <f>IFERROR(VLOOKUP(#REF!,[1]Lookup!$B$2:$E$115,2,FALSE),"")</f>
        <v/>
      </c>
      <c r="AU1291" s="65" t="str">
        <f>IFERROR(VLOOKUP(#REF!,[1]Lookup!$B$2:$E$115,3,FALSE),"")</f>
        <v/>
      </c>
    </row>
    <row r="1292" spans="31:47" x14ac:dyDescent="0.3">
      <c r="AE1292" s="204" t="s">
        <v>398</v>
      </c>
      <c r="AF1292" s="204" t="s">
        <v>398</v>
      </c>
      <c r="AG1292" s="204" t="s">
        <v>398</v>
      </c>
      <c r="AS1292" s="65" t="str">
        <f>IFERROR(VLOOKUP(#REF!,[1]Lookup!$B$2:$E$115,4,FALSE),"")</f>
        <v/>
      </c>
      <c r="AT1292" s="65" t="str">
        <f>IFERROR(VLOOKUP(#REF!,[1]Lookup!$B$2:$E$115,2,FALSE),"")</f>
        <v/>
      </c>
      <c r="AU1292" s="65" t="str">
        <f>IFERROR(VLOOKUP(#REF!,[1]Lookup!$B$2:$E$115,3,FALSE),"")</f>
        <v/>
      </c>
    </row>
    <row r="1293" spans="31:47" x14ac:dyDescent="0.3">
      <c r="AE1293" s="204" t="s">
        <v>398</v>
      </c>
      <c r="AF1293" s="204" t="s">
        <v>398</v>
      </c>
      <c r="AG1293" s="204" t="s">
        <v>398</v>
      </c>
      <c r="AS1293" s="65" t="str">
        <f>IFERROR(VLOOKUP(#REF!,[1]Lookup!$B$2:$E$115,4,FALSE),"")</f>
        <v/>
      </c>
      <c r="AT1293" s="65" t="str">
        <f>IFERROR(VLOOKUP(#REF!,[1]Lookup!$B$2:$E$115,2,FALSE),"")</f>
        <v/>
      </c>
      <c r="AU1293" s="65" t="str">
        <f>IFERROR(VLOOKUP(#REF!,[1]Lookup!$B$2:$E$115,3,FALSE),"")</f>
        <v/>
      </c>
    </row>
    <row r="1294" spans="31:47" x14ac:dyDescent="0.3">
      <c r="AE1294" s="204" t="s">
        <v>398</v>
      </c>
      <c r="AF1294" s="204" t="s">
        <v>398</v>
      </c>
      <c r="AG1294" s="204" t="s">
        <v>398</v>
      </c>
      <c r="AS1294" s="65" t="str">
        <f>IFERROR(VLOOKUP(#REF!,[1]Lookup!$B$2:$E$115,4,FALSE),"")</f>
        <v/>
      </c>
      <c r="AT1294" s="65" t="str">
        <f>IFERROR(VLOOKUP(#REF!,[1]Lookup!$B$2:$E$115,2,FALSE),"")</f>
        <v/>
      </c>
      <c r="AU1294" s="65" t="str">
        <f>IFERROR(VLOOKUP(#REF!,[1]Lookup!$B$2:$E$115,3,FALSE),"")</f>
        <v/>
      </c>
    </row>
    <row r="1295" spans="31:47" x14ac:dyDescent="0.3">
      <c r="AE1295" s="204" t="s">
        <v>398</v>
      </c>
      <c r="AF1295" s="204" t="s">
        <v>398</v>
      </c>
      <c r="AG1295" s="204" t="s">
        <v>398</v>
      </c>
      <c r="AS1295" s="65" t="str">
        <f>IFERROR(VLOOKUP(#REF!,[1]Lookup!$B$2:$E$115,4,FALSE),"")</f>
        <v/>
      </c>
      <c r="AT1295" s="65" t="str">
        <f>IFERROR(VLOOKUP(#REF!,[1]Lookup!$B$2:$E$115,2,FALSE),"")</f>
        <v/>
      </c>
      <c r="AU1295" s="65" t="str">
        <f>IFERROR(VLOOKUP(#REF!,[1]Lookup!$B$2:$E$115,3,FALSE),"")</f>
        <v/>
      </c>
    </row>
    <row r="1296" spans="31:47" x14ac:dyDescent="0.3">
      <c r="AE1296" s="204" t="s">
        <v>398</v>
      </c>
      <c r="AF1296" s="204" t="s">
        <v>398</v>
      </c>
      <c r="AG1296" s="204" t="s">
        <v>398</v>
      </c>
      <c r="AS1296" s="65" t="str">
        <f>IFERROR(VLOOKUP(#REF!,[1]Lookup!$B$2:$E$115,4,FALSE),"")</f>
        <v/>
      </c>
      <c r="AT1296" s="65" t="str">
        <f>IFERROR(VLOOKUP(#REF!,[1]Lookup!$B$2:$E$115,2,FALSE),"")</f>
        <v/>
      </c>
      <c r="AU1296" s="65" t="str">
        <f>IFERROR(VLOOKUP(#REF!,[1]Lookup!$B$2:$E$115,3,FALSE),"")</f>
        <v/>
      </c>
    </row>
    <row r="1297" spans="31:47" x14ac:dyDescent="0.3">
      <c r="AE1297" s="204" t="s">
        <v>398</v>
      </c>
      <c r="AF1297" s="204" t="s">
        <v>398</v>
      </c>
      <c r="AG1297" s="204" t="s">
        <v>398</v>
      </c>
      <c r="AS1297" s="65" t="str">
        <f>IFERROR(VLOOKUP(#REF!,[1]Lookup!$B$2:$E$115,4,FALSE),"")</f>
        <v/>
      </c>
      <c r="AT1297" s="65" t="str">
        <f>IFERROR(VLOOKUP(#REF!,[1]Lookup!$B$2:$E$115,2,FALSE),"")</f>
        <v/>
      </c>
      <c r="AU1297" s="65" t="str">
        <f>IFERROR(VLOOKUP(#REF!,[1]Lookup!$B$2:$E$115,3,FALSE),"")</f>
        <v/>
      </c>
    </row>
    <row r="1298" spans="31:47" x14ac:dyDescent="0.3">
      <c r="AE1298" s="204" t="s">
        <v>398</v>
      </c>
      <c r="AF1298" s="204" t="s">
        <v>398</v>
      </c>
      <c r="AG1298" s="204" t="s">
        <v>398</v>
      </c>
      <c r="AS1298" s="65" t="str">
        <f>IFERROR(VLOOKUP(#REF!,[1]Lookup!$B$2:$E$115,4,FALSE),"")</f>
        <v/>
      </c>
      <c r="AT1298" s="65" t="str">
        <f>IFERROR(VLOOKUP(#REF!,[1]Lookup!$B$2:$E$115,2,FALSE),"")</f>
        <v/>
      </c>
      <c r="AU1298" s="65" t="str">
        <f>IFERROR(VLOOKUP(#REF!,[1]Lookup!$B$2:$E$115,3,FALSE),"")</f>
        <v/>
      </c>
    </row>
    <row r="1299" spans="31:47" x14ac:dyDescent="0.3">
      <c r="AE1299" s="204" t="s">
        <v>398</v>
      </c>
      <c r="AF1299" s="204" t="s">
        <v>398</v>
      </c>
      <c r="AG1299" s="204" t="s">
        <v>398</v>
      </c>
      <c r="AS1299" s="65" t="str">
        <f>IFERROR(VLOOKUP(#REF!,[1]Lookup!$B$2:$E$115,4,FALSE),"")</f>
        <v/>
      </c>
      <c r="AT1299" s="65" t="str">
        <f>IFERROR(VLOOKUP(#REF!,[1]Lookup!$B$2:$E$115,2,FALSE),"")</f>
        <v/>
      </c>
      <c r="AU1299" s="65" t="str">
        <f>IFERROR(VLOOKUP(#REF!,[1]Lookup!$B$2:$E$115,3,FALSE),"")</f>
        <v/>
      </c>
    </row>
    <row r="1300" spans="31:47" x14ac:dyDescent="0.3">
      <c r="AE1300" s="204" t="s">
        <v>398</v>
      </c>
      <c r="AF1300" s="204" t="s">
        <v>398</v>
      </c>
      <c r="AG1300" s="204" t="s">
        <v>398</v>
      </c>
      <c r="AS1300" s="65" t="str">
        <f>IFERROR(VLOOKUP(#REF!,[1]Lookup!$B$2:$E$115,4,FALSE),"")</f>
        <v/>
      </c>
      <c r="AT1300" s="65" t="str">
        <f>IFERROR(VLOOKUP(#REF!,[1]Lookup!$B$2:$E$115,2,FALSE),"")</f>
        <v/>
      </c>
      <c r="AU1300" s="65" t="str">
        <f>IFERROR(VLOOKUP(#REF!,[1]Lookup!$B$2:$E$115,3,FALSE),"")</f>
        <v/>
      </c>
    </row>
    <row r="1301" spans="31:47" x14ac:dyDescent="0.3">
      <c r="AE1301" s="204" t="s">
        <v>398</v>
      </c>
      <c r="AF1301" s="204" t="s">
        <v>398</v>
      </c>
      <c r="AG1301" s="204" t="s">
        <v>398</v>
      </c>
      <c r="AS1301" s="65" t="str">
        <f>IFERROR(VLOOKUP(#REF!,[1]Lookup!$B$2:$E$115,4,FALSE),"")</f>
        <v/>
      </c>
      <c r="AT1301" s="65" t="str">
        <f>IFERROR(VLOOKUP(#REF!,[1]Lookup!$B$2:$E$115,2,FALSE),"")</f>
        <v/>
      </c>
      <c r="AU1301" s="65" t="str">
        <f>IFERROR(VLOOKUP(#REF!,[1]Lookup!$B$2:$E$115,3,FALSE),"")</f>
        <v/>
      </c>
    </row>
    <row r="1302" spans="31:47" x14ac:dyDescent="0.3">
      <c r="AE1302" s="204" t="s">
        <v>398</v>
      </c>
      <c r="AF1302" s="204" t="s">
        <v>398</v>
      </c>
      <c r="AG1302" s="204" t="s">
        <v>398</v>
      </c>
      <c r="AS1302" s="65" t="str">
        <f>IFERROR(VLOOKUP(#REF!,[1]Lookup!$B$2:$E$115,4,FALSE),"")</f>
        <v/>
      </c>
      <c r="AT1302" s="65" t="str">
        <f>IFERROR(VLOOKUP(#REF!,[1]Lookup!$B$2:$E$115,2,FALSE),"")</f>
        <v/>
      </c>
      <c r="AU1302" s="65" t="str">
        <f>IFERROR(VLOOKUP(#REF!,[1]Lookup!$B$2:$E$115,3,FALSE),"")</f>
        <v/>
      </c>
    </row>
    <row r="1303" spans="31:47" x14ac:dyDescent="0.3">
      <c r="AE1303" s="204" t="s">
        <v>398</v>
      </c>
      <c r="AF1303" s="204" t="s">
        <v>398</v>
      </c>
      <c r="AG1303" s="204" t="s">
        <v>398</v>
      </c>
      <c r="AS1303" s="65" t="str">
        <f>IFERROR(VLOOKUP(#REF!,[1]Lookup!$B$2:$E$115,4,FALSE),"")</f>
        <v/>
      </c>
      <c r="AT1303" s="65" t="str">
        <f>IFERROR(VLOOKUP(#REF!,[1]Lookup!$B$2:$E$115,2,FALSE),"")</f>
        <v/>
      </c>
      <c r="AU1303" s="65" t="str">
        <f>IFERROR(VLOOKUP(#REF!,[1]Lookup!$B$2:$E$115,3,FALSE),"")</f>
        <v/>
      </c>
    </row>
    <row r="1304" spans="31:47" x14ac:dyDescent="0.3">
      <c r="AE1304" s="204" t="s">
        <v>398</v>
      </c>
      <c r="AF1304" s="204" t="s">
        <v>398</v>
      </c>
      <c r="AG1304" s="204" t="s">
        <v>398</v>
      </c>
      <c r="AS1304" s="65" t="str">
        <f>IFERROR(VLOOKUP(#REF!,[1]Lookup!$B$2:$E$115,4,FALSE),"")</f>
        <v/>
      </c>
      <c r="AT1304" s="65" t="str">
        <f>IFERROR(VLOOKUP(#REF!,[1]Lookup!$B$2:$E$115,2,FALSE),"")</f>
        <v/>
      </c>
      <c r="AU1304" s="65" t="str">
        <f>IFERROR(VLOOKUP(#REF!,[1]Lookup!$B$2:$E$115,3,FALSE),"")</f>
        <v/>
      </c>
    </row>
    <row r="1305" spans="31:47" x14ac:dyDescent="0.3">
      <c r="AE1305" s="204" t="s">
        <v>398</v>
      </c>
      <c r="AF1305" s="204" t="s">
        <v>398</v>
      </c>
      <c r="AG1305" s="204" t="s">
        <v>398</v>
      </c>
      <c r="AS1305" s="65" t="str">
        <f>IFERROR(VLOOKUP(#REF!,[1]Lookup!$B$2:$E$115,4,FALSE),"")</f>
        <v/>
      </c>
      <c r="AT1305" s="65" t="str">
        <f>IFERROR(VLOOKUP(#REF!,[1]Lookup!$B$2:$E$115,2,FALSE),"")</f>
        <v/>
      </c>
      <c r="AU1305" s="65" t="str">
        <f>IFERROR(VLOOKUP(#REF!,[1]Lookup!$B$2:$E$115,3,FALSE),"")</f>
        <v/>
      </c>
    </row>
    <row r="1306" spans="31:47" x14ac:dyDescent="0.3">
      <c r="AE1306" s="204" t="s">
        <v>398</v>
      </c>
      <c r="AF1306" s="204" t="s">
        <v>398</v>
      </c>
      <c r="AG1306" s="204" t="s">
        <v>398</v>
      </c>
      <c r="AS1306" s="65" t="str">
        <f>IFERROR(VLOOKUP(#REF!,[1]Lookup!$B$2:$E$115,4,FALSE),"")</f>
        <v/>
      </c>
      <c r="AT1306" s="65" t="str">
        <f>IFERROR(VLOOKUP(#REF!,[1]Lookup!$B$2:$E$115,2,FALSE),"")</f>
        <v/>
      </c>
      <c r="AU1306" s="65" t="str">
        <f>IFERROR(VLOOKUP(#REF!,[1]Lookup!$B$2:$E$115,3,FALSE),"")</f>
        <v/>
      </c>
    </row>
    <row r="1307" spans="31:47" x14ac:dyDescent="0.3">
      <c r="AE1307" s="204" t="s">
        <v>398</v>
      </c>
      <c r="AF1307" s="204" t="s">
        <v>398</v>
      </c>
      <c r="AG1307" s="204" t="s">
        <v>398</v>
      </c>
      <c r="AS1307" s="65" t="str">
        <f>IFERROR(VLOOKUP(#REF!,[1]Lookup!$B$2:$E$115,4,FALSE),"")</f>
        <v/>
      </c>
      <c r="AT1307" s="65" t="str">
        <f>IFERROR(VLOOKUP(#REF!,[1]Lookup!$B$2:$E$115,2,FALSE),"")</f>
        <v/>
      </c>
      <c r="AU1307" s="65" t="str">
        <f>IFERROR(VLOOKUP(#REF!,[1]Lookup!$B$2:$E$115,3,FALSE),"")</f>
        <v/>
      </c>
    </row>
    <row r="1308" spans="31:47" x14ac:dyDescent="0.3">
      <c r="AE1308" s="204" t="s">
        <v>398</v>
      </c>
      <c r="AF1308" s="204" t="s">
        <v>398</v>
      </c>
      <c r="AG1308" s="204" t="s">
        <v>398</v>
      </c>
      <c r="AS1308" s="65" t="str">
        <f>IFERROR(VLOOKUP(#REF!,[1]Lookup!$B$2:$E$115,4,FALSE),"")</f>
        <v/>
      </c>
      <c r="AT1308" s="65" t="str">
        <f>IFERROR(VLOOKUP(#REF!,[1]Lookup!$B$2:$E$115,2,FALSE),"")</f>
        <v/>
      </c>
      <c r="AU1308" s="65" t="str">
        <f>IFERROR(VLOOKUP(#REF!,[1]Lookup!$B$2:$E$115,3,FALSE),"")</f>
        <v/>
      </c>
    </row>
    <row r="1309" spans="31:47" x14ac:dyDescent="0.3">
      <c r="AE1309" s="204" t="s">
        <v>398</v>
      </c>
      <c r="AF1309" s="204" t="s">
        <v>398</v>
      </c>
      <c r="AG1309" s="204" t="s">
        <v>398</v>
      </c>
      <c r="AS1309" s="65" t="str">
        <f>IFERROR(VLOOKUP(#REF!,[1]Lookup!$B$2:$E$115,4,FALSE),"")</f>
        <v/>
      </c>
      <c r="AT1309" s="65" t="str">
        <f>IFERROR(VLOOKUP(#REF!,[1]Lookup!$B$2:$E$115,2,FALSE),"")</f>
        <v/>
      </c>
      <c r="AU1309" s="65" t="str">
        <f>IFERROR(VLOOKUP(#REF!,[1]Lookup!$B$2:$E$115,3,FALSE),"")</f>
        <v/>
      </c>
    </row>
    <row r="1310" spans="31:47" x14ac:dyDescent="0.3">
      <c r="AE1310" s="204" t="s">
        <v>398</v>
      </c>
      <c r="AF1310" s="204" t="s">
        <v>398</v>
      </c>
      <c r="AG1310" s="204" t="s">
        <v>398</v>
      </c>
      <c r="AS1310" s="65" t="str">
        <f>IFERROR(VLOOKUP(#REF!,[1]Lookup!$B$2:$E$115,4,FALSE),"")</f>
        <v/>
      </c>
      <c r="AT1310" s="65" t="str">
        <f>IFERROR(VLOOKUP(#REF!,[1]Lookup!$B$2:$E$115,2,FALSE),"")</f>
        <v/>
      </c>
      <c r="AU1310" s="65" t="str">
        <f>IFERROR(VLOOKUP(#REF!,[1]Lookup!$B$2:$E$115,3,FALSE),"")</f>
        <v/>
      </c>
    </row>
    <row r="1311" spans="31:47" x14ac:dyDescent="0.3">
      <c r="AE1311" s="204" t="s">
        <v>398</v>
      </c>
      <c r="AF1311" s="204" t="s">
        <v>398</v>
      </c>
      <c r="AG1311" s="204" t="s">
        <v>398</v>
      </c>
      <c r="AS1311" s="65" t="str">
        <f>IFERROR(VLOOKUP(#REF!,[1]Lookup!$B$2:$E$115,4,FALSE),"")</f>
        <v/>
      </c>
      <c r="AT1311" s="65" t="str">
        <f>IFERROR(VLOOKUP(#REF!,[1]Lookup!$B$2:$E$115,2,FALSE),"")</f>
        <v/>
      </c>
      <c r="AU1311" s="65" t="str">
        <f>IFERROR(VLOOKUP(#REF!,[1]Lookup!$B$2:$E$115,3,FALSE),"")</f>
        <v/>
      </c>
    </row>
    <row r="1312" spans="31:47" x14ac:dyDescent="0.3">
      <c r="AE1312" s="204" t="s">
        <v>398</v>
      </c>
      <c r="AF1312" s="204" t="s">
        <v>398</v>
      </c>
      <c r="AG1312" s="204" t="s">
        <v>398</v>
      </c>
      <c r="AS1312" s="65" t="str">
        <f>IFERROR(VLOOKUP(#REF!,[1]Lookup!$B$2:$E$115,4,FALSE),"")</f>
        <v/>
      </c>
      <c r="AT1312" s="65" t="str">
        <f>IFERROR(VLOOKUP(#REF!,[1]Lookup!$B$2:$E$115,2,FALSE),"")</f>
        <v/>
      </c>
      <c r="AU1312" s="65" t="str">
        <f>IFERROR(VLOOKUP(#REF!,[1]Lookup!$B$2:$E$115,3,FALSE),"")</f>
        <v/>
      </c>
    </row>
    <row r="1313" spans="31:47" x14ac:dyDescent="0.3">
      <c r="AE1313" s="204" t="s">
        <v>398</v>
      </c>
      <c r="AF1313" s="204" t="s">
        <v>398</v>
      </c>
      <c r="AG1313" s="204" t="s">
        <v>398</v>
      </c>
      <c r="AS1313" s="65" t="str">
        <f>IFERROR(VLOOKUP(#REF!,[1]Lookup!$B$2:$E$115,4,FALSE),"")</f>
        <v/>
      </c>
      <c r="AT1313" s="65" t="str">
        <f>IFERROR(VLOOKUP(#REF!,[1]Lookup!$B$2:$E$115,2,FALSE),"")</f>
        <v/>
      </c>
      <c r="AU1313" s="65" t="str">
        <f>IFERROR(VLOOKUP(#REF!,[1]Lookup!$B$2:$E$115,3,FALSE),"")</f>
        <v/>
      </c>
    </row>
    <row r="1314" spans="31:47" x14ac:dyDescent="0.3">
      <c r="AE1314" s="204" t="s">
        <v>398</v>
      </c>
      <c r="AF1314" s="204" t="s">
        <v>398</v>
      </c>
      <c r="AG1314" s="204" t="s">
        <v>398</v>
      </c>
      <c r="AS1314" s="65" t="str">
        <f>IFERROR(VLOOKUP(#REF!,[1]Lookup!$B$2:$E$115,4,FALSE),"")</f>
        <v/>
      </c>
      <c r="AT1314" s="65" t="str">
        <f>IFERROR(VLOOKUP(#REF!,[1]Lookup!$B$2:$E$115,2,FALSE),"")</f>
        <v/>
      </c>
      <c r="AU1314" s="65" t="str">
        <f>IFERROR(VLOOKUP(#REF!,[1]Lookup!$B$2:$E$115,3,FALSE),"")</f>
        <v/>
      </c>
    </row>
    <row r="1315" spans="31:47" x14ac:dyDescent="0.3">
      <c r="AE1315" s="204" t="s">
        <v>398</v>
      </c>
      <c r="AF1315" s="204" t="s">
        <v>398</v>
      </c>
      <c r="AG1315" s="204" t="s">
        <v>398</v>
      </c>
      <c r="AS1315" s="65" t="str">
        <f>IFERROR(VLOOKUP(#REF!,[1]Lookup!$B$2:$E$115,4,FALSE),"")</f>
        <v/>
      </c>
      <c r="AT1315" s="65" t="str">
        <f>IFERROR(VLOOKUP(#REF!,[1]Lookup!$B$2:$E$115,2,FALSE),"")</f>
        <v/>
      </c>
      <c r="AU1315" s="65" t="str">
        <f>IFERROR(VLOOKUP(#REF!,[1]Lookup!$B$2:$E$115,3,FALSE),"")</f>
        <v/>
      </c>
    </row>
    <row r="1316" spans="31:47" x14ac:dyDescent="0.3">
      <c r="AE1316" s="204" t="s">
        <v>398</v>
      </c>
      <c r="AF1316" s="204" t="s">
        <v>398</v>
      </c>
      <c r="AG1316" s="204" t="s">
        <v>398</v>
      </c>
      <c r="AS1316" s="65" t="str">
        <f>IFERROR(VLOOKUP(#REF!,[1]Lookup!$B$2:$E$115,4,FALSE),"")</f>
        <v/>
      </c>
      <c r="AT1316" s="65" t="str">
        <f>IFERROR(VLOOKUP(#REF!,[1]Lookup!$B$2:$E$115,2,FALSE),"")</f>
        <v/>
      </c>
      <c r="AU1316" s="65" t="str">
        <f>IFERROR(VLOOKUP(#REF!,[1]Lookup!$B$2:$E$115,3,FALSE),"")</f>
        <v/>
      </c>
    </row>
    <row r="1317" spans="31:47" x14ac:dyDescent="0.3">
      <c r="AE1317" s="204" t="s">
        <v>398</v>
      </c>
      <c r="AF1317" s="204" t="s">
        <v>398</v>
      </c>
      <c r="AG1317" s="204" t="s">
        <v>398</v>
      </c>
      <c r="AS1317" s="65" t="str">
        <f>IFERROR(VLOOKUP(#REF!,[1]Lookup!$B$2:$E$115,4,FALSE),"")</f>
        <v/>
      </c>
      <c r="AT1317" s="65" t="str">
        <f>IFERROR(VLOOKUP(#REF!,[1]Lookup!$B$2:$E$115,2,FALSE),"")</f>
        <v/>
      </c>
      <c r="AU1317" s="65" t="str">
        <f>IFERROR(VLOOKUP(#REF!,[1]Lookup!$B$2:$E$115,3,FALSE),"")</f>
        <v/>
      </c>
    </row>
    <row r="1318" spans="31:47" x14ac:dyDescent="0.3">
      <c r="AE1318" s="204" t="s">
        <v>398</v>
      </c>
      <c r="AF1318" s="204" t="s">
        <v>398</v>
      </c>
      <c r="AG1318" s="204" t="s">
        <v>398</v>
      </c>
      <c r="AS1318" s="65" t="str">
        <f>IFERROR(VLOOKUP(#REF!,[1]Lookup!$B$2:$E$115,4,FALSE),"")</f>
        <v/>
      </c>
      <c r="AT1318" s="65" t="str">
        <f>IFERROR(VLOOKUP(#REF!,[1]Lookup!$B$2:$E$115,2,FALSE),"")</f>
        <v/>
      </c>
      <c r="AU1318" s="65" t="str">
        <f>IFERROR(VLOOKUP(#REF!,[1]Lookup!$B$2:$E$115,3,FALSE),"")</f>
        <v/>
      </c>
    </row>
    <row r="1319" spans="31:47" x14ac:dyDescent="0.3">
      <c r="AE1319" s="204" t="s">
        <v>398</v>
      </c>
      <c r="AF1319" s="204" t="s">
        <v>398</v>
      </c>
      <c r="AG1319" s="204" t="s">
        <v>398</v>
      </c>
      <c r="AS1319" s="65" t="str">
        <f>IFERROR(VLOOKUP(#REF!,[1]Lookup!$B$2:$E$115,4,FALSE),"")</f>
        <v/>
      </c>
      <c r="AT1319" s="65" t="str">
        <f>IFERROR(VLOOKUP(#REF!,[1]Lookup!$B$2:$E$115,2,FALSE),"")</f>
        <v/>
      </c>
      <c r="AU1319" s="65" t="str">
        <f>IFERROR(VLOOKUP(#REF!,[1]Lookup!$B$2:$E$115,3,FALSE),"")</f>
        <v/>
      </c>
    </row>
    <row r="1320" spans="31:47" x14ac:dyDescent="0.3">
      <c r="AE1320" s="204" t="s">
        <v>398</v>
      </c>
      <c r="AF1320" s="204" t="s">
        <v>398</v>
      </c>
      <c r="AG1320" s="204" t="s">
        <v>398</v>
      </c>
      <c r="AS1320" s="65" t="str">
        <f>IFERROR(VLOOKUP(#REF!,[1]Lookup!$B$2:$E$115,4,FALSE),"")</f>
        <v/>
      </c>
      <c r="AT1320" s="65" t="str">
        <f>IFERROR(VLOOKUP(#REF!,[1]Lookup!$B$2:$E$115,2,FALSE),"")</f>
        <v/>
      </c>
      <c r="AU1320" s="65" t="str">
        <f>IFERROR(VLOOKUP(#REF!,[1]Lookup!$B$2:$E$115,3,FALSE),"")</f>
        <v/>
      </c>
    </row>
    <row r="1321" spans="31:47" x14ac:dyDescent="0.3">
      <c r="AE1321" s="204" t="s">
        <v>398</v>
      </c>
      <c r="AF1321" s="204" t="s">
        <v>398</v>
      </c>
      <c r="AG1321" s="204" t="s">
        <v>398</v>
      </c>
      <c r="AS1321" s="65" t="str">
        <f>IFERROR(VLOOKUP(#REF!,[1]Lookup!$B$2:$E$115,4,FALSE),"")</f>
        <v/>
      </c>
      <c r="AT1321" s="65" t="str">
        <f>IFERROR(VLOOKUP(#REF!,[1]Lookup!$B$2:$E$115,2,FALSE),"")</f>
        <v/>
      </c>
      <c r="AU1321" s="65" t="str">
        <f>IFERROR(VLOOKUP(#REF!,[1]Lookup!$B$2:$E$115,3,FALSE),"")</f>
        <v/>
      </c>
    </row>
    <row r="1322" spans="31:47" x14ac:dyDescent="0.3">
      <c r="AE1322" s="204" t="s">
        <v>398</v>
      </c>
      <c r="AF1322" s="204" t="s">
        <v>398</v>
      </c>
      <c r="AG1322" s="204" t="s">
        <v>398</v>
      </c>
      <c r="AS1322" s="65" t="str">
        <f>IFERROR(VLOOKUP(#REF!,[1]Lookup!$B$2:$E$115,4,FALSE),"")</f>
        <v/>
      </c>
      <c r="AT1322" s="65" t="str">
        <f>IFERROR(VLOOKUP(#REF!,[1]Lookup!$B$2:$E$115,2,FALSE),"")</f>
        <v/>
      </c>
      <c r="AU1322" s="65" t="str">
        <f>IFERROR(VLOOKUP(#REF!,[1]Lookup!$B$2:$E$115,3,FALSE),"")</f>
        <v/>
      </c>
    </row>
    <row r="1323" spans="31:47" x14ac:dyDescent="0.3">
      <c r="AE1323" s="204" t="s">
        <v>398</v>
      </c>
      <c r="AF1323" s="204" t="s">
        <v>398</v>
      </c>
      <c r="AG1323" s="204" t="s">
        <v>398</v>
      </c>
      <c r="AS1323" s="65" t="str">
        <f>IFERROR(VLOOKUP(#REF!,[1]Lookup!$B$2:$E$115,4,FALSE),"")</f>
        <v/>
      </c>
      <c r="AT1323" s="65" t="str">
        <f>IFERROR(VLOOKUP(#REF!,[1]Lookup!$B$2:$E$115,2,FALSE),"")</f>
        <v/>
      </c>
      <c r="AU1323" s="65" t="str">
        <f>IFERROR(VLOOKUP(#REF!,[1]Lookup!$B$2:$E$115,3,FALSE),"")</f>
        <v/>
      </c>
    </row>
    <row r="1324" spans="31:47" x14ac:dyDescent="0.3">
      <c r="AE1324" s="204" t="s">
        <v>398</v>
      </c>
      <c r="AF1324" s="204" t="s">
        <v>398</v>
      </c>
      <c r="AG1324" s="204" t="s">
        <v>398</v>
      </c>
      <c r="AS1324" s="65" t="str">
        <f>IFERROR(VLOOKUP(#REF!,[1]Lookup!$B$2:$E$115,4,FALSE),"")</f>
        <v/>
      </c>
      <c r="AT1324" s="65" t="str">
        <f>IFERROR(VLOOKUP(#REF!,[1]Lookup!$B$2:$E$115,2,FALSE),"")</f>
        <v/>
      </c>
      <c r="AU1324" s="65" t="str">
        <f>IFERROR(VLOOKUP(#REF!,[1]Lookup!$B$2:$E$115,3,FALSE),"")</f>
        <v/>
      </c>
    </row>
    <row r="1325" spans="31:47" x14ac:dyDescent="0.3">
      <c r="AE1325" s="204" t="s">
        <v>398</v>
      </c>
      <c r="AF1325" s="204" t="s">
        <v>398</v>
      </c>
      <c r="AG1325" s="204" t="s">
        <v>398</v>
      </c>
      <c r="AS1325" s="65" t="str">
        <f>IFERROR(VLOOKUP(#REF!,[1]Lookup!$B$2:$E$115,4,FALSE),"")</f>
        <v/>
      </c>
      <c r="AT1325" s="65" t="str">
        <f>IFERROR(VLOOKUP(#REF!,[1]Lookup!$B$2:$E$115,2,FALSE),"")</f>
        <v/>
      </c>
      <c r="AU1325" s="65" t="str">
        <f>IFERROR(VLOOKUP(#REF!,[1]Lookup!$B$2:$E$115,3,FALSE),"")</f>
        <v/>
      </c>
    </row>
    <row r="1326" spans="31:47" x14ac:dyDescent="0.3">
      <c r="AE1326" s="204" t="s">
        <v>398</v>
      </c>
      <c r="AF1326" s="204" t="s">
        <v>398</v>
      </c>
      <c r="AG1326" s="204" t="s">
        <v>398</v>
      </c>
      <c r="AS1326" s="65" t="str">
        <f>IFERROR(VLOOKUP(#REF!,[1]Lookup!$B$2:$E$115,4,FALSE),"")</f>
        <v/>
      </c>
      <c r="AT1326" s="65" t="str">
        <f>IFERROR(VLOOKUP(#REF!,[1]Lookup!$B$2:$E$115,2,FALSE),"")</f>
        <v/>
      </c>
      <c r="AU1326" s="65" t="str">
        <f>IFERROR(VLOOKUP(#REF!,[1]Lookup!$B$2:$E$115,3,FALSE),"")</f>
        <v/>
      </c>
    </row>
    <row r="1327" spans="31:47" x14ac:dyDescent="0.3">
      <c r="AE1327" s="204" t="s">
        <v>398</v>
      </c>
      <c r="AF1327" s="204" t="s">
        <v>398</v>
      </c>
      <c r="AG1327" s="204" t="s">
        <v>398</v>
      </c>
      <c r="AS1327" s="65" t="str">
        <f>IFERROR(VLOOKUP(#REF!,[1]Lookup!$B$2:$E$115,4,FALSE),"")</f>
        <v/>
      </c>
      <c r="AT1327" s="65" t="str">
        <f>IFERROR(VLOOKUP(#REF!,[1]Lookup!$B$2:$E$115,2,FALSE),"")</f>
        <v/>
      </c>
      <c r="AU1327" s="65" t="str">
        <f>IFERROR(VLOOKUP(#REF!,[1]Lookup!$B$2:$E$115,3,FALSE),"")</f>
        <v/>
      </c>
    </row>
    <row r="1328" spans="31:47" x14ac:dyDescent="0.3">
      <c r="AE1328" s="204" t="s">
        <v>398</v>
      </c>
      <c r="AF1328" s="204" t="s">
        <v>398</v>
      </c>
      <c r="AG1328" s="204" t="s">
        <v>398</v>
      </c>
      <c r="AS1328" s="65" t="str">
        <f>IFERROR(VLOOKUP(#REF!,[1]Lookup!$B$2:$E$115,4,FALSE),"")</f>
        <v/>
      </c>
      <c r="AT1328" s="65" t="str">
        <f>IFERROR(VLOOKUP(#REF!,[1]Lookup!$B$2:$E$115,2,FALSE),"")</f>
        <v/>
      </c>
      <c r="AU1328" s="65" t="str">
        <f>IFERROR(VLOOKUP(#REF!,[1]Lookup!$B$2:$E$115,3,FALSE),"")</f>
        <v/>
      </c>
    </row>
    <row r="1329" spans="31:47" x14ac:dyDescent="0.3">
      <c r="AE1329" s="204" t="s">
        <v>398</v>
      </c>
      <c r="AF1329" s="204" t="s">
        <v>398</v>
      </c>
      <c r="AG1329" s="204" t="s">
        <v>398</v>
      </c>
      <c r="AS1329" s="65" t="str">
        <f>IFERROR(VLOOKUP(#REF!,[1]Lookup!$B$2:$E$115,4,FALSE),"")</f>
        <v/>
      </c>
      <c r="AT1329" s="65" t="str">
        <f>IFERROR(VLOOKUP(#REF!,[1]Lookup!$B$2:$E$115,2,FALSE),"")</f>
        <v/>
      </c>
      <c r="AU1329" s="65" t="str">
        <f>IFERROR(VLOOKUP(#REF!,[1]Lookup!$B$2:$E$115,3,FALSE),"")</f>
        <v/>
      </c>
    </row>
    <row r="1330" spans="31:47" x14ac:dyDescent="0.3">
      <c r="AE1330" s="204" t="s">
        <v>398</v>
      </c>
      <c r="AF1330" s="204" t="s">
        <v>398</v>
      </c>
      <c r="AG1330" s="204" t="s">
        <v>398</v>
      </c>
      <c r="AS1330" s="65" t="str">
        <f>IFERROR(VLOOKUP(#REF!,[1]Lookup!$B$2:$E$115,4,FALSE),"")</f>
        <v/>
      </c>
      <c r="AT1330" s="65" t="str">
        <f>IFERROR(VLOOKUP(#REF!,[1]Lookup!$B$2:$E$115,2,FALSE),"")</f>
        <v/>
      </c>
      <c r="AU1330" s="65" t="str">
        <f>IFERROR(VLOOKUP(#REF!,[1]Lookup!$B$2:$E$115,3,FALSE),"")</f>
        <v/>
      </c>
    </row>
    <row r="1331" spans="31:47" x14ac:dyDescent="0.3">
      <c r="AE1331" s="204" t="s">
        <v>398</v>
      </c>
      <c r="AF1331" s="204" t="s">
        <v>398</v>
      </c>
      <c r="AG1331" s="204" t="s">
        <v>398</v>
      </c>
      <c r="AS1331" s="65" t="str">
        <f>IFERROR(VLOOKUP(#REF!,[1]Lookup!$B$2:$E$115,4,FALSE),"")</f>
        <v/>
      </c>
      <c r="AT1331" s="65" t="str">
        <f>IFERROR(VLOOKUP(#REF!,[1]Lookup!$B$2:$E$115,2,FALSE),"")</f>
        <v/>
      </c>
      <c r="AU1331" s="65" t="str">
        <f>IFERROR(VLOOKUP(#REF!,[1]Lookup!$B$2:$E$115,3,FALSE),"")</f>
        <v/>
      </c>
    </row>
    <row r="1332" spans="31:47" x14ac:dyDescent="0.3">
      <c r="AE1332" s="204" t="s">
        <v>398</v>
      </c>
      <c r="AF1332" s="204" t="s">
        <v>398</v>
      </c>
      <c r="AG1332" s="204" t="s">
        <v>398</v>
      </c>
      <c r="AS1332" s="65" t="str">
        <f>IFERROR(VLOOKUP(#REF!,[1]Lookup!$B$2:$E$115,4,FALSE),"")</f>
        <v/>
      </c>
      <c r="AT1332" s="65" t="str">
        <f>IFERROR(VLOOKUP(#REF!,[1]Lookup!$B$2:$E$115,2,FALSE),"")</f>
        <v/>
      </c>
      <c r="AU1332" s="65" t="str">
        <f>IFERROR(VLOOKUP(#REF!,[1]Lookup!$B$2:$E$115,3,FALSE),"")</f>
        <v/>
      </c>
    </row>
    <row r="1333" spans="31:47" x14ac:dyDescent="0.3">
      <c r="AE1333" s="204" t="s">
        <v>398</v>
      </c>
      <c r="AF1333" s="204" t="s">
        <v>398</v>
      </c>
      <c r="AG1333" s="204" t="s">
        <v>398</v>
      </c>
      <c r="AS1333" s="65" t="str">
        <f>IFERROR(VLOOKUP(#REF!,[1]Lookup!$B$2:$E$115,4,FALSE),"")</f>
        <v/>
      </c>
      <c r="AT1333" s="65" t="str">
        <f>IFERROR(VLOOKUP(#REF!,[1]Lookup!$B$2:$E$115,2,FALSE),"")</f>
        <v/>
      </c>
      <c r="AU1333" s="65" t="str">
        <f>IFERROR(VLOOKUP(#REF!,[1]Lookup!$B$2:$E$115,3,FALSE),"")</f>
        <v/>
      </c>
    </row>
    <row r="1334" spans="31:47" x14ac:dyDescent="0.3">
      <c r="AE1334" s="204" t="s">
        <v>398</v>
      </c>
      <c r="AF1334" s="204" t="s">
        <v>398</v>
      </c>
      <c r="AG1334" s="204" t="s">
        <v>398</v>
      </c>
      <c r="AS1334" s="65" t="str">
        <f>IFERROR(VLOOKUP(#REF!,[1]Lookup!$B$2:$E$115,4,FALSE),"")</f>
        <v/>
      </c>
      <c r="AT1334" s="65" t="str">
        <f>IFERROR(VLOOKUP(#REF!,[1]Lookup!$B$2:$E$115,2,FALSE),"")</f>
        <v/>
      </c>
      <c r="AU1334" s="65" t="str">
        <f>IFERROR(VLOOKUP(#REF!,[1]Lookup!$B$2:$E$115,3,FALSE),"")</f>
        <v/>
      </c>
    </row>
    <row r="1335" spans="31:47" x14ac:dyDescent="0.3">
      <c r="AE1335" s="204" t="s">
        <v>398</v>
      </c>
      <c r="AF1335" s="204" t="s">
        <v>398</v>
      </c>
      <c r="AG1335" s="204" t="s">
        <v>398</v>
      </c>
      <c r="AS1335" s="65" t="str">
        <f>IFERROR(VLOOKUP(#REF!,[1]Lookup!$B$2:$E$115,4,FALSE),"")</f>
        <v/>
      </c>
      <c r="AT1335" s="65" t="str">
        <f>IFERROR(VLOOKUP(#REF!,[1]Lookup!$B$2:$E$115,2,FALSE),"")</f>
        <v/>
      </c>
      <c r="AU1335" s="65" t="str">
        <f>IFERROR(VLOOKUP(#REF!,[1]Lookup!$B$2:$E$115,3,FALSE),"")</f>
        <v/>
      </c>
    </row>
    <row r="1336" spans="31:47" x14ac:dyDescent="0.3">
      <c r="AE1336" s="204" t="s">
        <v>398</v>
      </c>
      <c r="AF1336" s="204" t="s">
        <v>398</v>
      </c>
      <c r="AG1336" s="204" t="s">
        <v>398</v>
      </c>
      <c r="AS1336" s="65" t="str">
        <f>IFERROR(VLOOKUP(#REF!,[1]Lookup!$B$2:$E$115,4,FALSE),"")</f>
        <v/>
      </c>
      <c r="AT1336" s="65" t="str">
        <f>IFERROR(VLOOKUP(#REF!,[1]Lookup!$B$2:$E$115,2,FALSE),"")</f>
        <v/>
      </c>
      <c r="AU1336" s="65" t="str">
        <f>IFERROR(VLOOKUP(#REF!,[1]Lookup!$B$2:$E$115,3,FALSE),"")</f>
        <v/>
      </c>
    </row>
    <row r="1337" spans="31:47" x14ac:dyDescent="0.3">
      <c r="AE1337" s="204" t="s">
        <v>398</v>
      </c>
      <c r="AF1337" s="204" t="s">
        <v>398</v>
      </c>
      <c r="AG1337" s="204" t="s">
        <v>398</v>
      </c>
      <c r="AS1337" s="65" t="str">
        <f>IFERROR(VLOOKUP(#REF!,[1]Lookup!$B$2:$E$115,4,FALSE),"")</f>
        <v/>
      </c>
      <c r="AT1337" s="65" t="str">
        <f>IFERROR(VLOOKUP(#REF!,[1]Lookup!$B$2:$E$115,2,FALSE),"")</f>
        <v/>
      </c>
      <c r="AU1337" s="65" t="str">
        <f>IFERROR(VLOOKUP(#REF!,[1]Lookup!$B$2:$E$115,3,FALSE),"")</f>
        <v/>
      </c>
    </row>
    <row r="1338" spans="31:47" x14ac:dyDescent="0.3">
      <c r="AE1338" s="204" t="s">
        <v>398</v>
      </c>
      <c r="AF1338" s="204" t="s">
        <v>398</v>
      </c>
      <c r="AG1338" s="204" t="s">
        <v>398</v>
      </c>
      <c r="AS1338" s="65" t="str">
        <f>IFERROR(VLOOKUP(#REF!,[1]Lookup!$B$2:$E$115,4,FALSE),"")</f>
        <v/>
      </c>
      <c r="AT1338" s="65" t="str">
        <f>IFERROR(VLOOKUP(#REF!,[1]Lookup!$B$2:$E$115,2,FALSE),"")</f>
        <v/>
      </c>
      <c r="AU1338" s="65" t="str">
        <f>IFERROR(VLOOKUP(#REF!,[1]Lookup!$B$2:$E$115,3,FALSE),"")</f>
        <v/>
      </c>
    </row>
    <row r="1339" spans="31:47" x14ac:dyDescent="0.3">
      <c r="AE1339" s="204" t="s">
        <v>398</v>
      </c>
      <c r="AF1339" s="204" t="s">
        <v>398</v>
      </c>
      <c r="AG1339" s="204" t="s">
        <v>398</v>
      </c>
      <c r="AS1339" s="65" t="str">
        <f>IFERROR(VLOOKUP(#REF!,[1]Lookup!$B$2:$E$115,4,FALSE),"")</f>
        <v/>
      </c>
      <c r="AT1339" s="65" t="str">
        <f>IFERROR(VLOOKUP(#REF!,[1]Lookup!$B$2:$E$115,2,FALSE),"")</f>
        <v/>
      </c>
      <c r="AU1339" s="65" t="str">
        <f>IFERROR(VLOOKUP(#REF!,[1]Lookup!$B$2:$E$115,3,FALSE),"")</f>
        <v/>
      </c>
    </row>
    <row r="1340" spans="31:47" x14ac:dyDescent="0.3">
      <c r="AE1340" s="204" t="s">
        <v>398</v>
      </c>
      <c r="AF1340" s="204" t="s">
        <v>398</v>
      </c>
      <c r="AG1340" s="204" t="s">
        <v>398</v>
      </c>
      <c r="AS1340" s="65" t="str">
        <f>IFERROR(VLOOKUP(#REF!,[1]Lookup!$B$2:$E$115,4,FALSE),"")</f>
        <v/>
      </c>
      <c r="AT1340" s="65" t="str">
        <f>IFERROR(VLOOKUP(#REF!,[1]Lookup!$B$2:$E$115,2,FALSE),"")</f>
        <v/>
      </c>
      <c r="AU1340" s="65" t="str">
        <f>IFERROR(VLOOKUP(#REF!,[1]Lookup!$B$2:$E$115,3,FALSE),"")</f>
        <v/>
      </c>
    </row>
    <row r="1341" spans="31:47" x14ac:dyDescent="0.3">
      <c r="AE1341" s="204" t="s">
        <v>398</v>
      </c>
      <c r="AF1341" s="204" t="s">
        <v>398</v>
      </c>
      <c r="AG1341" s="204" t="s">
        <v>398</v>
      </c>
      <c r="AS1341" s="65" t="str">
        <f>IFERROR(VLOOKUP(#REF!,[1]Lookup!$B$2:$E$115,4,FALSE),"")</f>
        <v/>
      </c>
      <c r="AT1341" s="65" t="str">
        <f>IFERROR(VLOOKUP(#REF!,[1]Lookup!$B$2:$E$115,2,FALSE),"")</f>
        <v/>
      </c>
      <c r="AU1341" s="65" t="str">
        <f>IFERROR(VLOOKUP(#REF!,[1]Lookup!$B$2:$E$115,3,FALSE),"")</f>
        <v/>
      </c>
    </row>
    <row r="1342" spans="31:47" x14ac:dyDescent="0.3">
      <c r="AE1342" s="204" t="s">
        <v>398</v>
      </c>
      <c r="AF1342" s="204" t="s">
        <v>398</v>
      </c>
      <c r="AG1342" s="204" t="s">
        <v>398</v>
      </c>
      <c r="AS1342" s="65" t="str">
        <f>IFERROR(VLOOKUP(#REF!,[1]Lookup!$B$2:$E$115,4,FALSE),"")</f>
        <v/>
      </c>
      <c r="AT1342" s="65" t="str">
        <f>IFERROR(VLOOKUP(#REF!,[1]Lookup!$B$2:$E$115,2,FALSE),"")</f>
        <v/>
      </c>
      <c r="AU1342" s="65" t="str">
        <f>IFERROR(VLOOKUP(#REF!,[1]Lookup!$B$2:$E$115,3,FALSE),"")</f>
        <v/>
      </c>
    </row>
    <row r="1343" spans="31:47" x14ac:dyDescent="0.3">
      <c r="AE1343" s="204" t="s">
        <v>398</v>
      </c>
      <c r="AF1343" s="204" t="s">
        <v>398</v>
      </c>
      <c r="AG1343" s="204" t="s">
        <v>398</v>
      </c>
      <c r="AS1343" s="65" t="str">
        <f>IFERROR(VLOOKUP(#REF!,[1]Lookup!$B$2:$E$115,4,FALSE),"")</f>
        <v/>
      </c>
      <c r="AT1343" s="65" t="str">
        <f>IFERROR(VLOOKUP(#REF!,[1]Lookup!$B$2:$E$115,2,FALSE),"")</f>
        <v/>
      </c>
      <c r="AU1343" s="65" t="str">
        <f>IFERROR(VLOOKUP(#REF!,[1]Lookup!$B$2:$E$115,3,FALSE),"")</f>
        <v/>
      </c>
    </row>
    <row r="1344" spans="31:47" x14ac:dyDescent="0.3">
      <c r="AE1344" s="204" t="s">
        <v>398</v>
      </c>
      <c r="AF1344" s="204" t="s">
        <v>398</v>
      </c>
      <c r="AG1344" s="204" t="s">
        <v>398</v>
      </c>
      <c r="AS1344" s="65" t="str">
        <f>IFERROR(VLOOKUP(#REF!,[1]Lookup!$B$2:$E$115,4,FALSE),"")</f>
        <v/>
      </c>
      <c r="AT1344" s="65" t="str">
        <f>IFERROR(VLOOKUP(#REF!,[1]Lookup!$B$2:$E$115,2,FALSE),"")</f>
        <v/>
      </c>
      <c r="AU1344" s="65" t="str">
        <f>IFERROR(VLOOKUP(#REF!,[1]Lookup!$B$2:$E$115,3,FALSE),"")</f>
        <v/>
      </c>
    </row>
    <row r="1345" spans="31:47" x14ac:dyDescent="0.3">
      <c r="AE1345" s="204" t="s">
        <v>398</v>
      </c>
      <c r="AF1345" s="204" t="s">
        <v>398</v>
      </c>
      <c r="AG1345" s="204" t="s">
        <v>398</v>
      </c>
      <c r="AS1345" s="65" t="str">
        <f>IFERROR(VLOOKUP(#REF!,[1]Lookup!$B$2:$E$115,4,FALSE),"")</f>
        <v/>
      </c>
      <c r="AT1345" s="65" t="str">
        <f>IFERROR(VLOOKUP(#REF!,[1]Lookup!$B$2:$E$115,2,FALSE),"")</f>
        <v/>
      </c>
      <c r="AU1345" s="65" t="str">
        <f>IFERROR(VLOOKUP(#REF!,[1]Lookup!$B$2:$E$115,3,FALSE),"")</f>
        <v/>
      </c>
    </row>
    <row r="1346" spans="31:47" x14ac:dyDescent="0.3">
      <c r="AE1346" s="204" t="s">
        <v>398</v>
      </c>
      <c r="AF1346" s="204" t="s">
        <v>398</v>
      </c>
      <c r="AG1346" s="204" t="s">
        <v>398</v>
      </c>
      <c r="AS1346" s="65" t="str">
        <f>IFERROR(VLOOKUP(#REF!,[1]Lookup!$B$2:$E$115,4,FALSE),"")</f>
        <v/>
      </c>
      <c r="AT1346" s="65" t="str">
        <f>IFERROR(VLOOKUP(#REF!,[1]Lookup!$B$2:$E$115,2,FALSE),"")</f>
        <v/>
      </c>
      <c r="AU1346" s="65" t="str">
        <f>IFERROR(VLOOKUP(#REF!,[1]Lookup!$B$2:$E$115,3,FALSE),"")</f>
        <v/>
      </c>
    </row>
    <row r="1347" spans="31:47" x14ac:dyDescent="0.3">
      <c r="AE1347" s="204" t="s">
        <v>398</v>
      </c>
      <c r="AF1347" s="204" t="s">
        <v>398</v>
      </c>
      <c r="AG1347" s="204" t="s">
        <v>398</v>
      </c>
      <c r="AS1347" s="65" t="str">
        <f>IFERROR(VLOOKUP(#REF!,[1]Lookup!$B$2:$E$115,4,FALSE),"")</f>
        <v/>
      </c>
      <c r="AT1347" s="65" t="str">
        <f>IFERROR(VLOOKUP(#REF!,[1]Lookup!$B$2:$E$115,2,FALSE),"")</f>
        <v/>
      </c>
      <c r="AU1347" s="65" t="str">
        <f>IFERROR(VLOOKUP(#REF!,[1]Lookup!$B$2:$E$115,3,FALSE),"")</f>
        <v/>
      </c>
    </row>
    <row r="1348" spans="31:47" x14ac:dyDescent="0.3">
      <c r="AE1348" s="204" t="s">
        <v>398</v>
      </c>
      <c r="AF1348" s="204" t="s">
        <v>398</v>
      </c>
      <c r="AG1348" s="204" t="s">
        <v>398</v>
      </c>
      <c r="AS1348" s="65" t="str">
        <f>IFERROR(VLOOKUP(#REF!,[1]Lookup!$B$2:$E$115,4,FALSE),"")</f>
        <v/>
      </c>
      <c r="AT1348" s="65" t="str">
        <f>IFERROR(VLOOKUP(#REF!,[1]Lookup!$B$2:$E$115,2,FALSE),"")</f>
        <v/>
      </c>
      <c r="AU1348" s="65" t="str">
        <f>IFERROR(VLOOKUP(#REF!,[1]Lookup!$B$2:$E$115,3,FALSE),"")</f>
        <v/>
      </c>
    </row>
    <row r="1349" spans="31:47" x14ac:dyDescent="0.3">
      <c r="AE1349" s="204" t="s">
        <v>398</v>
      </c>
      <c r="AF1349" s="204" t="s">
        <v>398</v>
      </c>
      <c r="AG1349" s="204" t="s">
        <v>398</v>
      </c>
      <c r="AS1349" s="65" t="str">
        <f>IFERROR(VLOOKUP(#REF!,[1]Lookup!$B$2:$E$115,4,FALSE),"")</f>
        <v/>
      </c>
      <c r="AT1349" s="65" t="str">
        <f>IFERROR(VLOOKUP(#REF!,[1]Lookup!$B$2:$E$115,2,FALSE),"")</f>
        <v/>
      </c>
      <c r="AU1349" s="65" t="str">
        <f>IFERROR(VLOOKUP(#REF!,[1]Lookup!$B$2:$E$115,3,FALSE),"")</f>
        <v/>
      </c>
    </row>
    <row r="1350" spans="31:47" x14ac:dyDescent="0.3">
      <c r="AE1350" s="204" t="s">
        <v>398</v>
      </c>
      <c r="AF1350" s="204" t="s">
        <v>398</v>
      </c>
      <c r="AG1350" s="204" t="s">
        <v>398</v>
      </c>
      <c r="AS1350" s="65" t="str">
        <f>IFERROR(VLOOKUP(#REF!,[1]Lookup!$B$2:$E$115,4,FALSE),"")</f>
        <v/>
      </c>
      <c r="AT1350" s="65" t="str">
        <f>IFERROR(VLOOKUP(#REF!,[1]Lookup!$B$2:$E$115,2,FALSE),"")</f>
        <v/>
      </c>
      <c r="AU1350" s="65" t="str">
        <f>IFERROR(VLOOKUP(#REF!,[1]Lookup!$B$2:$E$115,3,FALSE),"")</f>
        <v/>
      </c>
    </row>
    <row r="1351" spans="31:47" x14ac:dyDescent="0.3">
      <c r="AE1351" s="204" t="s">
        <v>398</v>
      </c>
      <c r="AF1351" s="204" t="s">
        <v>398</v>
      </c>
      <c r="AG1351" s="204" t="s">
        <v>398</v>
      </c>
      <c r="AS1351" s="65" t="str">
        <f>IFERROR(VLOOKUP(#REF!,[1]Lookup!$B$2:$E$115,4,FALSE),"")</f>
        <v/>
      </c>
      <c r="AT1351" s="65" t="str">
        <f>IFERROR(VLOOKUP(#REF!,[1]Lookup!$B$2:$E$115,2,FALSE),"")</f>
        <v/>
      </c>
      <c r="AU1351" s="65" t="str">
        <f>IFERROR(VLOOKUP(#REF!,[1]Lookup!$B$2:$E$115,3,FALSE),"")</f>
        <v/>
      </c>
    </row>
    <row r="1352" spans="31:47" x14ac:dyDescent="0.3">
      <c r="AE1352" s="204" t="s">
        <v>398</v>
      </c>
      <c r="AF1352" s="204" t="s">
        <v>398</v>
      </c>
      <c r="AG1352" s="204" t="s">
        <v>398</v>
      </c>
      <c r="AS1352" s="65" t="str">
        <f>IFERROR(VLOOKUP(#REF!,[1]Lookup!$B$2:$E$115,4,FALSE),"")</f>
        <v/>
      </c>
      <c r="AT1352" s="65" t="str">
        <f>IFERROR(VLOOKUP(#REF!,[1]Lookup!$B$2:$E$115,2,FALSE),"")</f>
        <v/>
      </c>
      <c r="AU1352" s="65" t="str">
        <f>IFERROR(VLOOKUP(#REF!,[1]Lookup!$B$2:$E$115,3,FALSE),"")</f>
        <v/>
      </c>
    </row>
    <row r="1353" spans="31:47" x14ac:dyDescent="0.3">
      <c r="AE1353" s="204" t="s">
        <v>398</v>
      </c>
      <c r="AF1353" s="204" t="s">
        <v>398</v>
      </c>
      <c r="AG1353" s="204" t="s">
        <v>398</v>
      </c>
      <c r="AS1353" s="65" t="str">
        <f>IFERROR(VLOOKUP(#REF!,[1]Lookup!$B$2:$E$115,4,FALSE),"")</f>
        <v/>
      </c>
      <c r="AT1353" s="65" t="str">
        <f>IFERROR(VLOOKUP(#REF!,[1]Lookup!$B$2:$E$115,2,FALSE),"")</f>
        <v/>
      </c>
      <c r="AU1353" s="65" t="str">
        <f>IFERROR(VLOOKUP(#REF!,[1]Lookup!$B$2:$E$115,3,FALSE),"")</f>
        <v/>
      </c>
    </row>
    <row r="1354" spans="31:47" x14ac:dyDescent="0.3">
      <c r="AE1354" s="204" t="s">
        <v>398</v>
      </c>
      <c r="AF1354" s="204" t="s">
        <v>398</v>
      </c>
      <c r="AG1354" s="204" t="s">
        <v>398</v>
      </c>
      <c r="AS1354" s="65" t="str">
        <f>IFERROR(VLOOKUP(#REF!,[1]Lookup!$B$2:$E$115,4,FALSE),"")</f>
        <v/>
      </c>
      <c r="AT1354" s="65" t="str">
        <f>IFERROR(VLOOKUP(#REF!,[1]Lookup!$B$2:$E$115,2,FALSE),"")</f>
        <v/>
      </c>
      <c r="AU1354" s="65" t="str">
        <f>IFERROR(VLOOKUP(#REF!,[1]Lookup!$B$2:$E$115,3,FALSE),"")</f>
        <v/>
      </c>
    </row>
    <row r="1355" spans="31:47" x14ac:dyDescent="0.3">
      <c r="AE1355" s="204" t="s">
        <v>398</v>
      </c>
      <c r="AF1355" s="204" t="s">
        <v>398</v>
      </c>
      <c r="AG1355" s="204" t="s">
        <v>398</v>
      </c>
      <c r="AS1355" s="65" t="str">
        <f>IFERROR(VLOOKUP(#REF!,[1]Lookup!$B$2:$E$115,4,FALSE),"")</f>
        <v/>
      </c>
      <c r="AT1355" s="65" t="str">
        <f>IFERROR(VLOOKUP(#REF!,[1]Lookup!$B$2:$E$115,2,FALSE),"")</f>
        <v/>
      </c>
      <c r="AU1355" s="65" t="str">
        <f>IFERROR(VLOOKUP(#REF!,[1]Lookup!$B$2:$E$115,3,FALSE),"")</f>
        <v/>
      </c>
    </row>
    <row r="1356" spans="31:47" x14ac:dyDescent="0.3">
      <c r="AE1356" s="204" t="s">
        <v>398</v>
      </c>
      <c r="AF1356" s="204" t="s">
        <v>398</v>
      </c>
      <c r="AG1356" s="204" t="s">
        <v>398</v>
      </c>
      <c r="AS1356" s="65" t="str">
        <f>IFERROR(VLOOKUP(#REF!,[1]Lookup!$B$2:$E$115,4,FALSE),"")</f>
        <v/>
      </c>
      <c r="AT1356" s="65" t="str">
        <f>IFERROR(VLOOKUP(#REF!,[1]Lookup!$B$2:$E$115,2,FALSE),"")</f>
        <v/>
      </c>
      <c r="AU1356" s="65" t="str">
        <f>IFERROR(VLOOKUP(#REF!,[1]Lookup!$B$2:$E$115,3,FALSE),"")</f>
        <v/>
      </c>
    </row>
    <row r="1357" spans="31:47" x14ac:dyDescent="0.3">
      <c r="AE1357" s="204" t="s">
        <v>398</v>
      </c>
      <c r="AF1357" s="204" t="s">
        <v>398</v>
      </c>
      <c r="AG1357" s="204" t="s">
        <v>398</v>
      </c>
      <c r="AS1357" s="65" t="str">
        <f>IFERROR(VLOOKUP(#REF!,[1]Lookup!$B$2:$E$115,4,FALSE),"")</f>
        <v/>
      </c>
      <c r="AT1357" s="65" t="str">
        <f>IFERROR(VLOOKUP(#REF!,[1]Lookup!$B$2:$E$115,2,FALSE),"")</f>
        <v/>
      </c>
      <c r="AU1357" s="65" t="str">
        <f>IFERROR(VLOOKUP(#REF!,[1]Lookup!$B$2:$E$115,3,FALSE),"")</f>
        <v/>
      </c>
    </row>
    <row r="1358" spans="31:47" x14ac:dyDescent="0.3">
      <c r="AE1358" s="204" t="s">
        <v>398</v>
      </c>
      <c r="AF1358" s="204" t="s">
        <v>398</v>
      </c>
      <c r="AG1358" s="204" t="s">
        <v>398</v>
      </c>
      <c r="AS1358" s="65" t="str">
        <f>IFERROR(VLOOKUP(#REF!,[1]Lookup!$B$2:$E$115,4,FALSE),"")</f>
        <v/>
      </c>
      <c r="AT1358" s="65" t="str">
        <f>IFERROR(VLOOKUP(#REF!,[1]Lookup!$B$2:$E$115,2,FALSE),"")</f>
        <v/>
      </c>
      <c r="AU1358" s="65" t="str">
        <f>IFERROR(VLOOKUP(#REF!,[1]Lookup!$B$2:$E$115,3,FALSE),"")</f>
        <v/>
      </c>
    </row>
    <row r="1359" spans="31:47" x14ac:dyDescent="0.3">
      <c r="AE1359" s="204" t="s">
        <v>398</v>
      </c>
      <c r="AF1359" s="204" t="s">
        <v>398</v>
      </c>
      <c r="AG1359" s="204" t="s">
        <v>398</v>
      </c>
      <c r="AS1359" s="65" t="str">
        <f>IFERROR(VLOOKUP(#REF!,[1]Lookup!$B$2:$E$115,4,FALSE),"")</f>
        <v/>
      </c>
      <c r="AT1359" s="65" t="str">
        <f>IFERROR(VLOOKUP(#REF!,[1]Lookup!$B$2:$E$115,2,FALSE),"")</f>
        <v/>
      </c>
      <c r="AU1359" s="65" t="str">
        <f>IFERROR(VLOOKUP(#REF!,[1]Lookup!$B$2:$E$115,3,FALSE),"")</f>
        <v/>
      </c>
    </row>
    <row r="1360" spans="31:47" x14ac:dyDescent="0.3">
      <c r="AE1360" s="204" t="s">
        <v>398</v>
      </c>
      <c r="AF1360" s="204" t="s">
        <v>398</v>
      </c>
      <c r="AG1360" s="204" t="s">
        <v>398</v>
      </c>
      <c r="AS1360" s="65" t="str">
        <f>IFERROR(VLOOKUP(#REF!,[1]Lookup!$B$2:$E$115,4,FALSE),"")</f>
        <v/>
      </c>
      <c r="AT1360" s="65" t="str">
        <f>IFERROR(VLOOKUP(#REF!,[1]Lookup!$B$2:$E$115,2,FALSE),"")</f>
        <v/>
      </c>
      <c r="AU1360" s="65" t="str">
        <f>IFERROR(VLOOKUP(#REF!,[1]Lookup!$B$2:$E$115,3,FALSE),"")</f>
        <v/>
      </c>
    </row>
    <row r="1361" spans="31:47" x14ac:dyDescent="0.3">
      <c r="AE1361" s="204" t="s">
        <v>398</v>
      </c>
      <c r="AF1361" s="204" t="s">
        <v>398</v>
      </c>
      <c r="AG1361" s="204" t="s">
        <v>398</v>
      </c>
      <c r="AS1361" s="65" t="str">
        <f>IFERROR(VLOOKUP(#REF!,[1]Lookup!$B$2:$E$115,4,FALSE),"")</f>
        <v/>
      </c>
      <c r="AT1361" s="65" t="str">
        <f>IFERROR(VLOOKUP(#REF!,[1]Lookup!$B$2:$E$115,2,FALSE),"")</f>
        <v/>
      </c>
      <c r="AU1361" s="65" t="str">
        <f>IFERROR(VLOOKUP(#REF!,[1]Lookup!$B$2:$E$115,3,FALSE),"")</f>
        <v/>
      </c>
    </row>
    <row r="1362" spans="31:47" x14ac:dyDescent="0.3">
      <c r="AE1362" s="204" t="s">
        <v>398</v>
      </c>
      <c r="AF1362" s="204" t="s">
        <v>398</v>
      </c>
      <c r="AG1362" s="204" t="s">
        <v>398</v>
      </c>
      <c r="AS1362" s="65" t="str">
        <f>IFERROR(VLOOKUP(#REF!,[1]Lookup!$B$2:$E$115,4,FALSE),"")</f>
        <v/>
      </c>
      <c r="AT1362" s="65" t="str">
        <f>IFERROR(VLOOKUP(#REF!,[1]Lookup!$B$2:$E$115,2,FALSE),"")</f>
        <v/>
      </c>
      <c r="AU1362" s="65" t="str">
        <f>IFERROR(VLOOKUP(#REF!,[1]Lookup!$B$2:$E$115,3,FALSE),"")</f>
        <v/>
      </c>
    </row>
    <row r="1363" spans="31:47" x14ac:dyDescent="0.3">
      <c r="AE1363" s="204" t="s">
        <v>398</v>
      </c>
      <c r="AF1363" s="204" t="s">
        <v>398</v>
      </c>
      <c r="AG1363" s="204" t="s">
        <v>398</v>
      </c>
      <c r="AS1363" s="65" t="str">
        <f>IFERROR(VLOOKUP(#REF!,[1]Lookup!$B$2:$E$115,4,FALSE),"")</f>
        <v/>
      </c>
      <c r="AT1363" s="65" t="str">
        <f>IFERROR(VLOOKUP(#REF!,[1]Lookup!$B$2:$E$115,2,FALSE),"")</f>
        <v/>
      </c>
      <c r="AU1363" s="65" t="str">
        <f>IFERROR(VLOOKUP(#REF!,[1]Lookup!$B$2:$E$115,3,FALSE),"")</f>
        <v/>
      </c>
    </row>
    <row r="1364" spans="31:47" x14ac:dyDescent="0.3">
      <c r="AE1364" s="204" t="s">
        <v>398</v>
      </c>
      <c r="AF1364" s="204" t="s">
        <v>398</v>
      </c>
      <c r="AG1364" s="204" t="s">
        <v>398</v>
      </c>
      <c r="AS1364" s="65" t="str">
        <f>IFERROR(VLOOKUP(#REF!,[1]Lookup!$B$2:$E$115,4,FALSE),"")</f>
        <v/>
      </c>
      <c r="AT1364" s="65" t="str">
        <f>IFERROR(VLOOKUP(#REF!,[1]Lookup!$B$2:$E$115,2,FALSE),"")</f>
        <v/>
      </c>
      <c r="AU1364" s="65" t="str">
        <f>IFERROR(VLOOKUP(#REF!,[1]Lookup!$B$2:$E$115,3,FALSE),"")</f>
        <v/>
      </c>
    </row>
    <row r="1365" spans="31:47" x14ac:dyDescent="0.3">
      <c r="AE1365" s="204" t="s">
        <v>398</v>
      </c>
      <c r="AF1365" s="204" t="s">
        <v>398</v>
      </c>
      <c r="AG1365" s="204" t="s">
        <v>398</v>
      </c>
      <c r="AS1365" s="65" t="str">
        <f>IFERROR(VLOOKUP(#REF!,[1]Lookup!$B$2:$E$115,4,FALSE),"")</f>
        <v/>
      </c>
      <c r="AT1365" s="65" t="str">
        <f>IFERROR(VLOOKUP(#REF!,[1]Lookup!$B$2:$E$115,2,FALSE),"")</f>
        <v/>
      </c>
      <c r="AU1365" s="65" t="str">
        <f>IFERROR(VLOOKUP(#REF!,[1]Lookup!$B$2:$E$115,3,FALSE),"")</f>
        <v/>
      </c>
    </row>
    <row r="1366" spans="31:47" x14ac:dyDescent="0.3">
      <c r="AE1366" s="204" t="s">
        <v>398</v>
      </c>
      <c r="AF1366" s="204" t="s">
        <v>398</v>
      </c>
      <c r="AG1366" s="204" t="s">
        <v>398</v>
      </c>
      <c r="AS1366" s="65" t="str">
        <f>IFERROR(VLOOKUP(#REF!,[1]Lookup!$B$2:$E$115,4,FALSE),"")</f>
        <v/>
      </c>
      <c r="AT1366" s="65" t="str">
        <f>IFERROR(VLOOKUP(#REF!,[1]Lookup!$B$2:$E$115,2,FALSE),"")</f>
        <v/>
      </c>
      <c r="AU1366" s="65" t="str">
        <f>IFERROR(VLOOKUP(#REF!,[1]Lookup!$B$2:$E$115,3,FALSE),"")</f>
        <v/>
      </c>
    </row>
    <row r="1367" spans="31:47" x14ac:dyDescent="0.3">
      <c r="AE1367" s="204" t="s">
        <v>398</v>
      </c>
      <c r="AF1367" s="204" t="s">
        <v>398</v>
      </c>
      <c r="AG1367" s="204" t="s">
        <v>398</v>
      </c>
      <c r="AS1367" s="65" t="str">
        <f>IFERROR(VLOOKUP(#REF!,[1]Lookup!$B$2:$E$115,4,FALSE),"")</f>
        <v/>
      </c>
      <c r="AT1367" s="65" t="str">
        <f>IFERROR(VLOOKUP(#REF!,[1]Lookup!$B$2:$E$115,2,FALSE),"")</f>
        <v/>
      </c>
      <c r="AU1367" s="65" t="str">
        <f>IFERROR(VLOOKUP(#REF!,[1]Lookup!$B$2:$E$115,3,FALSE),"")</f>
        <v/>
      </c>
    </row>
    <row r="1368" spans="31:47" x14ac:dyDescent="0.3">
      <c r="AE1368" s="204" t="s">
        <v>398</v>
      </c>
      <c r="AF1368" s="204" t="s">
        <v>398</v>
      </c>
      <c r="AG1368" s="204" t="s">
        <v>398</v>
      </c>
      <c r="AS1368" s="65" t="str">
        <f>IFERROR(VLOOKUP(#REF!,[1]Lookup!$B$2:$E$115,4,FALSE),"")</f>
        <v/>
      </c>
      <c r="AT1368" s="65" t="str">
        <f>IFERROR(VLOOKUP(#REF!,[1]Lookup!$B$2:$E$115,2,FALSE),"")</f>
        <v/>
      </c>
      <c r="AU1368" s="65" t="str">
        <f>IFERROR(VLOOKUP(#REF!,[1]Lookup!$B$2:$E$115,3,FALSE),"")</f>
        <v/>
      </c>
    </row>
    <row r="1369" spans="31:47" x14ac:dyDescent="0.3">
      <c r="AE1369" s="204" t="s">
        <v>398</v>
      </c>
      <c r="AF1369" s="204" t="s">
        <v>398</v>
      </c>
      <c r="AG1369" s="204" t="s">
        <v>398</v>
      </c>
      <c r="AS1369" s="65" t="str">
        <f>IFERROR(VLOOKUP(#REF!,[1]Lookup!$B$2:$E$115,4,FALSE),"")</f>
        <v/>
      </c>
      <c r="AT1369" s="65" t="str">
        <f>IFERROR(VLOOKUP(#REF!,[1]Lookup!$B$2:$E$115,2,FALSE),"")</f>
        <v/>
      </c>
      <c r="AU1369" s="65" t="str">
        <f>IFERROR(VLOOKUP(#REF!,[1]Lookup!$B$2:$E$115,3,FALSE),"")</f>
        <v/>
      </c>
    </row>
    <row r="1370" spans="31:47" x14ac:dyDescent="0.3">
      <c r="AE1370" s="204" t="s">
        <v>398</v>
      </c>
      <c r="AF1370" s="204" t="s">
        <v>398</v>
      </c>
      <c r="AG1370" s="204" t="s">
        <v>398</v>
      </c>
      <c r="AS1370" s="65" t="str">
        <f>IFERROR(VLOOKUP(#REF!,[1]Lookup!$B$2:$E$115,4,FALSE),"")</f>
        <v/>
      </c>
      <c r="AT1370" s="65" t="str">
        <f>IFERROR(VLOOKUP(#REF!,[1]Lookup!$B$2:$E$115,2,FALSE),"")</f>
        <v/>
      </c>
      <c r="AU1370" s="65" t="str">
        <f>IFERROR(VLOOKUP(#REF!,[1]Lookup!$B$2:$E$115,3,FALSE),"")</f>
        <v/>
      </c>
    </row>
    <row r="1371" spans="31:47" x14ac:dyDescent="0.3">
      <c r="AE1371" s="204" t="s">
        <v>398</v>
      </c>
      <c r="AF1371" s="204" t="s">
        <v>398</v>
      </c>
      <c r="AG1371" s="204" t="s">
        <v>398</v>
      </c>
      <c r="AS1371" s="65" t="str">
        <f>IFERROR(VLOOKUP(#REF!,[1]Lookup!$B$2:$E$115,4,FALSE),"")</f>
        <v/>
      </c>
      <c r="AT1371" s="65" t="str">
        <f>IFERROR(VLOOKUP(#REF!,[1]Lookup!$B$2:$E$115,2,FALSE),"")</f>
        <v/>
      </c>
      <c r="AU1371" s="65" t="str">
        <f>IFERROR(VLOOKUP(#REF!,[1]Lookup!$B$2:$E$115,3,FALSE),"")</f>
        <v/>
      </c>
    </row>
    <row r="1372" spans="31:47" x14ac:dyDescent="0.3">
      <c r="AE1372" s="204" t="s">
        <v>398</v>
      </c>
      <c r="AF1372" s="204" t="s">
        <v>398</v>
      </c>
      <c r="AG1372" s="204" t="s">
        <v>398</v>
      </c>
      <c r="AS1372" s="65" t="str">
        <f>IFERROR(VLOOKUP(#REF!,[1]Lookup!$B$2:$E$115,4,FALSE),"")</f>
        <v/>
      </c>
      <c r="AT1372" s="65" t="str">
        <f>IFERROR(VLOOKUP(#REF!,[1]Lookup!$B$2:$E$115,2,FALSE),"")</f>
        <v/>
      </c>
      <c r="AU1372" s="65" t="str">
        <f>IFERROR(VLOOKUP(#REF!,[1]Lookup!$B$2:$E$115,3,FALSE),"")</f>
        <v/>
      </c>
    </row>
    <row r="1373" spans="31:47" x14ac:dyDescent="0.3">
      <c r="AE1373" s="204" t="s">
        <v>398</v>
      </c>
      <c r="AF1373" s="204" t="s">
        <v>398</v>
      </c>
      <c r="AG1373" s="204" t="s">
        <v>398</v>
      </c>
      <c r="AS1373" s="65" t="str">
        <f>IFERROR(VLOOKUP(#REF!,[1]Lookup!$B$2:$E$115,4,FALSE),"")</f>
        <v/>
      </c>
      <c r="AT1373" s="65" t="str">
        <f>IFERROR(VLOOKUP(#REF!,[1]Lookup!$B$2:$E$115,2,FALSE),"")</f>
        <v/>
      </c>
      <c r="AU1373" s="65" t="str">
        <f>IFERROR(VLOOKUP(#REF!,[1]Lookup!$B$2:$E$115,3,FALSE),"")</f>
        <v/>
      </c>
    </row>
    <row r="1374" spans="31:47" x14ac:dyDescent="0.3">
      <c r="AE1374" s="204" t="s">
        <v>398</v>
      </c>
      <c r="AF1374" s="204" t="s">
        <v>398</v>
      </c>
      <c r="AG1374" s="204" t="s">
        <v>398</v>
      </c>
      <c r="AS1374" s="65" t="str">
        <f>IFERROR(VLOOKUP(#REF!,[1]Lookup!$B$2:$E$115,4,FALSE),"")</f>
        <v/>
      </c>
      <c r="AT1374" s="65" t="str">
        <f>IFERROR(VLOOKUP(#REF!,[1]Lookup!$B$2:$E$115,2,FALSE),"")</f>
        <v/>
      </c>
      <c r="AU1374" s="65" t="str">
        <f>IFERROR(VLOOKUP(#REF!,[1]Lookup!$B$2:$E$115,3,FALSE),"")</f>
        <v/>
      </c>
    </row>
    <row r="1375" spans="31:47" x14ac:dyDescent="0.3">
      <c r="AE1375" s="204" t="s">
        <v>398</v>
      </c>
      <c r="AF1375" s="204" t="s">
        <v>398</v>
      </c>
      <c r="AG1375" s="204" t="s">
        <v>398</v>
      </c>
      <c r="AS1375" s="65" t="str">
        <f>IFERROR(VLOOKUP(#REF!,[1]Lookup!$B$2:$E$115,4,FALSE),"")</f>
        <v/>
      </c>
      <c r="AT1375" s="65" t="str">
        <f>IFERROR(VLOOKUP(#REF!,[1]Lookup!$B$2:$E$115,2,FALSE),"")</f>
        <v/>
      </c>
      <c r="AU1375" s="65" t="str">
        <f>IFERROR(VLOOKUP(#REF!,[1]Lookup!$B$2:$E$115,3,FALSE),"")</f>
        <v/>
      </c>
    </row>
    <row r="1376" spans="31:47" x14ac:dyDescent="0.3">
      <c r="AE1376" s="204" t="s">
        <v>398</v>
      </c>
      <c r="AF1376" s="204" t="s">
        <v>398</v>
      </c>
      <c r="AG1376" s="204" t="s">
        <v>398</v>
      </c>
      <c r="AS1376" s="65" t="str">
        <f>IFERROR(VLOOKUP(#REF!,[1]Lookup!$B$2:$E$115,4,FALSE),"")</f>
        <v/>
      </c>
      <c r="AT1376" s="65" t="str">
        <f>IFERROR(VLOOKUP(#REF!,[1]Lookup!$B$2:$E$115,2,FALSE),"")</f>
        <v/>
      </c>
      <c r="AU1376" s="65" t="str">
        <f>IFERROR(VLOOKUP(#REF!,[1]Lookup!$B$2:$E$115,3,FALSE),"")</f>
        <v/>
      </c>
    </row>
    <row r="1377" spans="31:47" x14ac:dyDescent="0.3">
      <c r="AE1377" s="204" t="s">
        <v>398</v>
      </c>
      <c r="AF1377" s="204" t="s">
        <v>398</v>
      </c>
      <c r="AG1377" s="204" t="s">
        <v>398</v>
      </c>
      <c r="AS1377" s="65" t="str">
        <f>IFERROR(VLOOKUP(#REF!,[1]Lookup!$B$2:$E$115,4,FALSE),"")</f>
        <v/>
      </c>
      <c r="AT1377" s="65" t="str">
        <f>IFERROR(VLOOKUP(#REF!,[1]Lookup!$B$2:$E$115,2,FALSE),"")</f>
        <v/>
      </c>
      <c r="AU1377" s="65" t="str">
        <f>IFERROR(VLOOKUP(#REF!,[1]Lookup!$B$2:$E$115,3,FALSE),"")</f>
        <v/>
      </c>
    </row>
    <row r="1378" spans="31:47" x14ac:dyDescent="0.3">
      <c r="AE1378" s="204" t="s">
        <v>398</v>
      </c>
      <c r="AF1378" s="204" t="s">
        <v>398</v>
      </c>
      <c r="AG1378" s="204" t="s">
        <v>398</v>
      </c>
      <c r="AS1378" s="65" t="str">
        <f>IFERROR(VLOOKUP(#REF!,[1]Lookup!$B$2:$E$115,4,FALSE),"")</f>
        <v/>
      </c>
      <c r="AT1378" s="65" t="str">
        <f>IFERROR(VLOOKUP(#REF!,[1]Lookup!$B$2:$E$115,2,FALSE),"")</f>
        <v/>
      </c>
      <c r="AU1378" s="65" t="str">
        <f>IFERROR(VLOOKUP(#REF!,[1]Lookup!$B$2:$E$115,3,FALSE),"")</f>
        <v/>
      </c>
    </row>
    <row r="1379" spans="31:47" x14ac:dyDescent="0.3">
      <c r="AE1379" s="204" t="s">
        <v>398</v>
      </c>
      <c r="AF1379" s="204" t="s">
        <v>398</v>
      </c>
      <c r="AG1379" s="204" t="s">
        <v>398</v>
      </c>
      <c r="AS1379" s="65" t="str">
        <f>IFERROR(VLOOKUP(#REF!,[1]Lookup!$B$2:$E$115,4,FALSE),"")</f>
        <v/>
      </c>
      <c r="AT1379" s="65" t="str">
        <f>IFERROR(VLOOKUP(#REF!,[1]Lookup!$B$2:$E$115,2,FALSE),"")</f>
        <v/>
      </c>
      <c r="AU1379" s="65" t="str">
        <f>IFERROR(VLOOKUP(#REF!,[1]Lookup!$B$2:$E$115,3,FALSE),"")</f>
        <v/>
      </c>
    </row>
    <row r="1380" spans="31:47" x14ac:dyDescent="0.3">
      <c r="AE1380" s="204" t="s">
        <v>398</v>
      </c>
      <c r="AF1380" s="204" t="s">
        <v>398</v>
      </c>
      <c r="AG1380" s="204" t="s">
        <v>398</v>
      </c>
      <c r="AS1380" s="65" t="str">
        <f>IFERROR(VLOOKUP(#REF!,[1]Lookup!$B$2:$E$115,4,FALSE),"")</f>
        <v/>
      </c>
      <c r="AT1380" s="65" t="str">
        <f>IFERROR(VLOOKUP(#REF!,[1]Lookup!$B$2:$E$115,2,FALSE),"")</f>
        <v/>
      </c>
      <c r="AU1380" s="65" t="str">
        <f>IFERROR(VLOOKUP(#REF!,[1]Lookup!$B$2:$E$115,3,FALSE),"")</f>
        <v/>
      </c>
    </row>
    <row r="1381" spans="31:47" x14ac:dyDescent="0.3">
      <c r="AE1381" s="204" t="s">
        <v>398</v>
      </c>
      <c r="AF1381" s="204" t="s">
        <v>398</v>
      </c>
      <c r="AG1381" s="204" t="s">
        <v>398</v>
      </c>
      <c r="AS1381" s="65" t="str">
        <f>IFERROR(VLOOKUP(#REF!,[1]Lookup!$B$2:$E$115,4,FALSE),"")</f>
        <v/>
      </c>
      <c r="AT1381" s="65" t="str">
        <f>IFERROR(VLOOKUP(#REF!,[1]Lookup!$B$2:$E$115,2,FALSE),"")</f>
        <v/>
      </c>
      <c r="AU1381" s="65" t="str">
        <f>IFERROR(VLOOKUP(#REF!,[1]Lookup!$B$2:$E$115,3,FALSE),"")</f>
        <v/>
      </c>
    </row>
    <row r="1382" spans="31:47" x14ac:dyDescent="0.3">
      <c r="AE1382" s="204" t="s">
        <v>398</v>
      </c>
      <c r="AF1382" s="204" t="s">
        <v>398</v>
      </c>
      <c r="AG1382" s="204" t="s">
        <v>398</v>
      </c>
      <c r="AS1382" s="65" t="str">
        <f>IFERROR(VLOOKUP(#REF!,[1]Lookup!$B$2:$E$115,4,FALSE),"")</f>
        <v/>
      </c>
      <c r="AT1382" s="65" t="str">
        <f>IFERROR(VLOOKUP(#REF!,[1]Lookup!$B$2:$E$115,2,FALSE),"")</f>
        <v/>
      </c>
      <c r="AU1382" s="65" t="str">
        <f>IFERROR(VLOOKUP(#REF!,[1]Lookup!$B$2:$E$115,3,FALSE),"")</f>
        <v/>
      </c>
    </row>
    <row r="1383" spans="31:47" x14ac:dyDescent="0.3">
      <c r="AE1383" s="204" t="s">
        <v>398</v>
      </c>
      <c r="AF1383" s="204" t="s">
        <v>398</v>
      </c>
      <c r="AG1383" s="204" t="s">
        <v>398</v>
      </c>
      <c r="AS1383" s="65" t="str">
        <f>IFERROR(VLOOKUP(#REF!,[1]Lookup!$B$2:$E$115,4,FALSE),"")</f>
        <v/>
      </c>
      <c r="AT1383" s="65" t="str">
        <f>IFERROR(VLOOKUP(#REF!,[1]Lookup!$B$2:$E$115,2,FALSE),"")</f>
        <v/>
      </c>
      <c r="AU1383" s="65" t="str">
        <f>IFERROR(VLOOKUP(#REF!,[1]Lookup!$B$2:$E$115,3,FALSE),"")</f>
        <v/>
      </c>
    </row>
    <row r="1384" spans="31:47" x14ac:dyDescent="0.3">
      <c r="AE1384" s="204" t="s">
        <v>398</v>
      </c>
      <c r="AF1384" s="204" t="s">
        <v>398</v>
      </c>
      <c r="AG1384" s="204" t="s">
        <v>398</v>
      </c>
      <c r="AS1384" s="65" t="str">
        <f>IFERROR(VLOOKUP(#REF!,[1]Lookup!$B$2:$E$115,4,FALSE),"")</f>
        <v/>
      </c>
      <c r="AT1384" s="65" t="str">
        <f>IFERROR(VLOOKUP(#REF!,[1]Lookup!$B$2:$E$115,2,FALSE),"")</f>
        <v/>
      </c>
      <c r="AU1384" s="65" t="str">
        <f>IFERROR(VLOOKUP(#REF!,[1]Lookup!$B$2:$E$115,3,FALSE),"")</f>
        <v/>
      </c>
    </row>
    <row r="1385" spans="31:47" x14ac:dyDescent="0.3">
      <c r="AE1385" s="204" t="s">
        <v>398</v>
      </c>
      <c r="AF1385" s="204" t="s">
        <v>398</v>
      </c>
      <c r="AG1385" s="204" t="s">
        <v>398</v>
      </c>
      <c r="AS1385" s="65" t="str">
        <f>IFERROR(VLOOKUP(#REF!,[1]Lookup!$B$2:$E$115,4,FALSE),"")</f>
        <v/>
      </c>
      <c r="AT1385" s="65" t="str">
        <f>IFERROR(VLOOKUP(#REF!,[1]Lookup!$B$2:$E$115,2,FALSE),"")</f>
        <v/>
      </c>
      <c r="AU1385" s="65" t="str">
        <f>IFERROR(VLOOKUP(#REF!,[1]Lookup!$B$2:$E$115,3,FALSE),"")</f>
        <v/>
      </c>
    </row>
    <row r="1386" spans="31:47" x14ac:dyDescent="0.3">
      <c r="AE1386" s="204" t="s">
        <v>398</v>
      </c>
      <c r="AF1386" s="204" t="s">
        <v>398</v>
      </c>
      <c r="AG1386" s="204" t="s">
        <v>398</v>
      </c>
      <c r="AS1386" s="65" t="str">
        <f>IFERROR(VLOOKUP(#REF!,[1]Lookup!$B$2:$E$115,4,FALSE),"")</f>
        <v/>
      </c>
      <c r="AT1386" s="65" t="str">
        <f>IFERROR(VLOOKUP(#REF!,[1]Lookup!$B$2:$E$115,2,FALSE),"")</f>
        <v/>
      </c>
      <c r="AU1386" s="65" t="str">
        <f>IFERROR(VLOOKUP(#REF!,[1]Lookup!$B$2:$E$115,3,FALSE),"")</f>
        <v/>
      </c>
    </row>
    <row r="1387" spans="31:47" x14ac:dyDescent="0.3">
      <c r="AE1387" s="204" t="s">
        <v>398</v>
      </c>
      <c r="AF1387" s="204" t="s">
        <v>398</v>
      </c>
      <c r="AG1387" s="204" t="s">
        <v>398</v>
      </c>
      <c r="AS1387" s="65" t="str">
        <f>IFERROR(VLOOKUP(#REF!,[1]Lookup!$B$2:$E$115,4,FALSE),"")</f>
        <v/>
      </c>
      <c r="AT1387" s="65" t="str">
        <f>IFERROR(VLOOKUP(#REF!,[1]Lookup!$B$2:$E$115,2,FALSE),"")</f>
        <v/>
      </c>
      <c r="AU1387" s="65" t="str">
        <f>IFERROR(VLOOKUP(#REF!,[1]Lookup!$B$2:$E$115,3,FALSE),"")</f>
        <v/>
      </c>
    </row>
    <row r="1388" spans="31:47" x14ac:dyDescent="0.3">
      <c r="AE1388" s="204" t="s">
        <v>398</v>
      </c>
      <c r="AF1388" s="204" t="s">
        <v>398</v>
      </c>
      <c r="AG1388" s="204" t="s">
        <v>398</v>
      </c>
      <c r="AS1388" s="65" t="str">
        <f>IFERROR(VLOOKUP(#REF!,[1]Lookup!$B$2:$E$115,4,FALSE),"")</f>
        <v/>
      </c>
      <c r="AT1388" s="65" t="str">
        <f>IFERROR(VLOOKUP(#REF!,[1]Lookup!$B$2:$E$115,2,FALSE),"")</f>
        <v/>
      </c>
      <c r="AU1388" s="65" t="str">
        <f>IFERROR(VLOOKUP(#REF!,[1]Lookup!$B$2:$E$115,3,FALSE),"")</f>
        <v/>
      </c>
    </row>
    <row r="1389" spans="31:47" x14ac:dyDescent="0.3">
      <c r="AE1389" s="204" t="s">
        <v>398</v>
      </c>
      <c r="AF1389" s="204" t="s">
        <v>398</v>
      </c>
      <c r="AG1389" s="204" t="s">
        <v>398</v>
      </c>
      <c r="AS1389" s="65" t="str">
        <f>IFERROR(VLOOKUP(#REF!,[1]Lookup!$B$2:$E$115,4,FALSE),"")</f>
        <v/>
      </c>
      <c r="AT1389" s="65" t="str">
        <f>IFERROR(VLOOKUP(#REF!,[1]Lookup!$B$2:$E$115,2,FALSE),"")</f>
        <v/>
      </c>
      <c r="AU1389" s="65" t="str">
        <f>IFERROR(VLOOKUP(#REF!,[1]Lookup!$B$2:$E$115,3,FALSE),"")</f>
        <v/>
      </c>
    </row>
    <row r="1390" spans="31:47" x14ac:dyDescent="0.3">
      <c r="AE1390" s="204" t="s">
        <v>398</v>
      </c>
      <c r="AF1390" s="204" t="s">
        <v>398</v>
      </c>
      <c r="AG1390" s="204" t="s">
        <v>398</v>
      </c>
      <c r="AS1390" s="65" t="str">
        <f>IFERROR(VLOOKUP(#REF!,[1]Lookup!$B$2:$E$115,4,FALSE),"")</f>
        <v/>
      </c>
      <c r="AT1390" s="65" t="str">
        <f>IFERROR(VLOOKUP(#REF!,[1]Lookup!$B$2:$E$115,2,FALSE),"")</f>
        <v/>
      </c>
      <c r="AU1390" s="65" t="str">
        <f>IFERROR(VLOOKUP(#REF!,[1]Lookup!$B$2:$E$115,3,FALSE),"")</f>
        <v/>
      </c>
    </row>
    <row r="1391" spans="31:47" x14ac:dyDescent="0.3">
      <c r="AE1391" s="204" t="s">
        <v>398</v>
      </c>
      <c r="AF1391" s="204" t="s">
        <v>398</v>
      </c>
      <c r="AG1391" s="204" t="s">
        <v>398</v>
      </c>
      <c r="AS1391" s="65" t="str">
        <f>IFERROR(VLOOKUP(#REF!,[1]Lookup!$B$2:$E$115,4,FALSE),"")</f>
        <v/>
      </c>
      <c r="AT1391" s="65" t="str">
        <f>IFERROR(VLOOKUP(#REF!,[1]Lookup!$B$2:$E$115,2,FALSE),"")</f>
        <v/>
      </c>
      <c r="AU1391" s="65" t="str">
        <f>IFERROR(VLOOKUP(#REF!,[1]Lookup!$B$2:$E$115,3,FALSE),"")</f>
        <v/>
      </c>
    </row>
    <row r="1392" spans="31:47" x14ac:dyDescent="0.3">
      <c r="AE1392" s="204" t="s">
        <v>398</v>
      </c>
      <c r="AF1392" s="204" t="s">
        <v>398</v>
      </c>
      <c r="AG1392" s="204" t="s">
        <v>398</v>
      </c>
      <c r="AS1392" s="65" t="str">
        <f>IFERROR(VLOOKUP(#REF!,[1]Lookup!$B$2:$E$115,4,FALSE),"")</f>
        <v/>
      </c>
      <c r="AT1392" s="65" t="str">
        <f>IFERROR(VLOOKUP(#REF!,[1]Lookup!$B$2:$E$115,2,FALSE),"")</f>
        <v/>
      </c>
      <c r="AU1392" s="65" t="str">
        <f>IFERROR(VLOOKUP(#REF!,[1]Lookup!$B$2:$E$115,3,FALSE),"")</f>
        <v/>
      </c>
    </row>
    <row r="1393" spans="31:47" x14ac:dyDescent="0.3">
      <c r="AE1393" s="204" t="s">
        <v>398</v>
      </c>
      <c r="AF1393" s="204" t="s">
        <v>398</v>
      </c>
      <c r="AG1393" s="204" t="s">
        <v>398</v>
      </c>
      <c r="AS1393" s="65" t="str">
        <f>IFERROR(VLOOKUP(#REF!,[1]Lookup!$B$2:$E$115,4,FALSE),"")</f>
        <v/>
      </c>
      <c r="AT1393" s="65" t="str">
        <f>IFERROR(VLOOKUP(#REF!,[1]Lookup!$B$2:$E$115,2,FALSE),"")</f>
        <v/>
      </c>
      <c r="AU1393" s="65" t="str">
        <f>IFERROR(VLOOKUP(#REF!,[1]Lookup!$B$2:$E$115,3,FALSE),"")</f>
        <v/>
      </c>
    </row>
    <row r="1394" spans="31:47" x14ac:dyDescent="0.3">
      <c r="AE1394" s="204" t="s">
        <v>398</v>
      </c>
      <c r="AF1394" s="204" t="s">
        <v>398</v>
      </c>
      <c r="AG1394" s="204" t="s">
        <v>398</v>
      </c>
      <c r="AS1394" s="65" t="str">
        <f>IFERROR(VLOOKUP(#REF!,[1]Lookup!$B$2:$E$115,4,FALSE),"")</f>
        <v/>
      </c>
      <c r="AT1394" s="65" t="str">
        <f>IFERROR(VLOOKUP(#REF!,[1]Lookup!$B$2:$E$115,2,FALSE),"")</f>
        <v/>
      </c>
      <c r="AU1394" s="65" t="str">
        <f>IFERROR(VLOOKUP(#REF!,[1]Lookup!$B$2:$E$115,3,FALSE),"")</f>
        <v/>
      </c>
    </row>
    <row r="1395" spans="31:47" x14ac:dyDescent="0.3">
      <c r="AE1395" s="204" t="s">
        <v>398</v>
      </c>
      <c r="AF1395" s="204" t="s">
        <v>398</v>
      </c>
      <c r="AG1395" s="204" t="s">
        <v>398</v>
      </c>
      <c r="AS1395" s="65" t="str">
        <f>IFERROR(VLOOKUP(#REF!,[1]Lookup!$B$2:$E$115,4,FALSE),"")</f>
        <v/>
      </c>
      <c r="AT1395" s="65" t="str">
        <f>IFERROR(VLOOKUP(#REF!,[1]Lookup!$B$2:$E$115,2,FALSE),"")</f>
        <v/>
      </c>
      <c r="AU1395" s="65" t="str">
        <f>IFERROR(VLOOKUP(#REF!,[1]Lookup!$B$2:$E$115,3,FALSE),"")</f>
        <v/>
      </c>
    </row>
    <row r="1396" spans="31:47" x14ac:dyDescent="0.3">
      <c r="AE1396" s="204" t="s">
        <v>398</v>
      </c>
      <c r="AF1396" s="204" t="s">
        <v>398</v>
      </c>
      <c r="AG1396" s="204" t="s">
        <v>398</v>
      </c>
      <c r="AS1396" s="65" t="str">
        <f>IFERROR(VLOOKUP(#REF!,[1]Lookup!$B$2:$E$115,4,FALSE),"")</f>
        <v/>
      </c>
      <c r="AT1396" s="65" t="str">
        <f>IFERROR(VLOOKUP(#REF!,[1]Lookup!$B$2:$E$115,2,FALSE),"")</f>
        <v/>
      </c>
      <c r="AU1396" s="65" t="str">
        <f>IFERROR(VLOOKUP(#REF!,[1]Lookup!$B$2:$E$115,3,FALSE),"")</f>
        <v/>
      </c>
    </row>
    <row r="1397" spans="31:47" x14ac:dyDescent="0.3">
      <c r="AE1397" s="204" t="s">
        <v>398</v>
      </c>
      <c r="AF1397" s="204" t="s">
        <v>398</v>
      </c>
      <c r="AG1397" s="204" t="s">
        <v>398</v>
      </c>
      <c r="AS1397" s="65" t="str">
        <f>IFERROR(VLOOKUP(#REF!,[1]Lookup!$B$2:$E$115,4,FALSE),"")</f>
        <v/>
      </c>
      <c r="AT1397" s="65" t="str">
        <f>IFERROR(VLOOKUP(#REF!,[1]Lookup!$B$2:$E$115,2,FALSE),"")</f>
        <v/>
      </c>
      <c r="AU1397" s="65" t="str">
        <f>IFERROR(VLOOKUP(#REF!,[1]Lookup!$B$2:$E$115,3,FALSE),"")</f>
        <v/>
      </c>
    </row>
    <row r="1398" spans="31:47" x14ac:dyDescent="0.3">
      <c r="AE1398" s="204" t="s">
        <v>398</v>
      </c>
      <c r="AF1398" s="204" t="s">
        <v>398</v>
      </c>
      <c r="AG1398" s="204" t="s">
        <v>398</v>
      </c>
      <c r="AS1398" s="65" t="str">
        <f>IFERROR(VLOOKUP(#REF!,[1]Lookup!$B$2:$E$115,4,FALSE),"")</f>
        <v/>
      </c>
      <c r="AT1398" s="65" t="str">
        <f>IFERROR(VLOOKUP(#REF!,[1]Lookup!$B$2:$E$115,2,FALSE),"")</f>
        <v/>
      </c>
      <c r="AU1398" s="65" t="str">
        <f>IFERROR(VLOOKUP(#REF!,[1]Lookup!$B$2:$E$115,3,FALSE),"")</f>
        <v/>
      </c>
    </row>
    <row r="1399" spans="31:47" x14ac:dyDescent="0.3">
      <c r="AE1399" s="204" t="s">
        <v>398</v>
      </c>
      <c r="AF1399" s="204" t="s">
        <v>398</v>
      </c>
      <c r="AG1399" s="204" t="s">
        <v>398</v>
      </c>
      <c r="AS1399" s="65" t="str">
        <f>IFERROR(VLOOKUP(#REF!,[1]Lookup!$B$2:$E$115,4,FALSE),"")</f>
        <v/>
      </c>
      <c r="AT1399" s="65" t="str">
        <f>IFERROR(VLOOKUP(#REF!,[1]Lookup!$B$2:$E$115,2,FALSE),"")</f>
        <v/>
      </c>
      <c r="AU1399" s="65" t="str">
        <f>IFERROR(VLOOKUP(#REF!,[1]Lookup!$B$2:$E$115,3,FALSE),"")</f>
        <v/>
      </c>
    </row>
    <row r="1400" spans="31:47" x14ac:dyDescent="0.3">
      <c r="AE1400" s="204" t="s">
        <v>398</v>
      </c>
      <c r="AF1400" s="204" t="s">
        <v>398</v>
      </c>
      <c r="AG1400" s="204" t="s">
        <v>398</v>
      </c>
      <c r="AS1400" s="65" t="str">
        <f>IFERROR(VLOOKUP(#REF!,[1]Lookup!$B$2:$E$115,4,FALSE),"")</f>
        <v/>
      </c>
      <c r="AT1400" s="65" t="str">
        <f>IFERROR(VLOOKUP(#REF!,[1]Lookup!$B$2:$E$115,2,FALSE),"")</f>
        <v/>
      </c>
      <c r="AU1400" s="65" t="str">
        <f>IFERROR(VLOOKUP(#REF!,[1]Lookup!$B$2:$E$115,3,FALSE),"")</f>
        <v/>
      </c>
    </row>
    <row r="1401" spans="31:47" x14ac:dyDescent="0.3">
      <c r="AE1401" s="204" t="s">
        <v>398</v>
      </c>
      <c r="AF1401" s="204" t="s">
        <v>398</v>
      </c>
      <c r="AG1401" s="204" t="s">
        <v>398</v>
      </c>
      <c r="AS1401" s="65" t="str">
        <f>IFERROR(VLOOKUP(#REF!,[1]Lookup!$B$2:$E$115,4,FALSE),"")</f>
        <v/>
      </c>
      <c r="AT1401" s="65" t="str">
        <f>IFERROR(VLOOKUP(#REF!,[1]Lookup!$B$2:$E$115,2,FALSE),"")</f>
        <v/>
      </c>
      <c r="AU1401" s="65" t="str">
        <f>IFERROR(VLOOKUP(#REF!,[1]Lookup!$B$2:$E$115,3,FALSE),"")</f>
        <v/>
      </c>
    </row>
    <row r="1402" spans="31:47" x14ac:dyDescent="0.3">
      <c r="AE1402" s="204" t="s">
        <v>398</v>
      </c>
      <c r="AF1402" s="204" t="s">
        <v>398</v>
      </c>
      <c r="AG1402" s="204" t="s">
        <v>398</v>
      </c>
      <c r="AS1402" s="65" t="str">
        <f>IFERROR(VLOOKUP(#REF!,[1]Lookup!$B$2:$E$115,4,FALSE),"")</f>
        <v/>
      </c>
      <c r="AT1402" s="65" t="str">
        <f>IFERROR(VLOOKUP(#REF!,[1]Lookup!$B$2:$E$115,2,FALSE),"")</f>
        <v/>
      </c>
      <c r="AU1402" s="65" t="str">
        <f>IFERROR(VLOOKUP(#REF!,[1]Lookup!$B$2:$E$115,3,FALSE),"")</f>
        <v/>
      </c>
    </row>
    <row r="1403" spans="31:47" x14ac:dyDescent="0.3">
      <c r="AE1403" s="204" t="s">
        <v>398</v>
      </c>
      <c r="AF1403" s="204" t="s">
        <v>398</v>
      </c>
      <c r="AG1403" s="204" t="s">
        <v>398</v>
      </c>
      <c r="AS1403" s="65" t="str">
        <f>IFERROR(VLOOKUP(#REF!,[1]Lookup!$B$2:$E$115,4,FALSE),"")</f>
        <v/>
      </c>
      <c r="AT1403" s="65" t="str">
        <f>IFERROR(VLOOKUP(#REF!,[1]Lookup!$B$2:$E$115,2,FALSE),"")</f>
        <v/>
      </c>
      <c r="AU1403" s="65" t="str">
        <f>IFERROR(VLOOKUP(#REF!,[1]Lookup!$B$2:$E$115,3,FALSE),"")</f>
        <v/>
      </c>
    </row>
    <row r="1404" spans="31:47" x14ac:dyDescent="0.3">
      <c r="AE1404" s="204" t="s">
        <v>398</v>
      </c>
      <c r="AF1404" s="204" t="s">
        <v>398</v>
      </c>
      <c r="AG1404" s="204" t="s">
        <v>398</v>
      </c>
      <c r="AS1404" s="65" t="str">
        <f>IFERROR(VLOOKUP(#REF!,[1]Lookup!$B$2:$E$115,4,FALSE),"")</f>
        <v/>
      </c>
      <c r="AT1404" s="65" t="str">
        <f>IFERROR(VLOOKUP(#REF!,[1]Lookup!$B$2:$E$115,2,FALSE),"")</f>
        <v/>
      </c>
      <c r="AU1404" s="65" t="str">
        <f>IFERROR(VLOOKUP(#REF!,[1]Lookup!$B$2:$E$115,3,FALSE),"")</f>
        <v/>
      </c>
    </row>
    <row r="1405" spans="31:47" x14ac:dyDescent="0.3">
      <c r="AE1405" s="204" t="s">
        <v>398</v>
      </c>
      <c r="AF1405" s="204" t="s">
        <v>398</v>
      </c>
      <c r="AG1405" s="204" t="s">
        <v>398</v>
      </c>
      <c r="AS1405" s="65" t="str">
        <f>IFERROR(VLOOKUP(#REF!,[1]Lookup!$B$2:$E$115,4,FALSE),"")</f>
        <v/>
      </c>
      <c r="AT1405" s="65" t="str">
        <f>IFERROR(VLOOKUP(#REF!,[1]Lookup!$B$2:$E$115,2,FALSE),"")</f>
        <v/>
      </c>
      <c r="AU1405" s="65" t="str">
        <f>IFERROR(VLOOKUP(#REF!,[1]Lookup!$B$2:$E$115,3,FALSE),"")</f>
        <v/>
      </c>
    </row>
    <row r="1406" spans="31:47" x14ac:dyDescent="0.3">
      <c r="AE1406" s="204" t="s">
        <v>398</v>
      </c>
      <c r="AF1406" s="204" t="s">
        <v>398</v>
      </c>
      <c r="AG1406" s="204" t="s">
        <v>398</v>
      </c>
      <c r="AS1406" s="65" t="str">
        <f>IFERROR(VLOOKUP(#REF!,[1]Lookup!$B$2:$E$115,4,FALSE),"")</f>
        <v/>
      </c>
      <c r="AT1406" s="65" t="str">
        <f>IFERROR(VLOOKUP(#REF!,[1]Lookup!$B$2:$E$115,2,FALSE),"")</f>
        <v/>
      </c>
      <c r="AU1406" s="65" t="str">
        <f>IFERROR(VLOOKUP(#REF!,[1]Lookup!$B$2:$E$115,3,FALSE),"")</f>
        <v/>
      </c>
    </row>
    <row r="1407" spans="31:47" x14ac:dyDescent="0.3">
      <c r="AE1407" s="204" t="s">
        <v>398</v>
      </c>
      <c r="AF1407" s="204" t="s">
        <v>398</v>
      </c>
      <c r="AG1407" s="204" t="s">
        <v>398</v>
      </c>
      <c r="AS1407" s="65" t="str">
        <f>IFERROR(VLOOKUP(#REF!,[1]Lookup!$B$2:$E$115,4,FALSE),"")</f>
        <v/>
      </c>
      <c r="AT1407" s="65" t="str">
        <f>IFERROR(VLOOKUP(#REF!,[1]Lookup!$B$2:$E$115,2,FALSE),"")</f>
        <v/>
      </c>
      <c r="AU1407" s="65" t="str">
        <f>IFERROR(VLOOKUP(#REF!,[1]Lookup!$B$2:$E$115,3,FALSE),"")</f>
        <v/>
      </c>
    </row>
    <row r="1408" spans="31:47" x14ac:dyDescent="0.3">
      <c r="AE1408" s="204" t="s">
        <v>398</v>
      </c>
      <c r="AF1408" s="204" t="s">
        <v>398</v>
      </c>
      <c r="AG1408" s="204" t="s">
        <v>398</v>
      </c>
      <c r="AS1408" s="65" t="str">
        <f>IFERROR(VLOOKUP(#REF!,[1]Lookup!$B$2:$E$115,4,FALSE),"")</f>
        <v/>
      </c>
      <c r="AT1408" s="65" t="str">
        <f>IFERROR(VLOOKUP(#REF!,[1]Lookup!$B$2:$E$115,2,FALSE),"")</f>
        <v/>
      </c>
      <c r="AU1408" s="65" t="str">
        <f>IFERROR(VLOOKUP(#REF!,[1]Lookup!$B$2:$E$115,3,FALSE),"")</f>
        <v/>
      </c>
    </row>
    <row r="1409" spans="31:47" x14ac:dyDescent="0.3">
      <c r="AE1409" s="204" t="s">
        <v>398</v>
      </c>
      <c r="AF1409" s="204" t="s">
        <v>398</v>
      </c>
      <c r="AG1409" s="204" t="s">
        <v>398</v>
      </c>
      <c r="AS1409" s="65" t="str">
        <f>IFERROR(VLOOKUP(#REF!,[1]Lookup!$B$2:$E$115,4,FALSE),"")</f>
        <v/>
      </c>
      <c r="AT1409" s="65" t="str">
        <f>IFERROR(VLOOKUP(#REF!,[1]Lookup!$B$2:$E$115,2,FALSE),"")</f>
        <v/>
      </c>
      <c r="AU1409" s="65" t="str">
        <f>IFERROR(VLOOKUP(#REF!,[1]Lookup!$B$2:$E$115,3,FALSE),"")</f>
        <v/>
      </c>
    </row>
    <row r="1410" spans="31:47" x14ac:dyDescent="0.3">
      <c r="AE1410" s="204" t="s">
        <v>398</v>
      </c>
      <c r="AF1410" s="204" t="s">
        <v>398</v>
      </c>
      <c r="AG1410" s="204" t="s">
        <v>398</v>
      </c>
      <c r="AS1410" s="65" t="str">
        <f>IFERROR(VLOOKUP(#REF!,[1]Lookup!$B$2:$E$115,4,FALSE),"")</f>
        <v/>
      </c>
      <c r="AT1410" s="65" t="str">
        <f>IFERROR(VLOOKUP(#REF!,[1]Lookup!$B$2:$E$115,2,FALSE),"")</f>
        <v/>
      </c>
      <c r="AU1410" s="65" t="str">
        <f>IFERROR(VLOOKUP(#REF!,[1]Lookup!$B$2:$E$115,3,FALSE),"")</f>
        <v/>
      </c>
    </row>
    <row r="1411" spans="31:47" x14ac:dyDescent="0.3">
      <c r="AE1411" s="204" t="s">
        <v>398</v>
      </c>
      <c r="AF1411" s="204" t="s">
        <v>398</v>
      </c>
      <c r="AG1411" s="204" t="s">
        <v>398</v>
      </c>
      <c r="AS1411" s="65" t="str">
        <f>IFERROR(VLOOKUP(#REF!,[1]Lookup!$B$2:$E$115,4,FALSE),"")</f>
        <v/>
      </c>
      <c r="AT1411" s="65" t="str">
        <f>IFERROR(VLOOKUP(#REF!,[1]Lookup!$B$2:$E$115,2,FALSE),"")</f>
        <v/>
      </c>
      <c r="AU1411" s="65" t="str">
        <f>IFERROR(VLOOKUP(#REF!,[1]Lookup!$B$2:$E$115,3,FALSE),"")</f>
        <v/>
      </c>
    </row>
    <row r="1412" spans="31:47" x14ac:dyDescent="0.3">
      <c r="AE1412" s="204" t="s">
        <v>398</v>
      </c>
      <c r="AF1412" s="204" t="s">
        <v>398</v>
      </c>
      <c r="AG1412" s="204" t="s">
        <v>398</v>
      </c>
      <c r="AS1412" s="65" t="str">
        <f>IFERROR(VLOOKUP(#REF!,[1]Lookup!$B$2:$E$115,4,FALSE),"")</f>
        <v/>
      </c>
      <c r="AT1412" s="65" t="str">
        <f>IFERROR(VLOOKUP(#REF!,[1]Lookup!$B$2:$E$115,2,FALSE),"")</f>
        <v/>
      </c>
      <c r="AU1412" s="65" t="str">
        <f>IFERROR(VLOOKUP(#REF!,[1]Lookup!$B$2:$E$115,3,FALSE),"")</f>
        <v/>
      </c>
    </row>
    <row r="1413" spans="31:47" x14ac:dyDescent="0.3">
      <c r="AE1413" s="204" t="s">
        <v>398</v>
      </c>
      <c r="AF1413" s="204" t="s">
        <v>398</v>
      </c>
      <c r="AG1413" s="204" t="s">
        <v>398</v>
      </c>
      <c r="AS1413" s="65" t="str">
        <f>IFERROR(VLOOKUP(#REF!,[1]Lookup!$B$2:$E$115,4,FALSE),"")</f>
        <v/>
      </c>
      <c r="AT1413" s="65" t="str">
        <f>IFERROR(VLOOKUP(#REF!,[1]Lookup!$B$2:$E$115,2,FALSE),"")</f>
        <v/>
      </c>
      <c r="AU1413" s="65" t="str">
        <f>IFERROR(VLOOKUP(#REF!,[1]Lookup!$B$2:$E$115,3,FALSE),"")</f>
        <v/>
      </c>
    </row>
    <row r="1414" spans="31:47" x14ac:dyDescent="0.3">
      <c r="AE1414" s="204" t="s">
        <v>398</v>
      </c>
      <c r="AF1414" s="204" t="s">
        <v>398</v>
      </c>
      <c r="AG1414" s="204" t="s">
        <v>398</v>
      </c>
      <c r="AS1414" s="65" t="str">
        <f>IFERROR(VLOOKUP(#REF!,[1]Lookup!$B$2:$E$115,4,FALSE),"")</f>
        <v/>
      </c>
      <c r="AT1414" s="65" t="str">
        <f>IFERROR(VLOOKUP(#REF!,[1]Lookup!$B$2:$E$115,2,FALSE),"")</f>
        <v/>
      </c>
      <c r="AU1414" s="65" t="str">
        <f>IFERROR(VLOOKUP(#REF!,[1]Lookup!$B$2:$E$115,3,FALSE),"")</f>
        <v/>
      </c>
    </row>
    <row r="1415" spans="31:47" x14ac:dyDescent="0.3">
      <c r="AE1415" s="204" t="s">
        <v>398</v>
      </c>
      <c r="AF1415" s="204" t="s">
        <v>398</v>
      </c>
      <c r="AG1415" s="204" t="s">
        <v>398</v>
      </c>
      <c r="AS1415" s="65" t="str">
        <f>IFERROR(VLOOKUP(#REF!,[1]Lookup!$B$2:$E$115,4,FALSE),"")</f>
        <v/>
      </c>
      <c r="AT1415" s="65" t="str">
        <f>IFERROR(VLOOKUP(#REF!,[1]Lookup!$B$2:$E$115,2,FALSE),"")</f>
        <v/>
      </c>
      <c r="AU1415" s="65" t="str">
        <f>IFERROR(VLOOKUP(#REF!,[1]Lookup!$B$2:$E$115,3,FALSE),"")</f>
        <v/>
      </c>
    </row>
    <row r="1416" spans="31:47" x14ac:dyDescent="0.3">
      <c r="AE1416" s="204" t="s">
        <v>398</v>
      </c>
      <c r="AF1416" s="204" t="s">
        <v>398</v>
      </c>
      <c r="AG1416" s="204" t="s">
        <v>398</v>
      </c>
      <c r="AS1416" s="65" t="str">
        <f>IFERROR(VLOOKUP(#REF!,[1]Lookup!$B$2:$E$115,4,FALSE),"")</f>
        <v/>
      </c>
      <c r="AT1416" s="65" t="str">
        <f>IFERROR(VLOOKUP(#REF!,[1]Lookup!$B$2:$E$115,2,FALSE),"")</f>
        <v/>
      </c>
      <c r="AU1416" s="65" t="str">
        <f>IFERROR(VLOOKUP(#REF!,[1]Lookup!$B$2:$E$115,3,FALSE),"")</f>
        <v/>
      </c>
    </row>
    <row r="1417" spans="31:47" x14ac:dyDescent="0.3">
      <c r="AE1417" s="204" t="s">
        <v>398</v>
      </c>
      <c r="AF1417" s="204" t="s">
        <v>398</v>
      </c>
      <c r="AG1417" s="204" t="s">
        <v>398</v>
      </c>
      <c r="AS1417" s="65" t="str">
        <f>IFERROR(VLOOKUP(#REF!,[1]Lookup!$B$2:$E$115,4,FALSE),"")</f>
        <v/>
      </c>
      <c r="AT1417" s="65" t="str">
        <f>IFERROR(VLOOKUP(#REF!,[1]Lookup!$B$2:$E$115,2,FALSE),"")</f>
        <v/>
      </c>
      <c r="AU1417" s="65" t="str">
        <f>IFERROR(VLOOKUP(#REF!,[1]Lookup!$B$2:$E$115,3,FALSE),"")</f>
        <v/>
      </c>
    </row>
    <row r="1418" spans="31:47" x14ac:dyDescent="0.3">
      <c r="AE1418" s="204" t="s">
        <v>398</v>
      </c>
      <c r="AF1418" s="204" t="s">
        <v>398</v>
      </c>
      <c r="AG1418" s="204" t="s">
        <v>398</v>
      </c>
      <c r="AS1418" s="65" t="str">
        <f>IFERROR(VLOOKUP(#REF!,[1]Lookup!$B$2:$E$115,4,FALSE),"")</f>
        <v/>
      </c>
      <c r="AT1418" s="65" t="str">
        <f>IFERROR(VLOOKUP(#REF!,[1]Lookup!$B$2:$E$115,2,FALSE),"")</f>
        <v/>
      </c>
      <c r="AU1418" s="65" t="str">
        <f>IFERROR(VLOOKUP(#REF!,[1]Lookup!$B$2:$E$115,3,FALSE),"")</f>
        <v/>
      </c>
    </row>
    <row r="1419" spans="31:47" x14ac:dyDescent="0.3">
      <c r="AE1419" s="204" t="s">
        <v>398</v>
      </c>
      <c r="AF1419" s="204" t="s">
        <v>398</v>
      </c>
      <c r="AG1419" s="204" t="s">
        <v>398</v>
      </c>
      <c r="AS1419" s="65" t="str">
        <f>IFERROR(VLOOKUP(#REF!,[1]Lookup!$B$2:$E$115,4,FALSE),"")</f>
        <v/>
      </c>
      <c r="AT1419" s="65" t="str">
        <f>IFERROR(VLOOKUP(#REF!,[1]Lookup!$B$2:$E$115,2,FALSE),"")</f>
        <v/>
      </c>
      <c r="AU1419" s="65" t="str">
        <f>IFERROR(VLOOKUP(#REF!,[1]Lookup!$B$2:$E$115,3,FALSE),"")</f>
        <v/>
      </c>
    </row>
    <row r="1420" spans="31:47" x14ac:dyDescent="0.3">
      <c r="AE1420" s="204" t="s">
        <v>398</v>
      </c>
      <c r="AF1420" s="204" t="s">
        <v>398</v>
      </c>
      <c r="AG1420" s="204" t="s">
        <v>398</v>
      </c>
      <c r="AS1420" s="65" t="str">
        <f>IFERROR(VLOOKUP(#REF!,[1]Lookup!$B$2:$E$115,4,FALSE),"")</f>
        <v/>
      </c>
      <c r="AT1420" s="65" t="str">
        <f>IFERROR(VLOOKUP(#REF!,[1]Lookup!$B$2:$E$115,2,FALSE),"")</f>
        <v/>
      </c>
      <c r="AU1420" s="65" t="str">
        <f>IFERROR(VLOOKUP(#REF!,[1]Lookup!$B$2:$E$115,3,FALSE),"")</f>
        <v/>
      </c>
    </row>
    <row r="1421" spans="31:47" x14ac:dyDescent="0.3">
      <c r="AE1421" s="204" t="s">
        <v>398</v>
      </c>
      <c r="AF1421" s="204" t="s">
        <v>398</v>
      </c>
      <c r="AG1421" s="204" t="s">
        <v>398</v>
      </c>
      <c r="AS1421" s="65" t="str">
        <f>IFERROR(VLOOKUP(#REF!,[1]Lookup!$B$2:$E$115,4,FALSE),"")</f>
        <v/>
      </c>
      <c r="AT1421" s="65" t="str">
        <f>IFERROR(VLOOKUP(#REF!,[1]Lookup!$B$2:$E$115,2,FALSE),"")</f>
        <v/>
      </c>
      <c r="AU1421" s="65" t="str">
        <f>IFERROR(VLOOKUP(#REF!,[1]Lookup!$B$2:$E$115,3,FALSE),"")</f>
        <v/>
      </c>
    </row>
    <row r="1422" spans="31:47" x14ac:dyDescent="0.3">
      <c r="AE1422" s="204" t="s">
        <v>398</v>
      </c>
      <c r="AF1422" s="204" t="s">
        <v>398</v>
      </c>
      <c r="AG1422" s="204" t="s">
        <v>398</v>
      </c>
      <c r="AS1422" s="65" t="str">
        <f>IFERROR(VLOOKUP(#REF!,[1]Lookup!$B$2:$E$115,4,FALSE),"")</f>
        <v/>
      </c>
      <c r="AT1422" s="65" t="str">
        <f>IFERROR(VLOOKUP(#REF!,[1]Lookup!$B$2:$E$115,2,FALSE),"")</f>
        <v/>
      </c>
      <c r="AU1422" s="65" t="str">
        <f>IFERROR(VLOOKUP(#REF!,[1]Lookup!$B$2:$E$115,3,FALSE),"")</f>
        <v/>
      </c>
    </row>
    <row r="1423" spans="31:47" x14ac:dyDescent="0.3">
      <c r="AE1423" s="204" t="s">
        <v>398</v>
      </c>
      <c r="AF1423" s="204" t="s">
        <v>398</v>
      </c>
      <c r="AG1423" s="204" t="s">
        <v>398</v>
      </c>
      <c r="AS1423" s="65" t="str">
        <f>IFERROR(VLOOKUP(#REF!,[1]Lookup!$B$2:$E$115,4,FALSE),"")</f>
        <v/>
      </c>
      <c r="AT1423" s="65" t="str">
        <f>IFERROR(VLOOKUP(#REF!,[1]Lookup!$B$2:$E$115,2,FALSE),"")</f>
        <v/>
      </c>
      <c r="AU1423" s="65" t="str">
        <f>IFERROR(VLOOKUP(#REF!,[1]Lookup!$B$2:$E$115,3,FALSE),"")</f>
        <v/>
      </c>
    </row>
    <row r="1424" spans="31:47" x14ac:dyDescent="0.3">
      <c r="AE1424" s="204" t="s">
        <v>398</v>
      </c>
      <c r="AF1424" s="204" t="s">
        <v>398</v>
      </c>
      <c r="AG1424" s="204" t="s">
        <v>398</v>
      </c>
      <c r="AS1424" s="65" t="str">
        <f>IFERROR(VLOOKUP(#REF!,[1]Lookup!$B$2:$E$115,4,FALSE),"")</f>
        <v/>
      </c>
      <c r="AT1424" s="65" t="str">
        <f>IFERROR(VLOOKUP(#REF!,[1]Lookup!$B$2:$E$115,2,FALSE),"")</f>
        <v/>
      </c>
      <c r="AU1424" s="65" t="str">
        <f>IFERROR(VLOOKUP(#REF!,[1]Lookup!$B$2:$E$115,3,FALSE),"")</f>
        <v/>
      </c>
    </row>
    <row r="1425" spans="31:47" x14ac:dyDescent="0.3">
      <c r="AE1425" s="204" t="s">
        <v>398</v>
      </c>
      <c r="AF1425" s="204" t="s">
        <v>398</v>
      </c>
      <c r="AG1425" s="204" t="s">
        <v>398</v>
      </c>
      <c r="AS1425" s="65" t="str">
        <f>IFERROR(VLOOKUP(#REF!,[1]Lookup!$B$2:$E$115,4,FALSE),"")</f>
        <v/>
      </c>
      <c r="AT1425" s="65" t="str">
        <f>IFERROR(VLOOKUP(#REF!,[1]Lookup!$B$2:$E$115,2,FALSE),"")</f>
        <v/>
      </c>
      <c r="AU1425" s="65" t="str">
        <f>IFERROR(VLOOKUP(#REF!,[1]Lookup!$B$2:$E$115,3,FALSE),"")</f>
        <v/>
      </c>
    </row>
    <row r="1426" spans="31:47" x14ac:dyDescent="0.3">
      <c r="AE1426" s="204" t="s">
        <v>398</v>
      </c>
      <c r="AF1426" s="204" t="s">
        <v>398</v>
      </c>
      <c r="AG1426" s="204" t="s">
        <v>398</v>
      </c>
      <c r="AS1426" s="65" t="str">
        <f>IFERROR(VLOOKUP(#REF!,[1]Lookup!$B$2:$E$115,4,FALSE),"")</f>
        <v/>
      </c>
      <c r="AT1426" s="65" t="str">
        <f>IFERROR(VLOOKUP(#REF!,[1]Lookup!$B$2:$E$115,2,FALSE),"")</f>
        <v/>
      </c>
      <c r="AU1426" s="65" t="str">
        <f>IFERROR(VLOOKUP(#REF!,[1]Lookup!$B$2:$E$115,3,FALSE),"")</f>
        <v/>
      </c>
    </row>
    <row r="1427" spans="31:47" x14ac:dyDescent="0.3">
      <c r="AE1427" s="204" t="s">
        <v>398</v>
      </c>
      <c r="AF1427" s="204" t="s">
        <v>398</v>
      </c>
      <c r="AG1427" s="204" t="s">
        <v>398</v>
      </c>
      <c r="AS1427" s="65" t="str">
        <f>IFERROR(VLOOKUP(#REF!,[1]Lookup!$B$2:$E$115,4,FALSE),"")</f>
        <v/>
      </c>
      <c r="AT1427" s="65" t="str">
        <f>IFERROR(VLOOKUP(#REF!,[1]Lookup!$B$2:$E$115,2,FALSE),"")</f>
        <v/>
      </c>
      <c r="AU1427" s="65" t="str">
        <f>IFERROR(VLOOKUP(#REF!,[1]Lookup!$B$2:$E$115,3,FALSE),"")</f>
        <v/>
      </c>
    </row>
    <row r="1428" spans="31:47" x14ac:dyDescent="0.3">
      <c r="AE1428" s="204" t="s">
        <v>398</v>
      </c>
      <c r="AF1428" s="204" t="s">
        <v>398</v>
      </c>
      <c r="AG1428" s="204" t="s">
        <v>398</v>
      </c>
      <c r="AS1428" s="65" t="str">
        <f>IFERROR(VLOOKUP(#REF!,[1]Lookup!$B$2:$E$115,4,FALSE),"")</f>
        <v/>
      </c>
      <c r="AT1428" s="65" t="str">
        <f>IFERROR(VLOOKUP(#REF!,[1]Lookup!$B$2:$E$115,2,FALSE),"")</f>
        <v/>
      </c>
      <c r="AU1428" s="65" t="str">
        <f>IFERROR(VLOOKUP(#REF!,[1]Lookup!$B$2:$E$115,3,FALSE),"")</f>
        <v/>
      </c>
    </row>
    <row r="1429" spans="31:47" x14ac:dyDescent="0.3">
      <c r="AE1429" s="204" t="s">
        <v>398</v>
      </c>
      <c r="AF1429" s="204" t="s">
        <v>398</v>
      </c>
      <c r="AG1429" s="204" t="s">
        <v>398</v>
      </c>
      <c r="AS1429" s="65" t="str">
        <f>IFERROR(VLOOKUP(#REF!,[1]Lookup!$B$2:$E$115,4,FALSE),"")</f>
        <v/>
      </c>
      <c r="AT1429" s="65" t="str">
        <f>IFERROR(VLOOKUP(#REF!,[1]Lookup!$B$2:$E$115,2,FALSE),"")</f>
        <v/>
      </c>
      <c r="AU1429" s="65" t="str">
        <f>IFERROR(VLOOKUP(#REF!,[1]Lookup!$B$2:$E$115,3,FALSE),"")</f>
        <v/>
      </c>
    </row>
    <row r="1430" spans="31:47" x14ac:dyDescent="0.3">
      <c r="AE1430" s="204" t="s">
        <v>398</v>
      </c>
      <c r="AF1430" s="204" t="s">
        <v>398</v>
      </c>
      <c r="AG1430" s="204" t="s">
        <v>398</v>
      </c>
      <c r="AS1430" s="65" t="str">
        <f>IFERROR(VLOOKUP(#REF!,[1]Lookup!$B$2:$E$115,4,FALSE),"")</f>
        <v/>
      </c>
      <c r="AT1430" s="65" t="str">
        <f>IFERROR(VLOOKUP(#REF!,[1]Lookup!$B$2:$E$115,2,FALSE),"")</f>
        <v/>
      </c>
      <c r="AU1430" s="65" t="str">
        <f>IFERROR(VLOOKUP(#REF!,[1]Lookup!$B$2:$E$115,3,FALSE),"")</f>
        <v/>
      </c>
    </row>
    <row r="1431" spans="31:47" x14ac:dyDescent="0.3">
      <c r="AE1431" s="204" t="s">
        <v>398</v>
      </c>
      <c r="AF1431" s="204" t="s">
        <v>398</v>
      </c>
      <c r="AG1431" s="204" t="s">
        <v>398</v>
      </c>
      <c r="AS1431" s="65" t="str">
        <f>IFERROR(VLOOKUP(#REF!,[1]Lookup!$B$2:$E$115,4,FALSE),"")</f>
        <v/>
      </c>
      <c r="AT1431" s="65" t="str">
        <f>IFERROR(VLOOKUP(#REF!,[1]Lookup!$B$2:$E$115,2,FALSE),"")</f>
        <v/>
      </c>
      <c r="AU1431" s="65" t="str">
        <f>IFERROR(VLOOKUP(#REF!,[1]Lookup!$B$2:$E$115,3,FALSE),"")</f>
        <v/>
      </c>
    </row>
    <row r="1432" spans="31:47" x14ac:dyDescent="0.3">
      <c r="AE1432" s="204" t="s">
        <v>398</v>
      </c>
      <c r="AF1432" s="204" t="s">
        <v>398</v>
      </c>
      <c r="AG1432" s="204" t="s">
        <v>398</v>
      </c>
      <c r="AS1432" s="65" t="str">
        <f>IFERROR(VLOOKUP(#REF!,[1]Lookup!$B$2:$E$115,4,FALSE),"")</f>
        <v/>
      </c>
      <c r="AT1432" s="65" t="str">
        <f>IFERROR(VLOOKUP(#REF!,[1]Lookup!$B$2:$E$115,2,FALSE),"")</f>
        <v/>
      </c>
      <c r="AU1432" s="65" t="str">
        <f>IFERROR(VLOOKUP(#REF!,[1]Lookup!$B$2:$E$115,3,FALSE),"")</f>
        <v/>
      </c>
    </row>
    <row r="1433" spans="31:47" x14ac:dyDescent="0.3">
      <c r="AE1433" s="204" t="s">
        <v>398</v>
      </c>
      <c r="AF1433" s="204" t="s">
        <v>398</v>
      </c>
      <c r="AG1433" s="204" t="s">
        <v>398</v>
      </c>
      <c r="AS1433" s="65" t="str">
        <f>IFERROR(VLOOKUP(#REF!,[1]Lookup!$B$2:$E$115,4,FALSE),"")</f>
        <v/>
      </c>
      <c r="AT1433" s="65" t="str">
        <f>IFERROR(VLOOKUP(#REF!,[1]Lookup!$B$2:$E$115,2,FALSE),"")</f>
        <v/>
      </c>
      <c r="AU1433" s="65" t="str">
        <f>IFERROR(VLOOKUP(#REF!,[1]Lookup!$B$2:$E$115,3,FALSE),"")</f>
        <v/>
      </c>
    </row>
    <row r="1434" spans="31:47" x14ac:dyDescent="0.3">
      <c r="AE1434" s="204" t="s">
        <v>398</v>
      </c>
      <c r="AF1434" s="204" t="s">
        <v>398</v>
      </c>
      <c r="AG1434" s="204" t="s">
        <v>398</v>
      </c>
      <c r="AS1434" s="65" t="str">
        <f>IFERROR(VLOOKUP(#REF!,[1]Lookup!$B$2:$E$115,4,FALSE),"")</f>
        <v/>
      </c>
      <c r="AT1434" s="65" t="str">
        <f>IFERROR(VLOOKUP(#REF!,[1]Lookup!$B$2:$E$115,2,FALSE),"")</f>
        <v/>
      </c>
      <c r="AU1434" s="65" t="str">
        <f>IFERROR(VLOOKUP(#REF!,[1]Lookup!$B$2:$E$115,3,FALSE),"")</f>
        <v/>
      </c>
    </row>
    <row r="1435" spans="31:47" x14ac:dyDescent="0.3">
      <c r="AE1435" s="204" t="s">
        <v>398</v>
      </c>
      <c r="AF1435" s="204" t="s">
        <v>398</v>
      </c>
      <c r="AG1435" s="204" t="s">
        <v>398</v>
      </c>
      <c r="AS1435" s="65" t="str">
        <f>IFERROR(VLOOKUP(#REF!,[1]Lookup!$B$2:$E$115,4,FALSE),"")</f>
        <v/>
      </c>
      <c r="AT1435" s="65" t="str">
        <f>IFERROR(VLOOKUP(#REF!,[1]Lookup!$B$2:$E$115,2,FALSE),"")</f>
        <v/>
      </c>
      <c r="AU1435" s="65" t="str">
        <f>IFERROR(VLOOKUP(#REF!,[1]Lookup!$B$2:$E$115,3,FALSE),"")</f>
        <v/>
      </c>
    </row>
    <row r="1436" spans="31:47" x14ac:dyDescent="0.3">
      <c r="AE1436" s="204" t="s">
        <v>398</v>
      </c>
      <c r="AF1436" s="204" t="s">
        <v>398</v>
      </c>
      <c r="AG1436" s="204" t="s">
        <v>398</v>
      </c>
      <c r="AS1436" s="65" t="str">
        <f>IFERROR(VLOOKUP(#REF!,[1]Lookup!$B$2:$E$115,4,FALSE),"")</f>
        <v/>
      </c>
      <c r="AT1436" s="65" t="str">
        <f>IFERROR(VLOOKUP(#REF!,[1]Lookup!$B$2:$E$115,2,FALSE),"")</f>
        <v/>
      </c>
      <c r="AU1436" s="65" t="str">
        <f>IFERROR(VLOOKUP(#REF!,[1]Lookup!$B$2:$E$115,3,FALSE),"")</f>
        <v/>
      </c>
    </row>
    <row r="1437" spans="31:47" x14ac:dyDescent="0.3">
      <c r="AE1437" s="204" t="s">
        <v>398</v>
      </c>
      <c r="AF1437" s="204" t="s">
        <v>398</v>
      </c>
      <c r="AG1437" s="204" t="s">
        <v>398</v>
      </c>
      <c r="AS1437" s="65" t="str">
        <f>IFERROR(VLOOKUP(#REF!,[1]Lookup!$B$2:$E$115,4,FALSE),"")</f>
        <v/>
      </c>
      <c r="AT1437" s="65" t="str">
        <f>IFERROR(VLOOKUP(#REF!,[1]Lookup!$B$2:$E$115,2,FALSE),"")</f>
        <v/>
      </c>
      <c r="AU1437" s="65" t="str">
        <f>IFERROR(VLOOKUP(#REF!,[1]Lookup!$B$2:$E$115,3,FALSE),"")</f>
        <v/>
      </c>
    </row>
    <row r="1438" spans="31:47" x14ac:dyDescent="0.3">
      <c r="AE1438" s="204" t="s">
        <v>398</v>
      </c>
      <c r="AF1438" s="204" t="s">
        <v>398</v>
      </c>
      <c r="AG1438" s="204" t="s">
        <v>398</v>
      </c>
      <c r="AS1438" s="65" t="str">
        <f>IFERROR(VLOOKUP(#REF!,[1]Lookup!$B$2:$E$115,4,FALSE),"")</f>
        <v/>
      </c>
      <c r="AT1438" s="65" t="str">
        <f>IFERROR(VLOOKUP(#REF!,[1]Lookup!$B$2:$E$115,2,FALSE),"")</f>
        <v/>
      </c>
      <c r="AU1438" s="65" t="str">
        <f>IFERROR(VLOOKUP(#REF!,[1]Lookup!$B$2:$E$115,3,FALSE),"")</f>
        <v/>
      </c>
    </row>
    <row r="1439" spans="31:47" x14ac:dyDescent="0.3">
      <c r="AE1439" s="204" t="s">
        <v>398</v>
      </c>
      <c r="AF1439" s="204" t="s">
        <v>398</v>
      </c>
      <c r="AG1439" s="204" t="s">
        <v>398</v>
      </c>
      <c r="AS1439" s="65" t="str">
        <f>IFERROR(VLOOKUP(#REF!,[1]Lookup!$B$2:$E$115,4,FALSE),"")</f>
        <v/>
      </c>
      <c r="AT1439" s="65" t="str">
        <f>IFERROR(VLOOKUP(#REF!,[1]Lookup!$B$2:$E$115,2,FALSE),"")</f>
        <v/>
      </c>
      <c r="AU1439" s="65" t="str">
        <f>IFERROR(VLOOKUP(#REF!,[1]Lookup!$B$2:$E$115,3,FALSE),"")</f>
        <v/>
      </c>
    </row>
    <row r="1440" spans="31:47" x14ac:dyDescent="0.3">
      <c r="AE1440" s="204" t="s">
        <v>398</v>
      </c>
      <c r="AF1440" s="204" t="s">
        <v>398</v>
      </c>
      <c r="AG1440" s="204" t="s">
        <v>398</v>
      </c>
      <c r="AS1440" s="65" t="str">
        <f>IFERROR(VLOOKUP(#REF!,[1]Lookup!$B$2:$E$115,4,FALSE),"")</f>
        <v/>
      </c>
      <c r="AT1440" s="65" t="str">
        <f>IFERROR(VLOOKUP(#REF!,[1]Lookup!$B$2:$E$115,2,FALSE),"")</f>
        <v/>
      </c>
      <c r="AU1440" s="65" t="str">
        <f>IFERROR(VLOOKUP(#REF!,[1]Lookup!$B$2:$E$115,3,FALSE),"")</f>
        <v/>
      </c>
    </row>
    <row r="1441" spans="31:47" x14ac:dyDescent="0.3">
      <c r="AE1441" s="204" t="s">
        <v>398</v>
      </c>
      <c r="AF1441" s="204" t="s">
        <v>398</v>
      </c>
      <c r="AG1441" s="204" t="s">
        <v>398</v>
      </c>
      <c r="AS1441" s="65" t="str">
        <f>IFERROR(VLOOKUP(#REF!,[1]Lookup!$B$2:$E$115,4,FALSE),"")</f>
        <v/>
      </c>
      <c r="AT1441" s="65" t="str">
        <f>IFERROR(VLOOKUP(#REF!,[1]Lookup!$B$2:$E$115,2,FALSE),"")</f>
        <v/>
      </c>
      <c r="AU1441" s="65" t="str">
        <f>IFERROR(VLOOKUP(#REF!,[1]Lookup!$B$2:$E$115,3,FALSE),"")</f>
        <v/>
      </c>
    </row>
    <row r="1442" spans="31:47" x14ac:dyDescent="0.3">
      <c r="AE1442" s="204" t="s">
        <v>398</v>
      </c>
      <c r="AF1442" s="204" t="s">
        <v>398</v>
      </c>
      <c r="AG1442" s="204" t="s">
        <v>398</v>
      </c>
      <c r="AS1442" s="65" t="str">
        <f>IFERROR(VLOOKUP(#REF!,[1]Lookup!$B$2:$E$115,4,FALSE),"")</f>
        <v/>
      </c>
      <c r="AT1442" s="65" t="str">
        <f>IFERROR(VLOOKUP(#REF!,[1]Lookup!$B$2:$E$115,2,FALSE),"")</f>
        <v/>
      </c>
      <c r="AU1442" s="65" t="str">
        <f>IFERROR(VLOOKUP(#REF!,[1]Lookup!$B$2:$E$115,3,FALSE),"")</f>
        <v/>
      </c>
    </row>
    <row r="1443" spans="31:47" x14ac:dyDescent="0.3">
      <c r="AE1443" s="204" t="s">
        <v>398</v>
      </c>
      <c r="AF1443" s="204" t="s">
        <v>398</v>
      </c>
      <c r="AG1443" s="204" t="s">
        <v>398</v>
      </c>
      <c r="AS1443" s="65" t="str">
        <f>IFERROR(VLOOKUP(#REF!,[1]Lookup!$B$2:$E$115,4,FALSE),"")</f>
        <v/>
      </c>
      <c r="AT1443" s="65" t="str">
        <f>IFERROR(VLOOKUP(#REF!,[1]Lookup!$B$2:$E$115,2,FALSE),"")</f>
        <v/>
      </c>
      <c r="AU1443" s="65" t="str">
        <f>IFERROR(VLOOKUP(#REF!,[1]Lookup!$B$2:$E$115,3,FALSE),"")</f>
        <v/>
      </c>
    </row>
    <row r="1444" spans="31:47" x14ac:dyDescent="0.3">
      <c r="AE1444" s="204" t="s">
        <v>398</v>
      </c>
      <c r="AF1444" s="204" t="s">
        <v>398</v>
      </c>
      <c r="AG1444" s="204" t="s">
        <v>398</v>
      </c>
      <c r="AS1444" s="65" t="str">
        <f>IFERROR(VLOOKUP(#REF!,[1]Lookup!$B$2:$E$115,4,FALSE),"")</f>
        <v/>
      </c>
      <c r="AT1444" s="65" t="str">
        <f>IFERROR(VLOOKUP(#REF!,[1]Lookup!$B$2:$E$115,2,FALSE),"")</f>
        <v/>
      </c>
      <c r="AU1444" s="65" t="str">
        <f>IFERROR(VLOOKUP(#REF!,[1]Lookup!$B$2:$E$115,3,FALSE),"")</f>
        <v/>
      </c>
    </row>
    <row r="1445" spans="31:47" x14ac:dyDescent="0.3">
      <c r="AE1445" s="204" t="s">
        <v>398</v>
      </c>
      <c r="AF1445" s="204" t="s">
        <v>398</v>
      </c>
      <c r="AG1445" s="204" t="s">
        <v>398</v>
      </c>
      <c r="AS1445" s="65" t="str">
        <f>IFERROR(VLOOKUP(#REF!,[1]Lookup!$B$2:$E$115,4,FALSE),"")</f>
        <v/>
      </c>
      <c r="AT1445" s="65" t="str">
        <f>IFERROR(VLOOKUP(#REF!,[1]Lookup!$B$2:$E$115,2,FALSE),"")</f>
        <v/>
      </c>
      <c r="AU1445" s="65" t="str">
        <f>IFERROR(VLOOKUP(#REF!,[1]Lookup!$B$2:$E$115,3,FALSE),"")</f>
        <v/>
      </c>
    </row>
    <row r="1446" spans="31:47" x14ac:dyDescent="0.3">
      <c r="AE1446" s="204" t="s">
        <v>398</v>
      </c>
      <c r="AF1446" s="204" t="s">
        <v>398</v>
      </c>
      <c r="AG1446" s="204" t="s">
        <v>398</v>
      </c>
      <c r="AS1446" s="65" t="str">
        <f>IFERROR(VLOOKUP(#REF!,[1]Lookup!$B$2:$E$115,4,FALSE),"")</f>
        <v/>
      </c>
      <c r="AT1446" s="65" t="str">
        <f>IFERROR(VLOOKUP(#REF!,[1]Lookup!$B$2:$E$115,2,FALSE),"")</f>
        <v/>
      </c>
      <c r="AU1446" s="65" t="str">
        <f>IFERROR(VLOOKUP(#REF!,[1]Lookup!$B$2:$E$115,3,FALSE),"")</f>
        <v/>
      </c>
    </row>
    <row r="1447" spans="31:47" x14ac:dyDescent="0.3">
      <c r="AE1447" s="204" t="s">
        <v>398</v>
      </c>
      <c r="AF1447" s="204" t="s">
        <v>398</v>
      </c>
      <c r="AG1447" s="204" t="s">
        <v>398</v>
      </c>
      <c r="AS1447" s="65" t="str">
        <f>IFERROR(VLOOKUP(#REF!,[1]Lookup!$B$2:$E$115,4,FALSE),"")</f>
        <v/>
      </c>
      <c r="AT1447" s="65" t="str">
        <f>IFERROR(VLOOKUP(#REF!,[1]Lookup!$B$2:$E$115,2,FALSE),"")</f>
        <v/>
      </c>
      <c r="AU1447" s="65" t="str">
        <f>IFERROR(VLOOKUP(#REF!,[1]Lookup!$B$2:$E$115,3,FALSE),"")</f>
        <v/>
      </c>
    </row>
    <row r="1448" spans="31:47" x14ac:dyDescent="0.3">
      <c r="AE1448" s="204" t="s">
        <v>398</v>
      </c>
      <c r="AF1448" s="204" t="s">
        <v>398</v>
      </c>
      <c r="AG1448" s="204" t="s">
        <v>398</v>
      </c>
      <c r="AS1448" s="65" t="str">
        <f>IFERROR(VLOOKUP(#REF!,[1]Lookup!$B$2:$E$115,4,FALSE),"")</f>
        <v/>
      </c>
      <c r="AT1448" s="65" t="str">
        <f>IFERROR(VLOOKUP(#REF!,[1]Lookup!$B$2:$E$115,2,FALSE),"")</f>
        <v/>
      </c>
      <c r="AU1448" s="65" t="str">
        <f>IFERROR(VLOOKUP(#REF!,[1]Lookup!$B$2:$E$115,3,FALSE),"")</f>
        <v/>
      </c>
    </row>
    <row r="1449" spans="31:47" x14ac:dyDescent="0.3">
      <c r="AE1449" s="204" t="s">
        <v>398</v>
      </c>
      <c r="AF1449" s="204" t="s">
        <v>398</v>
      </c>
      <c r="AG1449" s="204" t="s">
        <v>398</v>
      </c>
      <c r="AS1449" s="65" t="str">
        <f>IFERROR(VLOOKUP(#REF!,[1]Lookup!$B$2:$E$115,4,FALSE),"")</f>
        <v/>
      </c>
      <c r="AT1449" s="65" t="str">
        <f>IFERROR(VLOOKUP(#REF!,[1]Lookup!$B$2:$E$115,2,FALSE),"")</f>
        <v/>
      </c>
      <c r="AU1449" s="65" t="str">
        <f>IFERROR(VLOOKUP(#REF!,[1]Lookup!$B$2:$E$115,3,FALSE),"")</f>
        <v/>
      </c>
    </row>
    <row r="1450" spans="31:47" x14ac:dyDescent="0.3">
      <c r="AE1450" s="204" t="s">
        <v>398</v>
      </c>
      <c r="AF1450" s="204" t="s">
        <v>398</v>
      </c>
      <c r="AG1450" s="204" t="s">
        <v>398</v>
      </c>
      <c r="AS1450" s="65" t="str">
        <f>IFERROR(VLOOKUP(#REF!,[1]Lookup!$B$2:$E$115,4,FALSE),"")</f>
        <v/>
      </c>
      <c r="AT1450" s="65" t="str">
        <f>IFERROR(VLOOKUP(#REF!,[1]Lookup!$B$2:$E$115,2,FALSE),"")</f>
        <v/>
      </c>
      <c r="AU1450" s="65" t="str">
        <f>IFERROR(VLOOKUP(#REF!,[1]Lookup!$B$2:$E$115,3,FALSE),"")</f>
        <v/>
      </c>
    </row>
    <row r="1451" spans="31:47" x14ac:dyDescent="0.3">
      <c r="AE1451" s="204" t="s">
        <v>398</v>
      </c>
      <c r="AF1451" s="204" t="s">
        <v>398</v>
      </c>
      <c r="AG1451" s="204" t="s">
        <v>398</v>
      </c>
      <c r="AS1451" s="65" t="str">
        <f>IFERROR(VLOOKUP(#REF!,[1]Lookup!$B$2:$E$115,4,FALSE),"")</f>
        <v/>
      </c>
      <c r="AT1451" s="65" t="str">
        <f>IFERROR(VLOOKUP(#REF!,[1]Lookup!$B$2:$E$115,2,FALSE),"")</f>
        <v/>
      </c>
      <c r="AU1451" s="65" t="str">
        <f>IFERROR(VLOOKUP(#REF!,[1]Lookup!$B$2:$E$115,3,FALSE),"")</f>
        <v/>
      </c>
    </row>
    <row r="1452" spans="31:47" x14ac:dyDescent="0.3">
      <c r="AE1452" s="204" t="s">
        <v>398</v>
      </c>
      <c r="AF1452" s="204" t="s">
        <v>398</v>
      </c>
      <c r="AG1452" s="204" t="s">
        <v>398</v>
      </c>
      <c r="AS1452" s="65" t="str">
        <f>IFERROR(VLOOKUP(#REF!,[1]Lookup!$B$2:$E$115,4,FALSE),"")</f>
        <v/>
      </c>
      <c r="AT1452" s="65" t="str">
        <f>IFERROR(VLOOKUP(#REF!,[1]Lookup!$B$2:$E$115,2,FALSE),"")</f>
        <v/>
      </c>
      <c r="AU1452" s="65" t="str">
        <f>IFERROR(VLOOKUP(#REF!,[1]Lookup!$B$2:$E$115,3,FALSE),"")</f>
        <v/>
      </c>
    </row>
    <row r="1453" spans="31:47" x14ac:dyDescent="0.3">
      <c r="AE1453" s="204" t="s">
        <v>398</v>
      </c>
      <c r="AF1453" s="204" t="s">
        <v>398</v>
      </c>
      <c r="AG1453" s="204" t="s">
        <v>398</v>
      </c>
      <c r="AS1453" s="65" t="str">
        <f>IFERROR(VLOOKUP(#REF!,[1]Lookup!$B$2:$E$115,4,FALSE),"")</f>
        <v/>
      </c>
      <c r="AT1453" s="65" t="str">
        <f>IFERROR(VLOOKUP(#REF!,[1]Lookup!$B$2:$E$115,2,FALSE),"")</f>
        <v/>
      </c>
      <c r="AU1453" s="65" t="str">
        <f>IFERROR(VLOOKUP(#REF!,[1]Lookup!$B$2:$E$115,3,FALSE),"")</f>
        <v/>
      </c>
    </row>
    <row r="1454" spans="31:47" x14ac:dyDescent="0.3">
      <c r="AE1454" s="204" t="s">
        <v>398</v>
      </c>
      <c r="AF1454" s="204" t="s">
        <v>398</v>
      </c>
      <c r="AG1454" s="204" t="s">
        <v>398</v>
      </c>
      <c r="AS1454" s="65" t="str">
        <f>IFERROR(VLOOKUP(#REF!,[1]Lookup!$B$2:$E$115,4,FALSE),"")</f>
        <v/>
      </c>
      <c r="AT1454" s="65" t="str">
        <f>IFERROR(VLOOKUP(#REF!,[1]Lookup!$B$2:$E$115,2,FALSE),"")</f>
        <v/>
      </c>
      <c r="AU1454" s="65" t="str">
        <f>IFERROR(VLOOKUP(#REF!,[1]Lookup!$B$2:$E$115,3,FALSE),"")</f>
        <v/>
      </c>
    </row>
    <row r="1455" spans="31:47" x14ac:dyDescent="0.3">
      <c r="AE1455" s="204" t="s">
        <v>398</v>
      </c>
      <c r="AF1455" s="204" t="s">
        <v>398</v>
      </c>
      <c r="AG1455" s="204" t="s">
        <v>398</v>
      </c>
      <c r="AS1455" s="65" t="str">
        <f>IFERROR(VLOOKUP(#REF!,[1]Lookup!$B$2:$E$115,4,FALSE),"")</f>
        <v/>
      </c>
      <c r="AT1455" s="65" t="str">
        <f>IFERROR(VLOOKUP(#REF!,[1]Lookup!$B$2:$E$115,2,FALSE),"")</f>
        <v/>
      </c>
      <c r="AU1455" s="65" t="str">
        <f>IFERROR(VLOOKUP(#REF!,[1]Lookup!$B$2:$E$115,3,FALSE),"")</f>
        <v/>
      </c>
    </row>
    <row r="1456" spans="31:47" x14ac:dyDescent="0.3">
      <c r="AE1456" s="204" t="s">
        <v>398</v>
      </c>
      <c r="AF1456" s="204" t="s">
        <v>398</v>
      </c>
      <c r="AG1456" s="204" t="s">
        <v>398</v>
      </c>
      <c r="AS1456" s="65" t="str">
        <f>IFERROR(VLOOKUP(#REF!,[1]Lookup!$B$2:$E$115,4,FALSE),"")</f>
        <v/>
      </c>
      <c r="AT1456" s="65" t="str">
        <f>IFERROR(VLOOKUP(#REF!,[1]Lookup!$B$2:$E$115,2,FALSE),"")</f>
        <v/>
      </c>
      <c r="AU1456" s="65" t="str">
        <f>IFERROR(VLOOKUP(#REF!,[1]Lookup!$B$2:$E$115,3,FALSE),"")</f>
        <v/>
      </c>
    </row>
    <row r="1457" spans="31:47" x14ac:dyDescent="0.3">
      <c r="AE1457" s="204" t="s">
        <v>398</v>
      </c>
      <c r="AF1457" s="204" t="s">
        <v>398</v>
      </c>
      <c r="AG1457" s="204" t="s">
        <v>398</v>
      </c>
      <c r="AS1457" s="65" t="str">
        <f>IFERROR(VLOOKUP(#REF!,[1]Lookup!$B$2:$E$115,4,FALSE),"")</f>
        <v/>
      </c>
      <c r="AT1457" s="65" t="str">
        <f>IFERROR(VLOOKUP(#REF!,[1]Lookup!$B$2:$E$115,2,FALSE),"")</f>
        <v/>
      </c>
      <c r="AU1457" s="65" t="str">
        <f>IFERROR(VLOOKUP(#REF!,[1]Lookup!$B$2:$E$115,3,FALSE),"")</f>
        <v/>
      </c>
    </row>
    <row r="1458" spans="31:47" x14ac:dyDescent="0.3">
      <c r="AE1458" s="204" t="s">
        <v>398</v>
      </c>
      <c r="AF1458" s="204" t="s">
        <v>398</v>
      </c>
      <c r="AG1458" s="204" t="s">
        <v>398</v>
      </c>
      <c r="AS1458" s="65" t="str">
        <f>IFERROR(VLOOKUP(#REF!,[1]Lookup!$B$2:$E$115,4,FALSE),"")</f>
        <v/>
      </c>
      <c r="AT1458" s="65" t="str">
        <f>IFERROR(VLOOKUP(#REF!,[1]Lookup!$B$2:$E$115,2,FALSE),"")</f>
        <v/>
      </c>
      <c r="AU1458" s="65" t="str">
        <f>IFERROR(VLOOKUP(#REF!,[1]Lookup!$B$2:$E$115,3,FALSE),"")</f>
        <v/>
      </c>
    </row>
    <row r="1459" spans="31:47" x14ac:dyDescent="0.3">
      <c r="AE1459" s="204" t="s">
        <v>398</v>
      </c>
      <c r="AF1459" s="204" t="s">
        <v>398</v>
      </c>
      <c r="AG1459" s="204" t="s">
        <v>398</v>
      </c>
      <c r="AS1459" s="65" t="str">
        <f>IFERROR(VLOOKUP(#REF!,[1]Lookup!$B$2:$E$115,4,FALSE),"")</f>
        <v/>
      </c>
      <c r="AT1459" s="65" t="str">
        <f>IFERROR(VLOOKUP(#REF!,[1]Lookup!$B$2:$E$115,2,FALSE),"")</f>
        <v/>
      </c>
      <c r="AU1459" s="65" t="str">
        <f>IFERROR(VLOOKUP(#REF!,[1]Lookup!$B$2:$E$115,3,FALSE),"")</f>
        <v/>
      </c>
    </row>
    <row r="1460" spans="31:47" x14ac:dyDescent="0.3">
      <c r="AE1460" s="204" t="s">
        <v>398</v>
      </c>
      <c r="AF1460" s="204" t="s">
        <v>398</v>
      </c>
      <c r="AG1460" s="204" t="s">
        <v>398</v>
      </c>
      <c r="AS1460" s="65" t="str">
        <f>IFERROR(VLOOKUP(#REF!,[1]Lookup!$B$2:$E$115,4,FALSE),"")</f>
        <v/>
      </c>
      <c r="AT1460" s="65" t="str">
        <f>IFERROR(VLOOKUP(#REF!,[1]Lookup!$B$2:$E$115,2,FALSE),"")</f>
        <v/>
      </c>
      <c r="AU1460" s="65" t="str">
        <f>IFERROR(VLOOKUP(#REF!,[1]Lookup!$B$2:$E$115,3,FALSE),"")</f>
        <v/>
      </c>
    </row>
    <row r="1461" spans="31:47" x14ac:dyDescent="0.3">
      <c r="AE1461" s="204" t="s">
        <v>398</v>
      </c>
      <c r="AF1461" s="204" t="s">
        <v>398</v>
      </c>
      <c r="AG1461" s="204" t="s">
        <v>398</v>
      </c>
      <c r="AS1461" s="65" t="str">
        <f>IFERROR(VLOOKUP(#REF!,[1]Lookup!$B$2:$E$115,4,FALSE),"")</f>
        <v/>
      </c>
      <c r="AT1461" s="65" t="str">
        <f>IFERROR(VLOOKUP(#REF!,[1]Lookup!$B$2:$E$115,2,FALSE),"")</f>
        <v/>
      </c>
      <c r="AU1461" s="65" t="str">
        <f>IFERROR(VLOOKUP(#REF!,[1]Lookup!$B$2:$E$115,3,FALSE),"")</f>
        <v/>
      </c>
    </row>
    <row r="1462" spans="31:47" x14ac:dyDescent="0.3">
      <c r="AE1462" s="204" t="s">
        <v>398</v>
      </c>
      <c r="AF1462" s="204" t="s">
        <v>398</v>
      </c>
      <c r="AG1462" s="204" t="s">
        <v>398</v>
      </c>
      <c r="AS1462" s="65" t="str">
        <f>IFERROR(VLOOKUP(#REF!,[1]Lookup!$B$2:$E$115,4,FALSE),"")</f>
        <v/>
      </c>
      <c r="AT1462" s="65" t="str">
        <f>IFERROR(VLOOKUP(#REF!,[1]Lookup!$B$2:$E$115,2,FALSE),"")</f>
        <v/>
      </c>
      <c r="AU1462" s="65" t="str">
        <f>IFERROR(VLOOKUP(#REF!,[1]Lookup!$B$2:$E$115,3,FALSE),"")</f>
        <v/>
      </c>
    </row>
    <row r="1463" spans="31:47" x14ac:dyDescent="0.3">
      <c r="AE1463" s="204" t="s">
        <v>398</v>
      </c>
      <c r="AF1463" s="204" t="s">
        <v>398</v>
      </c>
      <c r="AG1463" s="204" t="s">
        <v>398</v>
      </c>
      <c r="AS1463" s="65" t="str">
        <f>IFERROR(VLOOKUP(#REF!,[1]Lookup!$B$2:$E$115,4,FALSE),"")</f>
        <v/>
      </c>
      <c r="AT1463" s="65" t="str">
        <f>IFERROR(VLOOKUP(#REF!,[1]Lookup!$B$2:$E$115,2,FALSE),"")</f>
        <v/>
      </c>
      <c r="AU1463" s="65" t="str">
        <f>IFERROR(VLOOKUP(#REF!,[1]Lookup!$B$2:$E$115,3,FALSE),"")</f>
        <v/>
      </c>
    </row>
    <row r="1464" spans="31:47" x14ac:dyDescent="0.3">
      <c r="AE1464" s="204" t="s">
        <v>398</v>
      </c>
      <c r="AF1464" s="204" t="s">
        <v>398</v>
      </c>
      <c r="AG1464" s="204" t="s">
        <v>398</v>
      </c>
      <c r="AS1464" s="65" t="str">
        <f>IFERROR(VLOOKUP(#REF!,[1]Lookup!$B$2:$E$115,4,FALSE),"")</f>
        <v/>
      </c>
      <c r="AT1464" s="65" t="str">
        <f>IFERROR(VLOOKUP(#REF!,[1]Lookup!$B$2:$E$115,2,FALSE),"")</f>
        <v/>
      </c>
      <c r="AU1464" s="65" t="str">
        <f>IFERROR(VLOOKUP(#REF!,[1]Lookup!$B$2:$E$115,3,FALSE),"")</f>
        <v/>
      </c>
    </row>
    <row r="1465" spans="31:47" x14ac:dyDescent="0.3">
      <c r="AE1465" s="204" t="s">
        <v>398</v>
      </c>
      <c r="AF1465" s="204" t="s">
        <v>398</v>
      </c>
      <c r="AG1465" s="204" t="s">
        <v>398</v>
      </c>
      <c r="AS1465" s="65" t="str">
        <f>IFERROR(VLOOKUP(#REF!,[1]Lookup!$B$2:$E$115,4,FALSE),"")</f>
        <v/>
      </c>
      <c r="AT1465" s="65" t="str">
        <f>IFERROR(VLOOKUP(#REF!,[1]Lookup!$B$2:$E$115,2,FALSE),"")</f>
        <v/>
      </c>
      <c r="AU1465" s="65" t="str">
        <f>IFERROR(VLOOKUP(#REF!,[1]Lookup!$B$2:$E$115,3,FALSE),"")</f>
        <v/>
      </c>
    </row>
    <row r="1466" spans="31:47" x14ac:dyDescent="0.3">
      <c r="AE1466" s="204" t="s">
        <v>398</v>
      </c>
      <c r="AF1466" s="204" t="s">
        <v>398</v>
      </c>
      <c r="AG1466" s="204" t="s">
        <v>398</v>
      </c>
      <c r="AS1466" s="65" t="str">
        <f>IFERROR(VLOOKUP(#REF!,[1]Lookup!$B$2:$E$115,4,FALSE),"")</f>
        <v/>
      </c>
      <c r="AT1466" s="65" t="str">
        <f>IFERROR(VLOOKUP(#REF!,[1]Lookup!$B$2:$E$115,2,FALSE),"")</f>
        <v/>
      </c>
      <c r="AU1466" s="65" t="str">
        <f>IFERROR(VLOOKUP(#REF!,[1]Lookup!$B$2:$E$115,3,FALSE),"")</f>
        <v/>
      </c>
    </row>
    <row r="1467" spans="31:47" x14ac:dyDescent="0.3">
      <c r="AE1467" s="204" t="s">
        <v>398</v>
      </c>
      <c r="AF1467" s="204" t="s">
        <v>398</v>
      </c>
      <c r="AG1467" s="204" t="s">
        <v>398</v>
      </c>
      <c r="AS1467" s="65" t="str">
        <f>IFERROR(VLOOKUP(#REF!,[1]Lookup!$B$2:$E$115,4,FALSE),"")</f>
        <v/>
      </c>
      <c r="AT1467" s="65" t="str">
        <f>IFERROR(VLOOKUP(#REF!,[1]Lookup!$B$2:$E$115,2,FALSE),"")</f>
        <v/>
      </c>
      <c r="AU1467" s="65" t="str">
        <f>IFERROR(VLOOKUP(#REF!,[1]Lookup!$B$2:$E$115,3,FALSE),"")</f>
        <v/>
      </c>
    </row>
    <row r="1468" spans="31:47" x14ac:dyDescent="0.3">
      <c r="AE1468" s="204" t="s">
        <v>398</v>
      </c>
      <c r="AF1468" s="204" t="s">
        <v>398</v>
      </c>
      <c r="AG1468" s="204" t="s">
        <v>398</v>
      </c>
      <c r="AS1468" s="65" t="str">
        <f>IFERROR(VLOOKUP(#REF!,[1]Lookup!$B$2:$E$115,4,FALSE),"")</f>
        <v/>
      </c>
      <c r="AT1468" s="65" t="str">
        <f>IFERROR(VLOOKUP(#REF!,[1]Lookup!$B$2:$E$115,2,FALSE),"")</f>
        <v/>
      </c>
      <c r="AU1468" s="65" t="str">
        <f>IFERROR(VLOOKUP(#REF!,[1]Lookup!$B$2:$E$115,3,FALSE),"")</f>
        <v/>
      </c>
    </row>
    <row r="1469" spans="31:47" x14ac:dyDescent="0.3">
      <c r="AE1469" s="204" t="s">
        <v>398</v>
      </c>
      <c r="AF1469" s="204" t="s">
        <v>398</v>
      </c>
      <c r="AG1469" s="204" t="s">
        <v>398</v>
      </c>
      <c r="AS1469" s="65" t="str">
        <f>IFERROR(VLOOKUP(#REF!,[1]Lookup!$B$2:$E$115,4,FALSE),"")</f>
        <v/>
      </c>
      <c r="AT1469" s="65" t="str">
        <f>IFERROR(VLOOKUP(#REF!,[1]Lookup!$B$2:$E$115,2,FALSE),"")</f>
        <v/>
      </c>
      <c r="AU1469" s="65" t="str">
        <f>IFERROR(VLOOKUP(#REF!,[1]Lookup!$B$2:$E$115,3,FALSE),"")</f>
        <v/>
      </c>
    </row>
    <row r="1470" spans="31:47" x14ac:dyDescent="0.3">
      <c r="AE1470" s="204" t="s">
        <v>398</v>
      </c>
      <c r="AF1470" s="204" t="s">
        <v>398</v>
      </c>
      <c r="AG1470" s="204" t="s">
        <v>398</v>
      </c>
      <c r="AS1470" s="65" t="str">
        <f>IFERROR(VLOOKUP(#REF!,[1]Lookup!$B$2:$E$115,4,FALSE),"")</f>
        <v/>
      </c>
      <c r="AT1470" s="65" t="str">
        <f>IFERROR(VLOOKUP(#REF!,[1]Lookup!$B$2:$E$115,2,FALSE),"")</f>
        <v/>
      </c>
      <c r="AU1470" s="65" t="str">
        <f>IFERROR(VLOOKUP(#REF!,[1]Lookup!$B$2:$E$115,3,FALSE),"")</f>
        <v/>
      </c>
    </row>
    <row r="1471" spans="31:47" x14ac:dyDescent="0.3">
      <c r="AE1471" s="204" t="s">
        <v>398</v>
      </c>
      <c r="AF1471" s="204" t="s">
        <v>398</v>
      </c>
      <c r="AG1471" s="204" t="s">
        <v>398</v>
      </c>
      <c r="AS1471" s="65" t="str">
        <f>IFERROR(VLOOKUP(#REF!,[1]Lookup!$B$2:$E$115,4,FALSE),"")</f>
        <v/>
      </c>
      <c r="AT1471" s="65" t="str">
        <f>IFERROR(VLOOKUP(#REF!,[1]Lookup!$B$2:$E$115,2,FALSE),"")</f>
        <v/>
      </c>
      <c r="AU1471" s="65" t="str">
        <f>IFERROR(VLOOKUP(#REF!,[1]Lookup!$B$2:$E$115,3,FALSE),"")</f>
        <v/>
      </c>
    </row>
    <row r="1472" spans="31:47" x14ac:dyDescent="0.3">
      <c r="AE1472" s="204" t="s">
        <v>398</v>
      </c>
      <c r="AF1472" s="204" t="s">
        <v>398</v>
      </c>
      <c r="AG1472" s="204" t="s">
        <v>398</v>
      </c>
      <c r="AS1472" s="65" t="str">
        <f>IFERROR(VLOOKUP(#REF!,[1]Lookup!$B$2:$E$115,4,FALSE),"")</f>
        <v/>
      </c>
      <c r="AT1472" s="65" t="str">
        <f>IFERROR(VLOOKUP(#REF!,[1]Lookup!$B$2:$E$115,2,FALSE),"")</f>
        <v/>
      </c>
      <c r="AU1472" s="65" t="str">
        <f>IFERROR(VLOOKUP(#REF!,[1]Lookup!$B$2:$E$115,3,FALSE),"")</f>
        <v/>
      </c>
    </row>
    <row r="1473" spans="31:47" x14ac:dyDescent="0.3">
      <c r="AE1473" s="204" t="s">
        <v>398</v>
      </c>
      <c r="AF1473" s="204" t="s">
        <v>398</v>
      </c>
      <c r="AG1473" s="204" t="s">
        <v>398</v>
      </c>
      <c r="AS1473" s="65" t="str">
        <f>IFERROR(VLOOKUP(#REF!,[1]Lookup!$B$2:$E$115,4,FALSE),"")</f>
        <v/>
      </c>
      <c r="AT1473" s="65" t="str">
        <f>IFERROR(VLOOKUP(#REF!,[1]Lookup!$B$2:$E$115,2,FALSE),"")</f>
        <v/>
      </c>
      <c r="AU1473" s="65" t="str">
        <f>IFERROR(VLOOKUP(#REF!,[1]Lookup!$B$2:$E$115,3,FALSE),"")</f>
        <v/>
      </c>
    </row>
    <row r="1474" spans="31:47" x14ac:dyDescent="0.3">
      <c r="AE1474" s="204" t="s">
        <v>398</v>
      </c>
      <c r="AF1474" s="204" t="s">
        <v>398</v>
      </c>
      <c r="AG1474" s="204" t="s">
        <v>398</v>
      </c>
      <c r="AS1474" s="65" t="str">
        <f>IFERROR(VLOOKUP(#REF!,[1]Lookup!$B$2:$E$115,4,FALSE),"")</f>
        <v/>
      </c>
      <c r="AT1474" s="65" t="str">
        <f>IFERROR(VLOOKUP(#REF!,[1]Lookup!$B$2:$E$115,2,FALSE),"")</f>
        <v/>
      </c>
      <c r="AU1474" s="65" t="str">
        <f>IFERROR(VLOOKUP(#REF!,[1]Lookup!$B$2:$E$115,3,FALSE),"")</f>
        <v/>
      </c>
    </row>
    <row r="1475" spans="31:47" x14ac:dyDescent="0.3">
      <c r="AE1475" s="204" t="s">
        <v>398</v>
      </c>
      <c r="AF1475" s="204" t="s">
        <v>398</v>
      </c>
      <c r="AG1475" s="204" t="s">
        <v>398</v>
      </c>
      <c r="AS1475" s="65" t="str">
        <f>IFERROR(VLOOKUP(#REF!,[1]Lookup!$B$2:$E$115,4,FALSE),"")</f>
        <v/>
      </c>
      <c r="AT1475" s="65" t="str">
        <f>IFERROR(VLOOKUP(#REF!,[1]Lookup!$B$2:$E$115,2,FALSE),"")</f>
        <v/>
      </c>
      <c r="AU1475" s="65" t="str">
        <f>IFERROR(VLOOKUP(#REF!,[1]Lookup!$B$2:$E$115,3,FALSE),"")</f>
        <v/>
      </c>
    </row>
    <row r="1476" spans="31:47" x14ac:dyDescent="0.3">
      <c r="AE1476" s="204" t="s">
        <v>398</v>
      </c>
      <c r="AF1476" s="204" t="s">
        <v>398</v>
      </c>
      <c r="AG1476" s="204" t="s">
        <v>398</v>
      </c>
      <c r="AS1476" s="65" t="str">
        <f>IFERROR(VLOOKUP(#REF!,[1]Lookup!$B$2:$E$115,4,FALSE),"")</f>
        <v/>
      </c>
      <c r="AT1476" s="65" t="str">
        <f>IFERROR(VLOOKUP(#REF!,[1]Lookup!$B$2:$E$115,2,FALSE),"")</f>
        <v/>
      </c>
      <c r="AU1476" s="65" t="str">
        <f>IFERROR(VLOOKUP(#REF!,[1]Lookup!$B$2:$E$115,3,FALSE),"")</f>
        <v/>
      </c>
    </row>
    <row r="1477" spans="31:47" x14ac:dyDescent="0.3">
      <c r="AE1477" s="204" t="s">
        <v>398</v>
      </c>
      <c r="AF1477" s="204" t="s">
        <v>398</v>
      </c>
      <c r="AG1477" s="204" t="s">
        <v>398</v>
      </c>
      <c r="AS1477" s="65" t="str">
        <f>IFERROR(VLOOKUP(#REF!,[1]Lookup!$B$2:$E$115,4,FALSE),"")</f>
        <v/>
      </c>
      <c r="AT1477" s="65" t="str">
        <f>IFERROR(VLOOKUP(#REF!,[1]Lookup!$B$2:$E$115,2,FALSE),"")</f>
        <v/>
      </c>
      <c r="AU1477" s="65" t="str">
        <f>IFERROR(VLOOKUP(#REF!,[1]Lookup!$B$2:$E$115,3,FALSE),"")</f>
        <v/>
      </c>
    </row>
    <row r="1478" spans="31:47" x14ac:dyDescent="0.3">
      <c r="AE1478" s="204" t="s">
        <v>398</v>
      </c>
      <c r="AF1478" s="204" t="s">
        <v>398</v>
      </c>
      <c r="AG1478" s="204" t="s">
        <v>398</v>
      </c>
      <c r="AS1478" s="65" t="str">
        <f>IFERROR(VLOOKUP(#REF!,[1]Lookup!$B$2:$E$115,4,FALSE),"")</f>
        <v/>
      </c>
      <c r="AT1478" s="65" t="str">
        <f>IFERROR(VLOOKUP(#REF!,[1]Lookup!$B$2:$E$115,2,FALSE),"")</f>
        <v/>
      </c>
      <c r="AU1478" s="65" t="str">
        <f>IFERROR(VLOOKUP(#REF!,[1]Lookup!$B$2:$E$115,3,FALSE),"")</f>
        <v/>
      </c>
    </row>
    <row r="1479" spans="31:47" x14ac:dyDescent="0.3">
      <c r="AE1479" s="204" t="s">
        <v>398</v>
      </c>
      <c r="AF1479" s="204" t="s">
        <v>398</v>
      </c>
      <c r="AG1479" s="204" t="s">
        <v>398</v>
      </c>
      <c r="AS1479" s="65" t="str">
        <f>IFERROR(VLOOKUP(#REF!,[1]Lookup!$B$2:$E$115,4,FALSE),"")</f>
        <v/>
      </c>
      <c r="AT1479" s="65" t="str">
        <f>IFERROR(VLOOKUP(#REF!,[1]Lookup!$B$2:$E$115,2,FALSE),"")</f>
        <v/>
      </c>
      <c r="AU1479" s="65" t="str">
        <f>IFERROR(VLOOKUP(#REF!,[1]Lookup!$B$2:$E$115,3,FALSE),"")</f>
        <v/>
      </c>
    </row>
    <row r="1480" spans="31:47" x14ac:dyDescent="0.3">
      <c r="AE1480" s="204" t="s">
        <v>398</v>
      </c>
      <c r="AF1480" s="204" t="s">
        <v>398</v>
      </c>
      <c r="AG1480" s="204" t="s">
        <v>398</v>
      </c>
      <c r="AS1480" s="65" t="str">
        <f>IFERROR(VLOOKUP(#REF!,[1]Lookup!$B$2:$E$115,4,FALSE),"")</f>
        <v/>
      </c>
      <c r="AT1480" s="65" t="str">
        <f>IFERROR(VLOOKUP(#REF!,[1]Lookup!$B$2:$E$115,2,FALSE),"")</f>
        <v/>
      </c>
      <c r="AU1480" s="65" t="str">
        <f>IFERROR(VLOOKUP(#REF!,[1]Lookup!$B$2:$E$115,3,FALSE),"")</f>
        <v/>
      </c>
    </row>
    <row r="1481" spans="31:47" x14ac:dyDescent="0.3">
      <c r="AE1481" s="204" t="s">
        <v>398</v>
      </c>
      <c r="AF1481" s="204" t="s">
        <v>398</v>
      </c>
      <c r="AG1481" s="204" t="s">
        <v>398</v>
      </c>
      <c r="AS1481" s="65" t="str">
        <f>IFERROR(VLOOKUP(#REF!,[1]Lookup!$B$2:$E$115,4,FALSE),"")</f>
        <v/>
      </c>
      <c r="AT1481" s="65" t="str">
        <f>IFERROR(VLOOKUP(#REF!,[1]Lookup!$B$2:$E$115,2,FALSE),"")</f>
        <v/>
      </c>
      <c r="AU1481" s="65" t="str">
        <f>IFERROR(VLOOKUP(#REF!,[1]Lookup!$B$2:$E$115,3,FALSE),"")</f>
        <v/>
      </c>
    </row>
    <row r="1482" spans="31:47" x14ac:dyDescent="0.3">
      <c r="AE1482" s="204" t="s">
        <v>398</v>
      </c>
      <c r="AF1482" s="204" t="s">
        <v>398</v>
      </c>
      <c r="AG1482" s="204" t="s">
        <v>398</v>
      </c>
      <c r="AS1482" s="65" t="str">
        <f>IFERROR(VLOOKUP(#REF!,[1]Lookup!$B$2:$E$115,4,FALSE),"")</f>
        <v/>
      </c>
      <c r="AT1482" s="65" t="str">
        <f>IFERROR(VLOOKUP(#REF!,[1]Lookup!$B$2:$E$115,2,FALSE),"")</f>
        <v/>
      </c>
      <c r="AU1482" s="65" t="str">
        <f>IFERROR(VLOOKUP(#REF!,[1]Lookup!$B$2:$E$115,3,FALSE),"")</f>
        <v/>
      </c>
    </row>
    <row r="1483" spans="31:47" x14ac:dyDescent="0.3">
      <c r="AE1483" s="204" t="s">
        <v>398</v>
      </c>
      <c r="AF1483" s="204" t="s">
        <v>398</v>
      </c>
      <c r="AG1483" s="204" t="s">
        <v>398</v>
      </c>
      <c r="AS1483" s="65" t="str">
        <f>IFERROR(VLOOKUP(#REF!,[1]Lookup!$B$2:$E$115,4,FALSE),"")</f>
        <v/>
      </c>
      <c r="AT1483" s="65" t="str">
        <f>IFERROR(VLOOKUP(#REF!,[1]Lookup!$B$2:$E$115,2,FALSE),"")</f>
        <v/>
      </c>
      <c r="AU1483" s="65" t="str">
        <f>IFERROR(VLOOKUP(#REF!,[1]Lookup!$B$2:$E$115,3,FALSE),"")</f>
        <v/>
      </c>
    </row>
    <row r="1484" spans="31:47" x14ac:dyDescent="0.3">
      <c r="AE1484" s="204" t="s">
        <v>398</v>
      </c>
      <c r="AF1484" s="204" t="s">
        <v>398</v>
      </c>
      <c r="AG1484" s="204" t="s">
        <v>398</v>
      </c>
      <c r="AS1484" s="65" t="str">
        <f>IFERROR(VLOOKUP(#REF!,[1]Lookup!$B$2:$E$115,4,FALSE),"")</f>
        <v/>
      </c>
      <c r="AT1484" s="65" t="str">
        <f>IFERROR(VLOOKUP(#REF!,[1]Lookup!$B$2:$E$115,2,FALSE),"")</f>
        <v/>
      </c>
      <c r="AU1484" s="65" t="str">
        <f>IFERROR(VLOOKUP(#REF!,[1]Lookup!$B$2:$E$115,3,FALSE),"")</f>
        <v/>
      </c>
    </row>
    <row r="1485" spans="31:47" x14ac:dyDescent="0.3">
      <c r="AE1485" s="204" t="s">
        <v>398</v>
      </c>
      <c r="AF1485" s="204" t="s">
        <v>398</v>
      </c>
      <c r="AG1485" s="204" t="s">
        <v>398</v>
      </c>
      <c r="AS1485" s="65" t="str">
        <f>IFERROR(VLOOKUP(#REF!,[1]Lookup!$B$2:$E$115,4,FALSE),"")</f>
        <v/>
      </c>
      <c r="AT1485" s="65" t="str">
        <f>IFERROR(VLOOKUP(#REF!,[1]Lookup!$B$2:$E$115,2,FALSE),"")</f>
        <v/>
      </c>
      <c r="AU1485" s="65" t="str">
        <f>IFERROR(VLOOKUP(#REF!,[1]Lookup!$B$2:$E$115,3,FALSE),"")</f>
        <v/>
      </c>
    </row>
    <row r="1486" spans="31:47" x14ac:dyDescent="0.3">
      <c r="AE1486" s="204" t="s">
        <v>398</v>
      </c>
      <c r="AF1486" s="204" t="s">
        <v>398</v>
      </c>
      <c r="AG1486" s="204" t="s">
        <v>398</v>
      </c>
      <c r="AS1486" s="65" t="str">
        <f>IFERROR(VLOOKUP(#REF!,[1]Lookup!$B$2:$E$115,4,FALSE),"")</f>
        <v/>
      </c>
      <c r="AT1486" s="65" t="str">
        <f>IFERROR(VLOOKUP(#REF!,[1]Lookup!$B$2:$E$115,2,FALSE),"")</f>
        <v/>
      </c>
      <c r="AU1486" s="65" t="str">
        <f>IFERROR(VLOOKUP(#REF!,[1]Lookup!$B$2:$E$115,3,FALSE),"")</f>
        <v/>
      </c>
    </row>
    <row r="1487" spans="31:47" x14ac:dyDescent="0.3">
      <c r="AE1487" s="204" t="s">
        <v>398</v>
      </c>
      <c r="AF1487" s="204" t="s">
        <v>398</v>
      </c>
      <c r="AG1487" s="204" t="s">
        <v>398</v>
      </c>
      <c r="AS1487" s="65" t="str">
        <f>IFERROR(VLOOKUP(#REF!,[1]Lookup!$B$2:$E$115,4,FALSE),"")</f>
        <v/>
      </c>
      <c r="AT1487" s="65" t="str">
        <f>IFERROR(VLOOKUP(#REF!,[1]Lookup!$B$2:$E$115,2,FALSE),"")</f>
        <v/>
      </c>
      <c r="AU1487" s="65" t="str">
        <f>IFERROR(VLOOKUP(#REF!,[1]Lookup!$B$2:$E$115,3,FALSE),"")</f>
        <v/>
      </c>
    </row>
    <row r="1488" spans="31:47" x14ac:dyDescent="0.3">
      <c r="AE1488" s="204" t="s">
        <v>398</v>
      </c>
      <c r="AF1488" s="204" t="s">
        <v>398</v>
      </c>
      <c r="AG1488" s="204" t="s">
        <v>398</v>
      </c>
      <c r="AS1488" s="65" t="str">
        <f>IFERROR(VLOOKUP(#REF!,[1]Lookup!$B$2:$E$115,4,FALSE),"")</f>
        <v/>
      </c>
      <c r="AT1488" s="65" t="str">
        <f>IFERROR(VLOOKUP(#REF!,[1]Lookup!$B$2:$E$115,2,FALSE),"")</f>
        <v/>
      </c>
      <c r="AU1488" s="65" t="str">
        <f>IFERROR(VLOOKUP(#REF!,[1]Lookup!$B$2:$E$115,3,FALSE),"")</f>
        <v/>
      </c>
    </row>
    <row r="1489" spans="31:47" x14ac:dyDescent="0.3">
      <c r="AE1489" s="204" t="s">
        <v>398</v>
      </c>
      <c r="AF1489" s="204" t="s">
        <v>398</v>
      </c>
      <c r="AG1489" s="204" t="s">
        <v>398</v>
      </c>
      <c r="AS1489" s="65" t="str">
        <f>IFERROR(VLOOKUP(#REF!,[1]Lookup!$B$2:$E$115,4,FALSE),"")</f>
        <v/>
      </c>
      <c r="AT1489" s="65" t="str">
        <f>IFERROR(VLOOKUP(#REF!,[1]Lookup!$B$2:$E$115,2,FALSE),"")</f>
        <v/>
      </c>
      <c r="AU1489" s="65" t="str">
        <f>IFERROR(VLOOKUP(#REF!,[1]Lookup!$B$2:$E$115,3,FALSE),"")</f>
        <v/>
      </c>
    </row>
    <row r="1490" spans="31:47" x14ac:dyDescent="0.3">
      <c r="AE1490" s="204" t="s">
        <v>398</v>
      </c>
      <c r="AF1490" s="204" t="s">
        <v>398</v>
      </c>
      <c r="AG1490" s="204" t="s">
        <v>398</v>
      </c>
      <c r="AS1490" s="65" t="str">
        <f>IFERROR(VLOOKUP(#REF!,[1]Lookup!$B$2:$E$115,4,FALSE),"")</f>
        <v/>
      </c>
      <c r="AT1490" s="65" t="str">
        <f>IFERROR(VLOOKUP(#REF!,[1]Lookup!$B$2:$E$115,2,FALSE),"")</f>
        <v/>
      </c>
      <c r="AU1490" s="65" t="str">
        <f>IFERROR(VLOOKUP(#REF!,[1]Lookup!$B$2:$E$115,3,FALSE),"")</f>
        <v/>
      </c>
    </row>
    <row r="1491" spans="31:47" x14ac:dyDescent="0.3">
      <c r="AE1491" s="204" t="s">
        <v>398</v>
      </c>
      <c r="AF1491" s="204" t="s">
        <v>398</v>
      </c>
      <c r="AG1491" s="204" t="s">
        <v>398</v>
      </c>
      <c r="AS1491" s="65" t="str">
        <f>IFERROR(VLOOKUP(#REF!,[1]Lookup!$B$2:$E$115,4,FALSE),"")</f>
        <v/>
      </c>
      <c r="AT1491" s="65" t="str">
        <f>IFERROR(VLOOKUP(#REF!,[1]Lookup!$B$2:$E$115,2,FALSE),"")</f>
        <v/>
      </c>
      <c r="AU1491" s="65" t="str">
        <f>IFERROR(VLOOKUP(#REF!,[1]Lookup!$B$2:$E$115,3,FALSE),"")</f>
        <v/>
      </c>
    </row>
    <row r="1492" spans="31:47" x14ac:dyDescent="0.3">
      <c r="AE1492" s="204" t="s">
        <v>398</v>
      </c>
      <c r="AF1492" s="204" t="s">
        <v>398</v>
      </c>
      <c r="AG1492" s="204" t="s">
        <v>398</v>
      </c>
      <c r="AS1492" s="65" t="str">
        <f>IFERROR(VLOOKUP(#REF!,[1]Lookup!$B$2:$E$115,4,FALSE),"")</f>
        <v/>
      </c>
      <c r="AT1492" s="65" t="str">
        <f>IFERROR(VLOOKUP(#REF!,[1]Lookup!$B$2:$E$115,2,FALSE),"")</f>
        <v/>
      </c>
      <c r="AU1492" s="65" t="str">
        <f>IFERROR(VLOOKUP(#REF!,[1]Lookup!$B$2:$E$115,3,FALSE),"")</f>
        <v/>
      </c>
    </row>
    <row r="1493" spans="31:47" x14ac:dyDescent="0.3">
      <c r="AE1493" s="204" t="s">
        <v>398</v>
      </c>
      <c r="AF1493" s="204" t="s">
        <v>398</v>
      </c>
      <c r="AG1493" s="204" t="s">
        <v>398</v>
      </c>
      <c r="AS1493" s="65" t="str">
        <f>IFERROR(VLOOKUP(#REF!,[1]Lookup!$B$2:$E$115,4,FALSE),"")</f>
        <v/>
      </c>
      <c r="AT1493" s="65" t="str">
        <f>IFERROR(VLOOKUP(#REF!,[1]Lookup!$B$2:$E$115,2,FALSE),"")</f>
        <v/>
      </c>
      <c r="AU1493" s="65" t="str">
        <f>IFERROR(VLOOKUP(#REF!,[1]Lookup!$B$2:$E$115,3,FALSE),"")</f>
        <v/>
      </c>
    </row>
    <row r="1494" spans="31:47" x14ac:dyDescent="0.3">
      <c r="AE1494" s="204" t="s">
        <v>398</v>
      </c>
      <c r="AF1494" s="204" t="s">
        <v>398</v>
      </c>
      <c r="AG1494" s="204" t="s">
        <v>398</v>
      </c>
      <c r="AS1494" s="65" t="str">
        <f>IFERROR(VLOOKUP(#REF!,[1]Lookup!$B$2:$E$115,4,FALSE),"")</f>
        <v/>
      </c>
      <c r="AT1494" s="65" t="str">
        <f>IFERROR(VLOOKUP(#REF!,[1]Lookup!$B$2:$E$115,2,FALSE),"")</f>
        <v/>
      </c>
      <c r="AU1494" s="65" t="str">
        <f>IFERROR(VLOOKUP(#REF!,[1]Lookup!$B$2:$E$115,3,FALSE),"")</f>
        <v/>
      </c>
    </row>
    <row r="1495" spans="31:47" x14ac:dyDescent="0.3">
      <c r="AE1495" s="204" t="s">
        <v>398</v>
      </c>
      <c r="AF1495" s="204" t="s">
        <v>398</v>
      </c>
      <c r="AG1495" s="204" t="s">
        <v>398</v>
      </c>
      <c r="AS1495" s="65" t="str">
        <f>IFERROR(VLOOKUP(#REF!,[1]Lookup!$B$2:$E$115,4,FALSE),"")</f>
        <v/>
      </c>
      <c r="AT1495" s="65" t="str">
        <f>IFERROR(VLOOKUP(#REF!,[1]Lookup!$B$2:$E$115,2,FALSE),"")</f>
        <v/>
      </c>
      <c r="AU1495" s="65" t="str">
        <f>IFERROR(VLOOKUP(#REF!,[1]Lookup!$B$2:$E$115,3,FALSE),"")</f>
        <v/>
      </c>
    </row>
    <row r="1496" spans="31:47" x14ac:dyDescent="0.3">
      <c r="AE1496" s="204" t="s">
        <v>398</v>
      </c>
      <c r="AF1496" s="204" t="s">
        <v>398</v>
      </c>
      <c r="AG1496" s="204" t="s">
        <v>398</v>
      </c>
      <c r="AS1496" s="65" t="str">
        <f>IFERROR(VLOOKUP(#REF!,[1]Lookup!$B$2:$E$115,4,FALSE),"")</f>
        <v/>
      </c>
      <c r="AT1496" s="65" t="str">
        <f>IFERROR(VLOOKUP(#REF!,[1]Lookup!$B$2:$E$115,2,FALSE),"")</f>
        <v/>
      </c>
      <c r="AU1496" s="65" t="str">
        <f>IFERROR(VLOOKUP(#REF!,[1]Lookup!$B$2:$E$115,3,FALSE),"")</f>
        <v/>
      </c>
    </row>
    <row r="1497" spans="31:47" x14ac:dyDescent="0.3">
      <c r="AE1497" s="204" t="s">
        <v>398</v>
      </c>
      <c r="AF1497" s="204" t="s">
        <v>398</v>
      </c>
      <c r="AG1497" s="204" t="s">
        <v>398</v>
      </c>
      <c r="AS1497" s="65" t="str">
        <f>IFERROR(VLOOKUP(#REF!,[1]Lookup!$B$2:$E$115,4,FALSE),"")</f>
        <v/>
      </c>
      <c r="AT1497" s="65" t="str">
        <f>IFERROR(VLOOKUP(#REF!,[1]Lookup!$B$2:$E$115,2,FALSE),"")</f>
        <v/>
      </c>
      <c r="AU1497" s="65" t="str">
        <f>IFERROR(VLOOKUP(#REF!,[1]Lookup!$B$2:$E$115,3,FALSE),"")</f>
        <v/>
      </c>
    </row>
    <row r="1498" spans="31:47" x14ac:dyDescent="0.3">
      <c r="AE1498" s="204" t="s">
        <v>398</v>
      </c>
      <c r="AF1498" s="204" t="s">
        <v>398</v>
      </c>
      <c r="AG1498" s="204" t="s">
        <v>398</v>
      </c>
      <c r="AS1498" s="65" t="str">
        <f>IFERROR(VLOOKUP(#REF!,[1]Lookup!$B$2:$E$115,4,FALSE),"")</f>
        <v/>
      </c>
      <c r="AT1498" s="65" t="str">
        <f>IFERROR(VLOOKUP(#REF!,[1]Lookup!$B$2:$E$115,2,FALSE),"")</f>
        <v/>
      </c>
      <c r="AU1498" s="65" t="str">
        <f>IFERROR(VLOOKUP(#REF!,[1]Lookup!$B$2:$E$115,3,FALSE),"")</f>
        <v/>
      </c>
    </row>
    <row r="1499" spans="31:47" x14ac:dyDescent="0.3">
      <c r="AE1499" s="204" t="s">
        <v>398</v>
      </c>
      <c r="AF1499" s="204" t="s">
        <v>398</v>
      </c>
      <c r="AG1499" s="204" t="s">
        <v>398</v>
      </c>
      <c r="AS1499" s="65" t="str">
        <f>IFERROR(VLOOKUP(#REF!,[1]Lookup!$B$2:$E$115,4,FALSE),"")</f>
        <v/>
      </c>
      <c r="AT1499" s="65" t="str">
        <f>IFERROR(VLOOKUP(#REF!,[1]Lookup!$B$2:$E$115,2,FALSE),"")</f>
        <v/>
      </c>
      <c r="AU1499" s="65" t="str">
        <f>IFERROR(VLOOKUP(#REF!,[1]Lookup!$B$2:$E$115,3,FALSE),"")</f>
        <v/>
      </c>
    </row>
    <row r="1500" spans="31:47" x14ac:dyDescent="0.3">
      <c r="AE1500" s="204" t="s">
        <v>398</v>
      </c>
      <c r="AF1500" s="204" t="s">
        <v>398</v>
      </c>
      <c r="AG1500" s="204" t="s">
        <v>398</v>
      </c>
      <c r="AS1500" s="65" t="str">
        <f>IFERROR(VLOOKUP(#REF!,[1]Lookup!$B$2:$E$115,4,FALSE),"")</f>
        <v/>
      </c>
      <c r="AT1500" s="65" t="str">
        <f>IFERROR(VLOOKUP(#REF!,[1]Lookup!$B$2:$E$115,2,FALSE),"")</f>
        <v/>
      </c>
      <c r="AU1500" s="65" t="str">
        <f>IFERROR(VLOOKUP(#REF!,[1]Lookup!$B$2:$E$115,3,FALSE),"")</f>
        <v/>
      </c>
    </row>
    <row r="1501" spans="31:47" x14ac:dyDescent="0.3">
      <c r="AE1501" s="204" t="s">
        <v>398</v>
      </c>
      <c r="AF1501" s="204" t="s">
        <v>398</v>
      </c>
      <c r="AG1501" s="204" t="s">
        <v>398</v>
      </c>
      <c r="AS1501" s="65" t="str">
        <f>IFERROR(VLOOKUP(#REF!,[1]Lookup!$B$2:$E$115,4,FALSE),"")</f>
        <v/>
      </c>
      <c r="AT1501" s="65" t="str">
        <f>IFERROR(VLOOKUP(#REF!,[1]Lookup!$B$2:$E$115,2,FALSE),"")</f>
        <v/>
      </c>
      <c r="AU1501" s="65" t="str">
        <f>IFERROR(VLOOKUP(#REF!,[1]Lookup!$B$2:$E$115,3,FALSE),"")</f>
        <v/>
      </c>
    </row>
    <row r="1502" spans="31:47" x14ac:dyDescent="0.3">
      <c r="AE1502" s="204" t="s">
        <v>398</v>
      </c>
      <c r="AF1502" s="204" t="s">
        <v>398</v>
      </c>
      <c r="AG1502" s="204" t="s">
        <v>398</v>
      </c>
      <c r="AS1502" s="65" t="str">
        <f>IFERROR(VLOOKUP(#REF!,[1]Lookup!$B$2:$E$115,4,FALSE),"")</f>
        <v/>
      </c>
      <c r="AT1502" s="65" t="str">
        <f>IFERROR(VLOOKUP(#REF!,[1]Lookup!$B$2:$E$115,2,FALSE),"")</f>
        <v/>
      </c>
      <c r="AU1502" s="65" t="str">
        <f>IFERROR(VLOOKUP(#REF!,[1]Lookup!$B$2:$E$115,3,FALSE),"")</f>
        <v/>
      </c>
    </row>
    <row r="1503" spans="31:47" x14ac:dyDescent="0.3">
      <c r="AE1503" s="204" t="s">
        <v>398</v>
      </c>
      <c r="AF1503" s="204" t="s">
        <v>398</v>
      </c>
      <c r="AG1503" s="204" t="s">
        <v>398</v>
      </c>
      <c r="AS1503" s="65" t="str">
        <f>IFERROR(VLOOKUP(#REF!,[1]Lookup!$B$2:$E$115,4,FALSE),"")</f>
        <v/>
      </c>
      <c r="AT1503" s="65" t="str">
        <f>IFERROR(VLOOKUP(#REF!,[1]Lookup!$B$2:$E$115,2,FALSE),"")</f>
        <v/>
      </c>
      <c r="AU1503" s="65" t="str">
        <f>IFERROR(VLOOKUP(#REF!,[1]Lookup!$B$2:$E$115,3,FALSE),"")</f>
        <v/>
      </c>
    </row>
    <row r="1504" spans="31:47" x14ac:dyDescent="0.3">
      <c r="AE1504" s="204" t="s">
        <v>398</v>
      </c>
      <c r="AF1504" s="204" t="s">
        <v>398</v>
      </c>
      <c r="AG1504" s="204" t="s">
        <v>398</v>
      </c>
      <c r="AS1504" s="65" t="str">
        <f>IFERROR(VLOOKUP(#REF!,[1]Lookup!$B$2:$E$115,4,FALSE),"")</f>
        <v/>
      </c>
      <c r="AT1504" s="65" t="str">
        <f>IFERROR(VLOOKUP(#REF!,[1]Lookup!$B$2:$E$115,2,FALSE),"")</f>
        <v/>
      </c>
      <c r="AU1504" s="65" t="str">
        <f>IFERROR(VLOOKUP(#REF!,[1]Lookup!$B$2:$E$115,3,FALSE),"")</f>
        <v/>
      </c>
    </row>
    <row r="1505" spans="31:47" x14ac:dyDescent="0.3">
      <c r="AE1505" s="204" t="s">
        <v>398</v>
      </c>
      <c r="AF1505" s="204" t="s">
        <v>398</v>
      </c>
      <c r="AG1505" s="204" t="s">
        <v>398</v>
      </c>
      <c r="AS1505" s="65" t="str">
        <f>IFERROR(VLOOKUP(#REF!,[1]Lookup!$B$2:$E$115,4,FALSE),"")</f>
        <v/>
      </c>
      <c r="AT1505" s="65" t="str">
        <f>IFERROR(VLOOKUP(#REF!,[1]Lookup!$B$2:$E$115,2,FALSE),"")</f>
        <v/>
      </c>
      <c r="AU1505" s="65" t="str">
        <f>IFERROR(VLOOKUP(#REF!,[1]Lookup!$B$2:$E$115,3,FALSE),"")</f>
        <v/>
      </c>
    </row>
    <row r="1506" spans="31:47" x14ac:dyDescent="0.3">
      <c r="AE1506" s="204" t="s">
        <v>398</v>
      </c>
      <c r="AF1506" s="204" t="s">
        <v>398</v>
      </c>
      <c r="AG1506" s="204" t="s">
        <v>398</v>
      </c>
      <c r="AS1506" s="65" t="str">
        <f>IFERROR(VLOOKUP(#REF!,[1]Lookup!$B$2:$E$115,4,FALSE),"")</f>
        <v/>
      </c>
      <c r="AT1506" s="65" t="str">
        <f>IFERROR(VLOOKUP(#REF!,[1]Lookup!$B$2:$E$115,2,FALSE),"")</f>
        <v/>
      </c>
      <c r="AU1506" s="65" t="str">
        <f>IFERROR(VLOOKUP(#REF!,[1]Lookup!$B$2:$E$115,3,FALSE),"")</f>
        <v/>
      </c>
    </row>
    <row r="1507" spans="31:47" x14ac:dyDescent="0.3">
      <c r="AE1507" s="204" t="s">
        <v>398</v>
      </c>
      <c r="AF1507" s="204" t="s">
        <v>398</v>
      </c>
      <c r="AG1507" s="204" t="s">
        <v>398</v>
      </c>
      <c r="AS1507" s="65" t="str">
        <f>IFERROR(VLOOKUP(#REF!,[1]Lookup!$B$2:$E$115,4,FALSE),"")</f>
        <v/>
      </c>
      <c r="AT1507" s="65" t="str">
        <f>IFERROR(VLOOKUP(#REF!,[1]Lookup!$B$2:$E$115,2,FALSE),"")</f>
        <v/>
      </c>
      <c r="AU1507" s="65" t="str">
        <f>IFERROR(VLOOKUP(#REF!,[1]Lookup!$B$2:$E$115,3,FALSE),"")</f>
        <v/>
      </c>
    </row>
    <row r="1508" spans="31:47" x14ac:dyDescent="0.3">
      <c r="AE1508" s="204" t="s">
        <v>398</v>
      </c>
      <c r="AF1508" s="204" t="s">
        <v>398</v>
      </c>
      <c r="AG1508" s="204" t="s">
        <v>398</v>
      </c>
      <c r="AS1508" s="65" t="str">
        <f>IFERROR(VLOOKUP(#REF!,[1]Lookup!$B$2:$E$115,4,FALSE),"")</f>
        <v/>
      </c>
      <c r="AT1508" s="65" t="str">
        <f>IFERROR(VLOOKUP(#REF!,[1]Lookup!$B$2:$E$115,2,FALSE),"")</f>
        <v/>
      </c>
      <c r="AU1508" s="65" t="str">
        <f>IFERROR(VLOOKUP(#REF!,[1]Lookup!$B$2:$E$115,3,FALSE),"")</f>
        <v/>
      </c>
    </row>
    <row r="1509" spans="31:47" x14ac:dyDescent="0.3">
      <c r="AE1509" s="204" t="s">
        <v>398</v>
      </c>
      <c r="AF1509" s="204" t="s">
        <v>398</v>
      </c>
      <c r="AG1509" s="204" t="s">
        <v>398</v>
      </c>
      <c r="AS1509" s="65" t="str">
        <f>IFERROR(VLOOKUP(#REF!,[1]Lookup!$B$2:$E$115,4,FALSE),"")</f>
        <v/>
      </c>
      <c r="AT1509" s="65" t="str">
        <f>IFERROR(VLOOKUP(#REF!,[1]Lookup!$B$2:$E$115,2,FALSE),"")</f>
        <v/>
      </c>
      <c r="AU1509" s="65" t="str">
        <f>IFERROR(VLOOKUP(#REF!,[1]Lookup!$B$2:$E$115,3,FALSE),"")</f>
        <v/>
      </c>
    </row>
    <row r="1510" spans="31:47" x14ac:dyDescent="0.3">
      <c r="AE1510" s="204" t="s">
        <v>398</v>
      </c>
      <c r="AF1510" s="204" t="s">
        <v>398</v>
      </c>
      <c r="AG1510" s="204" t="s">
        <v>398</v>
      </c>
      <c r="AS1510" s="65" t="str">
        <f>IFERROR(VLOOKUP(#REF!,[1]Lookup!$B$2:$E$115,4,FALSE),"")</f>
        <v/>
      </c>
      <c r="AT1510" s="65" t="str">
        <f>IFERROR(VLOOKUP(#REF!,[1]Lookup!$B$2:$E$115,2,FALSE),"")</f>
        <v/>
      </c>
      <c r="AU1510" s="65" t="str">
        <f>IFERROR(VLOOKUP(#REF!,[1]Lookup!$B$2:$E$115,3,FALSE),"")</f>
        <v/>
      </c>
    </row>
    <row r="1511" spans="31:47" x14ac:dyDescent="0.3">
      <c r="AE1511" s="204" t="s">
        <v>398</v>
      </c>
      <c r="AF1511" s="204" t="s">
        <v>398</v>
      </c>
      <c r="AG1511" s="204" t="s">
        <v>398</v>
      </c>
      <c r="AS1511" s="65" t="str">
        <f>IFERROR(VLOOKUP(#REF!,[1]Lookup!$B$2:$E$115,4,FALSE),"")</f>
        <v/>
      </c>
      <c r="AT1511" s="65" t="str">
        <f>IFERROR(VLOOKUP(#REF!,[1]Lookup!$B$2:$E$115,2,FALSE),"")</f>
        <v/>
      </c>
      <c r="AU1511" s="65" t="str">
        <f>IFERROR(VLOOKUP(#REF!,[1]Lookup!$B$2:$E$115,3,FALSE),"")</f>
        <v/>
      </c>
    </row>
    <row r="1512" spans="31:47" x14ac:dyDescent="0.3">
      <c r="AE1512" s="204" t="s">
        <v>398</v>
      </c>
      <c r="AF1512" s="204" t="s">
        <v>398</v>
      </c>
      <c r="AG1512" s="204" t="s">
        <v>398</v>
      </c>
      <c r="AS1512" s="65" t="str">
        <f>IFERROR(VLOOKUP(#REF!,[1]Lookup!$B$2:$E$115,4,FALSE),"")</f>
        <v/>
      </c>
      <c r="AT1512" s="65" t="str">
        <f>IFERROR(VLOOKUP(#REF!,[1]Lookup!$B$2:$E$115,2,FALSE),"")</f>
        <v/>
      </c>
      <c r="AU1512" s="65" t="str">
        <f>IFERROR(VLOOKUP(#REF!,[1]Lookup!$B$2:$E$115,3,FALSE),"")</f>
        <v/>
      </c>
    </row>
    <row r="1513" spans="31:47" x14ac:dyDescent="0.3">
      <c r="AE1513" s="204" t="s">
        <v>398</v>
      </c>
      <c r="AF1513" s="204" t="s">
        <v>398</v>
      </c>
      <c r="AG1513" s="204" t="s">
        <v>398</v>
      </c>
      <c r="AS1513" s="65" t="str">
        <f>IFERROR(VLOOKUP(#REF!,[1]Lookup!$B$2:$E$115,4,FALSE),"")</f>
        <v/>
      </c>
      <c r="AT1513" s="65" t="str">
        <f>IFERROR(VLOOKUP(#REF!,[1]Lookup!$B$2:$E$115,2,FALSE),"")</f>
        <v/>
      </c>
      <c r="AU1513" s="65" t="str">
        <f>IFERROR(VLOOKUP(#REF!,[1]Lookup!$B$2:$E$115,3,FALSE),"")</f>
        <v/>
      </c>
    </row>
    <row r="1514" spans="31:47" x14ac:dyDescent="0.3">
      <c r="AE1514" s="204" t="s">
        <v>398</v>
      </c>
      <c r="AF1514" s="204" t="s">
        <v>398</v>
      </c>
      <c r="AG1514" s="204" t="s">
        <v>398</v>
      </c>
      <c r="AS1514" s="65" t="str">
        <f>IFERROR(VLOOKUP(#REF!,[1]Lookup!$B$2:$E$115,4,FALSE),"")</f>
        <v/>
      </c>
      <c r="AT1514" s="65" t="str">
        <f>IFERROR(VLOOKUP(#REF!,[1]Lookup!$B$2:$E$115,2,FALSE),"")</f>
        <v/>
      </c>
      <c r="AU1514" s="65" t="str">
        <f>IFERROR(VLOOKUP(#REF!,[1]Lookup!$B$2:$E$115,3,FALSE),"")</f>
        <v/>
      </c>
    </row>
    <row r="1515" spans="31:47" x14ac:dyDescent="0.3">
      <c r="AE1515" s="204" t="s">
        <v>398</v>
      </c>
      <c r="AF1515" s="204" t="s">
        <v>398</v>
      </c>
      <c r="AG1515" s="204" t="s">
        <v>398</v>
      </c>
      <c r="AS1515" s="65" t="str">
        <f>IFERROR(VLOOKUP(#REF!,[1]Lookup!$B$2:$E$115,4,FALSE),"")</f>
        <v/>
      </c>
      <c r="AT1515" s="65" t="str">
        <f>IFERROR(VLOOKUP(#REF!,[1]Lookup!$B$2:$E$115,2,FALSE),"")</f>
        <v/>
      </c>
      <c r="AU1515" s="65" t="str">
        <f>IFERROR(VLOOKUP(#REF!,[1]Lookup!$B$2:$E$115,3,FALSE),"")</f>
        <v/>
      </c>
    </row>
    <row r="1516" spans="31:47" x14ac:dyDescent="0.3">
      <c r="AE1516" s="204" t="s">
        <v>398</v>
      </c>
      <c r="AF1516" s="204" t="s">
        <v>398</v>
      </c>
      <c r="AG1516" s="204" t="s">
        <v>398</v>
      </c>
      <c r="AS1516" s="65" t="str">
        <f>IFERROR(VLOOKUP(#REF!,[1]Lookup!$B$2:$E$115,4,FALSE),"")</f>
        <v/>
      </c>
      <c r="AT1516" s="65" t="str">
        <f>IFERROR(VLOOKUP(#REF!,[1]Lookup!$B$2:$E$115,2,FALSE),"")</f>
        <v/>
      </c>
      <c r="AU1516" s="65" t="str">
        <f>IFERROR(VLOOKUP(#REF!,[1]Lookup!$B$2:$E$115,3,FALSE),"")</f>
        <v/>
      </c>
    </row>
    <row r="1517" spans="31:47" x14ac:dyDescent="0.3">
      <c r="AE1517" s="204" t="s">
        <v>398</v>
      </c>
      <c r="AF1517" s="204" t="s">
        <v>398</v>
      </c>
      <c r="AG1517" s="204" t="s">
        <v>398</v>
      </c>
      <c r="AS1517" s="65" t="str">
        <f>IFERROR(VLOOKUP(#REF!,[1]Lookup!$B$2:$E$115,4,FALSE),"")</f>
        <v/>
      </c>
      <c r="AT1517" s="65" t="str">
        <f>IFERROR(VLOOKUP(#REF!,[1]Lookup!$B$2:$E$115,2,FALSE),"")</f>
        <v/>
      </c>
      <c r="AU1517" s="65" t="str">
        <f>IFERROR(VLOOKUP(#REF!,[1]Lookup!$B$2:$E$115,3,FALSE),"")</f>
        <v/>
      </c>
    </row>
    <row r="1518" spans="31:47" x14ac:dyDescent="0.3">
      <c r="AE1518" s="204" t="s">
        <v>398</v>
      </c>
      <c r="AF1518" s="204" t="s">
        <v>398</v>
      </c>
      <c r="AG1518" s="204" t="s">
        <v>398</v>
      </c>
      <c r="AS1518" s="65" t="str">
        <f>IFERROR(VLOOKUP(#REF!,[1]Lookup!$B$2:$E$115,4,FALSE),"")</f>
        <v/>
      </c>
      <c r="AT1518" s="65" t="str">
        <f>IFERROR(VLOOKUP(#REF!,[1]Lookup!$B$2:$E$115,2,FALSE),"")</f>
        <v/>
      </c>
      <c r="AU1518" s="65" t="str">
        <f>IFERROR(VLOOKUP(#REF!,[1]Lookup!$B$2:$E$115,3,FALSE),"")</f>
        <v/>
      </c>
    </row>
    <row r="1519" spans="31:47" x14ac:dyDescent="0.3">
      <c r="AE1519" s="204" t="s">
        <v>398</v>
      </c>
      <c r="AF1519" s="204" t="s">
        <v>398</v>
      </c>
      <c r="AG1519" s="204" t="s">
        <v>398</v>
      </c>
      <c r="AS1519" s="65" t="str">
        <f>IFERROR(VLOOKUP(#REF!,[1]Lookup!$B$2:$E$115,4,FALSE),"")</f>
        <v/>
      </c>
      <c r="AT1519" s="65" t="str">
        <f>IFERROR(VLOOKUP(#REF!,[1]Lookup!$B$2:$E$115,2,FALSE),"")</f>
        <v/>
      </c>
      <c r="AU1519" s="65" t="str">
        <f>IFERROR(VLOOKUP(#REF!,[1]Lookup!$B$2:$E$115,3,FALSE),"")</f>
        <v/>
      </c>
    </row>
    <row r="1520" spans="31:47" x14ac:dyDescent="0.3">
      <c r="AE1520" s="204" t="s">
        <v>398</v>
      </c>
      <c r="AF1520" s="204" t="s">
        <v>398</v>
      </c>
      <c r="AG1520" s="204" t="s">
        <v>398</v>
      </c>
      <c r="AS1520" s="65" t="str">
        <f>IFERROR(VLOOKUP(#REF!,[1]Lookup!$B$2:$E$115,4,FALSE),"")</f>
        <v/>
      </c>
      <c r="AT1520" s="65" t="str">
        <f>IFERROR(VLOOKUP(#REF!,[1]Lookup!$B$2:$E$115,2,FALSE),"")</f>
        <v/>
      </c>
      <c r="AU1520" s="65" t="str">
        <f>IFERROR(VLOOKUP(#REF!,[1]Lookup!$B$2:$E$115,3,FALSE),"")</f>
        <v/>
      </c>
    </row>
    <row r="1521" spans="31:47" x14ac:dyDescent="0.3">
      <c r="AE1521" s="204" t="s">
        <v>398</v>
      </c>
      <c r="AF1521" s="204" t="s">
        <v>398</v>
      </c>
      <c r="AG1521" s="204" t="s">
        <v>398</v>
      </c>
      <c r="AS1521" s="65" t="str">
        <f>IFERROR(VLOOKUP(#REF!,[1]Lookup!$B$2:$E$115,4,FALSE),"")</f>
        <v/>
      </c>
      <c r="AT1521" s="65" t="str">
        <f>IFERROR(VLOOKUP(#REF!,[1]Lookup!$B$2:$E$115,2,FALSE),"")</f>
        <v/>
      </c>
      <c r="AU1521" s="65" t="str">
        <f>IFERROR(VLOOKUP(#REF!,[1]Lookup!$B$2:$E$115,3,FALSE),"")</f>
        <v/>
      </c>
    </row>
    <row r="1522" spans="31:47" x14ac:dyDescent="0.3">
      <c r="AE1522" s="204" t="s">
        <v>398</v>
      </c>
      <c r="AF1522" s="204" t="s">
        <v>398</v>
      </c>
      <c r="AG1522" s="204" t="s">
        <v>398</v>
      </c>
      <c r="AS1522" s="65" t="str">
        <f>IFERROR(VLOOKUP(#REF!,[1]Lookup!$B$2:$E$115,4,FALSE),"")</f>
        <v/>
      </c>
      <c r="AT1522" s="65" t="str">
        <f>IFERROR(VLOOKUP(#REF!,[1]Lookup!$B$2:$E$115,2,FALSE),"")</f>
        <v/>
      </c>
      <c r="AU1522" s="65" t="str">
        <f>IFERROR(VLOOKUP(#REF!,[1]Lookup!$B$2:$E$115,3,FALSE),"")</f>
        <v/>
      </c>
    </row>
    <row r="1523" spans="31:47" x14ac:dyDescent="0.3">
      <c r="AE1523" s="204" t="s">
        <v>398</v>
      </c>
      <c r="AF1523" s="204" t="s">
        <v>398</v>
      </c>
      <c r="AG1523" s="204" t="s">
        <v>398</v>
      </c>
      <c r="AS1523" s="65" t="str">
        <f>IFERROR(VLOOKUP(#REF!,[1]Lookup!$B$2:$E$115,4,FALSE),"")</f>
        <v/>
      </c>
      <c r="AT1523" s="65" t="str">
        <f>IFERROR(VLOOKUP(#REF!,[1]Lookup!$B$2:$E$115,2,FALSE),"")</f>
        <v/>
      </c>
      <c r="AU1523" s="65" t="str">
        <f>IFERROR(VLOOKUP(#REF!,[1]Lookup!$B$2:$E$115,3,FALSE),"")</f>
        <v/>
      </c>
    </row>
    <row r="1524" spans="31:47" x14ac:dyDescent="0.3">
      <c r="AE1524" s="204" t="s">
        <v>398</v>
      </c>
      <c r="AF1524" s="204" t="s">
        <v>398</v>
      </c>
      <c r="AG1524" s="204" t="s">
        <v>398</v>
      </c>
      <c r="AS1524" s="65" t="str">
        <f>IFERROR(VLOOKUP(#REF!,[1]Lookup!$B$2:$E$115,4,FALSE),"")</f>
        <v/>
      </c>
      <c r="AT1524" s="65" t="str">
        <f>IFERROR(VLOOKUP(#REF!,[1]Lookup!$B$2:$E$115,2,FALSE),"")</f>
        <v/>
      </c>
      <c r="AU1524" s="65" t="str">
        <f>IFERROR(VLOOKUP(#REF!,[1]Lookup!$B$2:$E$115,3,FALSE),"")</f>
        <v/>
      </c>
    </row>
    <row r="1525" spans="31:47" x14ac:dyDescent="0.3">
      <c r="AE1525" s="204" t="s">
        <v>398</v>
      </c>
      <c r="AF1525" s="204" t="s">
        <v>398</v>
      </c>
      <c r="AG1525" s="204" t="s">
        <v>398</v>
      </c>
      <c r="AS1525" s="65" t="str">
        <f>IFERROR(VLOOKUP(#REF!,[1]Lookup!$B$2:$E$115,4,FALSE),"")</f>
        <v/>
      </c>
      <c r="AT1525" s="65" t="str">
        <f>IFERROR(VLOOKUP(#REF!,[1]Lookup!$B$2:$E$115,2,FALSE),"")</f>
        <v/>
      </c>
      <c r="AU1525" s="65" t="str">
        <f>IFERROR(VLOOKUP(#REF!,[1]Lookup!$B$2:$E$115,3,FALSE),"")</f>
        <v/>
      </c>
    </row>
    <row r="1526" spans="31:47" x14ac:dyDescent="0.3">
      <c r="AE1526" s="204" t="s">
        <v>398</v>
      </c>
      <c r="AF1526" s="204" t="s">
        <v>398</v>
      </c>
      <c r="AG1526" s="204" t="s">
        <v>398</v>
      </c>
      <c r="AS1526" s="65" t="str">
        <f>IFERROR(VLOOKUP(#REF!,[1]Lookup!$B$2:$E$115,4,FALSE),"")</f>
        <v/>
      </c>
      <c r="AT1526" s="65" t="str">
        <f>IFERROR(VLOOKUP(#REF!,[1]Lookup!$B$2:$E$115,2,FALSE),"")</f>
        <v/>
      </c>
      <c r="AU1526" s="65" t="str">
        <f>IFERROR(VLOOKUP(#REF!,[1]Lookup!$B$2:$E$115,3,FALSE),"")</f>
        <v/>
      </c>
    </row>
    <row r="1527" spans="31:47" x14ac:dyDescent="0.3">
      <c r="AE1527" s="204" t="s">
        <v>398</v>
      </c>
      <c r="AF1527" s="204" t="s">
        <v>398</v>
      </c>
      <c r="AG1527" s="204" t="s">
        <v>398</v>
      </c>
      <c r="AS1527" s="65" t="str">
        <f>IFERROR(VLOOKUP(#REF!,[1]Lookup!$B$2:$E$115,4,FALSE),"")</f>
        <v/>
      </c>
      <c r="AT1527" s="65" t="str">
        <f>IFERROR(VLOOKUP(#REF!,[1]Lookup!$B$2:$E$115,2,FALSE),"")</f>
        <v/>
      </c>
      <c r="AU1527" s="65" t="str">
        <f>IFERROR(VLOOKUP(#REF!,[1]Lookup!$B$2:$E$115,3,FALSE),"")</f>
        <v/>
      </c>
    </row>
    <row r="1528" spans="31:47" x14ac:dyDescent="0.3">
      <c r="AE1528" s="204" t="s">
        <v>398</v>
      </c>
      <c r="AF1528" s="204" t="s">
        <v>398</v>
      </c>
      <c r="AG1528" s="204" t="s">
        <v>398</v>
      </c>
      <c r="AS1528" s="65" t="str">
        <f>IFERROR(VLOOKUP(#REF!,[1]Lookup!$B$2:$E$115,4,FALSE),"")</f>
        <v/>
      </c>
      <c r="AT1528" s="65" t="str">
        <f>IFERROR(VLOOKUP(#REF!,[1]Lookup!$B$2:$E$115,2,FALSE),"")</f>
        <v/>
      </c>
      <c r="AU1528" s="65" t="str">
        <f>IFERROR(VLOOKUP(#REF!,[1]Lookup!$B$2:$E$115,3,FALSE),"")</f>
        <v/>
      </c>
    </row>
    <row r="1529" spans="31:47" x14ac:dyDescent="0.3">
      <c r="AE1529" s="204" t="s">
        <v>398</v>
      </c>
      <c r="AF1529" s="204" t="s">
        <v>398</v>
      </c>
      <c r="AG1529" s="204" t="s">
        <v>398</v>
      </c>
      <c r="AS1529" s="65" t="str">
        <f>IFERROR(VLOOKUP(#REF!,[1]Lookup!$B$2:$E$115,4,FALSE),"")</f>
        <v/>
      </c>
      <c r="AT1529" s="65" t="str">
        <f>IFERROR(VLOOKUP(#REF!,[1]Lookup!$B$2:$E$115,2,FALSE),"")</f>
        <v/>
      </c>
      <c r="AU1529" s="65" t="str">
        <f>IFERROR(VLOOKUP(#REF!,[1]Lookup!$B$2:$E$115,3,FALSE),"")</f>
        <v/>
      </c>
    </row>
    <row r="1530" spans="31:47" x14ac:dyDescent="0.3">
      <c r="AE1530" s="204" t="s">
        <v>398</v>
      </c>
      <c r="AF1530" s="204" t="s">
        <v>398</v>
      </c>
      <c r="AG1530" s="204" t="s">
        <v>398</v>
      </c>
      <c r="AS1530" s="65" t="str">
        <f>IFERROR(VLOOKUP(#REF!,[1]Lookup!$B$2:$E$115,4,FALSE),"")</f>
        <v/>
      </c>
      <c r="AT1530" s="65" t="str">
        <f>IFERROR(VLOOKUP(#REF!,[1]Lookup!$B$2:$E$115,2,FALSE),"")</f>
        <v/>
      </c>
      <c r="AU1530" s="65" t="str">
        <f>IFERROR(VLOOKUP(#REF!,[1]Lookup!$B$2:$E$115,3,FALSE),"")</f>
        <v/>
      </c>
    </row>
    <row r="1531" spans="31:47" x14ac:dyDescent="0.3">
      <c r="AE1531" s="204" t="s">
        <v>398</v>
      </c>
      <c r="AF1531" s="204" t="s">
        <v>398</v>
      </c>
      <c r="AG1531" s="204" t="s">
        <v>398</v>
      </c>
      <c r="AS1531" s="65" t="str">
        <f>IFERROR(VLOOKUP(#REF!,[1]Lookup!$B$2:$E$115,4,FALSE),"")</f>
        <v/>
      </c>
      <c r="AT1531" s="65" t="str">
        <f>IFERROR(VLOOKUP(#REF!,[1]Lookup!$B$2:$E$115,2,FALSE),"")</f>
        <v/>
      </c>
      <c r="AU1531" s="65" t="str">
        <f>IFERROR(VLOOKUP(#REF!,[1]Lookup!$B$2:$E$115,3,FALSE),"")</f>
        <v/>
      </c>
    </row>
    <row r="1532" spans="31:47" x14ac:dyDescent="0.3">
      <c r="AE1532" s="204" t="s">
        <v>398</v>
      </c>
      <c r="AF1532" s="204" t="s">
        <v>398</v>
      </c>
      <c r="AG1532" s="204" t="s">
        <v>398</v>
      </c>
      <c r="AS1532" s="65" t="str">
        <f>IFERROR(VLOOKUP(#REF!,[1]Lookup!$B$2:$E$115,4,FALSE),"")</f>
        <v/>
      </c>
      <c r="AT1532" s="65" t="str">
        <f>IFERROR(VLOOKUP(#REF!,[1]Lookup!$B$2:$E$115,2,FALSE),"")</f>
        <v/>
      </c>
      <c r="AU1532" s="65" t="str">
        <f>IFERROR(VLOOKUP(#REF!,[1]Lookup!$B$2:$E$115,3,FALSE),"")</f>
        <v/>
      </c>
    </row>
    <row r="1533" spans="31:47" x14ac:dyDescent="0.3">
      <c r="AE1533" s="204" t="s">
        <v>398</v>
      </c>
      <c r="AF1533" s="204" t="s">
        <v>398</v>
      </c>
      <c r="AG1533" s="204" t="s">
        <v>398</v>
      </c>
      <c r="AS1533" s="65" t="str">
        <f>IFERROR(VLOOKUP(#REF!,[1]Lookup!$B$2:$E$115,4,FALSE),"")</f>
        <v/>
      </c>
      <c r="AT1533" s="65" t="str">
        <f>IFERROR(VLOOKUP(#REF!,[1]Lookup!$B$2:$E$115,2,FALSE),"")</f>
        <v/>
      </c>
      <c r="AU1533" s="65" t="str">
        <f>IFERROR(VLOOKUP(#REF!,[1]Lookup!$B$2:$E$115,3,FALSE),"")</f>
        <v/>
      </c>
    </row>
    <row r="1534" spans="31:47" x14ac:dyDescent="0.3">
      <c r="AE1534" s="204" t="s">
        <v>398</v>
      </c>
      <c r="AF1534" s="204" t="s">
        <v>398</v>
      </c>
      <c r="AG1534" s="204" t="s">
        <v>398</v>
      </c>
      <c r="AS1534" s="65" t="str">
        <f>IFERROR(VLOOKUP(#REF!,[1]Lookup!$B$2:$E$115,4,FALSE),"")</f>
        <v/>
      </c>
      <c r="AT1534" s="65" t="str">
        <f>IFERROR(VLOOKUP(#REF!,[1]Lookup!$B$2:$E$115,2,FALSE),"")</f>
        <v/>
      </c>
      <c r="AU1534" s="65" t="str">
        <f>IFERROR(VLOOKUP(#REF!,[1]Lookup!$B$2:$E$115,3,FALSE),"")</f>
        <v/>
      </c>
    </row>
    <row r="1535" spans="31:47" x14ac:dyDescent="0.3">
      <c r="AE1535" s="204" t="s">
        <v>398</v>
      </c>
      <c r="AF1535" s="204" t="s">
        <v>398</v>
      </c>
      <c r="AG1535" s="204" t="s">
        <v>398</v>
      </c>
      <c r="AS1535" s="65" t="str">
        <f>IFERROR(VLOOKUP(#REF!,[1]Lookup!$B$2:$E$115,4,FALSE),"")</f>
        <v/>
      </c>
      <c r="AT1535" s="65" t="str">
        <f>IFERROR(VLOOKUP(#REF!,[1]Lookup!$B$2:$E$115,2,FALSE),"")</f>
        <v/>
      </c>
      <c r="AU1535" s="65" t="str">
        <f>IFERROR(VLOOKUP(#REF!,[1]Lookup!$B$2:$E$115,3,FALSE),"")</f>
        <v/>
      </c>
    </row>
    <row r="1536" spans="31:47" x14ac:dyDescent="0.3">
      <c r="AE1536" s="204" t="s">
        <v>398</v>
      </c>
      <c r="AF1536" s="204" t="s">
        <v>398</v>
      </c>
      <c r="AG1536" s="204" t="s">
        <v>398</v>
      </c>
      <c r="AS1536" s="65" t="str">
        <f>IFERROR(VLOOKUP(#REF!,[1]Lookup!$B$2:$E$115,4,FALSE),"")</f>
        <v/>
      </c>
      <c r="AT1536" s="65" t="str">
        <f>IFERROR(VLOOKUP(#REF!,[1]Lookup!$B$2:$E$115,2,FALSE),"")</f>
        <v/>
      </c>
      <c r="AU1536" s="65" t="str">
        <f>IFERROR(VLOOKUP(#REF!,[1]Lookup!$B$2:$E$115,3,FALSE),"")</f>
        <v/>
      </c>
    </row>
    <row r="1537" spans="31:47" x14ac:dyDescent="0.3">
      <c r="AE1537" s="204" t="s">
        <v>398</v>
      </c>
      <c r="AF1537" s="204" t="s">
        <v>398</v>
      </c>
      <c r="AG1537" s="204" t="s">
        <v>398</v>
      </c>
      <c r="AS1537" s="65" t="str">
        <f>IFERROR(VLOOKUP(#REF!,[1]Lookup!$B$2:$E$115,4,FALSE),"")</f>
        <v/>
      </c>
      <c r="AT1537" s="65" t="str">
        <f>IFERROR(VLOOKUP(#REF!,[1]Lookup!$B$2:$E$115,2,FALSE),"")</f>
        <v/>
      </c>
      <c r="AU1537" s="65" t="str">
        <f>IFERROR(VLOOKUP(#REF!,[1]Lookup!$B$2:$E$115,3,FALSE),"")</f>
        <v/>
      </c>
    </row>
    <row r="1538" spans="31:47" x14ac:dyDescent="0.3">
      <c r="AE1538" s="204" t="s">
        <v>398</v>
      </c>
      <c r="AF1538" s="204" t="s">
        <v>398</v>
      </c>
      <c r="AG1538" s="204" t="s">
        <v>398</v>
      </c>
      <c r="AS1538" s="65" t="str">
        <f>IFERROR(VLOOKUP(#REF!,[1]Lookup!$B$2:$E$115,4,FALSE),"")</f>
        <v/>
      </c>
      <c r="AT1538" s="65" t="str">
        <f>IFERROR(VLOOKUP(#REF!,[1]Lookup!$B$2:$E$115,2,FALSE),"")</f>
        <v/>
      </c>
      <c r="AU1538" s="65" t="str">
        <f>IFERROR(VLOOKUP(#REF!,[1]Lookup!$B$2:$E$115,3,FALSE),"")</f>
        <v/>
      </c>
    </row>
    <row r="1539" spans="31:47" x14ac:dyDescent="0.3">
      <c r="AE1539" s="204" t="s">
        <v>398</v>
      </c>
      <c r="AF1539" s="204" t="s">
        <v>398</v>
      </c>
      <c r="AG1539" s="204" t="s">
        <v>398</v>
      </c>
      <c r="AS1539" s="65" t="str">
        <f>IFERROR(VLOOKUP(#REF!,[1]Lookup!$B$2:$E$115,4,FALSE),"")</f>
        <v/>
      </c>
      <c r="AT1539" s="65" t="str">
        <f>IFERROR(VLOOKUP(#REF!,[1]Lookup!$B$2:$E$115,2,FALSE),"")</f>
        <v/>
      </c>
      <c r="AU1539" s="65" t="str">
        <f>IFERROR(VLOOKUP(#REF!,[1]Lookup!$B$2:$E$115,3,FALSE),"")</f>
        <v/>
      </c>
    </row>
    <row r="1540" spans="31:47" x14ac:dyDescent="0.3">
      <c r="AE1540" s="204" t="s">
        <v>398</v>
      </c>
      <c r="AF1540" s="204" t="s">
        <v>398</v>
      </c>
      <c r="AG1540" s="204" t="s">
        <v>398</v>
      </c>
      <c r="AS1540" s="65" t="str">
        <f>IFERROR(VLOOKUP(#REF!,[1]Lookup!$B$2:$E$115,4,FALSE),"")</f>
        <v/>
      </c>
      <c r="AT1540" s="65" t="str">
        <f>IFERROR(VLOOKUP(#REF!,[1]Lookup!$B$2:$E$115,2,FALSE),"")</f>
        <v/>
      </c>
      <c r="AU1540" s="65" t="str">
        <f>IFERROR(VLOOKUP(#REF!,[1]Lookup!$B$2:$E$115,3,FALSE),"")</f>
        <v/>
      </c>
    </row>
    <row r="1541" spans="31:47" x14ac:dyDescent="0.3">
      <c r="AE1541" s="204" t="s">
        <v>398</v>
      </c>
      <c r="AF1541" s="204" t="s">
        <v>398</v>
      </c>
      <c r="AG1541" s="204" t="s">
        <v>398</v>
      </c>
      <c r="AS1541" s="65" t="str">
        <f>IFERROR(VLOOKUP(#REF!,[1]Lookup!$B$2:$E$115,4,FALSE),"")</f>
        <v/>
      </c>
      <c r="AT1541" s="65" t="str">
        <f>IFERROR(VLOOKUP(#REF!,[1]Lookup!$B$2:$E$115,2,FALSE),"")</f>
        <v/>
      </c>
      <c r="AU1541" s="65" t="str">
        <f>IFERROR(VLOOKUP(#REF!,[1]Lookup!$B$2:$E$115,3,FALSE),"")</f>
        <v/>
      </c>
    </row>
    <row r="1542" spans="31:47" x14ac:dyDescent="0.3">
      <c r="AE1542" s="204" t="s">
        <v>398</v>
      </c>
      <c r="AF1542" s="204" t="s">
        <v>398</v>
      </c>
      <c r="AG1542" s="204" t="s">
        <v>398</v>
      </c>
      <c r="AS1542" s="65" t="str">
        <f>IFERROR(VLOOKUP(#REF!,[1]Lookup!$B$2:$E$115,4,FALSE),"")</f>
        <v/>
      </c>
      <c r="AT1542" s="65" t="str">
        <f>IFERROR(VLOOKUP(#REF!,[1]Lookup!$B$2:$E$115,2,FALSE),"")</f>
        <v/>
      </c>
      <c r="AU1542" s="65" t="str">
        <f>IFERROR(VLOOKUP(#REF!,[1]Lookup!$B$2:$E$115,3,FALSE),"")</f>
        <v/>
      </c>
    </row>
    <row r="1543" spans="31:47" x14ac:dyDescent="0.3">
      <c r="AE1543" s="204" t="s">
        <v>398</v>
      </c>
      <c r="AF1543" s="204" t="s">
        <v>398</v>
      </c>
      <c r="AG1543" s="204" t="s">
        <v>398</v>
      </c>
      <c r="AS1543" s="65" t="str">
        <f>IFERROR(VLOOKUP(#REF!,[1]Lookup!$B$2:$E$115,4,FALSE),"")</f>
        <v/>
      </c>
      <c r="AT1543" s="65" t="str">
        <f>IFERROR(VLOOKUP(#REF!,[1]Lookup!$B$2:$E$115,2,FALSE),"")</f>
        <v/>
      </c>
      <c r="AU1543" s="65" t="str">
        <f>IFERROR(VLOOKUP(#REF!,[1]Lookup!$B$2:$E$115,3,FALSE),"")</f>
        <v/>
      </c>
    </row>
    <row r="1544" spans="31:47" x14ac:dyDescent="0.3">
      <c r="AE1544" s="204" t="s">
        <v>398</v>
      </c>
      <c r="AF1544" s="204" t="s">
        <v>398</v>
      </c>
      <c r="AG1544" s="204" t="s">
        <v>398</v>
      </c>
      <c r="AS1544" s="65" t="str">
        <f>IFERROR(VLOOKUP(#REF!,[1]Lookup!$B$2:$E$115,4,FALSE),"")</f>
        <v/>
      </c>
      <c r="AT1544" s="65" t="str">
        <f>IFERROR(VLOOKUP(#REF!,[1]Lookup!$B$2:$E$115,2,FALSE),"")</f>
        <v/>
      </c>
      <c r="AU1544" s="65" t="str">
        <f>IFERROR(VLOOKUP(#REF!,[1]Lookup!$B$2:$E$115,3,FALSE),"")</f>
        <v/>
      </c>
    </row>
    <row r="1545" spans="31:47" x14ac:dyDescent="0.3">
      <c r="AE1545" s="204" t="s">
        <v>398</v>
      </c>
      <c r="AF1545" s="204" t="s">
        <v>398</v>
      </c>
      <c r="AG1545" s="204" t="s">
        <v>398</v>
      </c>
      <c r="AS1545" s="65" t="str">
        <f>IFERROR(VLOOKUP(#REF!,[1]Lookup!$B$2:$E$115,4,FALSE),"")</f>
        <v/>
      </c>
      <c r="AT1545" s="65" t="str">
        <f>IFERROR(VLOOKUP(#REF!,[1]Lookup!$B$2:$E$115,2,FALSE),"")</f>
        <v/>
      </c>
      <c r="AU1545" s="65" t="str">
        <f>IFERROR(VLOOKUP(#REF!,[1]Lookup!$B$2:$E$115,3,FALSE),"")</f>
        <v/>
      </c>
    </row>
    <row r="1546" spans="31:47" x14ac:dyDescent="0.3">
      <c r="AE1546" s="204" t="s">
        <v>398</v>
      </c>
      <c r="AF1546" s="204" t="s">
        <v>398</v>
      </c>
      <c r="AG1546" s="204" t="s">
        <v>398</v>
      </c>
      <c r="AS1546" s="65" t="str">
        <f>IFERROR(VLOOKUP(#REF!,[1]Lookup!$B$2:$E$115,4,FALSE),"")</f>
        <v/>
      </c>
      <c r="AT1546" s="65" t="str">
        <f>IFERROR(VLOOKUP(#REF!,[1]Lookup!$B$2:$E$115,2,FALSE),"")</f>
        <v/>
      </c>
      <c r="AU1546" s="65" t="str">
        <f>IFERROR(VLOOKUP(#REF!,[1]Lookup!$B$2:$E$115,3,FALSE),"")</f>
        <v/>
      </c>
    </row>
    <row r="1547" spans="31:47" x14ac:dyDescent="0.3">
      <c r="AE1547" s="204" t="s">
        <v>398</v>
      </c>
      <c r="AF1547" s="204" t="s">
        <v>398</v>
      </c>
      <c r="AG1547" s="204" t="s">
        <v>398</v>
      </c>
      <c r="AS1547" s="65" t="str">
        <f>IFERROR(VLOOKUP(#REF!,[1]Lookup!$B$2:$E$115,4,FALSE),"")</f>
        <v/>
      </c>
      <c r="AT1547" s="65" t="str">
        <f>IFERROR(VLOOKUP(#REF!,[1]Lookup!$B$2:$E$115,2,FALSE),"")</f>
        <v/>
      </c>
      <c r="AU1547" s="65" t="str">
        <f>IFERROR(VLOOKUP(#REF!,[1]Lookup!$B$2:$E$115,3,FALSE),"")</f>
        <v/>
      </c>
    </row>
    <row r="1548" spans="31:47" x14ac:dyDescent="0.3">
      <c r="AE1548" s="204" t="s">
        <v>398</v>
      </c>
      <c r="AF1548" s="204" t="s">
        <v>398</v>
      </c>
      <c r="AG1548" s="204" t="s">
        <v>398</v>
      </c>
      <c r="AS1548" s="65" t="str">
        <f>IFERROR(VLOOKUP(#REF!,[1]Lookup!$B$2:$E$115,4,FALSE),"")</f>
        <v/>
      </c>
      <c r="AT1548" s="65" t="str">
        <f>IFERROR(VLOOKUP(#REF!,[1]Lookup!$B$2:$E$115,2,FALSE),"")</f>
        <v/>
      </c>
      <c r="AU1548" s="65" t="str">
        <f>IFERROR(VLOOKUP(#REF!,[1]Lookup!$B$2:$E$115,3,FALSE),"")</f>
        <v/>
      </c>
    </row>
    <row r="1549" spans="31:47" x14ac:dyDescent="0.3">
      <c r="AE1549" s="204" t="s">
        <v>398</v>
      </c>
      <c r="AF1549" s="204" t="s">
        <v>398</v>
      </c>
      <c r="AG1549" s="204" t="s">
        <v>398</v>
      </c>
      <c r="AS1549" s="65" t="str">
        <f>IFERROR(VLOOKUP(#REF!,[1]Lookup!$B$2:$E$115,4,FALSE),"")</f>
        <v/>
      </c>
      <c r="AT1549" s="65" t="str">
        <f>IFERROR(VLOOKUP(#REF!,[1]Lookup!$B$2:$E$115,2,FALSE),"")</f>
        <v/>
      </c>
      <c r="AU1549" s="65" t="str">
        <f>IFERROR(VLOOKUP(#REF!,[1]Lookup!$B$2:$E$115,3,FALSE),"")</f>
        <v/>
      </c>
    </row>
    <row r="1550" spans="31:47" x14ac:dyDescent="0.3">
      <c r="AE1550" s="204" t="s">
        <v>398</v>
      </c>
      <c r="AF1550" s="204" t="s">
        <v>398</v>
      </c>
      <c r="AG1550" s="204" t="s">
        <v>398</v>
      </c>
      <c r="AS1550" s="65" t="str">
        <f>IFERROR(VLOOKUP(#REF!,[1]Lookup!$B$2:$E$115,4,FALSE),"")</f>
        <v/>
      </c>
      <c r="AT1550" s="65" t="str">
        <f>IFERROR(VLOOKUP(#REF!,[1]Lookup!$B$2:$E$115,2,FALSE),"")</f>
        <v/>
      </c>
      <c r="AU1550" s="65" t="str">
        <f>IFERROR(VLOOKUP(#REF!,[1]Lookup!$B$2:$E$115,3,FALSE),"")</f>
        <v/>
      </c>
    </row>
    <row r="1551" spans="31:47" x14ac:dyDescent="0.3">
      <c r="AE1551" s="204" t="s">
        <v>398</v>
      </c>
      <c r="AF1551" s="204" t="s">
        <v>398</v>
      </c>
      <c r="AG1551" s="204" t="s">
        <v>398</v>
      </c>
      <c r="AS1551" s="65" t="str">
        <f>IFERROR(VLOOKUP(#REF!,[1]Lookup!$B$2:$E$115,4,FALSE),"")</f>
        <v/>
      </c>
      <c r="AT1551" s="65" t="str">
        <f>IFERROR(VLOOKUP(#REF!,[1]Lookup!$B$2:$E$115,2,FALSE),"")</f>
        <v/>
      </c>
      <c r="AU1551" s="65" t="str">
        <f>IFERROR(VLOOKUP(#REF!,[1]Lookup!$B$2:$E$115,3,FALSE),"")</f>
        <v/>
      </c>
    </row>
    <row r="1552" spans="31:47" x14ac:dyDescent="0.3">
      <c r="AE1552" s="204" t="s">
        <v>398</v>
      </c>
      <c r="AF1552" s="204" t="s">
        <v>398</v>
      </c>
      <c r="AG1552" s="204" t="s">
        <v>398</v>
      </c>
      <c r="AS1552" s="65" t="str">
        <f>IFERROR(VLOOKUP(#REF!,[1]Lookup!$B$2:$E$115,4,FALSE),"")</f>
        <v/>
      </c>
      <c r="AT1552" s="65" t="str">
        <f>IFERROR(VLOOKUP(#REF!,[1]Lookup!$B$2:$E$115,2,FALSE),"")</f>
        <v/>
      </c>
      <c r="AU1552" s="65" t="str">
        <f>IFERROR(VLOOKUP(#REF!,[1]Lookup!$B$2:$E$115,3,FALSE),"")</f>
        <v/>
      </c>
    </row>
    <row r="1553" spans="31:47" x14ac:dyDescent="0.3">
      <c r="AE1553" s="204" t="s">
        <v>398</v>
      </c>
      <c r="AF1553" s="204" t="s">
        <v>398</v>
      </c>
      <c r="AG1553" s="204" t="s">
        <v>398</v>
      </c>
      <c r="AS1553" s="65" t="str">
        <f>IFERROR(VLOOKUP(#REF!,[1]Lookup!$B$2:$E$115,4,FALSE),"")</f>
        <v/>
      </c>
      <c r="AT1553" s="65" t="str">
        <f>IFERROR(VLOOKUP(#REF!,[1]Lookup!$B$2:$E$115,2,FALSE),"")</f>
        <v/>
      </c>
      <c r="AU1553" s="65" t="str">
        <f>IFERROR(VLOOKUP(#REF!,[1]Lookup!$B$2:$E$115,3,FALSE),"")</f>
        <v/>
      </c>
    </row>
    <row r="1554" spans="31:47" x14ac:dyDescent="0.3">
      <c r="AE1554" s="204" t="s">
        <v>398</v>
      </c>
      <c r="AF1554" s="204" t="s">
        <v>398</v>
      </c>
      <c r="AG1554" s="204" t="s">
        <v>398</v>
      </c>
      <c r="AS1554" s="65" t="str">
        <f>IFERROR(VLOOKUP(#REF!,[1]Lookup!$B$2:$E$115,4,FALSE),"")</f>
        <v/>
      </c>
      <c r="AT1554" s="65" t="str">
        <f>IFERROR(VLOOKUP(#REF!,[1]Lookup!$B$2:$E$115,2,FALSE),"")</f>
        <v/>
      </c>
      <c r="AU1554" s="65" t="str">
        <f>IFERROR(VLOOKUP(#REF!,[1]Lookup!$B$2:$E$115,3,FALSE),"")</f>
        <v/>
      </c>
    </row>
    <row r="1555" spans="31:47" x14ac:dyDescent="0.3">
      <c r="AE1555" s="204" t="s">
        <v>398</v>
      </c>
      <c r="AF1555" s="204" t="s">
        <v>398</v>
      </c>
      <c r="AG1555" s="204" t="s">
        <v>398</v>
      </c>
      <c r="AS1555" s="65" t="str">
        <f>IFERROR(VLOOKUP(#REF!,[1]Lookup!$B$2:$E$115,4,FALSE),"")</f>
        <v/>
      </c>
      <c r="AT1555" s="65" t="str">
        <f>IFERROR(VLOOKUP(#REF!,[1]Lookup!$B$2:$E$115,2,FALSE),"")</f>
        <v/>
      </c>
      <c r="AU1555" s="65" t="str">
        <f>IFERROR(VLOOKUP(#REF!,[1]Lookup!$B$2:$E$115,3,FALSE),"")</f>
        <v/>
      </c>
    </row>
    <row r="1556" spans="31:47" x14ac:dyDescent="0.3">
      <c r="AE1556" s="204" t="s">
        <v>398</v>
      </c>
      <c r="AF1556" s="204" t="s">
        <v>398</v>
      </c>
      <c r="AG1556" s="204" t="s">
        <v>398</v>
      </c>
      <c r="AS1556" s="65" t="str">
        <f>IFERROR(VLOOKUP(#REF!,[1]Lookup!$B$2:$E$115,4,FALSE),"")</f>
        <v/>
      </c>
      <c r="AT1556" s="65" t="str">
        <f>IFERROR(VLOOKUP(#REF!,[1]Lookup!$B$2:$E$115,2,FALSE),"")</f>
        <v/>
      </c>
      <c r="AU1556" s="65" t="str">
        <f>IFERROR(VLOOKUP(#REF!,[1]Lookup!$B$2:$E$115,3,FALSE),"")</f>
        <v/>
      </c>
    </row>
    <row r="1557" spans="31:47" x14ac:dyDescent="0.3">
      <c r="AE1557" s="204" t="s">
        <v>398</v>
      </c>
      <c r="AF1557" s="204" t="s">
        <v>398</v>
      </c>
      <c r="AG1557" s="204" t="s">
        <v>398</v>
      </c>
      <c r="AS1557" s="65" t="str">
        <f>IFERROR(VLOOKUP(#REF!,[1]Lookup!$B$2:$E$115,4,FALSE),"")</f>
        <v/>
      </c>
      <c r="AT1557" s="65" t="str">
        <f>IFERROR(VLOOKUP(#REF!,[1]Lookup!$B$2:$E$115,2,FALSE),"")</f>
        <v/>
      </c>
      <c r="AU1557" s="65" t="str">
        <f>IFERROR(VLOOKUP(#REF!,[1]Lookup!$B$2:$E$115,3,FALSE),"")</f>
        <v/>
      </c>
    </row>
    <row r="1558" spans="31:47" x14ac:dyDescent="0.3">
      <c r="AE1558" s="204" t="s">
        <v>398</v>
      </c>
      <c r="AF1558" s="204" t="s">
        <v>398</v>
      </c>
      <c r="AG1558" s="204" t="s">
        <v>398</v>
      </c>
      <c r="AS1558" s="65" t="str">
        <f>IFERROR(VLOOKUP(#REF!,[1]Lookup!$B$2:$E$115,4,FALSE),"")</f>
        <v/>
      </c>
      <c r="AT1558" s="65" t="str">
        <f>IFERROR(VLOOKUP(#REF!,[1]Lookup!$B$2:$E$115,2,FALSE),"")</f>
        <v/>
      </c>
      <c r="AU1558" s="65" t="str">
        <f>IFERROR(VLOOKUP(#REF!,[1]Lookup!$B$2:$E$115,3,FALSE),"")</f>
        <v/>
      </c>
    </row>
    <row r="1559" spans="31:47" x14ac:dyDescent="0.3">
      <c r="AE1559" s="204" t="s">
        <v>398</v>
      </c>
      <c r="AF1559" s="204" t="s">
        <v>398</v>
      </c>
      <c r="AG1559" s="204" t="s">
        <v>398</v>
      </c>
      <c r="AS1559" s="65" t="str">
        <f>IFERROR(VLOOKUP(#REF!,[1]Lookup!$B$2:$E$115,4,FALSE),"")</f>
        <v/>
      </c>
      <c r="AT1559" s="65" t="str">
        <f>IFERROR(VLOOKUP(#REF!,[1]Lookup!$B$2:$E$115,2,FALSE),"")</f>
        <v/>
      </c>
      <c r="AU1559" s="65" t="str">
        <f>IFERROR(VLOOKUP(#REF!,[1]Lookup!$B$2:$E$115,3,FALSE),"")</f>
        <v/>
      </c>
    </row>
    <row r="1560" spans="31:47" x14ac:dyDescent="0.3">
      <c r="AE1560" s="204" t="s">
        <v>398</v>
      </c>
      <c r="AF1560" s="204" t="s">
        <v>398</v>
      </c>
      <c r="AG1560" s="204" t="s">
        <v>398</v>
      </c>
      <c r="AS1560" s="65" t="str">
        <f>IFERROR(VLOOKUP(#REF!,[1]Lookup!$B$2:$E$115,4,FALSE),"")</f>
        <v/>
      </c>
      <c r="AT1560" s="65" t="str">
        <f>IFERROR(VLOOKUP(#REF!,[1]Lookup!$B$2:$E$115,2,FALSE),"")</f>
        <v/>
      </c>
      <c r="AU1560" s="65" t="str">
        <f>IFERROR(VLOOKUP(#REF!,[1]Lookup!$B$2:$E$115,3,FALSE),"")</f>
        <v/>
      </c>
    </row>
    <row r="1561" spans="31:47" x14ac:dyDescent="0.3">
      <c r="AE1561" s="204" t="s">
        <v>398</v>
      </c>
      <c r="AF1561" s="204" t="s">
        <v>398</v>
      </c>
      <c r="AG1561" s="204" t="s">
        <v>398</v>
      </c>
      <c r="AS1561" s="65" t="str">
        <f>IFERROR(VLOOKUP(#REF!,[1]Lookup!$B$2:$E$115,4,FALSE),"")</f>
        <v/>
      </c>
      <c r="AT1561" s="65" t="str">
        <f>IFERROR(VLOOKUP(#REF!,[1]Lookup!$B$2:$E$115,2,FALSE),"")</f>
        <v/>
      </c>
      <c r="AU1561" s="65" t="str">
        <f>IFERROR(VLOOKUP(#REF!,[1]Lookup!$B$2:$E$115,3,FALSE),"")</f>
        <v/>
      </c>
    </row>
    <row r="1562" spans="31:47" x14ac:dyDescent="0.3">
      <c r="AE1562" s="204" t="s">
        <v>398</v>
      </c>
      <c r="AF1562" s="204" t="s">
        <v>398</v>
      </c>
      <c r="AG1562" s="204" t="s">
        <v>398</v>
      </c>
      <c r="AS1562" s="65" t="str">
        <f>IFERROR(VLOOKUP(#REF!,[1]Lookup!$B$2:$E$115,4,FALSE),"")</f>
        <v/>
      </c>
      <c r="AT1562" s="65" t="str">
        <f>IFERROR(VLOOKUP(#REF!,[1]Lookup!$B$2:$E$115,2,FALSE),"")</f>
        <v/>
      </c>
      <c r="AU1562" s="65" t="str">
        <f>IFERROR(VLOOKUP(#REF!,[1]Lookup!$B$2:$E$115,3,FALSE),"")</f>
        <v/>
      </c>
    </row>
    <row r="1563" spans="31:47" x14ac:dyDescent="0.3">
      <c r="AE1563" s="204" t="s">
        <v>398</v>
      </c>
      <c r="AF1563" s="204" t="s">
        <v>398</v>
      </c>
      <c r="AG1563" s="204" t="s">
        <v>398</v>
      </c>
      <c r="AS1563" s="65" t="str">
        <f>IFERROR(VLOOKUP(#REF!,[1]Lookup!$B$2:$E$115,4,FALSE),"")</f>
        <v/>
      </c>
      <c r="AT1563" s="65" t="str">
        <f>IFERROR(VLOOKUP(#REF!,[1]Lookup!$B$2:$E$115,2,FALSE),"")</f>
        <v/>
      </c>
      <c r="AU1563" s="65" t="str">
        <f>IFERROR(VLOOKUP(#REF!,[1]Lookup!$B$2:$E$115,3,FALSE),"")</f>
        <v/>
      </c>
    </row>
    <row r="1564" spans="31:47" x14ac:dyDescent="0.3">
      <c r="AE1564" s="204" t="s">
        <v>398</v>
      </c>
      <c r="AF1564" s="204" t="s">
        <v>398</v>
      </c>
      <c r="AG1564" s="204" t="s">
        <v>398</v>
      </c>
      <c r="AS1564" s="65" t="str">
        <f>IFERROR(VLOOKUP(#REF!,[1]Lookup!$B$2:$E$115,4,FALSE),"")</f>
        <v/>
      </c>
      <c r="AT1564" s="65" t="str">
        <f>IFERROR(VLOOKUP(#REF!,[1]Lookup!$B$2:$E$115,2,FALSE),"")</f>
        <v/>
      </c>
      <c r="AU1564" s="65" t="str">
        <f>IFERROR(VLOOKUP(#REF!,[1]Lookup!$B$2:$E$115,3,FALSE),"")</f>
        <v/>
      </c>
    </row>
    <row r="1565" spans="31:47" x14ac:dyDescent="0.3">
      <c r="AE1565" s="204" t="s">
        <v>398</v>
      </c>
      <c r="AF1565" s="204" t="s">
        <v>398</v>
      </c>
      <c r="AG1565" s="204" t="s">
        <v>398</v>
      </c>
      <c r="AS1565" s="65" t="str">
        <f>IFERROR(VLOOKUP(#REF!,[1]Lookup!$B$2:$E$115,4,FALSE),"")</f>
        <v/>
      </c>
      <c r="AT1565" s="65" t="str">
        <f>IFERROR(VLOOKUP(#REF!,[1]Lookup!$B$2:$E$115,2,FALSE),"")</f>
        <v/>
      </c>
      <c r="AU1565" s="65" t="str">
        <f>IFERROR(VLOOKUP(#REF!,[1]Lookup!$B$2:$E$115,3,FALSE),"")</f>
        <v/>
      </c>
    </row>
    <row r="1566" spans="31:47" x14ac:dyDescent="0.3">
      <c r="AE1566" s="204" t="s">
        <v>398</v>
      </c>
      <c r="AF1566" s="204" t="s">
        <v>398</v>
      </c>
      <c r="AG1566" s="204" t="s">
        <v>398</v>
      </c>
      <c r="AS1566" s="65" t="str">
        <f>IFERROR(VLOOKUP(#REF!,[1]Lookup!$B$2:$E$115,4,FALSE),"")</f>
        <v/>
      </c>
      <c r="AT1566" s="65" t="str">
        <f>IFERROR(VLOOKUP(#REF!,[1]Lookup!$B$2:$E$115,2,FALSE),"")</f>
        <v/>
      </c>
      <c r="AU1566" s="65" t="str">
        <f>IFERROR(VLOOKUP(#REF!,[1]Lookup!$B$2:$E$115,3,FALSE),"")</f>
        <v/>
      </c>
    </row>
    <row r="1567" spans="31:47" x14ac:dyDescent="0.3">
      <c r="AE1567" s="204" t="s">
        <v>398</v>
      </c>
      <c r="AF1567" s="204" t="s">
        <v>398</v>
      </c>
      <c r="AG1567" s="204" t="s">
        <v>398</v>
      </c>
      <c r="AS1567" s="65" t="str">
        <f>IFERROR(VLOOKUP(#REF!,[1]Lookup!$B$2:$E$115,4,FALSE),"")</f>
        <v/>
      </c>
      <c r="AT1567" s="65" t="str">
        <f>IFERROR(VLOOKUP(#REF!,[1]Lookup!$B$2:$E$115,2,FALSE),"")</f>
        <v/>
      </c>
      <c r="AU1567" s="65" t="str">
        <f>IFERROR(VLOOKUP(#REF!,[1]Lookup!$B$2:$E$115,3,FALSE),"")</f>
        <v/>
      </c>
    </row>
    <row r="1568" spans="31:47" x14ac:dyDescent="0.3">
      <c r="AE1568" s="204" t="s">
        <v>398</v>
      </c>
      <c r="AF1568" s="204" t="s">
        <v>398</v>
      </c>
      <c r="AG1568" s="204" t="s">
        <v>398</v>
      </c>
      <c r="AS1568" s="65" t="str">
        <f>IFERROR(VLOOKUP(#REF!,[1]Lookup!$B$2:$E$115,4,FALSE),"")</f>
        <v/>
      </c>
      <c r="AT1568" s="65" t="str">
        <f>IFERROR(VLOOKUP(#REF!,[1]Lookup!$B$2:$E$115,2,FALSE),"")</f>
        <v/>
      </c>
      <c r="AU1568" s="65" t="str">
        <f>IFERROR(VLOOKUP(#REF!,[1]Lookup!$B$2:$E$115,3,FALSE),"")</f>
        <v/>
      </c>
    </row>
    <row r="1569" spans="31:47" x14ac:dyDescent="0.3">
      <c r="AE1569" s="204" t="s">
        <v>398</v>
      </c>
      <c r="AF1569" s="204" t="s">
        <v>398</v>
      </c>
      <c r="AG1569" s="204" t="s">
        <v>398</v>
      </c>
      <c r="AS1569" s="65" t="str">
        <f>IFERROR(VLOOKUP(#REF!,[1]Lookup!$B$2:$E$115,4,FALSE),"")</f>
        <v/>
      </c>
      <c r="AT1569" s="65" t="str">
        <f>IFERROR(VLOOKUP(#REF!,[1]Lookup!$B$2:$E$115,2,FALSE),"")</f>
        <v/>
      </c>
      <c r="AU1569" s="65" t="str">
        <f>IFERROR(VLOOKUP(#REF!,[1]Lookup!$B$2:$E$115,3,FALSE),"")</f>
        <v/>
      </c>
    </row>
    <row r="1570" spans="31:47" x14ac:dyDescent="0.3">
      <c r="AE1570" s="204" t="s">
        <v>398</v>
      </c>
      <c r="AF1570" s="204" t="s">
        <v>398</v>
      </c>
      <c r="AG1570" s="204" t="s">
        <v>398</v>
      </c>
      <c r="AS1570" s="65" t="str">
        <f>IFERROR(VLOOKUP(#REF!,[1]Lookup!$B$2:$E$115,4,FALSE),"")</f>
        <v/>
      </c>
      <c r="AT1570" s="65" t="str">
        <f>IFERROR(VLOOKUP(#REF!,[1]Lookup!$B$2:$E$115,2,FALSE),"")</f>
        <v/>
      </c>
      <c r="AU1570" s="65" t="str">
        <f>IFERROR(VLOOKUP(#REF!,[1]Lookup!$B$2:$E$115,3,FALSE),"")</f>
        <v/>
      </c>
    </row>
    <row r="1571" spans="31:47" x14ac:dyDescent="0.3">
      <c r="AE1571" s="204" t="s">
        <v>398</v>
      </c>
      <c r="AF1571" s="204" t="s">
        <v>398</v>
      </c>
      <c r="AG1571" s="204" t="s">
        <v>398</v>
      </c>
      <c r="AS1571" s="65" t="str">
        <f>IFERROR(VLOOKUP(#REF!,[1]Lookup!$B$2:$E$115,4,FALSE),"")</f>
        <v/>
      </c>
      <c r="AT1571" s="65" t="str">
        <f>IFERROR(VLOOKUP(#REF!,[1]Lookup!$B$2:$E$115,2,FALSE),"")</f>
        <v/>
      </c>
      <c r="AU1571" s="65" t="str">
        <f>IFERROR(VLOOKUP(#REF!,[1]Lookup!$B$2:$E$115,3,FALSE),"")</f>
        <v/>
      </c>
    </row>
    <row r="1572" spans="31:47" x14ac:dyDescent="0.3">
      <c r="AE1572" s="204" t="s">
        <v>398</v>
      </c>
      <c r="AF1572" s="204" t="s">
        <v>398</v>
      </c>
      <c r="AG1572" s="204" t="s">
        <v>398</v>
      </c>
      <c r="AS1572" s="65" t="str">
        <f>IFERROR(VLOOKUP(#REF!,[1]Lookup!$B$2:$E$115,4,FALSE),"")</f>
        <v/>
      </c>
      <c r="AT1572" s="65" t="str">
        <f>IFERROR(VLOOKUP(#REF!,[1]Lookup!$B$2:$E$115,2,FALSE),"")</f>
        <v/>
      </c>
      <c r="AU1572" s="65" t="str">
        <f>IFERROR(VLOOKUP(#REF!,[1]Lookup!$B$2:$E$115,3,FALSE),"")</f>
        <v/>
      </c>
    </row>
    <row r="1573" spans="31:47" x14ac:dyDescent="0.3">
      <c r="AE1573" s="204" t="s">
        <v>398</v>
      </c>
      <c r="AF1573" s="204" t="s">
        <v>398</v>
      </c>
      <c r="AG1573" s="204" t="s">
        <v>398</v>
      </c>
      <c r="AS1573" s="65" t="str">
        <f>IFERROR(VLOOKUP(#REF!,[1]Lookup!$B$2:$E$115,4,FALSE),"")</f>
        <v/>
      </c>
      <c r="AT1573" s="65" t="str">
        <f>IFERROR(VLOOKUP(#REF!,[1]Lookup!$B$2:$E$115,2,FALSE),"")</f>
        <v/>
      </c>
      <c r="AU1573" s="65" t="str">
        <f>IFERROR(VLOOKUP(#REF!,[1]Lookup!$B$2:$E$115,3,FALSE),"")</f>
        <v/>
      </c>
    </row>
    <row r="1574" spans="31:47" x14ac:dyDescent="0.3">
      <c r="AE1574" s="204" t="s">
        <v>398</v>
      </c>
      <c r="AF1574" s="204" t="s">
        <v>398</v>
      </c>
      <c r="AG1574" s="204" t="s">
        <v>398</v>
      </c>
      <c r="AS1574" s="65" t="str">
        <f>IFERROR(VLOOKUP(#REF!,[1]Lookup!$B$2:$E$115,4,FALSE),"")</f>
        <v/>
      </c>
      <c r="AT1574" s="65" t="str">
        <f>IFERROR(VLOOKUP(#REF!,[1]Lookup!$B$2:$E$115,2,FALSE),"")</f>
        <v/>
      </c>
      <c r="AU1574" s="65" t="str">
        <f>IFERROR(VLOOKUP(#REF!,[1]Lookup!$B$2:$E$115,3,FALSE),"")</f>
        <v/>
      </c>
    </row>
    <row r="1575" spans="31:47" x14ac:dyDescent="0.3">
      <c r="AE1575" s="204" t="s">
        <v>398</v>
      </c>
      <c r="AF1575" s="204" t="s">
        <v>398</v>
      </c>
      <c r="AG1575" s="204" t="s">
        <v>398</v>
      </c>
      <c r="AS1575" s="65" t="str">
        <f>IFERROR(VLOOKUP(#REF!,[1]Lookup!$B$2:$E$115,4,FALSE),"")</f>
        <v/>
      </c>
      <c r="AT1575" s="65" t="str">
        <f>IFERROR(VLOOKUP(#REF!,[1]Lookup!$B$2:$E$115,2,FALSE),"")</f>
        <v/>
      </c>
      <c r="AU1575" s="65" t="str">
        <f>IFERROR(VLOOKUP(#REF!,[1]Lookup!$B$2:$E$115,3,FALSE),"")</f>
        <v/>
      </c>
    </row>
    <row r="1576" spans="31:47" x14ac:dyDescent="0.3">
      <c r="AE1576" s="204" t="s">
        <v>398</v>
      </c>
      <c r="AF1576" s="204" t="s">
        <v>398</v>
      </c>
      <c r="AG1576" s="204" t="s">
        <v>398</v>
      </c>
      <c r="AS1576" s="65" t="str">
        <f>IFERROR(VLOOKUP(#REF!,[1]Lookup!$B$2:$E$115,4,FALSE),"")</f>
        <v/>
      </c>
      <c r="AT1576" s="65" t="str">
        <f>IFERROR(VLOOKUP(#REF!,[1]Lookup!$B$2:$E$115,2,FALSE),"")</f>
        <v/>
      </c>
      <c r="AU1576" s="65" t="str">
        <f>IFERROR(VLOOKUP(#REF!,[1]Lookup!$B$2:$E$115,3,FALSE),"")</f>
        <v/>
      </c>
    </row>
    <row r="1577" spans="31:47" x14ac:dyDescent="0.3">
      <c r="AE1577" s="204" t="s">
        <v>398</v>
      </c>
      <c r="AF1577" s="204" t="s">
        <v>398</v>
      </c>
      <c r="AG1577" s="204" t="s">
        <v>398</v>
      </c>
      <c r="AS1577" s="65" t="str">
        <f>IFERROR(VLOOKUP(#REF!,[1]Lookup!$B$2:$E$115,4,FALSE),"")</f>
        <v/>
      </c>
      <c r="AT1577" s="65" t="str">
        <f>IFERROR(VLOOKUP(#REF!,[1]Lookup!$B$2:$E$115,2,FALSE),"")</f>
        <v/>
      </c>
      <c r="AU1577" s="65" t="str">
        <f>IFERROR(VLOOKUP(#REF!,[1]Lookup!$B$2:$E$115,3,FALSE),"")</f>
        <v/>
      </c>
    </row>
    <row r="1578" spans="31:47" x14ac:dyDescent="0.3">
      <c r="AE1578" s="204" t="s">
        <v>398</v>
      </c>
      <c r="AF1578" s="204" t="s">
        <v>398</v>
      </c>
      <c r="AG1578" s="204" t="s">
        <v>398</v>
      </c>
      <c r="AS1578" s="65" t="str">
        <f>IFERROR(VLOOKUP(#REF!,[1]Lookup!$B$2:$E$115,4,FALSE),"")</f>
        <v/>
      </c>
      <c r="AT1578" s="65" t="str">
        <f>IFERROR(VLOOKUP(#REF!,[1]Lookup!$B$2:$E$115,2,FALSE),"")</f>
        <v/>
      </c>
      <c r="AU1578" s="65" t="str">
        <f>IFERROR(VLOOKUP(#REF!,[1]Lookup!$B$2:$E$115,3,FALSE),"")</f>
        <v/>
      </c>
    </row>
    <row r="1579" spans="31:47" x14ac:dyDescent="0.3">
      <c r="AE1579" s="204" t="s">
        <v>398</v>
      </c>
      <c r="AF1579" s="204" t="s">
        <v>398</v>
      </c>
      <c r="AG1579" s="204" t="s">
        <v>398</v>
      </c>
      <c r="AS1579" s="65" t="str">
        <f>IFERROR(VLOOKUP(#REF!,[1]Lookup!$B$2:$E$115,4,FALSE),"")</f>
        <v/>
      </c>
      <c r="AT1579" s="65" t="str">
        <f>IFERROR(VLOOKUP(#REF!,[1]Lookup!$B$2:$E$115,2,FALSE),"")</f>
        <v/>
      </c>
      <c r="AU1579" s="65" t="str">
        <f>IFERROR(VLOOKUP(#REF!,[1]Lookup!$B$2:$E$115,3,FALSE),"")</f>
        <v/>
      </c>
    </row>
    <row r="1580" spans="31:47" x14ac:dyDescent="0.3">
      <c r="AE1580" s="204" t="s">
        <v>398</v>
      </c>
      <c r="AF1580" s="204" t="s">
        <v>398</v>
      </c>
      <c r="AG1580" s="204" t="s">
        <v>398</v>
      </c>
      <c r="AS1580" s="65" t="str">
        <f>IFERROR(VLOOKUP(#REF!,[1]Lookup!$B$2:$E$115,4,FALSE),"")</f>
        <v/>
      </c>
      <c r="AT1580" s="65" t="str">
        <f>IFERROR(VLOOKUP(#REF!,[1]Lookup!$B$2:$E$115,2,FALSE),"")</f>
        <v/>
      </c>
      <c r="AU1580" s="65" t="str">
        <f>IFERROR(VLOOKUP(#REF!,[1]Lookup!$B$2:$E$115,3,FALSE),"")</f>
        <v/>
      </c>
    </row>
    <row r="1581" spans="31:47" x14ac:dyDescent="0.3">
      <c r="AE1581" s="204" t="s">
        <v>398</v>
      </c>
      <c r="AF1581" s="204" t="s">
        <v>398</v>
      </c>
      <c r="AG1581" s="204" t="s">
        <v>398</v>
      </c>
      <c r="AS1581" s="65" t="str">
        <f>IFERROR(VLOOKUP(#REF!,[1]Lookup!$B$2:$E$115,4,FALSE),"")</f>
        <v/>
      </c>
      <c r="AT1581" s="65" t="str">
        <f>IFERROR(VLOOKUP(#REF!,[1]Lookup!$B$2:$E$115,2,FALSE),"")</f>
        <v/>
      </c>
      <c r="AU1581" s="65" t="str">
        <f>IFERROR(VLOOKUP(#REF!,[1]Lookup!$B$2:$E$115,3,FALSE),"")</f>
        <v/>
      </c>
    </row>
    <row r="1582" spans="31:47" x14ac:dyDescent="0.3">
      <c r="AE1582" s="204" t="s">
        <v>398</v>
      </c>
      <c r="AF1582" s="204" t="s">
        <v>398</v>
      </c>
      <c r="AG1582" s="204" t="s">
        <v>398</v>
      </c>
      <c r="AS1582" s="65" t="str">
        <f>IFERROR(VLOOKUP(#REF!,[1]Lookup!$B$2:$E$115,4,FALSE),"")</f>
        <v/>
      </c>
      <c r="AT1582" s="65" t="str">
        <f>IFERROR(VLOOKUP(#REF!,[1]Lookup!$B$2:$E$115,2,FALSE),"")</f>
        <v/>
      </c>
      <c r="AU1582" s="65" t="str">
        <f>IFERROR(VLOOKUP(#REF!,[1]Lookup!$B$2:$E$115,3,FALSE),"")</f>
        <v/>
      </c>
    </row>
    <row r="1583" spans="31:47" x14ac:dyDescent="0.3">
      <c r="AE1583" s="204" t="s">
        <v>398</v>
      </c>
      <c r="AF1583" s="204" t="s">
        <v>398</v>
      </c>
      <c r="AG1583" s="204" t="s">
        <v>398</v>
      </c>
      <c r="AS1583" s="65" t="str">
        <f>IFERROR(VLOOKUP(#REF!,[1]Lookup!$B$2:$E$115,4,FALSE),"")</f>
        <v/>
      </c>
      <c r="AT1583" s="65" t="str">
        <f>IFERROR(VLOOKUP(#REF!,[1]Lookup!$B$2:$E$115,2,FALSE),"")</f>
        <v/>
      </c>
      <c r="AU1583" s="65" t="str">
        <f>IFERROR(VLOOKUP(#REF!,[1]Lookup!$B$2:$E$115,3,FALSE),"")</f>
        <v/>
      </c>
    </row>
    <row r="1584" spans="31:47" x14ac:dyDescent="0.3">
      <c r="AE1584" s="204" t="s">
        <v>398</v>
      </c>
      <c r="AF1584" s="204" t="s">
        <v>398</v>
      </c>
      <c r="AG1584" s="204" t="s">
        <v>398</v>
      </c>
      <c r="AS1584" s="65" t="str">
        <f>IFERROR(VLOOKUP(#REF!,[1]Lookup!$B$2:$E$115,4,FALSE),"")</f>
        <v/>
      </c>
      <c r="AT1584" s="65" t="str">
        <f>IFERROR(VLOOKUP(#REF!,[1]Lookup!$B$2:$E$115,2,FALSE),"")</f>
        <v/>
      </c>
      <c r="AU1584" s="65" t="str">
        <f>IFERROR(VLOOKUP(#REF!,[1]Lookup!$B$2:$E$115,3,FALSE),"")</f>
        <v/>
      </c>
    </row>
    <row r="1585" spans="31:47" x14ac:dyDescent="0.3">
      <c r="AE1585" s="204" t="s">
        <v>398</v>
      </c>
      <c r="AF1585" s="204" t="s">
        <v>398</v>
      </c>
      <c r="AG1585" s="204" t="s">
        <v>398</v>
      </c>
      <c r="AS1585" s="65" t="str">
        <f>IFERROR(VLOOKUP(#REF!,[1]Lookup!$B$2:$E$115,4,FALSE),"")</f>
        <v/>
      </c>
      <c r="AT1585" s="65" t="str">
        <f>IFERROR(VLOOKUP(#REF!,[1]Lookup!$B$2:$E$115,2,FALSE),"")</f>
        <v/>
      </c>
      <c r="AU1585" s="65" t="str">
        <f>IFERROR(VLOOKUP(#REF!,[1]Lookup!$B$2:$E$115,3,FALSE),"")</f>
        <v/>
      </c>
    </row>
    <row r="1586" spans="31:47" x14ac:dyDescent="0.3">
      <c r="AE1586" s="204" t="s">
        <v>398</v>
      </c>
      <c r="AF1586" s="204" t="s">
        <v>398</v>
      </c>
      <c r="AG1586" s="204" t="s">
        <v>398</v>
      </c>
      <c r="AS1586" s="65" t="str">
        <f>IFERROR(VLOOKUP(#REF!,[1]Lookup!$B$2:$E$115,4,FALSE),"")</f>
        <v/>
      </c>
      <c r="AT1586" s="65" t="str">
        <f>IFERROR(VLOOKUP(#REF!,[1]Lookup!$B$2:$E$115,2,FALSE),"")</f>
        <v/>
      </c>
      <c r="AU1586" s="65" t="str">
        <f>IFERROR(VLOOKUP(#REF!,[1]Lookup!$B$2:$E$115,3,FALSE),"")</f>
        <v/>
      </c>
    </row>
    <row r="1587" spans="31:47" x14ac:dyDescent="0.3">
      <c r="AE1587" s="204" t="s">
        <v>398</v>
      </c>
      <c r="AF1587" s="204" t="s">
        <v>398</v>
      </c>
      <c r="AG1587" s="204" t="s">
        <v>398</v>
      </c>
      <c r="AS1587" s="65" t="str">
        <f>IFERROR(VLOOKUP(#REF!,[1]Lookup!$B$2:$E$115,4,FALSE),"")</f>
        <v/>
      </c>
      <c r="AT1587" s="65" t="str">
        <f>IFERROR(VLOOKUP(#REF!,[1]Lookup!$B$2:$E$115,2,FALSE),"")</f>
        <v/>
      </c>
      <c r="AU1587" s="65" t="str">
        <f>IFERROR(VLOOKUP(#REF!,[1]Lookup!$B$2:$E$115,3,FALSE),"")</f>
        <v/>
      </c>
    </row>
    <row r="1588" spans="31:47" x14ac:dyDescent="0.3">
      <c r="AE1588" s="204" t="s">
        <v>398</v>
      </c>
      <c r="AF1588" s="204" t="s">
        <v>398</v>
      </c>
      <c r="AG1588" s="204" t="s">
        <v>398</v>
      </c>
      <c r="AS1588" s="65" t="str">
        <f>IFERROR(VLOOKUP(#REF!,[1]Lookup!$B$2:$E$115,4,FALSE),"")</f>
        <v/>
      </c>
      <c r="AT1588" s="65" t="str">
        <f>IFERROR(VLOOKUP(#REF!,[1]Lookup!$B$2:$E$115,2,FALSE),"")</f>
        <v/>
      </c>
      <c r="AU1588" s="65" t="str">
        <f>IFERROR(VLOOKUP(#REF!,[1]Lookup!$B$2:$E$115,3,FALSE),"")</f>
        <v/>
      </c>
    </row>
    <row r="1589" spans="31:47" x14ac:dyDescent="0.3">
      <c r="AE1589" s="204" t="s">
        <v>398</v>
      </c>
      <c r="AF1589" s="204" t="s">
        <v>398</v>
      </c>
      <c r="AG1589" s="204" t="s">
        <v>398</v>
      </c>
      <c r="AS1589" s="65" t="str">
        <f>IFERROR(VLOOKUP(#REF!,[1]Lookup!$B$2:$E$115,4,FALSE),"")</f>
        <v/>
      </c>
      <c r="AT1589" s="65" t="str">
        <f>IFERROR(VLOOKUP(#REF!,[1]Lookup!$B$2:$E$115,2,FALSE),"")</f>
        <v/>
      </c>
      <c r="AU1589" s="65" t="str">
        <f>IFERROR(VLOOKUP(#REF!,[1]Lookup!$B$2:$E$115,3,FALSE),"")</f>
        <v/>
      </c>
    </row>
    <row r="1590" spans="31:47" x14ac:dyDescent="0.3">
      <c r="AE1590" s="204" t="s">
        <v>398</v>
      </c>
      <c r="AF1590" s="204" t="s">
        <v>398</v>
      </c>
      <c r="AG1590" s="204" t="s">
        <v>398</v>
      </c>
      <c r="AS1590" s="65" t="str">
        <f>IFERROR(VLOOKUP(#REF!,[1]Lookup!$B$2:$E$115,4,FALSE),"")</f>
        <v/>
      </c>
      <c r="AT1590" s="65" t="str">
        <f>IFERROR(VLOOKUP(#REF!,[1]Lookup!$B$2:$E$115,2,FALSE),"")</f>
        <v/>
      </c>
      <c r="AU1590" s="65" t="str">
        <f>IFERROR(VLOOKUP(#REF!,[1]Lookup!$B$2:$E$115,3,FALSE),"")</f>
        <v/>
      </c>
    </row>
    <row r="1591" spans="31:47" x14ac:dyDescent="0.3">
      <c r="AE1591" s="204" t="s">
        <v>398</v>
      </c>
      <c r="AF1591" s="204" t="s">
        <v>398</v>
      </c>
      <c r="AG1591" s="204" t="s">
        <v>398</v>
      </c>
      <c r="AS1591" s="65" t="str">
        <f>IFERROR(VLOOKUP(#REF!,[1]Lookup!$B$2:$E$115,4,FALSE),"")</f>
        <v/>
      </c>
      <c r="AT1591" s="65" t="str">
        <f>IFERROR(VLOOKUP(#REF!,[1]Lookup!$B$2:$E$115,2,FALSE),"")</f>
        <v/>
      </c>
      <c r="AU1591" s="65" t="str">
        <f>IFERROR(VLOOKUP(#REF!,[1]Lookup!$B$2:$E$115,3,FALSE),"")</f>
        <v/>
      </c>
    </row>
    <row r="1592" spans="31:47" x14ac:dyDescent="0.3">
      <c r="AE1592" s="204" t="s">
        <v>398</v>
      </c>
      <c r="AF1592" s="204" t="s">
        <v>398</v>
      </c>
      <c r="AG1592" s="204" t="s">
        <v>398</v>
      </c>
      <c r="AS1592" s="65" t="str">
        <f>IFERROR(VLOOKUP(#REF!,[1]Lookup!$B$2:$E$115,4,FALSE),"")</f>
        <v/>
      </c>
      <c r="AT1592" s="65" t="str">
        <f>IFERROR(VLOOKUP(#REF!,[1]Lookup!$B$2:$E$115,2,FALSE),"")</f>
        <v/>
      </c>
      <c r="AU1592" s="65" t="str">
        <f>IFERROR(VLOOKUP(#REF!,[1]Lookup!$B$2:$E$115,3,FALSE),"")</f>
        <v/>
      </c>
    </row>
    <row r="1593" spans="31:47" x14ac:dyDescent="0.3">
      <c r="AE1593" s="204" t="s">
        <v>398</v>
      </c>
      <c r="AF1593" s="204" t="s">
        <v>398</v>
      </c>
      <c r="AG1593" s="204" t="s">
        <v>398</v>
      </c>
      <c r="AS1593" s="65" t="str">
        <f>IFERROR(VLOOKUP(#REF!,[1]Lookup!$B$2:$E$115,4,FALSE),"")</f>
        <v/>
      </c>
      <c r="AT1593" s="65" t="str">
        <f>IFERROR(VLOOKUP(#REF!,[1]Lookup!$B$2:$E$115,2,FALSE),"")</f>
        <v/>
      </c>
      <c r="AU1593" s="65" t="str">
        <f>IFERROR(VLOOKUP(#REF!,[1]Lookup!$B$2:$E$115,3,FALSE),"")</f>
        <v/>
      </c>
    </row>
    <row r="1594" spans="31:47" x14ac:dyDescent="0.3">
      <c r="AE1594" s="204" t="s">
        <v>398</v>
      </c>
      <c r="AF1594" s="204" t="s">
        <v>398</v>
      </c>
      <c r="AG1594" s="204" t="s">
        <v>398</v>
      </c>
      <c r="AS1594" s="65" t="str">
        <f>IFERROR(VLOOKUP(#REF!,[1]Lookup!$B$2:$E$115,4,FALSE),"")</f>
        <v/>
      </c>
      <c r="AT1594" s="65" t="str">
        <f>IFERROR(VLOOKUP(#REF!,[1]Lookup!$B$2:$E$115,2,FALSE),"")</f>
        <v/>
      </c>
      <c r="AU1594" s="65" t="str">
        <f>IFERROR(VLOOKUP(#REF!,[1]Lookup!$B$2:$E$115,3,FALSE),"")</f>
        <v/>
      </c>
    </row>
    <row r="1595" spans="31:47" x14ac:dyDescent="0.3">
      <c r="AE1595" s="204" t="s">
        <v>398</v>
      </c>
      <c r="AF1595" s="204" t="s">
        <v>398</v>
      </c>
      <c r="AG1595" s="204" t="s">
        <v>398</v>
      </c>
      <c r="AS1595" s="65" t="str">
        <f>IFERROR(VLOOKUP(#REF!,[1]Lookup!$B$2:$E$115,4,FALSE),"")</f>
        <v/>
      </c>
      <c r="AT1595" s="65" t="str">
        <f>IFERROR(VLOOKUP(#REF!,[1]Lookup!$B$2:$E$115,2,FALSE),"")</f>
        <v/>
      </c>
      <c r="AU1595" s="65" t="str">
        <f>IFERROR(VLOOKUP(#REF!,[1]Lookup!$B$2:$E$115,3,FALSE),"")</f>
        <v/>
      </c>
    </row>
    <row r="1596" spans="31:47" x14ac:dyDescent="0.3">
      <c r="AE1596" s="204" t="s">
        <v>398</v>
      </c>
      <c r="AF1596" s="204" t="s">
        <v>398</v>
      </c>
      <c r="AG1596" s="204" t="s">
        <v>398</v>
      </c>
      <c r="AS1596" s="65" t="str">
        <f>IFERROR(VLOOKUP(#REF!,[1]Lookup!$B$2:$E$115,4,FALSE),"")</f>
        <v/>
      </c>
      <c r="AT1596" s="65" t="str">
        <f>IFERROR(VLOOKUP(#REF!,[1]Lookup!$B$2:$E$115,2,FALSE),"")</f>
        <v/>
      </c>
      <c r="AU1596" s="65" t="str">
        <f>IFERROR(VLOOKUP(#REF!,[1]Lookup!$B$2:$E$115,3,FALSE),"")</f>
        <v/>
      </c>
    </row>
    <row r="1597" spans="31:47" x14ac:dyDescent="0.3">
      <c r="AE1597" s="204" t="s">
        <v>398</v>
      </c>
      <c r="AF1597" s="204" t="s">
        <v>398</v>
      </c>
      <c r="AG1597" s="204" t="s">
        <v>398</v>
      </c>
      <c r="AS1597" s="65" t="str">
        <f>IFERROR(VLOOKUP(#REF!,[1]Lookup!$B$2:$E$115,4,FALSE),"")</f>
        <v/>
      </c>
      <c r="AT1597" s="65" t="str">
        <f>IFERROR(VLOOKUP(#REF!,[1]Lookup!$B$2:$E$115,2,FALSE),"")</f>
        <v/>
      </c>
      <c r="AU1597" s="65" t="str">
        <f>IFERROR(VLOOKUP(#REF!,[1]Lookup!$B$2:$E$115,3,FALSE),"")</f>
        <v/>
      </c>
    </row>
    <row r="1598" spans="31:47" x14ac:dyDescent="0.3">
      <c r="AE1598" s="204" t="s">
        <v>398</v>
      </c>
      <c r="AF1598" s="204" t="s">
        <v>398</v>
      </c>
      <c r="AG1598" s="204" t="s">
        <v>398</v>
      </c>
      <c r="AS1598" s="65" t="str">
        <f>IFERROR(VLOOKUP(#REF!,[1]Lookup!$B$2:$E$115,4,FALSE),"")</f>
        <v/>
      </c>
      <c r="AT1598" s="65" t="str">
        <f>IFERROR(VLOOKUP(#REF!,[1]Lookup!$B$2:$E$115,2,FALSE),"")</f>
        <v/>
      </c>
      <c r="AU1598" s="65" t="str">
        <f>IFERROR(VLOOKUP(#REF!,[1]Lookup!$B$2:$E$115,3,FALSE),"")</f>
        <v/>
      </c>
    </row>
    <row r="1599" spans="31:47" x14ac:dyDescent="0.3">
      <c r="AE1599" s="204" t="s">
        <v>398</v>
      </c>
      <c r="AF1599" s="204" t="s">
        <v>398</v>
      </c>
      <c r="AG1599" s="204" t="s">
        <v>398</v>
      </c>
      <c r="AS1599" s="65" t="str">
        <f>IFERROR(VLOOKUP(#REF!,[1]Lookup!$B$2:$E$115,4,FALSE),"")</f>
        <v/>
      </c>
      <c r="AT1599" s="65" t="str">
        <f>IFERROR(VLOOKUP(#REF!,[1]Lookup!$B$2:$E$115,2,FALSE),"")</f>
        <v/>
      </c>
      <c r="AU1599" s="65" t="str">
        <f>IFERROR(VLOOKUP(#REF!,[1]Lookup!$B$2:$E$115,3,FALSE),"")</f>
        <v/>
      </c>
    </row>
    <row r="1600" spans="31:47" x14ac:dyDescent="0.3">
      <c r="AE1600" s="204" t="s">
        <v>398</v>
      </c>
      <c r="AF1600" s="204" t="s">
        <v>398</v>
      </c>
      <c r="AG1600" s="204" t="s">
        <v>398</v>
      </c>
      <c r="AS1600" s="65" t="str">
        <f>IFERROR(VLOOKUP(#REF!,[1]Lookup!$B$2:$E$115,4,FALSE),"")</f>
        <v/>
      </c>
      <c r="AT1600" s="65" t="str">
        <f>IFERROR(VLOOKUP(#REF!,[1]Lookup!$B$2:$E$115,2,FALSE),"")</f>
        <v/>
      </c>
      <c r="AU1600" s="65" t="str">
        <f>IFERROR(VLOOKUP(#REF!,[1]Lookup!$B$2:$E$115,3,FALSE),"")</f>
        <v/>
      </c>
    </row>
    <row r="1601" spans="31:47" x14ac:dyDescent="0.3">
      <c r="AE1601" s="204" t="s">
        <v>398</v>
      </c>
      <c r="AF1601" s="204" t="s">
        <v>398</v>
      </c>
      <c r="AG1601" s="204" t="s">
        <v>398</v>
      </c>
      <c r="AS1601" s="65" t="str">
        <f>IFERROR(VLOOKUP(#REF!,[1]Lookup!$B$2:$E$115,4,FALSE),"")</f>
        <v/>
      </c>
      <c r="AT1601" s="65" t="str">
        <f>IFERROR(VLOOKUP(#REF!,[1]Lookup!$B$2:$E$115,2,FALSE),"")</f>
        <v/>
      </c>
      <c r="AU1601" s="65" t="str">
        <f>IFERROR(VLOOKUP(#REF!,[1]Lookup!$B$2:$E$115,3,FALSE),"")</f>
        <v/>
      </c>
    </row>
    <row r="1602" spans="31:47" x14ac:dyDescent="0.3">
      <c r="AE1602" s="204" t="s">
        <v>398</v>
      </c>
      <c r="AF1602" s="204" t="s">
        <v>398</v>
      </c>
      <c r="AG1602" s="204" t="s">
        <v>398</v>
      </c>
      <c r="AS1602" s="65" t="str">
        <f>IFERROR(VLOOKUP(#REF!,[1]Lookup!$B$2:$E$115,4,FALSE),"")</f>
        <v/>
      </c>
      <c r="AT1602" s="65" t="str">
        <f>IFERROR(VLOOKUP(#REF!,[1]Lookup!$B$2:$E$115,2,FALSE),"")</f>
        <v/>
      </c>
      <c r="AU1602" s="65" t="str">
        <f>IFERROR(VLOOKUP(#REF!,[1]Lookup!$B$2:$E$115,3,FALSE),"")</f>
        <v/>
      </c>
    </row>
    <row r="1603" spans="31:47" x14ac:dyDescent="0.3">
      <c r="AE1603" s="204" t="s">
        <v>398</v>
      </c>
      <c r="AF1603" s="204" t="s">
        <v>398</v>
      </c>
      <c r="AG1603" s="204" t="s">
        <v>398</v>
      </c>
      <c r="AS1603" s="65" t="str">
        <f>IFERROR(VLOOKUP(#REF!,[1]Lookup!$B$2:$E$115,4,FALSE),"")</f>
        <v/>
      </c>
      <c r="AT1603" s="65" t="str">
        <f>IFERROR(VLOOKUP(#REF!,[1]Lookup!$B$2:$E$115,2,FALSE),"")</f>
        <v/>
      </c>
      <c r="AU1603" s="65" t="str">
        <f>IFERROR(VLOOKUP(#REF!,[1]Lookup!$B$2:$E$115,3,FALSE),"")</f>
        <v/>
      </c>
    </row>
    <row r="1604" spans="31:47" x14ac:dyDescent="0.3">
      <c r="AE1604" s="204" t="s">
        <v>398</v>
      </c>
      <c r="AF1604" s="204" t="s">
        <v>398</v>
      </c>
      <c r="AG1604" s="204" t="s">
        <v>398</v>
      </c>
      <c r="AS1604" s="65" t="str">
        <f>IFERROR(VLOOKUP(#REF!,[1]Lookup!$B$2:$E$115,4,FALSE),"")</f>
        <v/>
      </c>
      <c r="AT1604" s="65" t="str">
        <f>IFERROR(VLOOKUP(#REF!,[1]Lookup!$B$2:$E$115,2,FALSE),"")</f>
        <v/>
      </c>
      <c r="AU1604" s="65" t="str">
        <f>IFERROR(VLOOKUP(#REF!,[1]Lookup!$B$2:$E$115,3,FALSE),"")</f>
        <v/>
      </c>
    </row>
    <row r="1605" spans="31:47" x14ac:dyDescent="0.3">
      <c r="AE1605" s="204" t="s">
        <v>398</v>
      </c>
      <c r="AF1605" s="204" t="s">
        <v>398</v>
      </c>
      <c r="AG1605" s="204" t="s">
        <v>398</v>
      </c>
      <c r="AS1605" s="65" t="str">
        <f>IFERROR(VLOOKUP(#REF!,[1]Lookup!$B$2:$E$115,4,FALSE),"")</f>
        <v/>
      </c>
      <c r="AT1605" s="65" t="str">
        <f>IFERROR(VLOOKUP(#REF!,[1]Lookup!$B$2:$E$115,2,FALSE),"")</f>
        <v/>
      </c>
      <c r="AU1605" s="65" t="str">
        <f>IFERROR(VLOOKUP(#REF!,[1]Lookup!$B$2:$E$115,3,FALSE),"")</f>
        <v/>
      </c>
    </row>
    <row r="1606" spans="31:47" x14ac:dyDescent="0.3">
      <c r="AE1606" s="204" t="s">
        <v>398</v>
      </c>
      <c r="AF1606" s="204" t="s">
        <v>398</v>
      </c>
      <c r="AG1606" s="204" t="s">
        <v>398</v>
      </c>
      <c r="AS1606" s="65" t="str">
        <f>IFERROR(VLOOKUP(#REF!,[1]Lookup!$B$2:$E$115,4,FALSE),"")</f>
        <v/>
      </c>
      <c r="AT1606" s="65" t="str">
        <f>IFERROR(VLOOKUP(#REF!,[1]Lookup!$B$2:$E$115,2,FALSE),"")</f>
        <v/>
      </c>
      <c r="AU1606" s="65" t="str">
        <f>IFERROR(VLOOKUP(#REF!,[1]Lookup!$B$2:$E$115,3,FALSE),"")</f>
        <v/>
      </c>
    </row>
    <row r="1607" spans="31:47" x14ac:dyDescent="0.3">
      <c r="AE1607" s="204" t="s">
        <v>398</v>
      </c>
      <c r="AF1607" s="204" t="s">
        <v>398</v>
      </c>
      <c r="AG1607" s="204" t="s">
        <v>398</v>
      </c>
      <c r="AS1607" s="65" t="str">
        <f>IFERROR(VLOOKUP(#REF!,[1]Lookup!$B$2:$E$115,4,FALSE),"")</f>
        <v/>
      </c>
      <c r="AT1607" s="65" t="str">
        <f>IFERROR(VLOOKUP(#REF!,[1]Lookup!$B$2:$E$115,2,FALSE),"")</f>
        <v/>
      </c>
      <c r="AU1607" s="65" t="str">
        <f>IFERROR(VLOOKUP(#REF!,[1]Lookup!$B$2:$E$115,3,FALSE),"")</f>
        <v/>
      </c>
    </row>
    <row r="1608" spans="31:47" x14ac:dyDescent="0.3">
      <c r="AE1608" s="204" t="s">
        <v>398</v>
      </c>
      <c r="AF1608" s="204" t="s">
        <v>398</v>
      </c>
      <c r="AG1608" s="204" t="s">
        <v>398</v>
      </c>
      <c r="AS1608" s="65" t="str">
        <f>IFERROR(VLOOKUP(#REF!,[1]Lookup!$B$2:$E$115,4,FALSE),"")</f>
        <v/>
      </c>
      <c r="AT1608" s="65" t="str">
        <f>IFERROR(VLOOKUP(#REF!,[1]Lookup!$B$2:$E$115,2,FALSE),"")</f>
        <v/>
      </c>
      <c r="AU1608" s="65" t="str">
        <f>IFERROR(VLOOKUP(#REF!,[1]Lookup!$B$2:$E$115,3,FALSE),"")</f>
        <v/>
      </c>
    </row>
    <row r="1609" spans="31:47" x14ac:dyDescent="0.3">
      <c r="AE1609" s="204" t="s">
        <v>398</v>
      </c>
      <c r="AF1609" s="204" t="s">
        <v>398</v>
      </c>
      <c r="AG1609" s="204" t="s">
        <v>398</v>
      </c>
      <c r="AS1609" s="65" t="str">
        <f>IFERROR(VLOOKUP(#REF!,[1]Lookup!$B$2:$E$115,4,FALSE),"")</f>
        <v/>
      </c>
      <c r="AT1609" s="65" t="str">
        <f>IFERROR(VLOOKUP(#REF!,[1]Lookup!$B$2:$E$115,2,FALSE),"")</f>
        <v/>
      </c>
      <c r="AU1609" s="65" t="str">
        <f>IFERROR(VLOOKUP(#REF!,[1]Lookup!$B$2:$E$115,3,FALSE),"")</f>
        <v/>
      </c>
    </row>
    <row r="1610" spans="31:47" x14ac:dyDescent="0.3">
      <c r="AE1610" s="204" t="s">
        <v>398</v>
      </c>
      <c r="AF1610" s="204" t="s">
        <v>398</v>
      </c>
      <c r="AG1610" s="204" t="s">
        <v>398</v>
      </c>
      <c r="AS1610" s="65" t="str">
        <f>IFERROR(VLOOKUP(#REF!,[1]Lookup!$B$2:$E$115,4,FALSE),"")</f>
        <v/>
      </c>
      <c r="AT1610" s="65" t="str">
        <f>IFERROR(VLOOKUP(#REF!,[1]Lookup!$B$2:$E$115,2,FALSE),"")</f>
        <v/>
      </c>
      <c r="AU1610" s="65" t="str">
        <f>IFERROR(VLOOKUP(#REF!,[1]Lookup!$B$2:$E$115,3,FALSE),"")</f>
        <v/>
      </c>
    </row>
    <row r="1611" spans="31:47" x14ac:dyDescent="0.3">
      <c r="AE1611" s="204" t="s">
        <v>398</v>
      </c>
      <c r="AF1611" s="204" t="s">
        <v>398</v>
      </c>
      <c r="AG1611" s="204" t="s">
        <v>398</v>
      </c>
      <c r="AS1611" s="65" t="str">
        <f>IFERROR(VLOOKUP(#REF!,[1]Lookup!$B$2:$E$115,4,FALSE),"")</f>
        <v/>
      </c>
      <c r="AT1611" s="65" t="str">
        <f>IFERROR(VLOOKUP(#REF!,[1]Lookup!$B$2:$E$115,2,FALSE),"")</f>
        <v/>
      </c>
      <c r="AU1611" s="65" t="str">
        <f>IFERROR(VLOOKUP(#REF!,[1]Lookup!$B$2:$E$115,3,FALSE),"")</f>
        <v/>
      </c>
    </row>
    <row r="1612" spans="31:47" x14ac:dyDescent="0.3">
      <c r="AE1612" s="204" t="s">
        <v>398</v>
      </c>
      <c r="AF1612" s="204" t="s">
        <v>398</v>
      </c>
      <c r="AG1612" s="204" t="s">
        <v>398</v>
      </c>
      <c r="AS1612" s="65" t="str">
        <f>IFERROR(VLOOKUP(#REF!,[1]Lookup!$B$2:$E$115,4,FALSE),"")</f>
        <v/>
      </c>
      <c r="AT1612" s="65" t="str">
        <f>IFERROR(VLOOKUP(#REF!,[1]Lookup!$B$2:$E$115,2,FALSE),"")</f>
        <v/>
      </c>
      <c r="AU1612" s="65" t="str">
        <f>IFERROR(VLOOKUP(#REF!,[1]Lookup!$B$2:$E$115,3,FALSE),"")</f>
        <v/>
      </c>
    </row>
    <row r="1613" spans="31:47" x14ac:dyDescent="0.3">
      <c r="AE1613" s="204" t="s">
        <v>398</v>
      </c>
      <c r="AF1613" s="204" t="s">
        <v>398</v>
      </c>
      <c r="AG1613" s="204" t="s">
        <v>398</v>
      </c>
      <c r="AS1613" s="65" t="str">
        <f>IFERROR(VLOOKUP(#REF!,[1]Lookup!$B$2:$E$115,4,FALSE),"")</f>
        <v/>
      </c>
      <c r="AT1613" s="65" t="str">
        <f>IFERROR(VLOOKUP(#REF!,[1]Lookup!$B$2:$E$115,2,FALSE),"")</f>
        <v/>
      </c>
      <c r="AU1613" s="65" t="str">
        <f>IFERROR(VLOOKUP(#REF!,[1]Lookup!$B$2:$E$115,3,FALSE),"")</f>
        <v/>
      </c>
    </row>
    <row r="1614" spans="31:47" x14ac:dyDescent="0.3">
      <c r="AE1614" s="204" t="s">
        <v>398</v>
      </c>
      <c r="AF1614" s="204" t="s">
        <v>398</v>
      </c>
      <c r="AG1614" s="204" t="s">
        <v>398</v>
      </c>
      <c r="AS1614" s="65" t="str">
        <f>IFERROR(VLOOKUP(#REF!,[1]Lookup!$B$2:$E$115,4,FALSE),"")</f>
        <v/>
      </c>
      <c r="AT1614" s="65" t="str">
        <f>IFERROR(VLOOKUP(#REF!,[1]Lookup!$B$2:$E$115,2,FALSE),"")</f>
        <v/>
      </c>
      <c r="AU1614" s="65" t="str">
        <f>IFERROR(VLOOKUP(#REF!,[1]Lookup!$B$2:$E$115,3,FALSE),"")</f>
        <v/>
      </c>
    </row>
    <row r="1615" spans="31:47" x14ac:dyDescent="0.3">
      <c r="AE1615" s="204" t="s">
        <v>398</v>
      </c>
      <c r="AF1615" s="204" t="s">
        <v>398</v>
      </c>
      <c r="AG1615" s="204" t="s">
        <v>398</v>
      </c>
      <c r="AS1615" s="65" t="str">
        <f>IFERROR(VLOOKUP(#REF!,[1]Lookup!$B$2:$E$115,4,FALSE),"")</f>
        <v/>
      </c>
      <c r="AT1615" s="65" t="str">
        <f>IFERROR(VLOOKUP(#REF!,[1]Lookup!$B$2:$E$115,2,FALSE),"")</f>
        <v/>
      </c>
      <c r="AU1615" s="65" t="str">
        <f>IFERROR(VLOOKUP(#REF!,[1]Lookup!$B$2:$E$115,3,FALSE),"")</f>
        <v/>
      </c>
    </row>
    <row r="1616" spans="31:47" x14ac:dyDescent="0.3">
      <c r="AE1616" s="204" t="s">
        <v>398</v>
      </c>
      <c r="AF1616" s="204" t="s">
        <v>398</v>
      </c>
      <c r="AG1616" s="204" t="s">
        <v>398</v>
      </c>
      <c r="AS1616" s="65" t="str">
        <f>IFERROR(VLOOKUP(#REF!,[1]Lookup!$B$2:$E$115,4,FALSE),"")</f>
        <v/>
      </c>
      <c r="AT1616" s="65" t="str">
        <f>IFERROR(VLOOKUP(#REF!,[1]Lookup!$B$2:$E$115,2,FALSE),"")</f>
        <v/>
      </c>
      <c r="AU1616" s="65" t="str">
        <f>IFERROR(VLOOKUP(#REF!,[1]Lookup!$B$2:$E$115,3,FALSE),"")</f>
        <v/>
      </c>
    </row>
    <row r="1617" spans="31:47" x14ac:dyDescent="0.3">
      <c r="AE1617" s="204" t="s">
        <v>398</v>
      </c>
      <c r="AF1617" s="204" t="s">
        <v>398</v>
      </c>
      <c r="AG1617" s="204" t="s">
        <v>398</v>
      </c>
      <c r="AS1617" s="65" t="str">
        <f>IFERROR(VLOOKUP(#REF!,[1]Lookup!$B$2:$E$115,4,FALSE),"")</f>
        <v/>
      </c>
      <c r="AT1617" s="65" t="str">
        <f>IFERROR(VLOOKUP(#REF!,[1]Lookup!$B$2:$E$115,2,FALSE),"")</f>
        <v/>
      </c>
      <c r="AU1617" s="65" t="str">
        <f>IFERROR(VLOOKUP(#REF!,[1]Lookup!$B$2:$E$115,3,FALSE),"")</f>
        <v/>
      </c>
    </row>
    <row r="1618" spans="31:47" x14ac:dyDescent="0.3">
      <c r="AE1618" s="204" t="s">
        <v>398</v>
      </c>
      <c r="AF1618" s="204" t="s">
        <v>398</v>
      </c>
      <c r="AG1618" s="204" t="s">
        <v>398</v>
      </c>
      <c r="AS1618" s="65" t="str">
        <f>IFERROR(VLOOKUP(#REF!,[1]Lookup!$B$2:$E$115,4,FALSE),"")</f>
        <v/>
      </c>
      <c r="AT1618" s="65" t="str">
        <f>IFERROR(VLOOKUP(#REF!,[1]Lookup!$B$2:$E$115,2,FALSE),"")</f>
        <v/>
      </c>
      <c r="AU1618" s="65" t="str">
        <f>IFERROR(VLOOKUP(#REF!,[1]Lookup!$B$2:$E$115,3,FALSE),"")</f>
        <v/>
      </c>
    </row>
    <row r="1619" spans="31:47" x14ac:dyDescent="0.3">
      <c r="AE1619" s="204" t="s">
        <v>398</v>
      </c>
      <c r="AF1619" s="204" t="s">
        <v>398</v>
      </c>
      <c r="AG1619" s="204" t="s">
        <v>398</v>
      </c>
      <c r="AS1619" s="65" t="str">
        <f>IFERROR(VLOOKUP(#REF!,[1]Lookup!$B$2:$E$115,4,FALSE),"")</f>
        <v/>
      </c>
      <c r="AT1619" s="65" t="str">
        <f>IFERROR(VLOOKUP(#REF!,[1]Lookup!$B$2:$E$115,2,FALSE),"")</f>
        <v/>
      </c>
      <c r="AU1619" s="65" t="str">
        <f>IFERROR(VLOOKUP(#REF!,[1]Lookup!$B$2:$E$115,3,FALSE),"")</f>
        <v/>
      </c>
    </row>
    <row r="1620" spans="31:47" x14ac:dyDescent="0.3">
      <c r="AE1620" s="204" t="s">
        <v>398</v>
      </c>
      <c r="AF1620" s="204" t="s">
        <v>398</v>
      </c>
      <c r="AG1620" s="204" t="s">
        <v>398</v>
      </c>
      <c r="AS1620" s="65" t="str">
        <f>IFERROR(VLOOKUP(#REF!,[1]Lookup!$B$2:$E$115,4,FALSE),"")</f>
        <v/>
      </c>
      <c r="AT1620" s="65" t="str">
        <f>IFERROR(VLOOKUP(#REF!,[1]Lookup!$B$2:$E$115,2,FALSE),"")</f>
        <v/>
      </c>
      <c r="AU1620" s="65" t="str">
        <f>IFERROR(VLOOKUP(#REF!,[1]Lookup!$B$2:$E$115,3,FALSE),"")</f>
        <v/>
      </c>
    </row>
    <row r="1621" spans="31:47" x14ac:dyDescent="0.3">
      <c r="AE1621" s="204" t="s">
        <v>398</v>
      </c>
      <c r="AF1621" s="204" t="s">
        <v>398</v>
      </c>
      <c r="AG1621" s="204" t="s">
        <v>398</v>
      </c>
      <c r="AS1621" s="65" t="str">
        <f>IFERROR(VLOOKUP(#REF!,[1]Lookup!$B$2:$E$115,4,FALSE),"")</f>
        <v/>
      </c>
      <c r="AT1621" s="65" t="str">
        <f>IFERROR(VLOOKUP(#REF!,[1]Lookup!$B$2:$E$115,2,FALSE),"")</f>
        <v/>
      </c>
      <c r="AU1621" s="65" t="str">
        <f>IFERROR(VLOOKUP(#REF!,[1]Lookup!$B$2:$E$115,3,FALSE),"")</f>
        <v/>
      </c>
    </row>
    <row r="1622" spans="31:47" x14ac:dyDescent="0.3">
      <c r="AE1622" s="204" t="s">
        <v>398</v>
      </c>
      <c r="AF1622" s="204" t="s">
        <v>398</v>
      </c>
      <c r="AG1622" s="204" t="s">
        <v>398</v>
      </c>
      <c r="AS1622" s="65" t="str">
        <f>IFERROR(VLOOKUP(#REF!,[1]Lookup!$B$2:$E$115,4,FALSE),"")</f>
        <v/>
      </c>
      <c r="AT1622" s="65" t="str">
        <f>IFERROR(VLOOKUP(#REF!,[1]Lookup!$B$2:$E$115,2,FALSE),"")</f>
        <v/>
      </c>
      <c r="AU1622" s="65" t="str">
        <f>IFERROR(VLOOKUP(#REF!,[1]Lookup!$B$2:$E$115,3,FALSE),"")</f>
        <v/>
      </c>
    </row>
    <row r="1623" spans="31:47" x14ac:dyDescent="0.3">
      <c r="AE1623" s="204" t="s">
        <v>398</v>
      </c>
      <c r="AF1623" s="204" t="s">
        <v>398</v>
      </c>
      <c r="AG1623" s="204" t="s">
        <v>398</v>
      </c>
      <c r="AS1623" s="65" t="str">
        <f>IFERROR(VLOOKUP(#REF!,[1]Lookup!$B$2:$E$115,4,FALSE),"")</f>
        <v/>
      </c>
      <c r="AT1623" s="65" t="str">
        <f>IFERROR(VLOOKUP(#REF!,[1]Lookup!$B$2:$E$115,2,FALSE),"")</f>
        <v/>
      </c>
      <c r="AU1623" s="65" t="str">
        <f>IFERROR(VLOOKUP(#REF!,[1]Lookup!$B$2:$E$115,3,FALSE),"")</f>
        <v/>
      </c>
    </row>
    <row r="1624" spans="31:47" x14ac:dyDescent="0.3">
      <c r="AE1624" s="204" t="s">
        <v>398</v>
      </c>
      <c r="AF1624" s="204" t="s">
        <v>398</v>
      </c>
      <c r="AG1624" s="204" t="s">
        <v>398</v>
      </c>
      <c r="AS1624" s="65" t="str">
        <f>IFERROR(VLOOKUP(#REF!,[1]Lookup!$B$2:$E$115,4,FALSE),"")</f>
        <v/>
      </c>
      <c r="AT1624" s="65" t="str">
        <f>IFERROR(VLOOKUP(#REF!,[1]Lookup!$B$2:$E$115,2,FALSE),"")</f>
        <v/>
      </c>
      <c r="AU1624" s="65" t="str">
        <f>IFERROR(VLOOKUP(#REF!,[1]Lookup!$B$2:$E$115,3,FALSE),"")</f>
        <v/>
      </c>
    </row>
    <row r="1625" spans="31:47" x14ac:dyDescent="0.3">
      <c r="AE1625" s="204" t="s">
        <v>398</v>
      </c>
      <c r="AF1625" s="204" t="s">
        <v>398</v>
      </c>
      <c r="AG1625" s="204" t="s">
        <v>398</v>
      </c>
      <c r="AS1625" s="65" t="str">
        <f>IFERROR(VLOOKUP(#REF!,[1]Lookup!$B$2:$E$115,4,FALSE),"")</f>
        <v/>
      </c>
      <c r="AT1625" s="65" t="str">
        <f>IFERROR(VLOOKUP(#REF!,[1]Lookup!$B$2:$E$115,2,FALSE),"")</f>
        <v/>
      </c>
      <c r="AU1625" s="65" t="str">
        <f>IFERROR(VLOOKUP(#REF!,[1]Lookup!$B$2:$E$115,3,FALSE),"")</f>
        <v/>
      </c>
    </row>
    <row r="1626" spans="31:47" x14ac:dyDescent="0.3">
      <c r="AE1626" s="204" t="s">
        <v>398</v>
      </c>
      <c r="AF1626" s="204" t="s">
        <v>398</v>
      </c>
      <c r="AG1626" s="204" t="s">
        <v>398</v>
      </c>
      <c r="AS1626" s="65" t="str">
        <f>IFERROR(VLOOKUP(#REF!,[1]Lookup!$B$2:$E$115,4,FALSE),"")</f>
        <v/>
      </c>
      <c r="AT1626" s="65" t="str">
        <f>IFERROR(VLOOKUP(#REF!,[1]Lookup!$B$2:$E$115,2,FALSE),"")</f>
        <v/>
      </c>
      <c r="AU1626" s="65" t="str">
        <f>IFERROR(VLOOKUP(#REF!,[1]Lookup!$B$2:$E$115,3,FALSE),"")</f>
        <v/>
      </c>
    </row>
    <row r="1627" spans="31:47" x14ac:dyDescent="0.3">
      <c r="AE1627" s="204" t="s">
        <v>398</v>
      </c>
      <c r="AF1627" s="204" t="s">
        <v>398</v>
      </c>
      <c r="AG1627" s="204" t="s">
        <v>398</v>
      </c>
      <c r="AS1627" s="65" t="str">
        <f>IFERROR(VLOOKUP(#REF!,[1]Lookup!$B$2:$E$115,4,FALSE),"")</f>
        <v/>
      </c>
      <c r="AT1627" s="65" t="str">
        <f>IFERROR(VLOOKUP(#REF!,[1]Lookup!$B$2:$E$115,2,FALSE),"")</f>
        <v/>
      </c>
      <c r="AU1627" s="65" t="str">
        <f>IFERROR(VLOOKUP(#REF!,[1]Lookup!$B$2:$E$115,3,FALSE),"")</f>
        <v/>
      </c>
    </row>
    <row r="1628" spans="31:47" x14ac:dyDescent="0.3">
      <c r="AE1628" s="204" t="s">
        <v>398</v>
      </c>
      <c r="AF1628" s="204" t="s">
        <v>398</v>
      </c>
      <c r="AG1628" s="204" t="s">
        <v>398</v>
      </c>
      <c r="AS1628" s="65" t="str">
        <f>IFERROR(VLOOKUP(#REF!,[1]Lookup!$B$2:$E$115,4,FALSE),"")</f>
        <v/>
      </c>
      <c r="AT1628" s="65" t="str">
        <f>IFERROR(VLOOKUP(#REF!,[1]Lookup!$B$2:$E$115,2,FALSE),"")</f>
        <v/>
      </c>
      <c r="AU1628" s="65" t="str">
        <f>IFERROR(VLOOKUP(#REF!,[1]Lookup!$B$2:$E$115,3,FALSE),"")</f>
        <v/>
      </c>
    </row>
    <row r="1629" spans="31:47" x14ac:dyDescent="0.3">
      <c r="AE1629" s="204" t="s">
        <v>398</v>
      </c>
      <c r="AF1629" s="204" t="s">
        <v>398</v>
      </c>
      <c r="AG1629" s="204" t="s">
        <v>398</v>
      </c>
      <c r="AS1629" s="65" t="str">
        <f>IFERROR(VLOOKUP(#REF!,[1]Lookup!$B$2:$E$115,4,FALSE),"")</f>
        <v/>
      </c>
      <c r="AT1629" s="65" t="str">
        <f>IFERROR(VLOOKUP(#REF!,[1]Lookup!$B$2:$E$115,2,FALSE),"")</f>
        <v/>
      </c>
      <c r="AU1629" s="65" t="str">
        <f>IFERROR(VLOOKUP(#REF!,[1]Lookup!$B$2:$E$115,3,FALSE),"")</f>
        <v/>
      </c>
    </row>
    <row r="1630" spans="31:47" x14ac:dyDescent="0.3">
      <c r="AE1630" s="204" t="s">
        <v>398</v>
      </c>
      <c r="AF1630" s="204" t="s">
        <v>398</v>
      </c>
      <c r="AG1630" s="204" t="s">
        <v>398</v>
      </c>
      <c r="AS1630" s="65" t="str">
        <f>IFERROR(VLOOKUP(#REF!,[1]Lookup!$B$2:$E$115,4,FALSE),"")</f>
        <v/>
      </c>
      <c r="AT1630" s="65" t="str">
        <f>IFERROR(VLOOKUP(#REF!,[1]Lookup!$B$2:$E$115,2,FALSE),"")</f>
        <v/>
      </c>
      <c r="AU1630" s="65" t="str">
        <f>IFERROR(VLOOKUP(#REF!,[1]Lookup!$B$2:$E$115,3,FALSE),"")</f>
        <v/>
      </c>
    </row>
    <row r="1631" spans="31:47" x14ac:dyDescent="0.3">
      <c r="AE1631" s="204" t="s">
        <v>398</v>
      </c>
      <c r="AF1631" s="204" t="s">
        <v>398</v>
      </c>
      <c r="AG1631" s="204" t="s">
        <v>398</v>
      </c>
      <c r="AS1631" s="65" t="str">
        <f>IFERROR(VLOOKUP(#REF!,[1]Lookup!$B$2:$E$115,4,FALSE),"")</f>
        <v/>
      </c>
      <c r="AT1631" s="65" t="str">
        <f>IFERROR(VLOOKUP(#REF!,[1]Lookup!$B$2:$E$115,2,FALSE),"")</f>
        <v/>
      </c>
      <c r="AU1631" s="65" t="str">
        <f>IFERROR(VLOOKUP(#REF!,[1]Lookup!$B$2:$E$115,3,FALSE),"")</f>
        <v/>
      </c>
    </row>
    <row r="1632" spans="31:47" x14ac:dyDescent="0.3">
      <c r="AE1632" s="204" t="s">
        <v>398</v>
      </c>
      <c r="AF1632" s="204" t="s">
        <v>398</v>
      </c>
      <c r="AG1632" s="204" t="s">
        <v>398</v>
      </c>
      <c r="AS1632" s="65" t="str">
        <f>IFERROR(VLOOKUP(#REF!,[1]Lookup!$B$2:$E$115,4,FALSE),"")</f>
        <v/>
      </c>
      <c r="AT1632" s="65" t="str">
        <f>IFERROR(VLOOKUP(#REF!,[1]Lookup!$B$2:$E$115,2,FALSE),"")</f>
        <v/>
      </c>
      <c r="AU1632" s="65" t="str">
        <f>IFERROR(VLOOKUP(#REF!,[1]Lookup!$B$2:$E$115,3,FALSE),"")</f>
        <v/>
      </c>
    </row>
    <row r="1633" spans="31:47" x14ac:dyDescent="0.3">
      <c r="AE1633" s="204" t="s">
        <v>398</v>
      </c>
      <c r="AF1633" s="204" t="s">
        <v>398</v>
      </c>
      <c r="AG1633" s="204" t="s">
        <v>398</v>
      </c>
      <c r="AS1633" s="65" t="str">
        <f>IFERROR(VLOOKUP(#REF!,[1]Lookup!$B$2:$E$115,4,FALSE),"")</f>
        <v/>
      </c>
      <c r="AT1633" s="65" t="str">
        <f>IFERROR(VLOOKUP(#REF!,[1]Lookup!$B$2:$E$115,2,FALSE),"")</f>
        <v/>
      </c>
      <c r="AU1633" s="65" t="str">
        <f>IFERROR(VLOOKUP(#REF!,[1]Lookup!$B$2:$E$115,3,FALSE),"")</f>
        <v/>
      </c>
    </row>
    <row r="1634" spans="31:47" x14ac:dyDescent="0.3">
      <c r="AE1634" s="204" t="s">
        <v>398</v>
      </c>
      <c r="AF1634" s="204" t="s">
        <v>398</v>
      </c>
      <c r="AG1634" s="204" t="s">
        <v>398</v>
      </c>
      <c r="AS1634" s="65" t="str">
        <f>IFERROR(VLOOKUP(#REF!,[1]Lookup!$B$2:$E$115,4,FALSE),"")</f>
        <v/>
      </c>
      <c r="AT1634" s="65" t="str">
        <f>IFERROR(VLOOKUP(#REF!,[1]Lookup!$B$2:$E$115,2,FALSE),"")</f>
        <v/>
      </c>
      <c r="AU1634" s="65" t="str">
        <f>IFERROR(VLOOKUP(#REF!,[1]Lookup!$B$2:$E$115,3,FALSE),"")</f>
        <v/>
      </c>
    </row>
    <row r="1635" spans="31:47" x14ac:dyDescent="0.3">
      <c r="AE1635" s="204" t="s">
        <v>398</v>
      </c>
      <c r="AF1635" s="204" t="s">
        <v>398</v>
      </c>
      <c r="AG1635" s="204" t="s">
        <v>398</v>
      </c>
      <c r="AS1635" s="65" t="str">
        <f>IFERROR(VLOOKUP(#REF!,[1]Lookup!$B$2:$E$115,4,FALSE),"")</f>
        <v/>
      </c>
      <c r="AT1635" s="65" t="str">
        <f>IFERROR(VLOOKUP(#REF!,[1]Lookup!$B$2:$E$115,2,FALSE),"")</f>
        <v/>
      </c>
      <c r="AU1635" s="65" t="str">
        <f>IFERROR(VLOOKUP(#REF!,[1]Lookup!$B$2:$E$115,3,FALSE),"")</f>
        <v/>
      </c>
    </row>
    <row r="1636" spans="31:47" x14ac:dyDescent="0.3">
      <c r="AE1636" s="204" t="s">
        <v>398</v>
      </c>
      <c r="AF1636" s="204" t="s">
        <v>398</v>
      </c>
      <c r="AG1636" s="204" t="s">
        <v>398</v>
      </c>
      <c r="AS1636" s="65" t="str">
        <f>IFERROR(VLOOKUP(#REF!,[1]Lookup!$B$2:$E$115,4,FALSE),"")</f>
        <v/>
      </c>
      <c r="AT1636" s="65" t="str">
        <f>IFERROR(VLOOKUP(#REF!,[1]Lookup!$B$2:$E$115,2,FALSE),"")</f>
        <v/>
      </c>
      <c r="AU1636" s="65" t="str">
        <f>IFERROR(VLOOKUP(#REF!,[1]Lookup!$B$2:$E$115,3,FALSE),"")</f>
        <v/>
      </c>
    </row>
    <row r="1637" spans="31:47" x14ac:dyDescent="0.3">
      <c r="AE1637" s="204" t="s">
        <v>398</v>
      </c>
      <c r="AF1637" s="204" t="s">
        <v>398</v>
      </c>
      <c r="AG1637" s="204" t="s">
        <v>398</v>
      </c>
      <c r="AS1637" s="65" t="str">
        <f>IFERROR(VLOOKUP(#REF!,[1]Lookup!$B$2:$E$115,4,FALSE),"")</f>
        <v/>
      </c>
      <c r="AT1637" s="65" t="str">
        <f>IFERROR(VLOOKUP(#REF!,[1]Lookup!$B$2:$E$115,2,FALSE),"")</f>
        <v/>
      </c>
      <c r="AU1637" s="65" t="str">
        <f>IFERROR(VLOOKUP(#REF!,[1]Lookup!$B$2:$E$115,3,FALSE),"")</f>
        <v/>
      </c>
    </row>
    <row r="1638" spans="31:47" x14ac:dyDescent="0.3">
      <c r="AE1638" s="204" t="s">
        <v>398</v>
      </c>
      <c r="AF1638" s="204" t="s">
        <v>398</v>
      </c>
      <c r="AG1638" s="204" t="s">
        <v>398</v>
      </c>
      <c r="AS1638" s="65" t="str">
        <f>IFERROR(VLOOKUP(#REF!,[1]Lookup!$B$2:$E$115,4,FALSE),"")</f>
        <v/>
      </c>
      <c r="AT1638" s="65" t="str">
        <f>IFERROR(VLOOKUP(#REF!,[1]Lookup!$B$2:$E$115,2,FALSE),"")</f>
        <v/>
      </c>
      <c r="AU1638" s="65" t="str">
        <f>IFERROR(VLOOKUP(#REF!,[1]Lookup!$B$2:$E$115,3,FALSE),"")</f>
        <v/>
      </c>
    </row>
    <row r="1639" spans="31:47" x14ac:dyDescent="0.3">
      <c r="AE1639" s="204" t="s">
        <v>398</v>
      </c>
      <c r="AF1639" s="204" t="s">
        <v>398</v>
      </c>
      <c r="AG1639" s="204" t="s">
        <v>398</v>
      </c>
      <c r="AS1639" s="65" t="str">
        <f>IFERROR(VLOOKUP(#REF!,[1]Lookup!$B$2:$E$115,4,FALSE),"")</f>
        <v/>
      </c>
      <c r="AT1639" s="65" t="str">
        <f>IFERROR(VLOOKUP(#REF!,[1]Lookup!$B$2:$E$115,2,FALSE),"")</f>
        <v/>
      </c>
      <c r="AU1639" s="65" t="str">
        <f>IFERROR(VLOOKUP(#REF!,[1]Lookup!$B$2:$E$115,3,FALSE),"")</f>
        <v/>
      </c>
    </row>
    <row r="1640" spans="31:47" x14ac:dyDescent="0.3">
      <c r="AE1640" s="204" t="s">
        <v>398</v>
      </c>
      <c r="AF1640" s="204" t="s">
        <v>398</v>
      </c>
      <c r="AG1640" s="204" t="s">
        <v>398</v>
      </c>
      <c r="AS1640" s="65" t="str">
        <f>IFERROR(VLOOKUP(#REF!,[1]Lookup!$B$2:$E$115,4,FALSE),"")</f>
        <v/>
      </c>
      <c r="AT1640" s="65" t="str">
        <f>IFERROR(VLOOKUP(#REF!,[1]Lookup!$B$2:$E$115,2,FALSE),"")</f>
        <v/>
      </c>
      <c r="AU1640" s="65" t="str">
        <f>IFERROR(VLOOKUP(#REF!,[1]Lookup!$B$2:$E$115,3,FALSE),"")</f>
        <v/>
      </c>
    </row>
    <row r="1641" spans="31:47" x14ac:dyDescent="0.3">
      <c r="AE1641" s="204" t="s">
        <v>398</v>
      </c>
      <c r="AF1641" s="204" t="s">
        <v>398</v>
      </c>
      <c r="AG1641" s="204" t="s">
        <v>398</v>
      </c>
      <c r="AS1641" s="65" t="str">
        <f>IFERROR(VLOOKUP(#REF!,[1]Lookup!$B$2:$E$115,4,FALSE),"")</f>
        <v/>
      </c>
      <c r="AT1641" s="65" t="str">
        <f>IFERROR(VLOOKUP(#REF!,[1]Lookup!$B$2:$E$115,2,FALSE),"")</f>
        <v/>
      </c>
      <c r="AU1641" s="65" t="str">
        <f>IFERROR(VLOOKUP(#REF!,[1]Lookup!$B$2:$E$115,3,FALSE),"")</f>
        <v/>
      </c>
    </row>
    <row r="1642" spans="31:47" x14ac:dyDescent="0.3">
      <c r="AE1642" s="204" t="s">
        <v>398</v>
      </c>
      <c r="AF1642" s="204" t="s">
        <v>398</v>
      </c>
      <c r="AG1642" s="204" t="s">
        <v>398</v>
      </c>
      <c r="AS1642" s="65" t="str">
        <f>IFERROR(VLOOKUP(#REF!,[1]Lookup!$B$2:$E$115,4,FALSE),"")</f>
        <v/>
      </c>
      <c r="AT1642" s="65" t="str">
        <f>IFERROR(VLOOKUP(#REF!,[1]Lookup!$B$2:$E$115,2,FALSE),"")</f>
        <v/>
      </c>
      <c r="AU1642" s="65" t="str">
        <f>IFERROR(VLOOKUP(#REF!,[1]Lookup!$B$2:$E$115,3,FALSE),"")</f>
        <v/>
      </c>
    </row>
    <row r="1643" spans="31:47" x14ac:dyDescent="0.3">
      <c r="AE1643" s="204" t="s">
        <v>398</v>
      </c>
      <c r="AF1643" s="204" t="s">
        <v>398</v>
      </c>
      <c r="AG1643" s="204" t="s">
        <v>398</v>
      </c>
      <c r="AS1643" s="65" t="str">
        <f>IFERROR(VLOOKUP(#REF!,[1]Lookup!$B$2:$E$115,4,FALSE),"")</f>
        <v/>
      </c>
      <c r="AT1643" s="65" t="str">
        <f>IFERROR(VLOOKUP(#REF!,[1]Lookup!$B$2:$E$115,2,FALSE),"")</f>
        <v/>
      </c>
      <c r="AU1643" s="65" t="str">
        <f>IFERROR(VLOOKUP(#REF!,[1]Lookup!$B$2:$E$115,3,FALSE),"")</f>
        <v/>
      </c>
    </row>
    <row r="1644" spans="31:47" x14ac:dyDescent="0.3">
      <c r="AE1644" s="204" t="s">
        <v>398</v>
      </c>
      <c r="AF1644" s="204" t="s">
        <v>398</v>
      </c>
      <c r="AG1644" s="204" t="s">
        <v>398</v>
      </c>
      <c r="AS1644" s="65" t="str">
        <f>IFERROR(VLOOKUP(#REF!,[1]Lookup!$B$2:$E$115,4,FALSE),"")</f>
        <v/>
      </c>
      <c r="AT1644" s="65" t="str">
        <f>IFERROR(VLOOKUP(#REF!,[1]Lookup!$B$2:$E$115,2,FALSE),"")</f>
        <v/>
      </c>
      <c r="AU1644" s="65" t="str">
        <f>IFERROR(VLOOKUP(#REF!,[1]Lookup!$B$2:$E$115,3,FALSE),"")</f>
        <v/>
      </c>
    </row>
    <row r="1645" spans="31:47" x14ac:dyDescent="0.3">
      <c r="AE1645" s="204" t="s">
        <v>398</v>
      </c>
      <c r="AF1645" s="204" t="s">
        <v>398</v>
      </c>
      <c r="AG1645" s="204" t="s">
        <v>398</v>
      </c>
      <c r="AS1645" s="65" t="str">
        <f>IFERROR(VLOOKUP(#REF!,[1]Lookup!$B$2:$E$115,4,FALSE),"")</f>
        <v/>
      </c>
      <c r="AT1645" s="65" t="str">
        <f>IFERROR(VLOOKUP(#REF!,[1]Lookup!$B$2:$E$115,2,FALSE),"")</f>
        <v/>
      </c>
      <c r="AU1645" s="65" t="str">
        <f>IFERROR(VLOOKUP(#REF!,[1]Lookup!$B$2:$E$115,3,FALSE),"")</f>
        <v/>
      </c>
    </row>
    <row r="1646" spans="31:47" x14ac:dyDescent="0.3">
      <c r="AE1646" s="204" t="s">
        <v>398</v>
      </c>
      <c r="AF1646" s="204" t="s">
        <v>398</v>
      </c>
      <c r="AG1646" s="204" t="s">
        <v>398</v>
      </c>
      <c r="AS1646" s="65" t="str">
        <f>IFERROR(VLOOKUP(#REF!,[1]Lookup!$B$2:$E$115,4,FALSE),"")</f>
        <v/>
      </c>
      <c r="AT1646" s="65" t="str">
        <f>IFERROR(VLOOKUP(#REF!,[1]Lookup!$B$2:$E$115,2,FALSE),"")</f>
        <v/>
      </c>
      <c r="AU1646" s="65" t="str">
        <f>IFERROR(VLOOKUP(#REF!,[1]Lookup!$B$2:$E$115,3,FALSE),"")</f>
        <v/>
      </c>
    </row>
    <row r="1647" spans="31:47" x14ac:dyDescent="0.3">
      <c r="AE1647" s="204" t="s">
        <v>398</v>
      </c>
      <c r="AF1647" s="204" t="s">
        <v>398</v>
      </c>
      <c r="AG1647" s="204" t="s">
        <v>398</v>
      </c>
      <c r="AS1647" s="65" t="str">
        <f>IFERROR(VLOOKUP(#REF!,[1]Lookup!$B$2:$E$115,4,FALSE),"")</f>
        <v/>
      </c>
      <c r="AT1647" s="65" t="str">
        <f>IFERROR(VLOOKUP(#REF!,[1]Lookup!$B$2:$E$115,2,FALSE),"")</f>
        <v/>
      </c>
      <c r="AU1647" s="65" t="str">
        <f>IFERROR(VLOOKUP(#REF!,[1]Lookup!$B$2:$E$115,3,FALSE),"")</f>
        <v/>
      </c>
    </row>
    <row r="1648" spans="31:47" x14ac:dyDescent="0.3">
      <c r="AE1648" s="204" t="s">
        <v>398</v>
      </c>
      <c r="AF1648" s="204" t="s">
        <v>398</v>
      </c>
      <c r="AG1648" s="204" t="s">
        <v>398</v>
      </c>
      <c r="AS1648" s="65" t="str">
        <f>IFERROR(VLOOKUP(#REF!,[1]Lookup!$B$2:$E$115,4,FALSE),"")</f>
        <v/>
      </c>
      <c r="AT1648" s="65" t="str">
        <f>IFERROR(VLOOKUP(#REF!,[1]Lookup!$B$2:$E$115,2,FALSE),"")</f>
        <v/>
      </c>
      <c r="AU1648" s="65" t="str">
        <f>IFERROR(VLOOKUP(#REF!,[1]Lookup!$B$2:$E$115,3,FALSE),"")</f>
        <v/>
      </c>
    </row>
    <row r="1649" spans="31:47" x14ac:dyDescent="0.3">
      <c r="AE1649" s="204" t="s">
        <v>398</v>
      </c>
      <c r="AF1649" s="204" t="s">
        <v>398</v>
      </c>
      <c r="AG1649" s="204" t="s">
        <v>398</v>
      </c>
      <c r="AS1649" s="65" t="str">
        <f>IFERROR(VLOOKUP(#REF!,[1]Lookup!$B$2:$E$115,4,FALSE),"")</f>
        <v/>
      </c>
      <c r="AT1649" s="65" t="str">
        <f>IFERROR(VLOOKUP(#REF!,[1]Lookup!$B$2:$E$115,2,FALSE),"")</f>
        <v/>
      </c>
      <c r="AU1649" s="65" t="str">
        <f>IFERROR(VLOOKUP(#REF!,[1]Lookup!$B$2:$E$115,3,FALSE),"")</f>
        <v/>
      </c>
    </row>
    <row r="1650" spans="31:47" x14ac:dyDescent="0.3">
      <c r="AE1650" s="204" t="s">
        <v>398</v>
      </c>
      <c r="AF1650" s="204" t="s">
        <v>398</v>
      </c>
      <c r="AG1650" s="204" t="s">
        <v>398</v>
      </c>
      <c r="AS1650" s="65" t="str">
        <f>IFERROR(VLOOKUP(#REF!,[1]Lookup!$B$2:$E$115,4,FALSE),"")</f>
        <v/>
      </c>
      <c r="AT1650" s="65" t="str">
        <f>IFERROR(VLOOKUP(#REF!,[1]Lookup!$B$2:$E$115,2,FALSE),"")</f>
        <v/>
      </c>
      <c r="AU1650" s="65" t="str">
        <f>IFERROR(VLOOKUP(#REF!,[1]Lookup!$B$2:$E$115,3,FALSE),"")</f>
        <v/>
      </c>
    </row>
    <row r="1651" spans="31:47" x14ac:dyDescent="0.3">
      <c r="AE1651" s="204" t="s">
        <v>398</v>
      </c>
      <c r="AF1651" s="204" t="s">
        <v>398</v>
      </c>
      <c r="AG1651" s="204" t="s">
        <v>398</v>
      </c>
      <c r="AS1651" s="65" t="str">
        <f>IFERROR(VLOOKUP(#REF!,[1]Lookup!$B$2:$E$115,4,FALSE),"")</f>
        <v/>
      </c>
      <c r="AT1651" s="65" t="str">
        <f>IFERROR(VLOOKUP(#REF!,[1]Lookup!$B$2:$E$115,2,FALSE),"")</f>
        <v/>
      </c>
      <c r="AU1651" s="65" t="str">
        <f>IFERROR(VLOOKUP(#REF!,[1]Lookup!$B$2:$E$115,3,FALSE),"")</f>
        <v/>
      </c>
    </row>
    <row r="1652" spans="31:47" x14ac:dyDescent="0.3">
      <c r="AE1652" s="204" t="s">
        <v>398</v>
      </c>
      <c r="AF1652" s="204" t="s">
        <v>398</v>
      </c>
      <c r="AG1652" s="204" t="s">
        <v>398</v>
      </c>
      <c r="AS1652" s="65" t="str">
        <f>IFERROR(VLOOKUP(#REF!,[1]Lookup!$B$2:$E$115,4,FALSE),"")</f>
        <v/>
      </c>
      <c r="AT1652" s="65" t="str">
        <f>IFERROR(VLOOKUP(#REF!,[1]Lookup!$B$2:$E$115,2,FALSE),"")</f>
        <v/>
      </c>
      <c r="AU1652" s="65" t="str">
        <f>IFERROR(VLOOKUP(#REF!,[1]Lookup!$B$2:$E$115,3,FALSE),"")</f>
        <v/>
      </c>
    </row>
    <row r="1653" spans="31:47" x14ac:dyDescent="0.3">
      <c r="AE1653" s="204" t="s">
        <v>398</v>
      </c>
      <c r="AF1653" s="204" t="s">
        <v>398</v>
      </c>
      <c r="AG1653" s="204" t="s">
        <v>398</v>
      </c>
      <c r="AS1653" s="65" t="str">
        <f>IFERROR(VLOOKUP(#REF!,[1]Lookup!$B$2:$E$115,4,FALSE),"")</f>
        <v/>
      </c>
      <c r="AT1653" s="65" t="str">
        <f>IFERROR(VLOOKUP(#REF!,[1]Lookup!$B$2:$E$115,2,FALSE),"")</f>
        <v/>
      </c>
      <c r="AU1653" s="65" t="str">
        <f>IFERROR(VLOOKUP(#REF!,[1]Lookup!$B$2:$E$115,3,FALSE),"")</f>
        <v/>
      </c>
    </row>
    <row r="1654" spans="31:47" x14ac:dyDescent="0.3">
      <c r="AE1654" s="204" t="s">
        <v>398</v>
      </c>
      <c r="AF1654" s="204" t="s">
        <v>398</v>
      </c>
      <c r="AG1654" s="204" t="s">
        <v>398</v>
      </c>
      <c r="AS1654" s="65" t="str">
        <f>IFERROR(VLOOKUP(#REF!,[1]Lookup!$B$2:$E$115,4,FALSE),"")</f>
        <v/>
      </c>
      <c r="AT1654" s="65" t="str">
        <f>IFERROR(VLOOKUP(#REF!,[1]Lookup!$B$2:$E$115,2,FALSE),"")</f>
        <v/>
      </c>
      <c r="AU1654" s="65" t="str">
        <f>IFERROR(VLOOKUP(#REF!,[1]Lookup!$B$2:$E$115,3,FALSE),"")</f>
        <v/>
      </c>
    </row>
    <row r="1655" spans="31:47" x14ac:dyDescent="0.3">
      <c r="AE1655" s="204" t="s">
        <v>398</v>
      </c>
      <c r="AF1655" s="204" t="s">
        <v>398</v>
      </c>
      <c r="AG1655" s="204" t="s">
        <v>398</v>
      </c>
      <c r="AS1655" s="65" t="str">
        <f>IFERROR(VLOOKUP(#REF!,[1]Lookup!$B$2:$E$115,4,FALSE),"")</f>
        <v/>
      </c>
      <c r="AT1655" s="65" t="str">
        <f>IFERROR(VLOOKUP(#REF!,[1]Lookup!$B$2:$E$115,2,FALSE),"")</f>
        <v/>
      </c>
      <c r="AU1655" s="65" t="str">
        <f>IFERROR(VLOOKUP(#REF!,[1]Lookup!$B$2:$E$115,3,FALSE),"")</f>
        <v/>
      </c>
    </row>
    <row r="1656" spans="31:47" x14ac:dyDescent="0.3">
      <c r="AE1656" s="204" t="s">
        <v>398</v>
      </c>
      <c r="AF1656" s="204" t="s">
        <v>398</v>
      </c>
      <c r="AG1656" s="204" t="s">
        <v>398</v>
      </c>
      <c r="AS1656" s="65" t="str">
        <f>IFERROR(VLOOKUP(#REF!,[1]Lookup!$B$2:$E$115,4,FALSE),"")</f>
        <v/>
      </c>
      <c r="AT1656" s="65" t="str">
        <f>IFERROR(VLOOKUP(#REF!,[1]Lookup!$B$2:$E$115,2,FALSE),"")</f>
        <v/>
      </c>
      <c r="AU1656" s="65" t="str">
        <f>IFERROR(VLOOKUP(#REF!,[1]Lookup!$B$2:$E$115,3,FALSE),"")</f>
        <v/>
      </c>
    </row>
    <row r="1657" spans="31:47" x14ac:dyDescent="0.3">
      <c r="AE1657" s="204" t="s">
        <v>398</v>
      </c>
      <c r="AF1657" s="204" t="s">
        <v>398</v>
      </c>
      <c r="AG1657" s="204" t="s">
        <v>398</v>
      </c>
      <c r="AS1657" s="65" t="str">
        <f>IFERROR(VLOOKUP(#REF!,[1]Lookup!$B$2:$E$115,4,FALSE),"")</f>
        <v/>
      </c>
      <c r="AT1657" s="65" t="str">
        <f>IFERROR(VLOOKUP(#REF!,[1]Lookup!$B$2:$E$115,2,FALSE),"")</f>
        <v/>
      </c>
      <c r="AU1657" s="65" t="str">
        <f>IFERROR(VLOOKUP(#REF!,[1]Lookup!$B$2:$E$115,3,FALSE),"")</f>
        <v/>
      </c>
    </row>
    <row r="1658" spans="31:47" x14ac:dyDescent="0.3">
      <c r="AE1658" s="204" t="s">
        <v>398</v>
      </c>
      <c r="AF1658" s="204" t="s">
        <v>398</v>
      </c>
      <c r="AG1658" s="204" t="s">
        <v>398</v>
      </c>
      <c r="AS1658" s="65" t="str">
        <f>IFERROR(VLOOKUP(#REF!,[1]Lookup!$B$2:$E$115,4,FALSE),"")</f>
        <v/>
      </c>
      <c r="AT1658" s="65" t="str">
        <f>IFERROR(VLOOKUP(#REF!,[1]Lookup!$B$2:$E$115,2,FALSE),"")</f>
        <v/>
      </c>
      <c r="AU1658" s="65" t="str">
        <f>IFERROR(VLOOKUP(#REF!,[1]Lookup!$B$2:$E$115,3,FALSE),"")</f>
        <v/>
      </c>
    </row>
    <row r="1659" spans="31:47" x14ac:dyDescent="0.3">
      <c r="AE1659" s="204" t="s">
        <v>398</v>
      </c>
      <c r="AF1659" s="204" t="s">
        <v>398</v>
      </c>
      <c r="AG1659" s="204" t="s">
        <v>398</v>
      </c>
      <c r="AS1659" s="65" t="str">
        <f>IFERROR(VLOOKUP(#REF!,[1]Lookup!$B$2:$E$115,4,FALSE),"")</f>
        <v/>
      </c>
      <c r="AT1659" s="65" t="str">
        <f>IFERROR(VLOOKUP(#REF!,[1]Lookup!$B$2:$E$115,2,FALSE),"")</f>
        <v/>
      </c>
      <c r="AU1659" s="65" t="str">
        <f>IFERROR(VLOOKUP(#REF!,[1]Lookup!$B$2:$E$115,3,FALSE),"")</f>
        <v/>
      </c>
    </row>
    <row r="1660" spans="31:47" x14ac:dyDescent="0.3">
      <c r="AE1660" s="204" t="s">
        <v>398</v>
      </c>
      <c r="AF1660" s="204" t="s">
        <v>398</v>
      </c>
      <c r="AG1660" s="204" t="s">
        <v>398</v>
      </c>
      <c r="AS1660" s="65" t="str">
        <f>IFERROR(VLOOKUP(#REF!,[1]Lookup!$B$2:$E$115,4,FALSE),"")</f>
        <v/>
      </c>
      <c r="AT1660" s="65" t="str">
        <f>IFERROR(VLOOKUP(#REF!,[1]Lookup!$B$2:$E$115,2,FALSE),"")</f>
        <v/>
      </c>
      <c r="AU1660" s="65" t="str">
        <f>IFERROR(VLOOKUP(#REF!,[1]Lookup!$B$2:$E$115,3,FALSE),"")</f>
        <v/>
      </c>
    </row>
    <row r="1661" spans="31:47" x14ac:dyDescent="0.3">
      <c r="AE1661" s="204" t="s">
        <v>398</v>
      </c>
      <c r="AF1661" s="204" t="s">
        <v>398</v>
      </c>
      <c r="AG1661" s="204" t="s">
        <v>398</v>
      </c>
      <c r="AS1661" s="65" t="str">
        <f>IFERROR(VLOOKUP(#REF!,[1]Lookup!$B$2:$E$115,4,FALSE),"")</f>
        <v/>
      </c>
      <c r="AT1661" s="65" t="str">
        <f>IFERROR(VLOOKUP(#REF!,[1]Lookup!$B$2:$E$115,2,FALSE),"")</f>
        <v/>
      </c>
      <c r="AU1661" s="65" t="str">
        <f>IFERROR(VLOOKUP(#REF!,[1]Lookup!$B$2:$E$115,3,FALSE),"")</f>
        <v/>
      </c>
    </row>
    <row r="1662" spans="31:47" x14ac:dyDescent="0.3">
      <c r="AE1662" s="204" t="s">
        <v>398</v>
      </c>
      <c r="AF1662" s="204" t="s">
        <v>398</v>
      </c>
      <c r="AG1662" s="204" t="s">
        <v>398</v>
      </c>
      <c r="AS1662" s="65" t="str">
        <f>IFERROR(VLOOKUP(#REF!,[1]Lookup!$B$2:$E$115,4,FALSE),"")</f>
        <v/>
      </c>
      <c r="AT1662" s="65" t="str">
        <f>IFERROR(VLOOKUP(#REF!,[1]Lookup!$B$2:$E$115,2,FALSE),"")</f>
        <v/>
      </c>
      <c r="AU1662" s="65" t="str">
        <f>IFERROR(VLOOKUP(#REF!,[1]Lookup!$B$2:$E$115,3,FALSE),"")</f>
        <v/>
      </c>
    </row>
    <row r="1663" spans="31:47" x14ac:dyDescent="0.3">
      <c r="AE1663" s="204" t="s">
        <v>398</v>
      </c>
      <c r="AF1663" s="204" t="s">
        <v>398</v>
      </c>
      <c r="AG1663" s="204" t="s">
        <v>398</v>
      </c>
      <c r="AS1663" s="65" t="str">
        <f>IFERROR(VLOOKUP(#REF!,[1]Lookup!$B$2:$E$115,4,FALSE),"")</f>
        <v/>
      </c>
      <c r="AT1663" s="65" t="str">
        <f>IFERROR(VLOOKUP(#REF!,[1]Lookup!$B$2:$E$115,2,FALSE),"")</f>
        <v/>
      </c>
      <c r="AU1663" s="65" t="str">
        <f>IFERROR(VLOOKUP(#REF!,[1]Lookup!$B$2:$E$115,3,FALSE),"")</f>
        <v/>
      </c>
    </row>
    <row r="1664" spans="31:47" x14ac:dyDescent="0.3">
      <c r="AE1664" s="204" t="s">
        <v>398</v>
      </c>
      <c r="AF1664" s="204" t="s">
        <v>398</v>
      </c>
      <c r="AG1664" s="204" t="s">
        <v>398</v>
      </c>
      <c r="AS1664" s="65" t="str">
        <f>IFERROR(VLOOKUP(#REF!,[1]Lookup!$B$2:$E$115,4,FALSE),"")</f>
        <v/>
      </c>
      <c r="AT1664" s="65" t="str">
        <f>IFERROR(VLOOKUP(#REF!,[1]Lookup!$B$2:$E$115,2,FALSE),"")</f>
        <v/>
      </c>
      <c r="AU1664" s="65" t="str">
        <f>IFERROR(VLOOKUP(#REF!,[1]Lookup!$B$2:$E$115,3,FALSE),"")</f>
        <v/>
      </c>
    </row>
    <row r="1665" spans="31:47" x14ac:dyDescent="0.3">
      <c r="AE1665" s="204" t="s">
        <v>398</v>
      </c>
      <c r="AF1665" s="204" t="s">
        <v>398</v>
      </c>
      <c r="AG1665" s="204" t="s">
        <v>398</v>
      </c>
      <c r="AS1665" s="65" t="str">
        <f>IFERROR(VLOOKUP(#REF!,[1]Lookup!$B$2:$E$115,4,FALSE),"")</f>
        <v/>
      </c>
      <c r="AT1665" s="65" t="str">
        <f>IFERROR(VLOOKUP(#REF!,[1]Lookup!$B$2:$E$115,2,FALSE),"")</f>
        <v/>
      </c>
      <c r="AU1665" s="65" t="str">
        <f>IFERROR(VLOOKUP(#REF!,[1]Lookup!$B$2:$E$115,3,FALSE),"")</f>
        <v/>
      </c>
    </row>
    <row r="1666" spans="31:47" x14ac:dyDescent="0.3">
      <c r="AE1666" s="204" t="s">
        <v>398</v>
      </c>
      <c r="AF1666" s="204" t="s">
        <v>398</v>
      </c>
      <c r="AG1666" s="204" t="s">
        <v>398</v>
      </c>
      <c r="AS1666" s="65" t="str">
        <f>IFERROR(VLOOKUP(#REF!,[1]Lookup!$B$2:$E$115,4,FALSE),"")</f>
        <v/>
      </c>
      <c r="AT1666" s="65" t="str">
        <f>IFERROR(VLOOKUP(#REF!,[1]Lookup!$B$2:$E$115,2,FALSE),"")</f>
        <v/>
      </c>
      <c r="AU1666" s="65" t="str">
        <f>IFERROR(VLOOKUP(#REF!,[1]Lookup!$B$2:$E$115,3,FALSE),"")</f>
        <v/>
      </c>
    </row>
    <row r="1667" spans="31:47" x14ac:dyDescent="0.3">
      <c r="AE1667" s="204" t="s">
        <v>398</v>
      </c>
      <c r="AF1667" s="204" t="s">
        <v>398</v>
      </c>
      <c r="AG1667" s="204" t="s">
        <v>398</v>
      </c>
      <c r="AS1667" s="65" t="str">
        <f>IFERROR(VLOOKUP(#REF!,[1]Lookup!$B$2:$E$115,4,FALSE),"")</f>
        <v/>
      </c>
      <c r="AT1667" s="65" t="str">
        <f>IFERROR(VLOOKUP(#REF!,[1]Lookup!$B$2:$E$115,2,FALSE),"")</f>
        <v/>
      </c>
      <c r="AU1667" s="65" t="str">
        <f>IFERROR(VLOOKUP(#REF!,[1]Lookup!$B$2:$E$115,3,FALSE),"")</f>
        <v/>
      </c>
    </row>
    <row r="1668" spans="31:47" x14ac:dyDescent="0.3">
      <c r="AE1668" s="204" t="s">
        <v>398</v>
      </c>
      <c r="AF1668" s="204" t="s">
        <v>398</v>
      </c>
      <c r="AG1668" s="204" t="s">
        <v>398</v>
      </c>
      <c r="AS1668" s="65" t="str">
        <f>IFERROR(VLOOKUP(#REF!,[1]Lookup!$B$2:$E$115,4,FALSE),"")</f>
        <v/>
      </c>
      <c r="AT1668" s="65" t="str">
        <f>IFERROR(VLOOKUP(#REF!,[1]Lookup!$B$2:$E$115,2,FALSE),"")</f>
        <v/>
      </c>
      <c r="AU1668" s="65" t="str">
        <f>IFERROR(VLOOKUP(#REF!,[1]Lookup!$B$2:$E$115,3,FALSE),"")</f>
        <v/>
      </c>
    </row>
    <row r="1669" spans="31:47" x14ac:dyDescent="0.3">
      <c r="AE1669" s="204" t="s">
        <v>398</v>
      </c>
      <c r="AF1669" s="204" t="s">
        <v>398</v>
      </c>
      <c r="AG1669" s="204" t="s">
        <v>398</v>
      </c>
      <c r="AS1669" s="65" t="str">
        <f>IFERROR(VLOOKUP(#REF!,[1]Lookup!$B$2:$E$115,4,FALSE),"")</f>
        <v/>
      </c>
      <c r="AT1669" s="65" t="str">
        <f>IFERROR(VLOOKUP(#REF!,[1]Lookup!$B$2:$E$115,2,FALSE),"")</f>
        <v/>
      </c>
      <c r="AU1669" s="65" t="str">
        <f>IFERROR(VLOOKUP(#REF!,[1]Lookup!$B$2:$E$115,3,FALSE),"")</f>
        <v/>
      </c>
    </row>
    <row r="1670" spans="31:47" x14ac:dyDescent="0.3">
      <c r="AE1670" s="204" t="s">
        <v>398</v>
      </c>
      <c r="AF1670" s="204" t="s">
        <v>398</v>
      </c>
      <c r="AG1670" s="204" t="s">
        <v>398</v>
      </c>
      <c r="AS1670" s="65" t="str">
        <f>IFERROR(VLOOKUP(#REF!,[1]Lookup!$B$2:$E$115,4,FALSE),"")</f>
        <v/>
      </c>
      <c r="AT1670" s="65" t="str">
        <f>IFERROR(VLOOKUP(#REF!,[1]Lookup!$B$2:$E$115,2,FALSE),"")</f>
        <v/>
      </c>
      <c r="AU1670" s="65" t="str">
        <f>IFERROR(VLOOKUP(#REF!,[1]Lookup!$B$2:$E$115,3,FALSE),"")</f>
        <v/>
      </c>
    </row>
    <row r="1671" spans="31:47" x14ac:dyDescent="0.3">
      <c r="AE1671" s="204" t="s">
        <v>398</v>
      </c>
      <c r="AF1671" s="204" t="s">
        <v>398</v>
      </c>
      <c r="AG1671" s="204" t="s">
        <v>398</v>
      </c>
      <c r="AS1671" s="65" t="str">
        <f>IFERROR(VLOOKUP(#REF!,[1]Lookup!$B$2:$E$115,4,FALSE),"")</f>
        <v/>
      </c>
      <c r="AT1671" s="65" t="str">
        <f>IFERROR(VLOOKUP(#REF!,[1]Lookup!$B$2:$E$115,2,FALSE),"")</f>
        <v/>
      </c>
      <c r="AU1671" s="65" t="str">
        <f>IFERROR(VLOOKUP(#REF!,[1]Lookup!$B$2:$E$115,3,FALSE),"")</f>
        <v/>
      </c>
    </row>
    <row r="1672" spans="31:47" x14ac:dyDescent="0.3">
      <c r="AE1672" s="204" t="s">
        <v>398</v>
      </c>
      <c r="AF1672" s="204" t="s">
        <v>398</v>
      </c>
      <c r="AG1672" s="204" t="s">
        <v>398</v>
      </c>
      <c r="AS1672" s="65" t="str">
        <f>IFERROR(VLOOKUP(#REF!,[1]Lookup!$B$2:$E$115,4,FALSE),"")</f>
        <v/>
      </c>
      <c r="AT1672" s="65" t="str">
        <f>IFERROR(VLOOKUP(#REF!,[1]Lookup!$B$2:$E$115,2,FALSE),"")</f>
        <v/>
      </c>
      <c r="AU1672" s="65" t="str">
        <f>IFERROR(VLOOKUP(#REF!,[1]Lookup!$B$2:$E$115,3,FALSE),"")</f>
        <v/>
      </c>
    </row>
    <row r="1673" spans="31:47" x14ac:dyDescent="0.3">
      <c r="AE1673" s="204" t="s">
        <v>398</v>
      </c>
      <c r="AF1673" s="204" t="s">
        <v>398</v>
      </c>
      <c r="AG1673" s="204" t="s">
        <v>398</v>
      </c>
      <c r="AS1673" s="65" t="str">
        <f>IFERROR(VLOOKUP(#REF!,[1]Lookup!$B$2:$E$115,4,FALSE),"")</f>
        <v/>
      </c>
      <c r="AT1673" s="65" t="str">
        <f>IFERROR(VLOOKUP(#REF!,[1]Lookup!$B$2:$E$115,2,FALSE),"")</f>
        <v/>
      </c>
      <c r="AU1673" s="65" t="str">
        <f>IFERROR(VLOOKUP(#REF!,[1]Lookup!$B$2:$E$115,3,FALSE),"")</f>
        <v/>
      </c>
    </row>
    <row r="1674" spans="31:47" x14ac:dyDescent="0.3">
      <c r="AE1674" s="204" t="s">
        <v>398</v>
      </c>
      <c r="AF1674" s="204" t="s">
        <v>398</v>
      </c>
      <c r="AG1674" s="204" t="s">
        <v>398</v>
      </c>
      <c r="AS1674" s="65" t="str">
        <f>IFERROR(VLOOKUP(#REF!,[1]Lookup!$B$2:$E$115,4,FALSE),"")</f>
        <v/>
      </c>
      <c r="AT1674" s="65" t="str">
        <f>IFERROR(VLOOKUP(#REF!,[1]Lookup!$B$2:$E$115,2,FALSE),"")</f>
        <v/>
      </c>
      <c r="AU1674" s="65" t="str">
        <f>IFERROR(VLOOKUP(#REF!,[1]Lookup!$B$2:$E$115,3,FALSE),"")</f>
        <v/>
      </c>
    </row>
    <row r="1675" spans="31:47" x14ac:dyDescent="0.3">
      <c r="AE1675" s="204" t="s">
        <v>398</v>
      </c>
      <c r="AF1675" s="204" t="s">
        <v>398</v>
      </c>
      <c r="AG1675" s="204" t="s">
        <v>398</v>
      </c>
      <c r="AS1675" s="65" t="str">
        <f>IFERROR(VLOOKUP(#REF!,[1]Lookup!$B$2:$E$115,4,FALSE),"")</f>
        <v/>
      </c>
      <c r="AT1675" s="65" t="str">
        <f>IFERROR(VLOOKUP(#REF!,[1]Lookup!$B$2:$E$115,2,FALSE),"")</f>
        <v/>
      </c>
      <c r="AU1675" s="65" t="str">
        <f>IFERROR(VLOOKUP(#REF!,[1]Lookup!$B$2:$E$115,3,FALSE),"")</f>
        <v/>
      </c>
    </row>
    <row r="1676" spans="31:47" x14ac:dyDescent="0.3">
      <c r="AE1676" s="204" t="s">
        <v>398</v>
      </c>
      <c r="AF1676" s="204" t="s">
        <v>398</v>
      </c>
      <c r="AG1676" s="204" t="s">
        <v>398</v>
      </c>
      <c r="AS1676" s="65" t="str">
        <f>IFERROR(VLOOKUP(#REF!,[1]Lookup!$B$2:$E$115,4,FALSE),"")</f>
        <v/>
      </c>
      <c r="AT1676" s="65" t="str">
        <f>IFERROR(VLOOKUP(#REF!,[1]Lookup!$B$2:$E$115,2,FALSE),"")</f>
        <v/>
      </c>
      <c r="AU1676" s="65" t="str">
        <f>IFERROR(VLOOKUP(#REF!,[1]Lookup!$B$2:$E$115,3,FALSE),"")</f>
        <v/>
      </c>
    </row>
    <row r="1677" spans="31:47" x14ac:dyDescent="0.3">
      <c r="AE1677" s="204" t="s">
        <v>398</v>
      </c>
      <c r="AF1677" s="204" t="s">
        <v>398</v>
      </c>
      <c r="AG1677" s="204" t="s">
        <v>398</v>
      </c>
      <c r="AS1677" s="65" t="str">
        <f>IFERROR(VLOOKUP(#REF!,[1]Lookup!$B$2:$E$115,4,FALSE),"")</f>
        <v/>
      </c>
      <c r="AT1677" s="65" t="str">
        <f>IFERROR(VLOOKUP(#REF!,[1]Lookup!$B$2:$E$115,2,FALSE),"")</f>
        <v/>
      </c>
      <c r="AU1677" s="65" t="str">
        <f>IFERROR(VLOOKUP(#REF!,[1]Lookup!$B$2:$E$115,3,FALSE),"")</f>
        <v/>
      </c>
    </row>
    <row r="1678" spans="31:47" x14ac:dyDescent="0.3">
      <c r="AE1678" s="204" t="s">
        <v>398</v>
      </c>
      <c r="AF1678" s="204" t="s">
        <v>398</v>
      </c>
      <c r="AG1678" s="204" t="s">
        <v>398</v>
      </c>
      <c r="AS1678" s="65" t="str">
        <f>IFERROR(VLOOKUP(#REF!,[1]Lookup!$B$2:$E$115,4,FALSE),"")</f>
        <v/>
      </c>
      <c r="AT1678" s="65" t="str">
        <f>IFERROR(VLOOKUP(#REF!,[1]Lookup!$B$2:$E$115,2,FALSE),"")</f>
        <v/>
      </c>
      <c r="AU1678" s="65" t="str">
        <f>IFERROR(VLOOKUP(#REF!,[1]Lookup!$B$2:$E$115,3,FALSE),"")</f>
        <v/>
      </c>
    </row>
    <row r="1679" spans="31:47" x14ac:dyDescent="0.3">
      <c r="AE1679" s="204" t="s">
        <v>398</v>
      </c>
      <c r="AF1679" s="204" t="s">
        <v>398</v>
      </c>
      <c r="AG1679" s="204" t="s">
        <v>398</v>
      </c>
      <c r="AS1679" s="65" t="str">
        <f>IFERROR(VLOOKUP(#REF!,[1]Lookup!$B$2:$E$115,4,FALSE),"")</f>
        <v/>
      </c>
      <c r="AT1679" s="65" t="str">
        <f>IFERROR(VLOOKUP(#REF!,[1]Lookup!$B$2:$E$115,2,FALSE),"")</f>
        <v/>
      </c>
      <c r="AU1679" s="65" t="str">
        <f>IFERROR(VLOOKUP(#REF!,[1]Lookup!$B$2:$E$115,3,FALSE),"")</f>
        <v/>
      </c>
    </row>
    <row r="1680" spans="31:47" x14ac:dyDescent="0.3">
      <c r="AE1680" s="204" t="s">
        <v>398</v>
      </c>
      <c r="AF1680" s="204" t="s">
        <v>398</v>
      </c>
      <c r="AG1680" s="204" t="s">
        <v>398</v>
      </c>
      <c r="AS1680" s="65" t="str">
        <f>IFERROR(VLOOKUP(#REF!,[1]Lookup!$B$2:$E$115,4,FALSE),"")</f>
        <v/>
      </c>
      <c r="AT1680" s="65" t="str">
        <f>IFERROR(VLOOKUP(#REF!,[1]Lookup!$B$2:$E$115,2,FALSE),"")</f>
        <v/>
      </c>
      <c r="AU1680" s="65" t="str">
        <f>IFERROR(VLOOKUP(#REF!,[1]Lookup!$B$2:$E$115,3,FALSE),"")</f>
        <v/>
      </c>
    </row>
    <row r="1681" spans="31:47" x14ac:dyDescent="0.3">
      <c r="AE1681" s="204" t="s">
        <v>398</v>
      </c>
      <c r="AF1681" s="204" t="s">
        <v>398</v>
      </c>
      <c r="AG1681" s="204" t="s">
        <v>398</v>
      </c>
      <c r="AS1681" s="65" t="str">
        <f>IFERROR(VLOOKUP(#REF!,[1]Lookup!$B$2:$E$115,4,FALSE),"")</f>
        <v/>
      </c>
      <c r="AT1681" s="65" t="str">
        <f>IFERROR(VLOOKUP(#REF!,[1]Lookup!$B$2:$E$115,2,FALSE),"")</f>
        <v/>
      </c>
      <c r="AU1681" s="65" t="str">
        <f>IFERROR(VLOOKUP(#REF!,[1]Lookup!$B$2:$E$115,3,FALSE),"")</f>
        <v/>
      </c>
    </row>
    <row r="1682" spans="31:47" x14ac:dyDescent="0.3">
      <c r="AE1682" s="204" t="s">
        <v>398</v>
      </c>
      <c r="AF1682" s="204" t="s">
        <v>398</v>
      </c>
      <c r="AG1682" s="204" t="s">
        <v>398</v>
      </c>
      <c r="AS1682" s="65" t="str">
        <f>IFERROR(VLOOKUP(#REF!,[1]Lookup!$B$2:$E$115,4,FALSE),"")</f>
        <v/>
      </c>
      <c r="AT1682" s="65" t="str">
        <f>IFERROR(VLOOKUP(#REF!,[1]Lookup!$B$2:$E$115,2,FALSE),"")</f>
        <v/>
      </c>
      <c r="AU1682" s="65" t="str">
        <f>IFERROR(VLOOKUP(#REF!,[1]Lookup!$B$2:$E$115,3,FALSE),"")</f>
        <v/>
      </c>
    </row>
    <row r="1683" spans="31:47" x14ac:dyDescent="0.3">
      <c r="AE1683" s="204" t="s">
        <v>398</v>
      </c>
      <c r="AF1683" s="204" t="s">
        <v>398</v>
      </c>
      <c r="AG1683" s="204" t="s">
        <v>398</v>
      </c>
      <c r="AS1683" s="65" t="str">
        <f>IFERROR(VLOOKUP(#REF!,[1]Lookup!$B$2:$E$115,4,FALSE),"")</f>
        <v/>
      </c>
      <c r="AT1683" s="65" t="str">
        <f>IFERROR(VLOOKUP(#REF!,[1]Lookup!$B$2:$E$115,2,FALSE),"")</f>
        <v/>
      </c>
      <c r="AU1683" s="65" t="str">
        <f>IFERROR(VLOOKUP(#REF!,[1]Lookup!$B$2:$E$115,3,FALSE),"")</f>
        <v/>
      </c>
    </row>
    <row r="1684" spans="31:47" x14ac:dyDescent="0.3">
      <c r="AE1684" s="204" t="s">
        <v>398</v>
      </c>
      <c r="AF1684" s="204" t="s">
        <v>398</v>
      </c>
      <c r="AG1684" s="204" t="s">
        <v>398</v>
      </c>
      <c r="AS1684" s="65" t="str">
        <f>IFERROR(VLOOKUP(#REF!,[1]Lookup!$B$2:$E$115,4,FALSE),"")</f>
        <v/>
      </c>
      <c r="AT1684" s="65" t="str">
        <f>IFERROR(VLOOKUP(#REF!,[1]Lookup!$B$2:$E$115,2,FALSE),"")</f>
        <v/>
      </c>
      <c r="AU1684" s="65" t="str">
        <f>IFERROR(VLOOKUP(#REF!,[1]Lookup!$B$2:$E$115,3,FALSE),"")</f>
        <v/>
      </c>
    </row>
    <row r="1685" spans="31:47" x14ac:dyDescent="0.3">
      <c r="AE1685" s="204" t="s">
        <v>398</v>
      </c>
      <c r="AF1685" s="204" t="s">
        <v>398</v>
      </c>
      <c r="AG1685" s="204" t="s">
        <v>398</v>
      </c>
      <c r="AS1685" s="65" t="str">
        <f>IFERROR(VLOOKUP(#REF!,[1]Lookup!$B$2:$E$115,4,FALSE),"")</f>
        <v/>
      </c>
      <c r="AT1685" s="65" t="str">
        <f>IFERROR(VLOOKUP(#REF!,[1]Lookup!$B$2:$E$115,2,FALSE),"")</f>
        <v/>
      </c>
      <c r="AU1685" s="65" t="str">
        <f>IFERROR(VLOOKUP(#REF!,[1]Lookup!$B$2:$E$115,3,FALSE),"")</f>
        <v/>
      </c>
    </row>
    <row r="1686" spans="31:47" x14ac:dyDescent="0.3">
      <c r="AE1686" s="204" t="s">
        <v>398</v>
      </c>
      <c r="AF1686" s="204" t="s">
        <v>398</v>
      </c>
      <c r="AG1686" s="204" t="s">
        <v>398</v>
      </c>
      <c r="AS1686" s="65" t="str">
        <f>IFERROR(VLOOKUP(#REF!,[1]Lookup!$B$2:$E$115,4,FALSE),"")</f>
        <v/>
      </c>
      <c r="AT1686" s="65" t="str">
        <f>IFERROR(VLOOKUP(#REF!,[1]Lookup!$B$2:$E$115,2,FALSE),"")</f>
        <v/>
      </c>
      <c r="AU1686" s="65" t="str">
        <f>IFERROR(VLOOKUP(#REF!,[1]Lookup!$B$2:$E$115,3,FALSE),"")</f>
        <v/>
      </c>
    </row>
    <row r="1687" spans="31:47" x14ac:dyDescent="0.3">
      <c r="AE1687" s="204" t="s">
        <v>398</v>
      </c>
      <c r="AF1687" s="204" t="s">
        <v>398</v>
      </c>
      <c r="AG1687" s="204" t="s">
        <v>398</v>
      </c>
      <c r="AS1687" s="65" t="str">
        <f>IFERROR(VLOOKUP(#REF!,[1]Lookup!$B$2:$E$115,4,FALSE),"")</f>
        <v/>
      </c>
      <c r="AT1687" s="65" t="str">
        <f>IFERROR(VLOOKUP(#REF!,[1]Lookup!$B$2:$E$115,2,FALSE),"")</f>
        <v/>
      </c>
      <c r="AU1687" s="65" t="str">
        <f>IFERROR(VLOOKUP(#REF!,[1]Lookup!$B$2:$E$115,3,FALSE),"")</f>
        <v/>
      </c>
    </row>
    <row r="1688" spans="31:47" x14ac:dyDescent="0.3">
      <c r="AE1688" s="204" t="s">
        <v>398</v>
      </c>
      <c r="AF1688" s="204" t="s">
        <v>398</v>
      </c>
      <c r="AG1688" s="204" t="s">
        <v>398</v>
      </c>
      <c r="AS1688" s="65" t="str">
        <f>IFERROR(VLOOKUP(#REF!,[1]Lookup!$B$2:$E$115,4,FALSE),"")</f>
        <v/>
      </c>
      <c r="AT1688" s="65" t="str">
        <f>IFERROR(VLOOKUP(#REF!,[1]Lookup!$B$2:$E$115,2,FALSE),"")</f>
        <v/>
      </c>
      <c r="AU1688" s="65" t="str">
        <f>IFERROR(VLOOKUP(#REF!,[1]Lookup!$B$2:$E$115,3,FALSE),"")</f>
        <v/>
      </c>
    </row>
    <row r="1689" spans="31:47" x14ac:dyDescent="0.3">
      <c r="AE1689" s="204" t="s">
        <v>398</v>
      </c>
      <c r="AF1689" s="204" t="s">
        <v>398</v>
      </c>
      <c r="AG1689" s="204" t="s">
        <v>398</v>
      </c>
      <c r="AS1689" s="65" t="str">
        <f>IFERROR(VLOOKUP(#REF!,[1]Lookup!$B$2:$E$115,4,FALSE),"")</f>
        <v/>
      </c>
      <c r="AT1689" s="65" t="str">
        <f>IFERROR(VLOOKUP(#REF!,[1]Lookup!$B$2:$E$115,2,FALSE),"")</f>
        <v/>
      </c>
      <c r="AU1689" s="65" t="str">
        <f>IFERROR(VLOOKUP(#REF!,[1]Lookup!$B$2:$E$115,3,FALSE),"")</f>
        <v/>
      </c>
    </row>
    <row r="1690" spans="31:47" x14ac:dyDescent="0.3">
      <c r="AE1690" s="204" t="s">
        <v>398</v>
      </c>
      <c r="AF1690" s="204" t="s">
        <v>398</v>
      </c>
      <c r="AG1690" s="204" t="s">
        <v>398</v>
      </c>
      <c r="AS1690" s="65" t="str">
        <f>IFERROR(VLOOKUP(#REF!,[1]Lookup!$B$2:$E$115,4,FALSE),"")</f>
        <v/>
      </c>
      <c r="AT1690" s="65" t="str">
        <f>IFERROR(VLOOKUP(#REF!,[1]Lookup!$B$2:$E$115,2,FALSE),"")</f>
        <v/>
      </c>
      <c r="AU1690" s="65" t="str">
        <f>IFERROR(VLOOKUP(#REF!,[1]Lookup!$B$2:$E$115,3,FALSE),"")</f>
        <v/>
      </c>
    </row>
    <row r="1691" spans="31:47" x14ac:dyDescent="0.3">
      <c r="AE1691" s="204" t="s">
        <v>398</v>
      </c>
      <c r="AF1691" s="204" t="s">
        <v>398</v>
      </c>
      <c r="AG1691" s="204" t="s">
        <v>398</v>
      </c>
      <c r="AS1691" s="65" t="str">
        <f>IFERROR(VLOOKUP(#REF!,[1]Lookup!$B$2:$E$115,4,FALSE),"")</f>
        <v/>
      </c>
      <c r="AT1691" s="65" t="str">
        <f>IFERROR(VLOOKUP(#REF!,[1]Lookup!$B$2:$E$115,2,FALSE),"")</f>
        <v/>
      </c>
      <c r="AU1691" s="65" t="str">
        <f>IFERROR(VLOOKUP(#REF!,[1]Lookup!$B$2:$E$115,3,FALSE),"")</f>
        <v/>
      </c>
    </row>
    <row r="1692" spans="31:47" x14ac:dyDescent="0.3">
      <c r="AE1692" s="204" t="s">
        <v>398</v>
      </c>
      <c r="AF1692" s="204" t="s">
        <v>398</v>
      </c>
      <c r="AG1692" s="204" t="s">
        <v>398</v>
      </c>
      <c r="AS1692" s="65" t="str">
        <f>IFERROR(VLOOKUP(#REF!,[1]Lookup!$B$2:$E$115,4,FALSE),"")</f>
        <v/>
      </c>
      <c r="AT1692" s="65" t="str">
        <f>IFERROR(VLOOKUP(#REF!,[1]Lookup!$B$2:$E$115,2,FALSE),"")</f>
        <v/>
      </c>
      <c r="AU1692" s="65" t="str">
        <f>IFERROR(VLOOKUP(#REF!,[1]Lookup!$B$2:$E$115,3,FALSE),"")</f>
        <v/>
      </c>
    </row>
    <row r="1693" spans="31:47" x14ac:dyDescent="0.3">
      <c r="AE1693" s="204" t="s">
        <v>398</v>
      </c>
      <c r="AF1693" s="204" t="s">
        <v>398</v>
      </c>
      <c r="AG1693" s="204" t="s">
        <v>398</v>
      </c>
      <c r="AS1693" s="65" t="str">
        <f>IFERROR(VLOOKUP(#REF!,[1]Lookup!$B$2:$E$115,4,FALSE),"")</f>
        <v/>
      </c>
      <c r="AT1693" s="65" t="str">
        <f>IFERROR(VLOOKUP(#REF!,[1]Lookup!$B$2:$E$115,2,FALSE),"")</f>
        <v/>
      </c>
      <c r="AU1693" s="65" t="str">
        <f>IFERROR(VLOOKUP(#REF!,[1]Lookup!$B$2:$E$115,3,FALSE),"")</f>
        <v/>
      </c>
    </row>
    <row r="1694" spans="31:47" x14ac:dyDescent="0.3">
      <c r="AE1694" s="204" t="s">
        <v>398</v>
      </c>
      <c r="AF1694" s="204" t="s">
        <v>398</v>
      </c>
      <c r="AG1694" s="204" t="s">
        <v>398</v>
      </c>
      <c r="AS1694" s="65" t="str">
        <f>IFERROR(VLOOKUP(#REF!,[1]Lookup!$B$2:$E$115,4,FALSE),"")</f>
        <v/>
      </c>
      <c r="AT1694" s="65" t="str">
        <f>IFERROR(VLOOKUP(#REF!,[1]Lookup!$B$2:$E$115,2,FALSE),"")</f>
        <v/>
      </c>
      <c r="AU1694" s="65" t="str">
        <f>IFERROR(VLOOKUP(#REF!,[1]Lookup!$B$2:$E$115,3,FALSE),"")</f>
        <v/>
      </c>
    </row>
    <row r="1695" spans="31:47" x14ac:dyDescent="0.3">
      <c r="AE1695" s="204" t="s">
        <v>398</v>
      </c>
      <c r="AF1695" s="204" t="s">
        <v>398</v>
      </c>
      <c r="AG1695" s="204" t="s">
        <v>398</v>
      </c>
      <c r="AS1695" s="65" t="str">
        <f>IFERROR(VLOOKUP(#REF!,[1]Lookup!$B$2:$E$115,4,FALSE),"")</f>
        <v/>
      </c>
      <c r="AT1695" s="65" t="str">
        <f>IFERROR(VLOOKUP(#REF!,[1]Lookup!$B$2:$E$115,2,FALSE),"")</f>
        <v/>
      </c>
      <c r="AU1695" s="65" t="str">
        <f>IFERROR(VLOOKUP(#REF!,[1]Lookup!$B$2:$E$115,3,FALSE),"")</f>
        <v/>
      </c>
    </row>
    <row r="1696" spans="31:47" x14ac:dyDescent="0.3">
      <c r="AE1696" s="204" t="s">
        <v>398</v>
      </c>
      <c r="AF1696" s="204" t="s">
        <v>398</v>
      </c>
      <c r="AG1696" s="204" t="s">
        <v>398</v>
      </c>
      <c r="AS1696" s="65" t="str">
        <f>IFERROR(VLOOKUP(#REF!,[1]Lookup!$B$2:$E$115,4,FALSE),"")</f>
        <v/>
      </c>
      <c r="AT1696" s="65" t="str">
        <f>IFERROR(VLOOKUP(#REF!,[1]Lookup!$B$2:$E$115,2,FALSE),"")</f>
        <v/>
      </c>
      <c r="AU1696" s="65" t="str">
        <f>IFERROR(VLOOKUP(#REF!,[1]Lookup!$B$2:$E$115,3,FALSE),"")</f>
        <v/>
      </c>
    </row>
    <row r="1697" spans="31:47" x14ac:dyDescent="0.3">
      <c r="AE1697" s="204" t="s">
        <v>398</v>
      </c>
      <c r="AF1697" s="204" t="s">
        <v>398</v>
      </c>
      <c r="AG1697" s="204" t="s">
        <v>398</v>
      </c>
      <c r="AS1697" s="65" t="str">
        <f>IFERROR(VLOOKUP(#REF!,[1]Lookup!$B$2:$E$115,4,FALSE),"")</f>
        <v/>
      </c>
      <c r="AT1697" s="65" t="str">
        <f>IFERROR(VLOOKUP(#REF!,[1]Lookup!$B$2:$E$115,2,FALSE),"")</f>
        <v/>
      </c>
      <c r="AU1697" s="65" t="str">
        <f>IFERROR(VLOOKUP(#REF!,[1]Lookup!$B$2:$E$115,3,FALSE),"")</f>
        <v/>
      </c>
    </row>
    <row r="1698" spans="31:47" x14ac:dyDescent="0.3">
      <c r="AE1698" s="204" t="s">
        <v>398</v>
      </c>
      <c r="AF1698" s="204" t="s">
        <v>398</v>
      </c>
      <c r="AG1698" s="204" t="s">
        <v>398</v>
      </c>
      <c r="AS1698" s="65" t="str">
        <f>IFERROR(VLOOKUP(#REF!,[1]Lookup!$B$2:$E$115,4,FALSE),"")</f>
        <v/>
      </c>
      <c r="AT1698" s="65" t="str">
        <f>IFERROR(VLOOKUP(#REF!,[1]Lookup!$B$2:$E$115,2,FALSE),"")</f>
        <v/>
      </c>
      <c r="AU1698" s="65" t="str">
        <f>IFERROR(VLOOKUP(#REF!,[1]Lookup!$B$2:$E$115,3,FALSE),"")</f>
        <v/>
      </c>
    </row>
    <row r="1699" spans="31:47" x14ac:dyDescent="0.3">
      <c r="AE1699" s="204" t="s">
        <v>398</v>
      </c>
      <c r="AF1699" s="204" t="s">
        <v>398</v>
      </c>
      <c r="AG1699" s="204" t="s">
        <v>398</v>
      </c>
      <c r="AS1699" s="65" t="str">
        <f>IFERROR(VLOOKUP(#REF!,[1]Lookup!$B$2:$E$115,4,FALSE),"")</f>
        <v/>
      </c>
      <c r="AT1699" s="65" t="str">
        <f>IFERROR(VLOOKUP(#REF!,[1]Lookup!$B$2:$E$115,2,FALSE),"")</f>
        <v/>
      </c>
      <c r="AU1699" s="65" t="str">
        <f>IFERROR(VLOOKUP(#REF!,[1]Lookup!$B$2:$E$115,3,FALSE),"")</f>
        <v/>
      </c>
    </row>
    <row r="1700" spans="31:47" x14ac:dyDescent="0.3">
      <c r="AE1700" s="204" t="s">
        <v>398</v>
      </c>
      <c r="AF1700" s="204" t="s">
        <v>398</v>
      </c>
      <c r="AG1700" s="204" t="s">
        <v>398</v>
      </c>
      <c r="AS1700" s="65" t="str">
        <f>IFERROR(VLOOKUP(#REF!,[1]Lookup!$B$2:$E$115,4,FALSE),"")</f>
        <v/>
      </c>
      <c r="AT1700" s="65" t="str">
        <f>IFERROR(VLOOKUP(#REF!,[1]Lookup!$B$2:$E$115,2,FALSE),"")</f>
        <v/>
      </c>
      <c r="AU1700" s="65" t="str">
        <f>IFERROR(VLOOKUP(#REF!,[1]Lookup!$B$2:$E$115,3,FALSE),"")</f>
        <v/>
      </c>
    </row>
    <row r="1701" spans="31:47" x14ac:dyDescent="0.3">
      <c r="AE1701" s="204" t="s">
        <v>398</v>
      </c>
      <c r="AF1701" s="204" t="s">
        <v>398</v>
      </c>
      <c r="AG1701" s="204" t="s">
        <v>398</v>
      </c>
      <c r="AS1701" s="65" t="str">
        <f>IFERROR(VLOOKUP(#REF!,[1]Lookup!$B$2:$E$115,4,FALSE),"")</f>
        <v/>
      </c>
      <c r="AT1701" s="65" t="str">
        <f>IFERROR(VLOOKUP(#REF!,[1]Lookup!$B$2:$E$115,2,FALSE),"")</f>
        <v/>
      </c>
      <c r="AU1701" s="65" t="str">
        <f>IFERROR(VLOOKUP(#REF!,[1]Lookup!$B$2:$E$115,3,FALSE),"")</f>
        <v/>
      </c>
    </row>
    <row r="1702" spans="31:47" x14ac:dyDescent="0.3">
      <c r="AE1702" s="204" t="s">
        <v>398</v>
      </c>
      <c r="AF1702" s="204" t="s">
        <v>398</v>
      </c>
      <c r="AG1702" s="204" t="s">
        <v>398</v>
      </c>
      <c r="AS1702" s="65" t="str">
        <f>IFERROR(VLOOKUP(#REF!,[1]Lookup!$B$2:$E$115,4,FALSE),"")</f>
        <v/>
      </c>
      <c r="AT1702" s="65" t="str">
        <f>IFERROR(VLOOKUP(#REF!,[1]Lookup!$B$2:$E$115,2,FALSE),"")</f>
        <v/>
      </c>
      <c r="AU1702" s="65" t="str">
        <f>IFERROR(VLOOKUP(#REF!,[1]Lookup!$B$2:$E$115,3,FALSE),"")</f>
        <v/>
      </c>
    </row>
    <row r="1703" spans="31:47" x14ac:dyDescent="0.3">
      <c r="AE1703" s="204" t="s">
        <v>398</v>
      </c>
      <c r="AF1703" s="204" t="s">
        <v>398</v>
      </c>
      <c r="AG1703" s="204" t="s">
        <v>398</v>
      </c>
      <c r="AS1703" s="65" t="str">
        <f>IFERROR(VLOOKUP(#REF!,[1]Lookup!$B$2:$E$115,4,FALSE),"")</f>
        <v/>
      </c>
      <c r="AT1703" s="65" t="str">
        <f>IFERROR(VLOOKUP(#REF!,[1]Lookup!$B$2:$E$115,2,FALSE),"")</f>
        <v/>
      </c>
      <c r="AU1703" s="65" t="str">
        <f>IFERROR(VLOOKUP(#REF!,[1]Lookup!$B$2:$E$115,3,FALSE),"")</f>
        <v/>
      </c>
    </row>
    <row r="1704" spans="31:47" x14ac:dyDescent="0.3">
      <c r="AE1704" s="204" t="s">
        <v>398</v>
      </c>
      <c r="AF1704" s="204" t="s">
        <v>398</v>
      </c>
      <c r="AG1704" s="204" t="s">
        <v>398</v>
      </c>
      <c r="AS1704" s="65" t="str">
        <f>IFERROR(VLOOKUP(#REF!,[1]Lookup!$B$2:$E$115,4,FALSE),"")</f>
        <v/>
      </c>
      <c r="AT1704" s="65" t="str">
        <f>IFERROR(VLOOKUP(#REF!,[1]Lookup!$B$2:$E$115,2,FALSE),"")</f>
        <v/>
      </c>
      <c r="AU1704" s="65" t="str">
        <f>IFERROR(VLOOKUP(#REF!,[1]Lookup!$B$2:$E$115,3,FALSE),"")</f>
        <v/>
      </c>
    </row>
    <row r="1705" spans="31:47" x14ac:dyDescent="0.3">
      <c r="AE1705" s="204" t="s">
        <v>398</v>
      </c>
      <c r="AF1705" s="204" t="s">
        <v>398</v>
      </c>
      <c r="AG1705" s="204" t="s">
        <v>398</v>
      </c>
      <c r="AS1705" s="65" t="str">
        <f>IFERROR(VLOOKUP(#REF!,[1]Lookup!$B$2:$E$115,4,FALSE),"")</f>
        <v/>
      </c>
      <c r="AT1705" s="65" t="str">
        <f>IFERROR(VLOOKUP(#REF!,[1]Lookup!$B$2:$E$115,2,FALSE),"")</f>
        <v/>
      </c>
      <c r="AU1705" s="65" t="str">
        <f>IFERROR(VLOOKUP(#REF!,[1]Lookup!$B$2:$E$115,3,FALSE),"")</f>
        <v/>
      </c>
    </row>
    <row r="1706" spans="31:47" x14ac:dyDescent="0.3">
      <c r="AE1706" s="204" t="s">
        <v>398</v>
      </c>
      <c r="AF1706" s="204" t="s">
        <v>398</v>
      </c>
      <c r="AG1706" s="204" t="s">
        <v>398</v>
      </c>
      <c r="AS1706" s="65" t="str">
        <f>IFERROR(VLOOKUP(#REF!,[1]Lookup!$B$2:$E$115,4,FALSE),"")</f>
        <v/>
      </c>
      <c r="AT1706" s="65" t="str">
        <f>IFERROR(VLOOKUP(#REF!,[1]Lookup!$B$2:$E$115,2,FALSE),"")</f>
        <v/>
      </c>
      <c r="AU1706" s="65" t="str">
        <f>IFERROR(VLOOKUP(#REF!,[1]Lookup!$B$2:$E$115,3,FALSE),"")</f>
        <v/>
      </c>
    </row>
    <row r="1707" spans="31:47" x14ac:dyDescent="0.3">
      <c r="AE1707" s="204" t="s">
        <v>398</v>
      </c>
      <c r="AF1707" s="204" t="s">
        <v>398</v>
      </c>
      <c r="AG1707" s="204" t="s">
        <v>398</v>
      </c>
      <c r="AS1707" s="65" t="str">
        <f>IFERROR(VLOOKUP(#REF!,[1]Lookup!$B$2:$E$115,4,FALSE),"")</f>
        <v/>
      </c>
      <c r="AT1707" s="65" t="str">
        <f>IFERROR(VLOOKUP(#REF!,[1]Lookup!$B$2:$E$115,2,FALSE),"")</f>
        <v/>
      </c>
      <c r="AU1707" s="65" t="str">
        <f>IFERROR(VLOOKUP(#REF!,[1]Lookup!$B$2:$E$115,3,FALSE),"")</f>
        <v/>
      </c>
    </row>
    <row r="1708" spans="31:47" x14ac:dyDescent="0.3">
      <c r="AE1708" s="204" t="s">
        <v>398</v>
      </c>
      <c r="AF1708" s="204" t="s">
        <v>398</v>
      </c>
      <c r="AG1708" s="204" t="s">
        <v>398</v>
      </c>
      <c r="AS1708" s="65" t="str">
        <f>IFERROR(VLOOKUP(#REF!,[1]Lookup!$B$2:$E$115,4,FALSE),"")</f>
        <v/>
      </c>
      <c r="AT1708" s="65" t="str">
        <f>IFERROR(VLOOKUP(#REF!,[1]Lookup!$B$2:$E$115,2,FALSE),"")</f>
        <v/>
      </c>
      <c r="AU1708" s="65" t="str">
        <f>IFERROR(VLOOKUP(#REF!,[1]Lookup!$B$2:$E$115,3,FALSE),"")</f>
        <v/>
      </c>
    </row>
    <row r="1709" spans="31:47" x14ac:dyDescent="0.3">
      <c r="AE1709" s="204" t="s">
        <v>398</v>
      </c>
      <c r="AF1709" s="204" t="s">
        <v>398</v>
      </c>
      <c r="AG1709" s="204" t="s">
        <v>398</v>
      </c>
      <c r="AS1709" s="65" t="str">
        <f>IFERROR(VLOOKUP(#REF!,[1]Lookup!$B$2:$E$115,4,FALSE),"")</f>
        <v/>
      </c>
      <c r="AT1709" s="65" t="str">
        <f>IFERROR(VLOOKUP(#REF!,[1]Lookup!$B$2:$E$115,2,FALSE),"")</f>
        <v/>
      </c>
      <c r="AU1709" s="65" t="str">
        <f>IFERROR(VLOOKUP(#REF!,[1]Lookup!$B$2:$E$115,3,FALSE),"")</f>
        <v/>
      </c>
    </row>
    <row r="1710" spans="31:47" x14ac:dyDescent="0.3">
      <c r="AE1710" s="204" t="s">
        <v>398</v>
      </c>
      <c r="AF1710" s="204" t="s">
        <v>398</v>
      </c>
      <c r="AG1710" s="204" t="s">
        <v>398</v>
      </c>
      <c r="AS1710" s="65" t="str">
        <f>IFERROR(VLOOKUP(#REF!,[1]Lookup!$B$2:$E$115,4,FALSE),"")</f>
        <v/>
      </c>
      <c r="AT1710" s="65" t="str">
        <f>IFERROR(VLOOKUP(#REF!,[1]Lookup!$B$2:$E$115,2,FALSE),"")</f>
        <v/>
      </c>
      <c r="AU1710" s="65" t="str">
        <f>IFERROR(VLOOKUP(#REF!,[1]Lookup!$B$2:$E$115,3,FALSE),"")</f>
        <v/>
      </c>
    </row>
    <row r="1711" spans="31:47" x14ac:dyDescent="0.3">
      <c r="AE1711" s="204" t="s">
        <v>398</v>
      </c>
      <c r="AF1711" s="204" t="s">
        <v>398</v>
      </c>
      <c r="AG1711" s="204" t="s">
        <v>398</v>
      </c>
      <c r="AS1711" s="65" t="str">
        <f>IFERROR(VLOOKUP(#REF!,[1]Lookup!$B$2:$E$115,4,FALSE),"")</f>
        <v/>
      </c>
      <c r="AT1711" s="65" t="str">
        <f>IFERROR(VLOOKUP(#REF!,[1]Lookup!$B$2:$E$115,2,FALSE),"")</f>
        <v/>
      </c>
      <c r="AU1711" s="65" t="str">
        <f>IFERROR(VLOOKUP(#REF!,[1]Lookup!$B$2:$E$115,3,FALSE),"")</f>
        <v/>
      </c>
    </row>
    <row r="1712" spans="31:47" x14ac:dyDescent="0.3">
      <c r="AE1712" s="204" t="s">
        <v>398</v>
      </c>
      <c r="AF1712" s="204" t="s">
        <v>398</v>
      </c>
      <c r="AG1712" s="204" t="s">
        <v>398</v>
      </c>
      <c r="AS1712" s="65" t="str">
        <f>IFERROR(VLOOKUP(#REF!,[1]Lookup!$B$2:$E$115,4,FALSE),"")</f>
        <v/>
      </c>
      <c r="AT1712" s="65" t="str">
        <f>IFERROR(VLOOKUP(#REF!,[1]Lookup!$B$2:$E$115,2,FALSE),"")</f>
        <v/>
      </c>
      <c r="AU1712" s="65" t="str">
        <f>IFERROR(VLOOKUP(#REF!,[1]Lookup!$B$2:$E$115,3,FALSE),"")</f>
        <v/>
      </c>
    </row>
    <row r="1713" spans="31:47" x14ac:dyDescent="0.3">
      <c r="AE1713" s="204" t="s">
        <v>398</v>
      </c>
      <c r="AF1713" s="204" t="s">
        <v>398</v>
      </c>
      <c r="AG1713" s="204" t="s">
        <v>398</v>
      </c>
      <c r="AS1713" s="65" t="str">
        <f>IFERROR(VLOOKUP(#REF!,[1]Lookup!$B$2:$E$115,4,FALSE),"")</f>
        <v/>
      </c>
      <c r="AT1713" s="65" t="str">
        <f>IFERROR(VLOOKUP(#REF!,[1]Lookup!$B$2:$E$115,2,FALSE),"")</f>
        <v/>
      </c>
      <c r="AU1713" s="65" t="str">
        <f>IFERROR(VLOOKUP(#REF!,[1]Lookup!$B$2:$E$115,3,FALSE),"")</f>
        <v/>
      </c>
    </row>
    <row r="1714" spans="31:47" x14ac:dyDescent="0.3">
      <c r="AE1714" s="204" t="s">
        <v>398</v>
      </c>
      <c r="AF1714" s="204" t="s">
        <v>398</v>
      </c>
      <c r="AG1714" s="204" t="s">
        <v>398</v>
      </c>
      <c r="AS1714" s="65" t="str">
        <f>IFERROR(VLOOKUP(#REF!,[1]Lookup!$B$2:$E$115,4,FALSE),"")</f>
        <v/>
      </c>
      <c r="AT1714" s="65" t="str">
        <f>IFERROR(VLOOKUP(#REF!,[1]Lookup!$B$2:$E$115,2,FALSE),"")</f>
        <v/>
      </c>
      <c r="AU1714" s="65" t="str">
        <f>IFERROR(VLOOKUP(#REF!,[1]Lookup!$B$2:$E$115,3,FALSE),"")</f>
        <v/>
      </c>
    </row>
    <row r="1715" spans="31:47" x14ac:dyDescent="0.3">
      <c r="AE1715" s="204" t="s">
        <v>398</v>
      </c>
      <c r="AF1715" s="204" t="s">
        <v>398</v>
      </c>
      <c r="AG1715" s="204" t="s">
        <v>398</v>
      </c>
      <c r="AS1715" s="65" t="str">
        <f>IFERROR(VLOOKUP(#REF!,[1]Lookup!$B$2:$E$115,4,FALSE),"")</f>
        <v/>
      </c>
      <c r="AT1715" s="65" t="str">
        <f>IFERROR(VLOOKUP(#REF!,[1]Lookup!$B$2:$E$115,2,FALSE),"")</f>
        <v/>
      </c>
      <c r="AU1715" s="65" t="str">
        <f>IFERROR(VLOOKUP(#REF!,[1]Lookup!$B$2:$E$115,3,FALSE),"")</f>
        <v/>
      </c>
    </row>
    <row r="1716" spans="31:47" x14ac:dyDescent="0.3">
      <c r="AE1716" s="204" t="s">
        <v>398</v>
      </c>
      <c r="AF1716" s="204" t="s">
        <v>398</v>
      </c>
      <c r="AG1716" s="204" t="s">
        <v>398</v>
      </c>
      <c r="AS1716" s="65" t="str">
        <f>IFERROR(VLOOKUP(#REF!,[1]Lookup!$B$2:$E$115,4,FALSE),"")</f>
        <v/>
      </c>
      <c r="AT1716" s="65" t="str">
        <f>IFERROR(VLOOKUP(#REF!,[1]Lookup!$B$2:$E$115,2,FALSE),"")</f>
        <v/>
      </c>
      <c r="AU1716" s="65" t="str">
        <f>IFERROR(VLOOKUP(#REF!,[1]Lookup!$B$2:$E$115,3,FALSE),"")</f>
        <v/>
      </c>
    </row>
    <row r="1717" spans="31:47" x14ac:dyDescent="0.3">
      <c r="AE1717" s="204" t="s">
        <v>398</v>
      </c>
      <c r="AF1717" s="204" t="s">
        <v>398</v>
      </c>
      <c r="AG1717" s="204" t="s">
        <v>398</v>
      </c>
      <c r="AS1717" s="65" t="str">
        <f>IFERROR(VLOOKUP(#REF!,[1]Lookup!$B$2:$E$115,4,FALSE),"")</f>
        <v/>
      </c>
      <c r="AT1717" s="65" t="str">
        <f>IFERROR(VLOOKUP(#REF!,[1]Lookup!$B$2:$E$115,2,FALSE),"")</f>
        <v/>
      </c>
      <c r="AU1717" s="65" t="str">
        <f>IFERROR(VLOOKUP(#REF!,[1]Lookup!$B$2:$E$115,3,FALSE),"")</f>
        <v/>
      </c>
    </row>
    <row r="1718" spans="31:47" x14ac:dyDescent="0.3">
      <c r="AE1718" s="204" t="s">
        <v>398</v>
      </c>
      <c r="AF1718" s="204" t="s">
        <v>398</v>
      </c>
      <c r="AG1718" s="204" t="s">
        <v>398</v>
      </c>
      <c r="AS1718" s="65" t="str">
        <f>IFERROR(VLOOKUP(#REF!,[1]Lookup!$B$2:$E$115,4,FALSE),"")</f>
        <v/>
      </c>
      <c r="AT1718" s="65" t="str">
        <f>IFERROR(VLOOKUP(#REF!,[1]Lookup!$B$2:$E$115,2,FALSE),"")</f>
        <v/>
      </c>
      <c r="AU1718" s="65" t="str">
        <f>IFERROR(VLOOKUP(#REF!,[1]Lookup!$B$2:$E$115,3,FALSE),"")</f>
        <v/>
      </c>
    </row>
    <row r="1719" spans="31:47" x14ac:dyDescent="0.3">
      <c r="AE1719" s="204" t="s">
        <v>398</v>
      </c>
      <c r="AF1719" s="204" t="s">
        <v>398</v>
      </c>
      <c r="AG1719" s="204" t="s">
        <v>398</v>
      </c>
      <c r="AS1719" s="65" t="str">
        <f>IFERROR(VLOOKUP(#REF!,[1]Lookup!$B$2:$E$115,4,FALSE),"")</f>
        <v/>
      </c>
      <c r="AT1719" s="65" t="str">
        <f>IFERROR(VLOOKUP(#REF!,[1]Lookup!$B$2:$E$115,2,FALSE),"")</f>
        <v/>
      </c>
      <c r="AU1719" s="65" t="str">
        <f>IFERROR(VLOOKUP(#REF!,[1]Lookup!$B$2:$E$115,3,FALSE),"")</f>
        <v/>
      </c>
    </row>
    <row r="1720" spans="31:47" x14ac:dyDescent="0.3">
      <c r="AE1720" s="204" t="s">
        <v>398</v>
      </c>
      <c r="AF1720" s="204" t="s">
        <v>398</v>
      </c>
      <c r="AG1720" s="204" t="s">
        <v>398</v>
      </c>
      <c r="AS1720" s="65" t="str">
        <f>IFERROR(VLOOKUP(#REF!,[1]Lookup!$B$2:$E$115,4,FALSE),"")</f>
        <v/>
      </c>
      <c r="AT1720" s="65" t="str">
        <f>IFERROR(VLOOKUP(#REF!,[1]Lookup!$B$2:$E$115,2,FALSE),"")</f>
        <v/>
      </c>
      <c r="AU1720" s="65" t="str">
        <f>IFERROR(VLOOKUP(#REF!,[1]Lookup!$B$2:$E$115,3,FALSE),"")</f>
        <v/>
      </c>
    </row>
    <row r="1721" spans="31:47" x14ac:dyDescent="0.3">
      <c r="AE1721" s="204" t="s">
        <v>398</v>
      </c>
      <c r="AF1721" s="204" t="s">
        <v>398</v>
      </c>
      <c r="AG1721" s="204" t="s">
        <v>398</v>
      </c>
      <c r="AS1721" s="65" t="str">
        <f>IFERROR(VLOOKUP(#REF!,[1]Lookup!$B$2:$E$115,4,FALSE),"")</f>
        <v/>
      </c>
      <c r="AT1721" s="65" t="str">
        <f>IFERROR(VLOOKUP(#REF!,[1]Lookup!$B$2:$E$115,2,FALSE),"")</f>
        <v/>
      </c>
      <c r="AU1721" s="65" t="str">
        <f>IFERROR(VLOOKUP(#REF!,[1]Lookup!$B$2:$E$115,3,FALSE),"")</f>
        <v/>
      </c>
    </row>
    <row r="1722" spans="31:47" x14ac:dyDescent="0.3">
      <c r="AE1722" s="204" t="s">
        <v>398</v>
      </c>
      <c r="AF1722" s="204" t="s">
        <v>398</v>
      </c>
      <c r="AG1722" s="204" t="s">
        <v>398</v>
      </c>
      <c r="AS1722" s="65" t="str">
        <f>IFERROR(VLOOKUP(#REF!,[1]Lookup!$B$2:$E$115,4,FALSE),"")</f>
        <v/>
      </c>
      <c r="AT1722" s="65" t="str">
        <f>IFERROR(VLOOKUP(#REF!,[1]Lookup!$B$2:$E$115,2,FALSE),"")</f>
        <v/>
      </c>
      <c r="AU1722" s="65" t="str">
        <f>IFERROR(VLOOKUP(#REF!,[1]Lookup!$B$2:$E$115,3,FALSE),"")</f>
        <v/>
      </c>
    </row>
    <row r="1723" spans="31:47" x14ac:dyDescent="0.3">
      <c r="AE1723" s="204" t="s">
        <v>398</v>
      </c>
      <c r="AF1723" s="204" t="s">
        <v>398</v>
      </c>
      <c r="AG1723" s="204" t="s">
        <v>398</v>
      </c>
      <c r="AS1723" s="65" t="str">
        <f>IFERROR(VLOOKUP(#REF!,[1]Lookup!$B$2:$E$115,4,FALSE),"")</f>
        <v/>
      </c>
      <c r="AT1723" s="65" t="str">
        <f>IFERROR(VLOOKUP(#REF!,[1]Lookup!$B$2:$E$115,2,FALSE),"")</f>
        <v/>
      </c>
      <c r="AU1723" s="65" t="str">
        <f>IFERROR(VLOOKUP(#REF!,[1]Lookup!$B$2:$E$115,3,FALSE),"")</f>
        <v/>
      </c>
    </row>
    <row r="1724" spans="31:47" x14ac:dyDescent="0.3">
      <c r="AE1724" s="204" t="s">
        <v>398</v>
      </c>
      <c r="AF1724" s="204" t="s">
        <v>398</v>
      </c>
      <c r="AG1724" s="204" t="s">
        <v>398</v>
      </c>
      <c r="AS1724" s="65" t="str">
        <f>IFERROR(VLOOKUP(#REF!,[1]Lookup!$B$2:$E$115,4,FALSE),"")</f>
        <v/>
      </c>
      <c r="AT1724" s="65" t="str">
        <f>IFERROR(VLOOKUP(#REF!,[1]Lookup!$B$2:$E$115,2,FALSE),"")</f>
        <v/>
      </c>
      <c r="AU1724" s="65" t="str">
        <f>IFERROR(VLOOKUP(#REF!,[1]Lookup!$B$2:$E$115,3,FALSE),"")</f>
        <v/>
      </c>
    </row>
    <row r="1725" spans="31:47" x14ac:dyDescent="0.3">
      <c r="AE1725" s="204" t="s">
        <v>398</v>
      </c>
      <c r="AF1725" s="204" t="s">
        <v>398</v>
      </c>
      <c r="AG1725" s="204" t="s">
        <v>398</v>
      </c>
      <c r="AS1725" s="65" t="str">
        <f>IFERROR(VLOOKUP(#REF!,[1]Lookup!$B$2:$E$115,4,FALSE),"")</f>
        <v/>
      </c>
      <c r="AT1725" s="65" t="str">
        <f>IFERROR(VLOOKUP(#REF!,[1]Lookup!$B$2:$E$115,2,FALSE),"")</f>
        <v/>
      </c>
      <c r="AU1725" s="65" t="str">
        <f>IFERROR(VLOOKUP(#REF!,[1]Lookup!$B$2:$E$115,3,FALSE),"")</f>
        <v/>
      </c>
    </row>
    <row r="1726" spans="31:47" x14ac:dyDescent="0.3">
      <c r="AE1726" s="204" t="s">
        <v>398</v>
      </c>
      <c r="AF1726" s="204" t="s">
        <v>398</v>
      </c>
      <c r="AG1726" s="204" t="s">
        <v>398</v>
      </c>
      <c r="AS1726" s="65" t="str">
        <f>IFERROR(VLOOKUP(#REF!,[1]Lookup!$B$2:$E$115,4,FALSE),"")</f>
        <v/>
      </c>
      <c r="AT1726" s="65" t="str">
        <f>IFERROR(VLOOKUP(#REF!,[1]Lookup!$B$2:$E$115,2,FALSE),"")</f>
        <v/>
      </c>
      <c r="AU1726" s="65" t="str">
        <f>IFERROR(VLOOKUP(#REF!,[1]Lookup!$B$2:$E$115,3,FALSE),"")</f>
        <v/>
      </c>
    </row>
    <row r="1727" spans="31:47" x14ac:dyDescent="0.3">
      <c r="AE1727" s="204" t="s">
        <v>398</v>
      </c>
      <c r="AF1727" s="204" t="s">
        <v>398</v>
      </c>
      <c r="AG1727" s="204" t="s">
        <v>398</v>
      </c>
      <c r="AS1727" s="65" t="str">
        <f>IFERROR(VLOOKUP(#REF!,[1]Lookup!$B$2:$E$115,4,FALSE),"")</f>
        <v/>
      </c>
      <c r="AT1727" s="65" t="str">
        <f>IFERROR(VLOOKUP(#REF!,[1]Lookup!$B$2:$E$115,2,FALSE),"")</f>
        <v/>
      </c>
      <c r="AU1727" s="65" t="str">
        <f>IFERROR(VLOOKUP(#REF!,[1]Lookup!$B$2:$E$115,3,FALSE),"")</f>
        <v/>
      </c>
    </row>
    <row r="1728" spans="31:47" x14ac:dyDescent="0.3">
      <c r="AE1728" s="204" t="s">
        <v>398</v>
      </c>
      <c r="AF1728" s="204" t="s">
        <v>398</v>
      </c>
      <c r="AG1728" s="204" t="s">
        <v>398</v>
      </c>
      <c r="AS1728" s="65" t="str">
        <f>IFERROR(VLOOKUP(#REF!,[1]Lookup!$B$2:$E$115,4,FALSE),"")</f>
        <v/>
      </c>
      <c r="AT1728" s="65" t="str">
        <f>IFERROR(VLOOKUP(#REF!,[1]Lookup!$B$2:$E$115,2,FALSE),"")</f>
        <v/>
      </c>
      <c r="AU1728" s="65" t="str">
        <f>IFERROR(VLOOKUP(#REF!,[1]Lookup!$B$2:$E$115,3,FALSE),"")</f>
        <v/>
      </c>
    </row>
    <row r="1729" spans="31:47" x14ac:dyDescent="0.3">
      <c r="AE1729" s="204" t="s">
        <v>398</v>
      </c>
      <c r="AF1729" s="204" t="s">
        <v>398</v>
      </c>
      <c r="AG1729" s="204" t="s">
        <v>398</v>
      </c>
      <c r="AS1729" s="65" t="str">
        <f>IFERROR(VLOOKUP(#REF!,[1]Lookup!$B$2:$E$115,4,FALSE),"")</f>
        <v/>
      </c>
      <c r="AT1729" s="65" t="str">
        <f>IFERROR(VLOOKUP(#REF!,[1]Lookup!$B$2:$E$115,2,FALSE),"")</f>
        <v/>
      </c>
      <c r="AU1729" s="65" t="str">
        <f>IFERROR(VLOOKUP(#REF!,[1]Lookup!$B$2:$E$115,3,FALSE),"")</f>
        <v/>
      </c>
    </row>
    <row r="1730" spans="31:47" x14ac:dyDescent="0.3">
      <c r="AE1730" s="204" t="s">
        <v>398</v>
      </c>
      <c r="AF1730" s="204" t="s">
        <v>398</v>
      </c>
      <c r="AG1730" s="204" t="s">
        <v>398</v>
      </c>
      <c r="AS1730" s="65" t="str">
        <f>IFERROR(VLOOKUP(#REF!,[1]Lookup!$B$2:$E$115,4,FALSE),"")</f>
        <v/>
      </c>
      <c r="AT1730" s="65" t="str">
        <f>IFERROR(VLOOKUP(#REF!,[1]Lookup!$B$2:$E$115,2,FALSE),"")</f>
        <v/>
      </c>
      <c r="AU1730" s="65" t="str">
        <f>IFERROR(VLOOKUP(#REF!,[1]Lookup!$B$2:$E$115,3,FALSE),"")</f>
        <v/>
      </c>
    </row>
    <row r="1731" spans="31:47" x14ac:dyDescent="0.3">
      <c r="AE1731" s="204" t="s">
        <v>398</v>
      </c>
      <c r="AF1731" s="204" t="s">
        <v>398</v>
      </c>
      <c r="AG1731" s="204" t="s">
        <v>398</v>
      </c>
      <c r="AS1731" s="65" t="str">
        <f>IFERROR(VLOOKUP(#REF!,[1]Lookup!$B$2:$E$115,4,FALSE),"")</f>
        <v/>
      </c>
      <c r="AT1731" s="65" t="str">
        <f>IFERROR(VLOOKUP(#REF!,[1]Lookup!$B$2:$E$115,2,FALSE),"")</f>
        <v/>
      </c>
      <c r="AU1731" s="65" t="str">
        <f>IFERROR(VLOOKUP(#REF!,[1]Lookup!$B$2:$E$115,3,FALSE),"")</f>
        <v/>
      </c>
    </row>
    <row r="1732" spans="31:47" x14ac:dyDescent="0.3">
      <c r="AE1732" s="204" t="s">
        <v>398</v>
      </c>
      <c r="AF1732" s="204" t="s">
        <v>398</v>
      </c>
      <c r="AG1732" s="204" t="s">
        <v>398</v>
      </c>
      <c r="AS1732" s="65" t="str">
        <f>IFERROR(VLOOKUP(#REF!,[1]Lookup!$B$2:$E$115,4,FALSE),"")</f>
        <v/>
      </c>
      <c r="AT1732" s="65" t="str">
        <f>IFERROR(VLOOKUP(#REF!,[1]Lookup!$B$2:$E$115,2,FALSE),"")</f>
        <v/>
      </c>
      <c r="AU1732" s="65" t="str">
        <f>IFERROR(VLOOKUP(#REF!,[1]Lookup!$B$2:$E$115,3,FALSE),"")</f>
        <v/>
      </c>
    </row>
    <row r="1733" spans="31:47" x14ac:dyDescent="0.3">
      <c r="AE1733" s="204" t="s">
        <v>398</v>
      </c>
      <c r="AF1733" s="204" t="s">
        <v>398</v>
      </c>
      <c r="AG1733" s="204" t="s">
        <v>398</v>
      </c>
      <c r="AS1733" s="65" t="str">
        <f>IFERROR(VLOOKUP(#REF!,[1]Lookup!$B$2:$E$115,4,FALSE),"")</f>
        <v/>
      </c>
      <c r="AT1733" s="65" t="str">
        <f>IFERROR(VLOOKUP(#REF!,[1]Lookup!$B$2:$E$115,2,FALSE),"")</f>
        <v/>
      </c>
      <c r="AU1733" s="65" t="str">
        <f>IFERROR(VLOOKUP(#REF!,[1]Lookup!$B$2:$E$115,3,FALSE),"")</f>
        <v/>
      </c>
    </row>
    <row r="1734" spans="31:47" x14ac:dyDescent="0.3">
      <c r="AE1734" s="204" t="s">
        <v>398</v>
      </c>
      <c r="AF1734" s="204" t="s">
        <v>398</v>
      </c>
      <c r="AG1734" s="204" t="s">
        <v>398</v>
      </c>
      <c r="AS1734" s="65" t="str">
        <f>IFERROR(VLOOKUP(#REF!,[1]Lookup!$B$2:$E$115,4,FALSE),"")</f>
        <v/>
      </c>
      <c r="AT1734" s="65" t="str">
        <f>IFERROR(VLOOKUP(#REF!,[1]Lookup!$B$2:$E$115,2,FALSE),"")</f>
        <v/>
      </c>
      <c r="AU1734" s="65" t="str">
        <f>IFERROR(VLOOKUP(#REF!,[1]Lookup!$B$2:$E$115,3,FALSE),"")</f>
        <v/>
      </c>
    </row>
    <row r="1735" spans="31:47" x14ac:dyDescent="0.3">
      <c r="AE1735" s="204" t="s">
        <v>398</v>
      </c>
      <c r="AF1735" s="204" t="s">
        <v>398</v>
      </c>
      <c r="AG1735" s="204" t="s">
        <v>398</v>
      </c>
      <c r="AS1735" s="65" t="str">
        <f>IFERROR(VLOOKUP(#REF!,[1]Lookup!$B$2:$E$115,4,FALSE),"")</f>
        <v/>
      </c>
      <c r="AT1735" s="65" t="str">
        <f>IFERROR(VLOOKUP(#REF!,[1]Lookup!$B$2:$E$115,2,FALSE),"")</f>
        <v/>
      </c>
      <c r="AU1735" s="65" t="str">
        <f>IFERROR(VLOOKUP(#REF!,[1]Lookup!$B$2:$E$115,3,FALSE),"")</f>
        <v/>
      </c>
    </row>
    <row r="1736" spans="31:47" x14ac:dyDescent="0.3">
      <c r="AE1736" s="204" t="s">
        <v>398</v>
      </c>
      <c r="AF1736" s="204" t="s">
        <v>398</v>
      </c>
      <c r="AG1736" s="204" t="s">
        <v>398</v>
      </c>
      <c r="AS1736" s="65" t="str">
        <f>IFERROR(VLOOKUP(#REF!,[1]Lookup!$B$2:$E$115,4,FALSE),"")</f>
        <v/>
      </c>
      <c r="AT1736" s="65" t="str">
        <f>IFERROR(VLOOKUP(#REF!,[1]Lookup!$B$2:$E$115,2,FALSE),"")</f>
        <v/>
      </c>
      <c r="AU1736" s="65" t="str">
        <f>IFERROR(VLOOKUP(#REF!,[1]Lookup!$B$2:$E$115,3,FALSE),"")</f>
        <v/>
      </c>
    </row>
    <row r="1737" spans="31:47" x14ac:dyDescent="0.3">
      <c r="AE1737" s="204" t="s">
        <v>398</v>
      </c>
      <c r="AF1737" s="204" t="s">
        <v>398</v>
      </c>
      <c r="AG1737" s="204" t="s">
        <v>398</v>
      </c>
      <c r="AS1737" s="65" t="str">
        <f>IFERROR(VLOOKUP(#REF!,[1]Lookup!$B$2:$E$115,4,FALSE),"")</f>
        <v/>
      </c>
      <c r="AT1737" s="65" t="str">
        <f>IFERROR(VLOOKUP(#REF!,[1]Lookup!$B$2:$E$115,2,FALSE),"")</f>
        <v/>
      </c>
      <c r="AU1737" s="65" t="str">
        <f>IFERROR(VLOOKUP(#REF!,[1]Lookup!$B$2:$E$115,3,FALSE),"")</f>
        <v/>
      </c>
    </row>
    <row r="1738" spans="31:47" x14ac:dyDescent="0.3">
      <c r="AE1738" s="204" t="s">
        <v>398</v>
      </c>
      <c r="AF1738" s="204" t="s">
        <v>398</v>
      </c>
      <c r="AG1738" s="204" t="s">
        <v>398</v>
      </c>
      <c r="AS1738" s="65" t="str">
        <f>IFERROR(VLOOKUP(#REF!,[1]Lookup!$B$2:$E$115,4,FALSE),"")</f>
        <v/>
      </c>
      <c r="AT1738" s="65" t="str">
        <f>IFERROR(VLOOKUP(#REF!,[1]Lookup!$B$2:$E$115,2,FALSE),"")</f>
        <v/>
      </c>
      <c r="AU1738" s="65" t="str">
        <f>IFERROR(VLOOKUP(#REF!,[1]Lookup!$B$2:$E$115,3,FALSE),"")</f>
        <v/>
      </c>
    </row>
    <row r="1739" spans="31:47" x14ac:dyDescent="0.3">
      <c r="AE1739" s="204" t="s">
        <v>398</v>
      </c>
      <c r="AF1739" s="204" t="s">
        <v>398</v>
      </c>
      <c r="AG1739" s="204" t="s">
        <v>398</v>
      </c>
      <c r="AS1739" s="65" t="str">
        <f>IFERROR(VLOOKUP(#REF!,[1]Lookup!$B$2:$E$115,4,FALSE),"")</f>
        <v/>
      </c>
      <c r="AT1739" s="65" t="str">
        <f>IFERROR(VLOOKUP(#REF!,[1]Lookup!$B$2:$E$115,2,FALSE),"")</f>
        <v/>
      </c>
      <c r="AU1739" s="65" t="str">
        <f>IFERROR(VLOOKUP(#REF!,[1]Lookup!$B$2:$E$115,3,FALSE),"")</f>
        <v/>
      </c>
    </row>
    <row r="1740" spans="31:47" x14ac:dyDescent="0.3">
      <c r="AE1740" s="204" t="s">
        <v>398</v>
      </c>
      <c r="AF1740" s="204" t="s">
        <v>398</v>
      </c>
      <c r="AG1740" s="204" t="s">
        <v>398</v>
      </c>
      <c r="AS1740" s="65" t="str">
        <f>IFERROR(VLOOKUP(#REF!,[1]Lookup!$B$2:$E$115,4,FALSE),"")</f>
        <v/>
      </c>
      <c r="AT1740" s="65" t="str">
        <f>IFERROR(VLOOKUP(#REF!,[1]Lookup!$B$2:$E$115,2,FALSE),"")</f>
        <v/>
      </c>
      <c r="AU1740" s="65" t="str">
        <f>IFERROR(VLOOKUP(#REF!,[1]Lookup!$B$2:$E$115,3,FALSE),"")</f>
        <v/>
      </c>
    </row>
    <row r="1741" spans="31:47" x14ac:dyDescent="0.3">
      <c r="AE1741" s="204" t="s">
        <v>398</v>
      </c>
      <c r="AF1741" s="204" t="s">
        <v>398</v>
      </c>
      <c r="AG1741" s="204" t="s">
        <v>398</v>
      </c>
      <c r="AS1741" s="65" t="str">
        <f>IFERROR(VLOOKUP(#REF!,[1]Lookup!$B$2:$E$115,4,FALSE),"")</f>
        <v/>
      </c>
      <c r="AT1741" s="65" t="str">
        <f>IFERROR(VLOOKUP(#REF!,[1]Lookup!$B$2:$E$115,2,FALSE),"")</f>
        <v/>
      </c>
      <c r="AU1741" s="65" t="str">
        <f>IFERROR(VLOOKUP(#REF!,[1]Lookup!$B$2:$E$115,3,FALSE),"")</f>
        <v/>
      </c>
    </row>
    <row r="1742" spans="31:47" x14ac:dyDescent="0.3">
      <c r="AE1742" s="204" t="s">
        <v>398</v>
      </c>
      <c r="AF1742" s="204" t="s">
        <v>398</v>
      </c>
      <c r="AG1742" s="204" t="s">
        <v>398</v>
      </c>
      <c r="AS1742" s="65" t="str">
        <f>IFERROR(VLOOKUP(#REF!,[1]Lookup!$B$2:$E$115,4,FALSE),"")</f>
        <v/>
      </c>
      <c r="AT1742" s="65" t="str">
        <f>IFERROR(VLOOKUP(#REF!,[1]Lookup!$B$2:$E$115,2,FALSE),"")</f>
        <v/>
      </c>
      <c r="AU1742" s="65" t="str">
        <f>IFERROR(VLOOKUP(#REF!,[1]Lookup!$B$2:$E$115,3,FALSE),"")</f>
        <v/>
      </c>
    </row>
    <row r="1743" spans="31:47" x14ac:dyDescent="0.3">
      <c r="AE1743" s="204" t="s">
        <v>398</v>
      </c>
      <c r="AF1743" s="204" t="s">
        <v>398</v>
      </c>
      <c r="AG1743" s="204" t="s">
        <v>398</v>
      </c>
      <c r="AS1743" s="65" t="str">
        <f>IFERROR(VLOOKUP(#REF!,[1]Lookup!$B$2:$E$115,4,FALSE),"")</f>
        <v/>
      </c>
      <c r="AT1743" s="65" t="str">
        <f>IFERROR(VLOOKUP(#REF!,[1]Lookup!$B$2:$E$115,2,FALSE),"")</f>
        <v/>
      </c>
      <c r="AU1743" s="65" t="str">
        <f>IFERROR(VLOOKUP(#REF!,[1]Lookup!$B$2:$E$115,3,FALSE),"")</f>
        <v/>
      </c>
    </row>
    <row r="1744" spans="31:47" x14ac:dyDescent="0.3">
      <c r="AE1744" s="204" t="s">
        <v>398</v>
      </c>
      <c r="AF1744" s="204" t="s">
        <v>398</v>
      </c>
      <c r="AG1744" s="204" t="s">
        <v>398</v>
      </c>
      <c r="AS1744" s="65" t="str">
        <f>IFERROR(VLOOKUP(#REF!,[1]Lookup!$B$2:$E$115,4,FALSE),"")</f>
        <v/>
      </c>
      <c r="AT1744" s="65" t="str">
        <f>IFERROR(VLOOKUP(#REF!,[1]Lookup!$B$2:$E$115,2,FALSE),"")</f>
        <v/>
      </c>
      <c r="AU1744" s="65" t="str">
        <f>IFERROR(VLOOKUP(#REF!,[1]Lookup!$B$2:$E$115,3,FALSE),"")</f>
        <v/>
      </c>
    </row>
    <row r="1745" spans="31:47" x14ac:dyDescent="0.3">
      <c r="AE1745" s="204" t="s">
        <v>398</v>
      </c>
      <c r="AF1745" s="204" t="s">
        <v>398</v>
      </c>
      <c r="AG1745" s="204" t="s">
        <v>398</v>
      </c>
      <c r="AS1745" s="65" t="str">
        <f>IFERROR(VLOOKUP(#REF!,[1]Lookup!$B$2:$E$115,4,FALSE),"")</f>
        <v/>
      </c>
      <c r="AT1745" s="65" t="str">
        <f>IFERROR(VLOOKUP(#REF!,[1]Lookup!$B$2:$E$115,2,FALSE),"")</f>
        <v/>
      </c>
      <c r="AU1745" s="65" t="str">
        <f>IFERROR(VLOOKUP(#REF!,[1]Lookup!$B$2:$E$115,3,FALSE),"")</f>
        <v/>
      </c>
    </row>
    <row r="1746" spans="31:47" x14ac:dyDescent="0.3">
      <c r="AE1746" s="204" t="s">
        <v>398</v>
      </c>
      <c r="AF1746" s="204" t="s">
        <v>398</v>
      </c>
      <c r="AG1746" s="204" t="s">
        <v>398</v>
      </c>
      <c r="AS1746" s="65" t="str">
        <f>IFERROR(VLOOKUP(#REF!,[1]Lookup!$B$2:$E$115,4,FALSE),"")</f>
        <v/>
      </c>
      <c r="AT1746" s="65" t="str">
        <f>IFERROR(VLOOKUP(#REF!,[1]Lookup!$B$2:$E$115,2,FALSE),"")</f>
        <v/>
      </c>
      <c r="AU1746" s="65" t="str">
        <f>IFERROR(VLOOKUP(#REF!,[1]Lookup!$B$2:$E$115,3,FALSE),"")</f>
        <v/>
      </c>
    </row>
    <row r="1747" spans="31:47" x14ac:dyDescent="0.3">
      <c r="AE1747" s="204" t="s">
        <v>398</v>
      </c>
      <c r="AF1747" s="204" t="s">
        <v>398</v>
      </c>
      <c r="AG1747" s="204" t="s">
        <v>398</v>
      </c>
      <c r="AS1747" s="65" t="str">
        <f>IFERROR(VLOOKUP(#REF!,[1]Lookup!$B$2:$E$115,4,FALSE),"")</f>
        <v/>
      </c>
      <c r="AT1747" s="65" t="str">
        <f>IFERROR(VLOOKUP(#REF!,[1]Lookup!$B$2:$E$115,2,FALSE),"")</f>
        <v/>
      </c>
      <c r="AU1747" s="65" t="str">
        <f>IFERROR(VLOOKUP(#REF!,[1]Lookup!$B$2:$E$115,3,FALSE),"")</f>
        <v/>
      </c>
    </row>
    <row r="1748" spans="31:47" x14ac:dyDescent="0.3">
      <c r="AE1748" s="204" t="s">
        <v>398</v>
      </c>
      <c r="AF1748" s="204" t="s">
        <v>398</v>
      </c>
      <c r="AG1748" s="204" t="s">
        <v>398</v>
      </c>
      <c r="AS1748" s="65" t="str">
        <f>IFERROR(VLOOKUP(#REF!,[1]Lookup!$B$2:$E$115,4,FALSE),"")</f>
        <v/>
      </c>
      <c r="AT1748" s="65" t="str">
        <f>IFERROR(VLOOKUP(#REF!,[1]Lookup!$B$2:$E$115,2,FALSE),"")</f>
        <v/>
      </c>
      <c r="AU1748" s="65" t="str">
        <f>IFERROR(VLOOKUP(#REF!,[1]Lookup!$B$2:$E$115,3,FALSE),"")</f>
        <v/>
      </c>
    </row>
    <row r="1749" spans="31:47" x14ac:dyDescent="0.3">
      <c r="AE1749" s="204" t="s">
        <v>398</v>
      </c>
      <c r="AF1749" s="204" t="s">
        <v>398</v>
      </c>
      <c r="AG1749" s="204" t="s">
        <v>398</v>
      </c>
      <c r="AS1749" s="65" t="str">
        <f>IFERROR(VLOOKUP(#REF!,[1]Lookup!$B$2:$E$115,4,FALSE),"")</f>
        <v/>
      </c>
      <c r="AT1749" s="65" t="str">
        <f>IFERROR(VLOOKUP(#REF!,[1]Lookup!$B$2:$E$115,2,FALSE),"")</f>
        <v/>
      </c>
      <c r="AU1749" s="65" t="str">
        <f>IFERROR(VLOOKUP(#REF!,[1]Lookup!$B$2:$E$115,3,FALSE),"")</f>
        <v/>
      </c>
    </row>
    <row r="1750" spans="31:47" x14ac:dyDescent="0.3">
      <c r="AE1750" s="204" t="s">
        <v>398</v>
      </c>
      <c r="AF1750" s="204" t="s">
        <v>398</v>
      </c>
      <c r="AG1750" s="204" t="s">
        <v>398</v>
      </c>
      <c r="AS1750" s="65" t="str">
        <f>IFERROR(VLOOKUP(#REF!,[1]Lookup!$B$2:$E$115,4,FALSE),"")</f>
        <v/>
      </c>
      <c r="AT1750" s="65" t="str">
        <f>IFERROR(VLOOKUP(#REF!,[1]Lookup!$B$2:$E$115,2,FALSE),"")</f>
        <v/>
      </c>
      <c r="AU1750" s="65" t="str">
        <f>IFERROR(VLOOKUP(#REF!,[1]Lookup!$B$2:$E$115,3,FALSE),"")</f>
        <v/>
      </c>
    </row>
    <row r="1751" spans="31:47" x14ac:dyDescent="0.3">
      <c r="AE1751" s="204" t="s">
        <v>398</v>
      </c>
      <c r="AF1751" s="204" t="s">
        <v>398</v>
      </c>
      <c r="AG1751" s="204" t="s">
        <v>398</v>
      </c>
      <c r="AS1751" s="65" t="str">
        <f>IFERROR(VLOOKUP(#REF!,[1]Lookup!$B$2:$E$115,4,FALSE),"")</f>
        <v/>
      </c>
      <c r="AT1751" s="65" t="str">
        <f>IFERROR(VLOOKUP(#REF!,[1]Lookup!$B$2:$E$115,2,FALSE),"")</f>
        <v/>
      </c>
      <c r="AU1751" s="65" t="str">
        <f>IFERROR(VLOOKUP(#REF!,[1]Lookup!$B$2:$E$115,3,FALSE),"")</f>
        <v/>
      </c>
    </row>
    <row r="1752" spans="31:47" x14ac:dyDescent="0.3">
      <c r="AE1752" s="204" t="s">
        <v>398</v>
      </c>
      <c r="AF1752" s="204" t="s">
        <v>398</v>
      </c>
      <c r="AG1752" s="204" t="s">
        <v>398</v>
      </c>
      <c r="AS1752" s="65" t="str">
        <f>IFERROR(VLOOKUP(#REF!,[1]Lookup!$B$2:$E$115,4,FALSE),"")</f>
        <v/>
      </c>
      <c r="AT1752" s="65" t="str">
        <f>IFERROR(VLOOKUP(#REF!,[1]Lookup!$B$2:$E$115,2,FALSE),"")</f>
        <v/>
      </c>
      <c r="AU1752" s="65" t="str">
        <f>IFERROR(VLOOKUP(#REF!,[1]Lookup!$B$2:$E$115,3,FALSE),"")</f>
        <v/>
      </c>
    </row>
    <row r="1753" spans="31:47" x14ac:dyDescent="0.3">
      <c r="AE1753" s="204" t="s">
        <v>398</v>
      </c>
      <c r="AF1753" s="204" t="s">
        <v>398</v>
      </c>
      <c r="AG1753" s="204" t="s">
        <v>398</v>
      </c>
      <c r="AS1753" s="65" t="str">
        <f>IFERROR(VLOOKUP(#REF!,[1]Lookup!$B$2:$E$115,4,FALSE),"")</f>
        <v/>
      </c>
      <c r="AT1753" s="65" t="str">
        <f>IFERROR(VLOOKUP(#REF!,[1]Lookup!$B$2:$E$115,2,FALSE),"")</f>
        <v/>
      </c>
      <c r="AU1753" s="65" t="str">
        <f>IFERROR(VLOOKUP(#REF!,[1]Lookup!$B$2:$E$115,3,FALSE),"")</f>
        <v/>
      </c>
    </row>
    <row r="1754" spans="31:47" x14ac:dyDescent="0.3">
      <c r="AE1754" s="204" t="s">
        <v>398</v>
      </c>
      <c r="AF1754" s="204" t="s">
        <v>398</v>
      </c>
      <c r="AG1754" s="204" t="s">
        <v>398</v>
      </c>
      <c r="AS1754" s="65" t="str">
        <f>IFERROR(VLOOKUP(#REF!,[1]Lookup!$B$2:$E$115,4,FALSE),"")</f>
        <v/>
      </c>
      <c r="AT1754" s="65" t="str">
        <f>IFERROR(VLOOKUP(#REF!,[1]Lookup!$B$2:$E$115,2,FALSE),"")</f>
        <v/>
      </c>
      <c r="AU1754" s="65" t="str">
        <f>IFERROR(VLOOKUP(#REF!,[1]Lookup!$B$2:$E$115,3,FALSE),"")</f>
        <v/>
      </c>
    </row>
    <row r="1755" spans="31:47" x14ac:dyDescent="0.3">
      <c r="AE1755" s="204" t="s">
        <v>398</v>
      </c>
      <c r="AF1755" s="204" t="s">
        <v>398</v>
      </c>
      <c r="AG1755" s="204" t="s">
        <v>398</v>
      </c>
      <c r="AS1755" s="65" t="str">
        <f>IFERROR(VLOOKUP(#REF!,[1]Lookup!$B$2:$E$115,4,FALSE),"")</f>
        <v/>
      </c>
      <c r="AT1755" s="65" t="str">
        <f>IFERROR(VLOOKUP(#REF!,[1]Lookup!$B$2:$E$115,2,FALSE),"")</f>
        <v/>
      </c>
      <c r="AU1755" s="65" t="str">
        <f>IFERROR(VLOOKUP(#REF!,[1]Lookup!$B$2:$E$115,3,FALSE),"")</f>
        <v/>
      </c>
    </row>
    <row r="1756" spans="31:47" x14ac:dyDescent="0.3">
      <c r="AE1756" s="204" t="s">
        <v>398</v>
      </c>
      <c r="AF1756" s="204" t="s">
        <v>398</v>
      </c>
      <c r="AG1756" s="204" t="s">
        <v>398</v>
      </c>
      <c r="AS1756" s="65" t="str">
        <f>IFERROR(VLOOKUP(#REF!,[1]Lookup!$B$2:$E$115,4,FALSE),"")</f>
        <v/>
      </c>
      <c r="AT1756" s="65" t="str">
        <f>IFERROR(VLOOKUP(#REF!,[1]Lookup!$B$2:$E$115,2,FALSE),"")</f>
        <v/>
      </c>
      <c r="AU1756" s="65" t="str">
        <f>IFERROR(VLOOKUP(#REF!,[1]Lookup!$B$2:$E$115,3,FALSE),"")</f>
        <v/>
      </c>
    </row>
    <row r="1757" spans="31:47" x14ac:dyDescent="0.3">
      <c r="AE1757" s="204" t="s">
        <v>398</v>
      </c>
      <c r="AF1757" s="204" t="s">
        <v>398</v>
      </c>
      <c r="AG1757" s="204" t="s">
        <v>398</v>
      </c>
      <c r="AS1757" s="65" t="str">
        <f>IFERROR(VLOOKUP(#REF!,[1]Lookup!$B$2:$E$115,4,FALSE),"")</f>
        <v/>
      </c>
      <c r="AT1757" s="65" t="str">
        <f>IFERROR(VLOOKUP(#REF!,[1]Lookup!$B$2:$E$115,2,FALSE),"")</f>
        <v/>
      </c>
      <c r="AU1757" s="65" t="str">
        <f>IFERROR(VLOOKUP(#REF!,[1]Lookup!$B$2:$E$115,3,FALSE),"")</f>
        <v/>
      </c>
    </row>
    <row r="1758" spans="31:47" x14ac:dyDescent="0.3">
      <c r="AE1758" s="204" t="s">
        <v>398</v>
      </c>
      <c r="AF1758" s="204" t="s">
        <v>398</v>
      </c>
      <c r="AG1758" s="204" t="s">
        <v>398</v>
      </c>
      <c r="AS1758" s="65" t="str">
        <f>IFERROR(VLOOKUP(#REF!,[1]Lookup!$B$2:$E$115,4,FALSE),"")</f>
        <v/>
      </c>
      <c r="AT1758" s="65" t="str">
        <f>IFERROR(VLOOKUP(#REF!,[1]Lookup!$B$2:$E$115,2,FALSE),"")</f>
        <v/>
      </c>
      <c r="AU1758" s="65" t="str">
        <f>IFERROR(VLOOKUP(#REF!,[1]Lookup!$B$2:$E$115,3,FALSE),"")</f>
        <v/>
      </c>
    </row>
    <row r="1759" spans="31:47" x14ac:dyDescent="0.3">
      <c r="AE1759" s="204" t="s">
        <v>398</v>
      </c>
      <c r="AF1759" s="204" t="s">
        <v>398</v>
      </c>
      <c r="AG1759" s="204" t="s">
        <v>398</v>
      </c>
      <c r="AS1759" s="65" t="str">
        <f>IFERROR(VLOOKUP(#REF!,[1]Lookup!$B$2:$E$115,4,FALSE),"")</f>
        <v/>
      </c>
      <c r="AT1759" s="65" t="str">
        <f>IFERROR(VLOOKUP(#REF!,[1]Lookup!$B$2:$E$115,2,FALSE),"")</f>
        <v/>
      </c>
      <c r="AU1759" s="65" t="str">
        <f>IFERROR(VLOOKUP(#REF!,[1]Lookup!$B$2:$E$115,3,FALSE),"")</f>
        <v/>
      </c>
    </row>
    <row r="1760" spans="31:47" x14ac:dyDescent="0.3">
      <c r="AE1760" s="204" t="s">
        <v>398</v>
      </c>
      <c r="AF1760" s="204" t="s">
        <v>398</v>
      </c>
      <c r="AG1760" s="204" t="s">
        <v>398</v>
      </c>
      <c r="AS1760" s="65" t="str">
        <f>IFERROR(VLOOKUP(#REF!,[1]Lookup!$B$2:$E$115,4,FALSE),"")</f>
        <v/>
      </c>
      <c r="AT1760" s="65" t="str">
        <f>IFERROR(VLOOKUP(#REF!,[1]Lookup!$B$2:$E$115,2,FALSE),"")</f>
        <v/>
      </c>
      <c r="AU1760" s="65" t="str">
        <f>IFERROR(VLOOKUP(#REF!,[1]Lookup!$B$2:$E$115,3,FALSE),"")</f>
        <v/>
      </c>
    </row>
    <row r="1761" spans="31:47" x14ac:dyDescent="0.3">
      <c r="AE1761" s="204" t="s">
        <v>398</v>
      </c>
      <c r="AF1761" s="204" t="s">
        <v>398</v>
      </c>
      <c r="AG1761" s="204" t="s">
        <v>398</v>
      </c>
      <c r="AS1761" s="65" t="str">
        <f>IFERROR(VLOOKUP(#REF!,[1]Lookup!$B$2:$E$115,4,FALSE),"")</f>
        <v/>
      </c>
      <c r="AT1761" s="65" t="str">
        <f>IFERROR(VLOOKUP(#REF!,[1]Lookup!$B$2:$E$115,2,FALSE),"")</f>
        <v/>
      </c>
      <c r="AU1761" s="65" t="str">
        <f>IFERROR(VLOOKUP(#REF!,[1]Lookup!$B$2:$E$115,3,FALSE),"")</f>
        <v/>
      </c>
    </row>
    <row r="1762" spans="31:47" x14ac:dyDescent="0.3">
      <c r="AE1762" s="204" t="s">
        <v>398</v>
      </c>
      <c r="AF1762" s="204" t="s">
        <v>398</v>
      </c>
      <c r="AG1762" s="204" t="s">
        <v>398</v>
      </c>
      <c r="AS1762" s="65" t="str">
        <f>IFERROR(VLOOKUP(#REF!,[1]Lookup!$B$2:$E$115,4,FALSE),"")</f>
        <v/>
      </c>
      <c r="AT1762" s="65" t="str">
        <f>IFERROR(VLOOKUP(#REF!,[1]Lookup!$B$2:$E$115,2,FALSE),"")</f>
        <v/>
      </c>
      <c r="AU1762" s="65" t="str">
        <f>IFERROR(VLOOKUP(#REF!,[1]Lookup!$B$2:$E$115,3,FALSE),"")</f>
        <v/>
      </c>
    </row>
    <row r="1763" spans="31:47" x14ac:dyDescent="0.3">
      <c r="AE1763" s="204" t="s">
        <v>398</v>
      </c>
      <c r="AF1763" s="204" t="s">
        <v>398</v>
      </c>
      <c r="AG1763" s="204" t="s">
        <v>398</v>
      </c>
      <c r="AS1763" s="65" t="str">
        <f>IFERROR(VLOOKUP(#REF!,[1]Lookup!$B$2:$E$115,4,FALSE),"")</f>
        <v/>
      </c>
      <c r="AT1763" s="65" t="str">
        <f>IFERROR(VLOOKUP(#REF!,[1]Lookup!$B$2:$E$115,2,FALSE),"")</f>
        <v/>
      </c>
      <c r="AU1763" s="65" t="str">
        <f>IFERROR(VLOOKUP(#REF!,[1]Lookup!$B$2:$E$115,3,FALSE),"")</f>
        <v/>
      </c>
    </row>
    <row r="1764" spans="31:47" x14ac:dyDescent="0.3">
      <c r="AE1764" s="204" t="s">
        <v>398</v>
      </c>
      <c r="AF1764" s="204" t="s">
        <v>398</v>
      </c>
      <c r="AG1764" s="204" t="s">
        <v>398</v>
      </c>
      <c r="AS1764" s="65" t="str">
        <f>IFERROR(VLOOKUP(#REF!,[1]Lookup!$B$2:$E$115,4,FALSE),"")</f>
        <v/>
      </c>
      <c r="AT1764" s="65" t="str">
        <f>IFERROR(VLOOKUP(#REF!,[1]Lookup!$B$2:$E$115,2,FALSE),"")</f>
        <v/>
      </c>
      <c r="AU1764" s="65" t="str">
        <f>IFERROR(VLOOKUP(#REF!,[1]Lookup!$B$2:$E$115,3,FALSE),"")</f>
        <v/>
      </c>
    </row>
    <row r="1765" spans="31:47" x14ac:dyDescent="0.3">
      <c r="AE1765" s="204" t="s">
        <v>398</v>
      </c>
      <c r="AF1765" s="204" t="s">
        <v>398</v>
      </c>
      <c r="AG1765" s="204" t="s">
        <v>398</v>
      </c>
      <c r="AS1765" s="65" t="str">
        <f>IFERROR(VLOOKUP(#REF!,[1]Lookup!$B$2:$E$115,4,FALSE),"")</f>
        <v/>
      </c>
      <c r="AT1765" s="65" t="str">
        <f>IFERROR(VLOOKUP(#REF!,[1]Lookup!$B$2:$E$115,2,FALSE),"")</f>
        <v/>
      </c>
      <c r="AU1765" s="65" t="str">
        <f>IFERROR(VLOOKUP(#REF!,[1]Lookup!$B$2:$E$115,3,FALSE),"")</f>
        <v/>
      </c>
    </row>
    <row r="1766" spans="31:47" x14ac:dyDescent="0.3">
      <c r="AE1766" s="204" t="s">
        <v>398</v>
      </c>
      <c r="AF1766" s="204" t="s">
        <v>398</v>
      </c>
      <c r="AG1766" s="204" t="s">
        <v>398</v>
      </c>
      <c r="AS1766" s="65" t="str">
        <f>IFERROR(VLOOKUP(#REF!,[1]Lookup!$B$2:$E$115,4,FALSE),"")</f>
        <v/>
      </c>
      <c r="AT1766" s="65" t="str">
        <f>IFERROR(VLOOKUP(#REF!,[1]Lookup!$B$2:$E$115,2,FALSE),"")</f>
        <v/>
      </c>
      <c r="AU1766" s="65" t="str">
        <f>IFERROR(VLOOKUP(#REF!,[1]Lookup!$B$2:$E$115,3,FALSE),"")</f>
        <v/>
      </c>
    </row>
    <row r="1767" spans="31:47" x14ac:dyDescent="0.3">
      <c r="AE1767" s="204" t="s">
        <v>398</v>
      </c>
      <c r="AF1767" s="204" t="s">
        <v>398</v>
      </c>
      <c r="AG1767" s="204" t="s">
        <v>398</v>
      </c>
      <c r="AS1767" s="65" t="str">
        <f>IFERROR(VLOOKUP(#REF!,[1]Lookup!$B$2:$E$115,4,FALSE),"")</f>
        <v/>
      </c>
      <c r="AT1767" s="65" t="str">
        <f>IFERROR(VLOOKUP(#REF!,[1]Lookup!$B$2:$E$115,2,FALSE),"")</f>
        <v/>
      </c>
      <c r="AU1767" s="65" t="str">
        <f>IFERROR(VLOOKUP(#REF!,[1]Lookup!$B$2:$E$115,3,FALSE),"")</f>
        <v/>
      </c>
    </row>
    <row r="1768" spans="31:47" x14ac:dyDescent="0.3">
      <c r="AE1768" s="204" t="s">
        <v>398</v>
      </c>
      <c r="AF1768" s="204" t="s">
        <v>398</v>
      </c>
      <c r="AG1768" s="204" t="s">
        <v>398</v>
      </c>
      <c r="AS1768" s="65" t="str">
        <f>IFERROR(VLOOKUP(#REF!,[1]Lookup!$B$2:$E$115,4,FALSE),"")</f>
        <v/>
      </c>
      <c r="AT1768" s="65" t="str">
        <f>IFERROR(VLOOKUP(#REF!,[1]Lookup!$B$2:$E$115,2,FALSE),"")</f>
        <v/>
      </c>
      <c r="AU1768" s="65" t="str">
        <f>IFERROR(VLOOKUP(#REF!,[1]Lookup!$B$2:$E$115,3,FALSE),"")</f>
        <v/>
      </c>
    </row>
    <row r="1769" spans="31:47" x14ac:dyDescent="0.3">
      <c r="AE1769" s="204" t="s">
        <v>398</v>
      </c>
      <c r="AF1769" s="204" t="s">
        <v>398</v>
      </c>
      <c r="AG1769" s="204" t="s">
        <v>398</v>
      </c>
      <c r="AS1769" s="65" t="str">
        <f>IFERROR(VLOOKUP(#REF!,[1]Lookup!$B$2:$E$115,4,FALSE),"")</f>
        <v/>
      </c>
      <c r="AT1769" s="65" t="str">
        <f>IFERROR(VLOOKUP(#REF!,[1]Lookup!$B$2:$E$115,2,FALSE),"")</f>
        <v/>
      </c>
      <c r="AU1769" s="65" t="str">
        <f>IFERROR(VLOOKUP(#REF!,[1]Lookup!$B$2:$E$115,3,FALSE),"")</f>
        <v/>
      </c>
    </row>
    <row r="1770" spans="31:47" x14ac:dyDescent="0.3">
      <c r="AE1770" s="204" t="s">
        <v>398</v>
      </c>
      <c r="AF1770" s="204" t="s">
        <v>398</v>
      </c>
      <c r="AG1770" s="204" t="s">
        <v>398</v>
      </c>
      <c r="AS1770" s="65" t="str">
        <f>IFERROR(VLOOKUP(#REF!,[1]Lookup!$B$2:$E$115,4,FALSE),"")</f>
        <v/>
      </c>
      <c r="AT1770" s="65" t="str">
        <f>IFERROR(VLOOKUP(#REF!,[1]Lookup!$B$2:$E$115,2,FALSE),"")</f>
        <v/>
      </c>
      <c r="AU1770" s="65" t="str">
        <f>IFERROR(VLOOKUP(#REF!,[1]Lookup!$B$2:$E$115,3,FALSE),"")</f>
        <v/>
      </c>
    </row>
    <row r="1771" spans="31:47" x14ac:dyDescent="0.3">
      <c r="AE1771" s="204" t="s">
        <v>398</v>
      </c>
      <c r="AF1771" s="204" t="s">
        <v>398</v>
      </c>
      <c r="AG1771" s="204" t="s">
        <v>398</v>
      </c>
      <c r="AS1771" s="65" t="str">
        <f>IFERROR(VLOOKUP(#REF!,[1]Lookup!$B$2:$E$115,4,FALSE),"")</f>
        <v/>
      </c>
      <c r="AT1771" s="65" t="str">
        <f>IFERROR(VLOOKUP(#REF!,[1]Lookup!$B$2:$E$115,2,FALSE),"")</f>
        <v/>
      </c>
      <c r="AU1771" s="65" t="str">
        <f>IFERROR(VLOOKUP(#REF!,[1]Lookup!$B$2:$E$115,3,FALSE),"")</f>
        <v/>
      </c>
    </row>
    <row r="1772" spans="31:47" x14ac:dyDescent="0.3">
      <c r="AE1772" s="204" t="s">
        <v>398</v>
      </c>
      <c r="AF1772" s="204" t="s">
        <v>398</v>
      </c>
      <c r="AG1772" s="204" t="s">
        <v>398</v>
      </c>
      <c r="AS1772" s="65" t="str">
        <f>IFERROR(VLOOKUP(#REF!,[1]Lookup!$B$2:$E$115,4,FALSE),"")</f>
        <v/>
      </c>
      <c r="AT1772" s="65" t="str">
        <f>IFERROR(VLOOKUP(#REF!,[1]Lookup!$B$2:$E$115,2,FALSE),"")</f>
        <v/>
      </c>
      <c r="AU1772" s="65" t="str">
        <f>IFERROR(VLOOKUP(#REF!,[1]Lookup!$B$2:$E$115,3,FALSE),"")</f>
        <v/>
      </c>
    </row>
    <row r="1773" spans="31:47" x14ac:dyDescent="0.3">
      <c r="AE1773" s="204" t="s">
        <v>398</v>
      </c>
      <c r="AF1773" s="204" t="s">
        <v>398</v>
      </c>
      <c r="AG1773" s="204" t="s">
        <v>398</v>
      </c>
      <c r="AS1773" s="65" t="str">
        <f>IFERROR(VLOOKUP(#REF!,[1]Lookup!$B$2:$E$115,4,FALSE),"")</f>
        <v/>
      </c>
      <c r="AT1773" s="65" t="str">
        <f>IFERROR(VLOOKUP(#REF!,[1]Lookup!$B$2:$E$115,2,FALSE),"")</f>
        <v/>
      </c>
      <c r="AU1773" s="65" t="str">
        <f>IFERROR(VLOOKUP(#REF!,[1]Lookup!$B$2:$E$115,3,FALSE),"")</f>
        <v/>
      </c>
    </row>
    <row r="1774" spans="31:47" x14ac:dyDescent="0.3">
      <c r="AE1774" s="204" t="s">
        <v>398</v>
      </c>
      <c r="AF1774" s="204" t="s">
        <v>398</v>
      </c>
      <c r="AG1774" s="204" t="s">
        <v>398</v>
      </c>
      <c r="AS1774" s="65" t="str">
        <f>IFERROR(VLOOKUP(#REF!,[1]Lookup!$B$2:$E$115,4,FALSE),"")</f>
        <v/>
      </c>
      <c r="AT1774" s="65" t="str">
        <f>IFERROR(VLOOKUP(#REF!,[1]Lookup!$B$2:$E$115,2,FALSE),"")</f>
        <v/>
      </c>
      <c r="AU1774" s="65" t="str">
        <f>IFERROR(VLOOKUP(#REF!,[1]Lookup!$B$2:$E$115,3,FALSE),"")</f>
        <v/>
      </c>
    </row>
    <row r="1775" spans="31:47" x14ac:dyDescent="0.3">
      <c r="AE1775" s="204" t="s">
        <v>398</v>
      </c>
      <c r="AF1775" s="204" t="s">
        <v>398</v>
      </c>
      <c r="AG1775" s="204" t="s">
        <v>398</v>
      </c>
      <c r="AS1775" s="65" t="str">
        <f>IFERROR(VLOOKUP(#REF!,[1]Lookup!$B$2:$E$115,4,FALSE),"")</f>
        <v/>
      </c>
      <c r="AT1775" s="65" t="str">
        <f>IFERROR(VLOOKUP(#REF!,[1]Lookup!$B$2:$E$115,2,FALSE),"")</f>
        <v/>
      </c>
      <c r="AU1775" s="65" t="str">
        <f>IFERROR(VLOOKUP(#REF!,[1]Lookup!$B$2:$E$115,3,FALSE),"")</f>
        <v/>
      </c>
    </row>
    <row r="1776" spans="31:47" x14ac:dyDescent="0.3">
      <c r="AE1776" s="204" t="s">
        <v>398</v>
      </c>
      <c r="AF1776" s="204" t="s">
        <v>398</v>
      </c>
      <c r="AG1776" s="204" t="s">
        <v>398</v>
      </c>
      <c r="AS1776" s="65" t="str">
        <f>IFERROR(VLOOKUP(#REF!,[1]Lookup!$B$2:$E$115,4,FALSE),"")</f>
        <v/>
      </c>
      <c r="AT1776" s="65" t="str">
        <f>IFERROR(VLOOKUP(#REF!,[1]Lookup!$B$2:$E$115,2,FALSE),"")</f>
        <v/>
      </c>
      <c r="AU1776" s="65" t="str">
        <f>IFERROR(VLOOKUP(#REF!,[1]Lookup!$B$2:$E$115,3,FALSE),"")</f>
        <v/>
      </c>
    </row>
    <row r="1777" spans="31:47" x14ac:dyDescent="0.3">
      <c r="AE1777" s="204" t="s">
        <v>398</v>
      </c>
      <c r="AF1777" s="204" t="s">
        <v>398</v>
      </c>
      <c r="AG1777" s="204" t="s">
        <v>398</v>
      </c>
      <c r="AS1777" s="65" t="str">
        <f>IFERROR(VLOOKUP(#REF!,[1]Lookup!$B$2:$E$115,4,FALSE),"")</f>
        <v/>
      </c>
      <c r="AT1777" s="65" t="str">
        <f>IFERROR(VLOOKUP(#REF!,[1]Lookup!$B$2:$E$115,2,FALSE),"")</f>
        <v/>
      </c>
      <c r="AU1777" s="65" t="str">
        <f>IFERROR(VLOOKUP(#REF!,[1]Lookup!$B$2:$E$115,3,FALSE),"")</f>
        <v/>
      </c>
    </row>
    <row r="1778" spans="31:47" x14ac:dyDescent="0.3">
      <c r="AE1778" s="204" t="s">
        <v>398</v>
      </c>
      <c r="AF1778" s="204" t="s">
        <v>398</v>
      </c>
      <c r="AG1778" s="204" t="s">
        <v>398</v>
      </c>
      <c r="AS1778" s="65" t="str">
        <f>IFERROR(VLOOKUP(#REF!,[1]Lookup!$B$2:$E$115,4,FALSE),"")</f>
        <v/>
      </c>
      <c r="AT1778" s="65" t="str">
        <f>IFERROR(VLOOKUP(#REF!,[1]Lookup!$B$2:$E$115,2,FALSE),"")</f>
        <v/>
      </c>
      <c r="AU1778" s="65" t="str">
        <f>IFERROR(VLOOKUP(#REF!,[1]Lookup!$B$2:$E$115,3,FALSE),"")</f>
        <v/>
      </c>
    </row>
    <row r="1779" spans="31:47" x14ac:dyDescent="0.3">
      <c r="AE1779" s="204" t="s">
        <v>398</v>
      </c>
      <c r="AF1779" s="204" t="s">
        <v>398</v>
      </c>
      <c r="AG1779" s="204" t="s">
        <v>398</v>
      </c>
      <c r="AS1779" s="65" t="str">
        <f>IFERROR(VLOOKUP(#REF!,[1]Lookup!$B$2:$E$115,4,FALSE),"")</f>
        <v/>
      </c>
      <c r="AT1779" s="65" t="str">
        <f>IFERROR(VLOOKUP(#REF!,[1]Lookup!$B$2:$E$115,2,FALSE),"")</f>
        <v/>
      </c>
      <c r="AU1779" s="65" t="str">
        <f>IFERROR(VLOOKUP(#REF!,[1]Lookup!$B$2:$E$115,3,FALSE),"")</f>
        <v/>
      </c>
    </row>
    <row r="1780" spans="31:47" x14ac:dyDescent="0.3">
      <c r="AE1780" s="204" t="s">
        <v>398</v>
      </c>
      <c r="AF1780" s="204" t="s">
        <v>398</v>
      </c>
      <c r="AG1780" s="204" t="s">
        <v>398</v>
      </c>
      <c r="AS1780" s="65" t="str">
        <f>IFERROR(VLOOKUP(#REF!,[1]Lookup!$B$2:$E$115,4,FALSE),"")</f>
        <v/>
      </c>
      <c r="AT1780" s="65" t="str">
        <f>IFERROR(VLOOKUP(#REF!,[1]Lookup!$B$2:$E$115,2,FALSE),"")</f>
        <v/>
      </c>
      <c r="AU1780" s="65" t="str">
        <f>IFERROR(VLOOKUP(#REF!,[1]Lookup!$B$2:$E$115,3,FALSE),"")</f>
        <v/>
      </c>
    </row>
    <row r="1781" spans="31:47" x14ac:dyDescent="0.3">
      <c r="AE1781" s="204" t="s">
        <v>398</v>
      </c>
      <c r="AF1781" s="204" t="s">
        <v>398</v>
      </c>
      <c r="AG1781" s="204" t="s">
        <v>398</v>
      </c>
      <c r="AS1781" s="65" t="str">
        <f>IFERROR(VLOOKUP(#REF!,[1]Lookup!$B$2:$E$115,4,FALSE),"")</f>
        <v/>
      </c>
      <c r="AT1781" s="65" t="str">
        <f>IFERROR(VLOOKUP(#REF!,[1]Lookup!$B$2:$E$115,2,FALSE),"")</f>
        <v/>
      </c>
      <c r="AU1781" s="65" t="str">
        <f>IFERROR(VLOOKUP(#REF!,[1]Lookup!$B$2:$E$115,3,FALSE),"")</f>
        <v/>
      </c>
    </row>
    <row r="1782" spans="31:47" x14ac:dyDescent="0.3">
      <c r="AE1782" s="204" t="s">
        <v>398</v>
      </c>
      <c r="AF1782" s="204" t="s">
        <v>398</v>
      </c>
      <c r="AG1782" s="204" t="s">
        <v>398</v>
      </c>
      <c r="AS1782" s="65" t="str">
        <f>IFERROR(VLOOKUP(#REF!,[1]Lookup!$B$2:$E$115,4,FALSE),"")</f>
        <v/>
      </c>
      <c r="AT1782" s="65" t="str">
        <f>IFERROR(VLOOKUP(#REF!,[1]Lookup!$B$2:$E$115,2,FALSE),"")</f>
        <v/>
      </c>
      <c r="AU1782" s="65" t="str">
        <f>IFERROR(VLOOKUP(#REF!,[1]Lookup!$B$2:$E$115,3,FALSE),"")</f>
        <v/>
      </c>
    </row>
    <row r="1783" spans="31:47" x14ac:dyDescent="0.3">
      <c r="AE1783" s="204" t="s">
        <v>398</v>
      </c>
      <c r="AF1783" s="204" t="s">
        <v>398</v>
      </c>
      <c r="AG1783" s="204" t="s">
        <v>398</v>
      </c>
      <c r="AS1783" s="65" t="str">
        <f>IFERROR(VLOOKUP(#REF!,[1]Lookup!$B$2:$E$115,4,FALSE),"")</f>
        <v/>
      </c>
      <c r="AT1783" s="65" t="str">
        <f>IFERROR(VLOOKUP(#REF!,[1]Lookup!$B$2:$E$115,2,FALSE),"")</f>
        <v/>
      </c>
      <c r="AU1783" s="65" t="str">
        <f>IFERROR(VLOOKUP(#REF!,[1]Lookup!$B$2:$E$115,3,FALSE),"")</f>
        <v/>
      </c>
    </row>
    <row r="1784" spans="31:47" x14ac:dyDescent="0.3">
      <c r="AE1784" s="204" t="s">
        <v>398</v>
      </c>
      <c r="AF1784" s="204" t="s">
        <v>398</v>
      </c>
      <c r="AG1784" s="204" t="s">
        <v>398</v>
      </c>
      <c r="AS1784" s="65" t="str">
        <f>IFERROR(VLOOKUP(#REF!,[1]Lookup!$B$2:$E$115,4,FALSE),"")</f>
        <v/>
      </c>
      <c r="AT1784" s="65" t="str">
        <f>IFERROR(VLOOKUP(#REF!,[1]Lookup!$B$2:$E$115,2,FALSE),"")</f>
        <v/>
      </c>
      <c r="AU1784" s="65" t="str">
        <f>IFERROR(VLOOKUP(#REF!,[1]Lookup!$B$2:$E$115,3,FALSE),"")</f>
        <v/>
      </c>
    </row>
    <row r="1785" spans="31:47" x14ac:dyDescent="0.3">
      <c r="AE1785" s="204" t="s">
        <v>398</v>
      </c>
      <c r="AF1785" s="204" t="s">
        <v>398</v>
      </c>
      <c r="AG1785" s="204" t="s">
        <v>398</v>
      </c>
      <c r="AS1785" s="65" t="str">
        <f>IFERROR(VLOOKUP(#REF!,[1]Lookup!$B$2:$E$115,4,FALSE),"")</f>
        <v/>
      </c>
      <c r="AT1785" s="65" t="str">
        <f>IFERROR(VLOOKUP(#REF!,[1]Lookup!$B$2:$E$115,2,FALSE),"")</f>
        <v/>
      </c>
      <c r="AU1785" s="65" t="str">
        <f>IFERROR(VLOOKUP(#REF!,[1]Lookup!$B$2:$E$115,3,FALSE),"")</f>
        <v/>
      </c>
    </row>
    <row r="1786" spans="31:47" x14ac:dyDescent="0.3">
      <c r="AE1786" s="204" t="s">
        <v>398</v>
      </c>
      <c r="AF1786" s="204" t="s">
        <v>398</v>
      </c>
      <c r="AG1786" s="204" t="s">
        <v>398</v>
      </c>
      <c r="AS1786" s="65" t="str">
        <f>IFERROR(VLOOKUP(#REF!,[1]Lookup!$B$2:$E$115,4,FALSE),"")</f>
        <v/>
      </c>
      <c r="AT1786" s="65" t="str">
        <f>IFERROR(VLOOKUP(#REF!,[1]Lookup!$B$2:$E$115,2,FALSE),"")</f>
        <v/>
      </c>
      <c r="AU1786" s="65" t="str">
        <f>IFERROR(VLOOKUP(#REF!,[1]Lookup!$B$2:$E$115,3,FALSE),"")</f>
        <v/>
      </c>
    </row>
    <row r="1787" spans="31:47" x14ac:dyDescent="0.3">
      <c r="AE1787" s="204" t="s">
        <v>398</v>
      </c>
      <c r="AF1787" s="204" t="s">
        <v>398</v>
      </c>
      <c r="AG1787" s="204" t="s">
        <v>398</v>
      </c>
      <c r="AS1787" s="65" t="str">
        <f>IFERROR(VLOOKUP(#REF!,[1]Lookup!$B$2:$E$115,4,FALSE),"")</f>
        <v/>
      </c>
      <c r="AT1787" s="65" t="str">
        <f>IFERROR(VLOOKUP(#REF!,[1]Lookup!$B$2:$E$115,2,FALSE),"")</f>
        <v/>
      </c>
      <c r="AU1787" s="65" t="str">
        <f>IFERROR(VLOOKUP(#REF!,[1]Lookup!$B$2:$E$115,3,FALSE),"")</f>
        <v/>
      </c>
    </row>
    <row r="1788" spans="31:47" x14ac:dyDescent="0.3">
      <c r="AE1788" s="204" t="s">
        <v>398</v>
      </c>
      <c r="AF1788" s="204" t="s">
        <v>398</v>
      </c>
      <c r="AG1788" s="204" t="s">
        <v>398</v>
      </c>
      <c r="AS1788" s="65" t="str">
        <f>IFERROR(VLOOKUP(#REF!,[1]Lookup!$B$2:$E$115,4,FALSE),"")</f>
        <v/>
      </c>
      <c r="AT1788" s="65" t="str">
        <f>IFERROR(VLOOKUP(#REF!,[1]Lookup!$B$2:$E$115,2,FALSE),"")</f>
        <v/>
      </c>
      <c r="AU1788" s="65" t="str">
        <f>IFERROR(VLOOKUP(#REF!,[1]Lookup!$B$2:$E$115,3,FALSE),"")</f>
        <v/>
      </c>
    </row>
    <row r="1789" spans="31:47" x14ac:dyDescent="0.3">
      <c r="AE1789" s="204" t="s">
        <v>398</v>
      </c>
      <c r="AF1789" s="204" t="s">
        <v>398</v>
      </c>
      <c r="AG1789" s="204" t="s">
        <v>398</v>
      </c>
      <c r="AS1789" s="65" t="str">
        <f>IFERROR(VLOOKUP(#REF!,[1]Lookup!$B$2:$E$115,4,FALSE),"")</f>
        <v/>
      </c>
      <c r="AT1789" s="65" t="str">
        <f>IFERROR(VLOOKUP(#REF!,[1]Lookup!$B$2:$E$115,2,FALSE),"")</f>
        <v/>
      </c>
      <c r="AU1789" s="65" t="str">
        <f>IFERROR(VLOOKUP(#REF!,[1]Lookup!$B$2:$E$115,3,FALSE),"")</f>
        <v/>
      </c>
    </row>
    <row r="1790" spans="31:47" x14ac:dyDescent="0.3">
      <c r="AE1790" s="204" t="s">
        <v>398</v>
      </c>
      <c r="AF1790" s="204" t="s">
        <v>398</v>
      </c>
      <c r="AG1790" s="204" t="s">
        <v>398</v>
      </c>
      <c r="AS1790" s="65" t="str">
        <f>IFERROR(VLOOKUP(#REF!,[1]Lookup!$B$2:$E$115,4,FALSE),"")</f>
        <v/>
      </c>
      <c r="AT1790" s="65" t="str">
        <f>IFERROR(VLOOKUP(#REF!,[1]Lookup!$B$2:$E$115,2,FALSE),"")</f>
        <v/>
      </c>
      <c r="AU1790" s="65" t="str">
        <f>IFERROR(VLOOKUP(#REF!,[1]Lookup!$B$2:$E$115,3,FALSE),"")</f>
        <v/>
      </c>
    </row>
    <row r="1791" spans="31:47" x14ac:dyDescent="0.3">
      <c r="AE1791" s="204" t="s">
        <v>398</v>
      </c>
      <c r="AF1791" s="204" t="s">
        <v>398</v>
      </c>
      <c r="AG1791" s="204" t="s">
        <v>398</v>
      </c>
      <c r="AS1791" s="65" t="str">
        <f>IFERROR(VLOOKUP(#REF!,[1]Lookup!$B$2:$E$115,4,FALSE),"")</f>
        <v/>
      </c>
      <c r="AT1791" s="65" t="str">
        <f>IFERROR(VLOOKUP(#REF!,[1]Lookup!$B$2:$E$115,2,FALSE),"")</f>
        <v/>
      </c>
      <c r="AU1791" s="65" t="str">
        <f>IFERROR(VLOOKUP(#REF!,[1]Lookup!$B$2:$E$115,3,FALSE),"")</f>
        <v/>
      </c>
    </row>
    <row r="1792" spans="31:47" x14ac:dyDescent="0.3">
      <c r="AE1792" s="204" t="s">
        <v>398</v>
      </c>
      <c r="AF1792" s="204" t="s">
        <v>398</v>
      </c>
      <c r="AG1792" s="204" t="s">
        <v>398</v>
      </c>
      <c r="AS1792" s="65" t="str">
        <f>IFERROR(VLOOKUP(#REF!,[1]Lookup!$B$2:$E$115,4,FALSE),"")</f>
        <v/>
      </c>
      <c r="AT1792" s="65" t="str">
        <f>IFERROR(VLOOKUP(#REF!,[1]Lookup!$B$2:$E$115,2,FALSE),"")</f>
        <v/>
      </c>
      <c r="AU1792" s="65" t="str">
        <f>IFERROR(VLOOKUP(#REF!,[1]Lookup!$B$2:$E$115,3,FALSE),"")</f>
        <v/>
      </c>
    </row>
    <row r="1793" spans="31:47" x14ac:dyDescent="0.3">
      <c r="AE1793" s="204" t="s">
        <v>398</v>
      </c>
      <c r="AF1793" s="204" t="s">
        <v>398</v>
      </c>
      <c r="AG1793" s="204" t="s">
        <v>398</v>
      </c>
      <c r="AS1793" s="65" t="str">
        <f>IFERROR(VLOOKUP(#REF!,[1]Lookup!$B$2:$E$115,4,FALSE),"")</f>
        <v/>
      </c>
      <c r="AT1793" s="65" t="str">
        <f>IFERROR(VLOOKUP(#REF!,[1]Lookup!$B$2:$E$115,2,FALSE),"")</f>
        <v/>
      </c>
      <c r="AU1793" s="65" t="str">
        <f>IFERROR(VLOOKUP(#REF!,[1]Lookup!$B$2:$E$115,3,FALSE),"")</f>
        <v/>
      </c>
    </row>
    <row r="1794" spans="31:47" x14ac:dyDescent="0.3">
      <c r="AE1794" s="204" t="s">
        <v>398</v>
      </c>
      <c r="AF1794" s="204" t="s">
        <v>398</v>
      </c>
      <c r="AG1794" s="204" t="s">
        <v>398</v>
      </c>
      <c r="AS1794" s="65" t="str">
        <f>IFERROR(VLOOKUP(#REF!,[1]Lookup!$B$2:$E$115,4,FALSE),"")</f>
        <v/>
      </c>
      <c r="AT1794" s="65" t="str">
        <f>IFERROR(VLOOKUP(#REF!,[1]Lookup!$B$2:$E$115,2,FALSE),"")</f>
        <v/>
      </c>
      <c r="AU1794" s="65" t="str">
        <f>IFERROR(VLOOKUP(#REF!,[1]Lookup!$B$2:$E$115,3,FALSE),"")</f>
        <v/>
      </c>
    </row>
    <row r="1795" spans="31:47" x14ac:dyDescent="0.3">
      <c r="AE1795" s="204" t="s">
        <v>398</v>
      </c>
      <c r="AF1795" s="204" t="s">
        <v>398</v>
      </c>
      <c r="AG1795" s="204" t="s">
        <v>398</v>
      </c>
      <c r="AS1795" s="65" t="str">
        <f>IFERROR(VLOOKUP(#REF!,[1]Lookup!$B$2:$E$115,4,FALSE),"")</f>
        <v/>
      </c>
      <c r="AT1795" s="65" t="str">
        <f>IFERROR(VLOOKUP(#REF!,[1]Lookup!$B$2:$E$115,2,FALSE),"")</f>
        <v/>
      </c>
      <c r="AU1795" s="65" t="str">
        <f>IFERROR(VLOOKUP(#REF!,[1]Lookup!$B$2:$E$115,3,FALSE),"")</f>
        <v/>
      </c>
    </row>
    <row r="1796" spans="31:47" x14ac:dyDescent="0.3">
      <c r="AE1796" s="204" t="s">
        <v>398</v>
      </c>
      <c r="AF1796" s="204" t="s">
        <v>398</v>
      </c>
      <c r="AG1796" s="204" t="s">
        <v>398</v>
      </c>
      <c r="AS1796" s="65" t="str">
        <f>IFERROR(VLOOKUP(#REF!,[1]Lookup!$B$2:$E$115,4,FALSE),"")</f>
        <v/>
      </c>
      <c r="AT1796" s="65" t="str">
        <f>IFERROR(VLOOKUP(#REF!,[1]Lookup!$B$2:$E$115,2,FALSE),"")</f>
        <v/>
      </c>
      <c r="AU1796" s="65" t="str">
        <f>IFERROR(VLOOKUP(#REF!,[1]Lookup!$B$2:$E$115,3,FALSE),"")</f>
        <v/>
      </c>
    </row>
    <row r="1797" spans="31:47" x14ac:dyDescent="0.3">
      <c r="AE1797" s="204" t="s">
        <v>398</v>
      </c>
      <c r="AF1797" s="204" t="s">
        <v>398</v>
      </c>
      <c r="AG1797" s="204" t="s">
        <v>398</v>
      </c>
      <c r="AS1797" s="65" t="str">
        <f>IFERROR(VLOOKUP(#REF!,[1]Lookup!$B$2:$E$115,4,FALSE),"")</f>
        <v/>
      </c>
      <c r="AT1797" s="65" t="str">
        <f>IFERROR(VLOOKUP(#REF!,[1]Lookup!$B$2:$E$115,2,FALSE),"")</f>
        <v/>
      </c>
      <c r="AU1797" s="65" t="str">
        <f>IFERROR(VLOOKUP(#REF!,[1]Lookup!$B$2:$E$115,3,FALSE),"")</f>
        <v/>
      </c>
    </row>
    <row r="1798" spans="31:47" x14ac:dyDescent="0.3">
      <c r="AE1798" s="204" t="s">
        <v>398</v>
      </c>
      <c r="AF1798" s="204" t="s">
        <v>398</v>
      </c>
      <c r="AG1798" s="204" t="s">
        <v>398</v>
      </c>
      <c r="AS1798" s="65" t="str">
        <f>IFERROR(VLOOKUP(#REF!,[1]Lookup!$B$2:$E$115,4,FALSE),"")</f>
        <v/>
      </c>
      <c r="AT1798" s="65" t="str">
        <f>IFERROR(VLOOKUP(#REF!,[1]Lookup!$B$2:$E$115,2,FALSE),"")</f>
        <v/>
      </c>
      <c r="AU1798" s="65" t="str">
        <f>IFERROR(VLOOKUP(#REF!,[1]Lookup!$B$2:$E$115,3,FALSE),"")</f>
        <v/>
      </c>
    </row>
    <row r="1799" spans="31:47" x14ac:dyDescent="0.3">
      <c r="AE1799" s="204" t="s">
        <v>398</v>
      </c>
      <c r="AF1799" s="204" t="s">
        <v>398</v>
      </c>
      <c r="AG1799" s="204" t="s">
        <v>398</v>
      </c>
      <c r="AS1799" s="65" t="str">
        <f>IFERROR(VLOOKUP(#REF!,[1]Lookup!$B$2:$E$115,4,FALSE),"")</f>
        <v/>
      </c>
      <c r="AT1799" s="65" t="str">
        <f>IFERROR(VLOOKUP(#REF!,[1]Lookup!$B$2:$E$115,2,FALSE),"")</f>
        <v/>
      </c>
      <c r="AU1799" s="65" t="str">
        <f>IFERROR(VLOOKUP(#REF!,[1]Lookup!$B$2:$E$115,3,FALSE),"")</f>
        <v/>
      </c>
    </row>
    <row r="1800" spans="31:47" x14ac:dyDescent="0.3">
      <c r="AE1800" s="204" t="s">
        <v>398</v>
      </c>
      <c r="AF1800" s="204" t="s">
        <v>398</v>
      </c>
      <c r="AG1800" s="204" t="s">
        <v>398</v>
      </c>
      <c r="AS1800" s="65" t="str">
        <f>IFERROR(VLOOKUP(#REF!,[1]Lookup!$B$2:$E$115,4,FALSE),"")</f>
        <v/>
      </c>
      <c r="AT1800" s="65" t="str">
        <f>IFERROR(VLOOKUP(#REF!,[1]Lookup!$B$2:$E$115,2,FALSE),"")</f>
        <v/>
      </c>
      <c r="AU1800" s="65" t="str">
        <f>IFERROR(VLOOKUP(#REF!,[1]Lookup!$B$2:$E$115,3,FALSE),"")</f>
        <v/>
      </c>
    </row>
    <row r="1801" spans="31:47" x14ac:dyDescent="0.3">
      <c r="AE1801" s="204" t="s">
        <v>398</v>
      </c>
      <c r="AF1801" s="204" t="s">
        <v>398</v>
      </c>
      <c r="AG1801" s="204" t="s">
        <v>398</v>
      </c>
      <c r="AS1801" s="65" t="str">
        <f>IFERROR(VLOOKUP(#REF!,[1]Lookup!$B$2:$E$115,4,FALSE),"")</f>
        <v/>
      </c>
      <c r="AT1801" s="65" t="str">
        <f>IFERROR(VLOOKUP(#REF!,[1]Lookup!$B$2:$E$115,2,FALSE),"")</f>
        <v/>
      </c>
      <c r="AU1801" s="65" t="str">
        <f>IFERROR(VLOOKUP(#REF!,[1]Lookup!$B$2:$E$115,3,FALSE),"")</f>
        <v/>
      </c>
    </row>
    <row r="1802" spans="31:47" x14ac:dyDescent="0.3">
      <c r="AE1802" s="204" t="s">
        <v>398</v>
      </c>
      <c r="AF1802" s="204" t="s">
        <v>398</v>
      </c>
      <c r="AG1802" s="204" t="s">
        <v>398</v>
      </c>
      <c r="AS1802" s="65" t="str">
        <f>IFERROR(VLOOKUP(#REF!,[1]Lookup!$B$2:$E$115,4,FALSE),"")</f>
        <v/>
      </c>
      <c r="AT1802" s="65" t="str">
        <f>IFERROR(VLOOKUP(#REF!,[1]Lookup!$B$2:$E$115,2,FALSE),"")</f>
        <v/>
      </c>
      <c r="AU1802" s="65" t="str">
        <f>IFERROR(VLOOKUP(#REF!,[1]Lookup!$B$2:$E$115,3,FALSE),"")</f>
        <v/>
      </c>
    </row>
    <row r="1803" spans="31:47" x14ac:dyDescent="0.3">
      <c r="AE1803" s="204" t="s">
        <v>398</v>
      </c>
      <c r="AF1803" s="204" t="s">
        <v>398</v>
      </c>
      <c r="AG1803" s="204" t="s">
        <v>398</v>
      </c>
      <c r="AS1803" s="65" t="str">
        <f>IFERROR(VLOOKUP(#REF!,[1]Lookup!$B$2:$E$115,4,FALSE),"")</f>
        <v/>
      </c>
      <c r="AT1803" s="65" t="str">
        <f>IFERROR(VLOOKUP(#REF!,[1]Lookup!$B$2:$E$115,2,FALSE),"")</f>
        <v/>
      </c>
      <c r="AU1803" s="65" t="str">
        <f>IFERROR(VLOOKUP(#REF!,[1]Lookup!$B$2:$E$115,3,FALSE),"")</f>
        <v/>
      </c>
    </row>
    <row r="1804" spans="31:47" x14ac:dyDescent="0.3">
      <c r="AE1804" s="204" t="s">
        <v>398</v>
      </c>
      <c r="AF1804" s="204" t="s">
        <v>398</v>
      </c>
      <c r="AG1804" s="204" t="s">
        <v>398</v>
      </c>
      <c r="AS1804" s="65" t="str">
        <f>IFERROR(VLOOKUP(#REF!,[1]Lookup!$B$2:$E$115,4,FALSE),"")</f>
        <v/>
      </c>
      <c r="AT1804" s="65" t="str">
        <f>IFERROR(VLOOKUP(#REF!,[1]Lookup!$B$2:$E$115,2,FALSE),"")</f>
        <v/>
      </c>
      <c r="AU1804" s="65" t="str">
        <f>IFERROR(VLOOKUP(#REF!,[1]Lookup!$B$2:$E$115,3,FALSE),"")</f>
        <v/>
      </c>
    </row>
    <row r="1805" spans="31:47" x14ac:dyDescent="0.3">
      <c r="AE1805" s="204" t="s">
        <v>398</v>
      </c>
      <c r="AF1805" s="204" t="s">
        <v>398</v>
      </c>
      <c r="AG1805" s="204" t="s">
        <v>398</v>
      </c>
      <c r="AS1805" s="65" t="str">
        <f>IFERROR(VLOOKUP(#REF!,[1]Lookup!$B$2:$E$115,4,FALSE),"")</f>
        <v/>
      </c>
      <c r="AT1805" s="65" t="str">
        <f>IFERROR(VLOOKUP(#REF!,[1]Lookup!$B$2:$E$115,2,FALSE),"")</f>
        <v/>
      </c>
      <c r="AU1805" s="65" t="str">
        <f>IFERROR(VLOOKUP(#REF!,[1]Lookup!$B$2:$E$115,3,FALSE),"")</f>
        <v/>
      </c>
    </row>
    <row r="1806" spans="31:47" x14ac:dyDescent="0.3">
      <c r="AE1806" s="204" t="s">
        <v>398</v>
      </c>
      <c r="AF1806" s="204" t="s">
        <v>398</v>
      </c>
      <c r="AG1806" s="204" t="s">
        <v>398</v>
      </c>
      <c r="AS1806" s="65" t="str">
        <f>IFERROR(VLOOKUP(#REF!,[1]Lookup!$B$2:$E$115,4,FALSE),"")</f>
        <v/>
      </c>
      <c r="AT1806" s="65" t="str">
        <f>IFERROR(VLOOKUP(#REF!,[1]Lookup!$B$2:$E$115,2,FALSE),"")</f>
        <v/>
      </c>
      <c r="AU1806" s="65" t="str">
        <f>IFERROR(VLOOKUP(#REF!,[1]Lookup!$B$2:$E$115,3,FALSE),"")</f>
        <v/>
      </c>
    </row>
    <row r="1807" spans="31:47" x14ac:dyDescent="0.3">
      <c r="AE1807" s="204" t="s">
        <v>398</v>
      </c>
      <c r="AF1807" s="204" t="s">
        <v>398</v>
      </c>
      <c r="AG1807" s="204" t="s">
        <v>398</v>
      </c>
      <c r="AS1807" s="65" t="str">
        <f>IFERROR(VLOOKUP(#REF!,[1]Lookup!$B$2:$E$115,4,FALSE),"")</f>
        <v/>
      </c>
      <c r="AT1807" s="65" t="str">
        <f>IFERROR(VLOOKUP(#REF!,[1]Lookup!$B$2:$E$115,2,FALSE),"")</f>
        <v/>
      </c>
      <c r="AU1807" s="65" t="str">
        <f>IFERROR(VLOOKUP(#REF!,[1]Lookup!$B$2:$E$115,3,FALSE),"")</f>
        <v/>
      </c>
    </row>
    <row r="1808" spans="31:47" x14ac:dyDescent="0.3">
      <c r="AE1808" s="204" t="s">
        <v>398</v>
      </c>
      <c r="AF1808" s="204" t="s">
        <v>398</v>
      </c>
      <c r="AG1808" s="204" t="s">
        <v>398</v>
      </c>
      <c r="AS1808" s="65" t="str">
        <f>IFERROR(VLOOKUP(#REF!,[1]Lookup!$B$2:$E$115,4,FALSE),"")</f>
        <v/>
      </c>
      <c r="AT1808" s="65" t="str">
        <f>IFERROR(VLOOKUP(#REF!,[1]Lookup!$B$2:$E$115,2,FALSE),"")</f>
        <v/>
      </c>
      <c r="AU1808" s="65" t="str">
        <f>IFERROR(VLOOKUP(#REF!,[1]Lookup!$B$2:$E$115,3,FALSE),"")</f>
        <v/>
      </c>
    </row>
    <row r="1809" spans="31:47" x14ac:dyDescent="0.3">
      <c r="AE1809" s="204" t="s">
        <v>398</v>
      </c>
      <c r="AF1809" s="204" t="s">
        <v>398</v>
      </c>
      <c r="AG1809" s="204" t="s">
        <v>398</v>
      </c>
      <c r="AS1809" s="65" t="str">
        <f>IFERROR(VLOOKUP(#REF!,[1]Lookup!$B$2:$E$115,4,FALSE),"")</f>
        <v/>
      </c>
      <c r="AT1809" s="65" t="str">
        <f>IFERROR(VLOOKUP(#REF!,[1]Lookup!$B$2:$E$115,2,FALSE),"")</f>
        <v/>
      </c>
      <c r="AU1809" s="65" t="str">
        <f>IFERROR(VLOOKUP(#REF!,[1]Lookup!$B$2:$E$115,3,FALSE),"")</f>
        <v/>
      </c>
    </row>
    <row r="1810" spans="31:47" x14ac:dyDescent="0.3">
      <c r="AE1810" s="204" t="s">
        <v>398</v>
      </c>
      <c r="AF1810" s="204" t="s">
        <v>398</v>
      </c>
      <c r="AG1810" s="204" t="s">
        <v>398</v>
      </c>
      <c r="AS1810" s="65" t="str">
        <f>IFERROR(VLOOKUP(#REF!,[1]Lookup!$B$2:$E$115,4,FALSE),"")</f>
        <v/>
      </c>
      <c r="AT1810" s="65" t="str">
        <f>IFERROR(VLOOKUP(#REF!,[1]Lookup!$B$2:$E$115,2,FALSE),"")</f>
        <v/>
      </c>
      <c r="AU1810" s="65" t="str">
        <f>IFERROR(VLOOKUP(#REF!,[1]Lookup!$B$2:$E$115,3,FALSE),"")</f>
        <v/>
      </c>
    </row>
    <row r="1811" spans="31:47" x14ac:dyDescent="0.3">
      <c r="AE1811" s="204" t="s">
        <v>398</v>
      </c>
      <c r="AF1811" s="204" t="s">
        <v>398</v>
      </c>
      <c r="AG1811" s="204" t="s">
        <v>398</v>
      </c>
      <c r="AS1811" s="65" t="str">
        <f>IFERROR(VLOOKUP(#REF!,[1]Lookup!$B$2:$E$115,4,FALSE),"")</f>
        <v/>
      </c>
      <c r="AT1811" s="65" t="str">
        <f>IFERROR(VLOOKUP(#REF!,[1]Lookup!$B$2:$E$115,2,FALSE),"")</f>
        <v/>
      </c>
      <c r="AU1811" s="65" t="str">
        <f>IFERROR(VLOOKUP(#REF!,[1]Lookup!$B$2:$E$115,3,FALSE),"")</f>
        <v/>
      </c>
    </row>
    <row r="1812" spans="31:47" x14ac:dyDescent="0.3">
      <c r="AE1812" s="204" t="s">
        <v>398</v>
      </c>
      <c r="AF1812" s="204" t="s">
        <v>398</v>
      </c>
      <c r="AG1812" s="204" t="s">
        <v>398</v>
      </c>
      <c r="AS1812" s="65" t="str">
        <f>IFERROR(VLOOKUP(#REF!,[1]Lookup!$B$2:$E$115,4,FALSE),"")</f>
        <v/>
      </c>
      <c r="AT1812" s="65" t="str">
        <f>IFERROR(VLOOKUP(#REF!,[1]Lookup!$B$2:$E$115,2,FALSE),"")</f>
        <v/>
      </c>
      <c r="AU1812" s="65" t="str">
        <f>IFERROR(VLOOKUP(#REF!,[1]Lookup!$B$2:$E$115,3,FALSE),"")</f>
        <v/>
      </c>
    </row>
    <row r="1813" spans="31:47" x14ac:dyDescent="0.3">
      <c r="AE1813" s="204" t="s">
        <v>398</v>
      </c>
      <c r="AF1813" s="204" t="s">
        <v>398</v>
      </c>
      <c r="AG1813" s="204" t="s">
        <v>398</v>
      </c>
      <c r="AS1813" s="65" t="str">
        <f>IFERROR(VLOOKUP(#REF!,[1]Lookup!$B$2:$E$115,4,FALSE),"")</f>
        <v/>
      </c>
      <c r="AT1813" s="65" t="str">
        <f>IFERROR(VLOOKUP(#REF!,[1]Lookup!$B$2:$E$115,2,FALSE),"")</f>
        <v/>
      </c>
      <c r="AU1813" s="65" t="str">
        <f>IFERROR(VLOOKUP(#REF!,[1]Lookup!$B$2:$E$115,3,FALSE),"")</f>
        <v/>
      </c>
    </row>
    <row r="1814" spans="31:47" x14ac:dyDescent="0.3">
      <c r="AE1814" s="204" t="s">
        <v>398</v>
      </c>
      <c r="AF1814" s="204" t="s">
        <v>398</v>
      </c>
      <c r="AG1814" s="204" t="s">
        <v>398</v>
      </c>
      <c r="AS1814" s="65" t="str">
        <f>IFERROR(VLOOKUP(#REF!,[1]Lookup!$B$2:$E$115,4,FALSE),"")</f>
        <v/>
      </c>
      <c r="AT1814" s="65" t="str">
        <f>IFERROR(VLOOKUP(#REF!,[1]Lookup!$B$2:$E$115,2,FALSE),"")</f>
        <v/>
      </c>
      <c r="AU1814" s="65" t="str">
        <f>IFERROR(VLOOKUP(#REF!,[1]Lookup!$B$2:$E$115,3,FALSE),"")</f>
        <v/>
      </c>
    </row>
    <row r="1815" spans="31:47" x14ac:dyDescent="0.3">
      <c r="AE1815" s="204" t="s">
        <v>398</v>
      </c>
      <c r="AF1815" s="204" t="s">
        <v>398</v>
      </c>
      <c r="AG1815" s="204" t="s">
        <v>398</v>
      </c>
      <c r="AS1815" s="65" t="str">
        <f>IFERROR(VLOOKUP(#REF!,[1]Lookup!$B$2:$E$115,4,FALSE),"")</f>
        <v/>
      </c>
      <c r="AT1815" s="65" t="str">
        <f>IFERROR(VLOOKUP(#REF!,[1]Lookup!$B$2:$E$115,2,FALSE),"")</f>
        <v/>
      </c>
      <c r="AU1815" s="65" t="str">
        <f>IFERROR(VLOOKUP(#REF!,[1]Lookup!$B$2:$E$115,3,FALSE),"")</f>
        <v/>
      </c>
    </row>
    <row r="1816" spans="31:47" x14ac:dyDescent="0.3">
      <c r="AE1816" s="204" t="s">
        <v>398</v>
      </c>
      <c r="AF1816" s="204" t="s">
        <v>398</v>
      </c>
      <c r="AG1816" s="204" t="s">
        <v>398</v>
      </c>
      <c r="AS1816" s="65" t="str">
        <f>IFERROR(VLOOKUP(#REF!,[1]Lookup!$B$2:$E$115,4,FALSE),"")</f>
        <v/>
      </c>
      <c r="AT1816" s="65" t="str">
        <f>IFERROR(VLOOKUP(#REF!,[1]Lookup!$B$2:$E$115,2,FALSE),"")</f>
        <v/>
      </c>
      <c r="AU1816" s="65" t="str">
        <f>IFERROR(VLOOKUP(#REF!,[1]Lookup!$B$2:$E$115,3,FALSE),"")</f>
        <v/>
      </c>
    </row>
    <row r="1817" spans="31:47" x14ac:dyDescent="0.3">
      <c r="AE1817" s="204" t="s">
        <v>398</v>
      </c>
      <c r="AF1817" s="204" t="s">
        <v>398</v>
      </c>
      <c r="AG1817" s="204" t="s">
        <v>398</v>
      </c>
      <c r="AS1817" s="65" t="str">
        <f>IFERROR(VLOOKUP(#REF!,[1]Lookup!$B$2:$E$115,4,FALSE),"")</f>
        <v/>
      </c>
      <c r="AT1817" s="65" t="str">
        <f>IFERROR(VLOOKUP(#REF!,[1]Lookup!$B$2:$E$115,2,FALSE),"")</f>
        <v/>
      </c>
      <c r="AU1817" s="65" t="str">
        <f>IFERROR(VLOOKUP(#REF!,[1]Lookup!$B$2:$E$115,3,FALSE),"")</f>
        <v/>
      </c>
    </row>
    <row r="1818" spans="31:47" x14ac:dyDescent="0.3">
      <c r="AE1818" s="204" t="s">
        <v>398</v>
      </c>
      <c r="AF1818" s="204" t="s">
        <v>398</v>
      </c>
      <c r="AG1818" s="204" t="s">
        <v>398</v>
      </c>
      <c r="AS1818" s="65" t="str">
        <f>IFERROR(VLOOKUP(#REF!,[1]Lookup!$B$2:$E$115,4,FALSE),"")</f>
        <v/>
      </c>
      <c r="AT1818" s="65" t="str">
        <f>IFERROR(VLOOKUP(#REF!,[1]Lookup!$B$2:$E$115,2,FALSE),"")</f>
        <v/>
      </c>
      <c r="AU1818" s="65" t="str">
        <f>IFERROR(VLOOKUP(#REF!,[1]Lookup!$B$2:$E$115,3,FALSE),"")</f>
        <v/>
      </c>
    </row>
    <row r="1819" spans="31:47" x14ac:dyDescent="0.3">
      <c r="AE1819" s="204" t="s">
        <v>398</v>
      </c>
      <c r="AF1819" s="204" t="s">
        <v>398</v>
      </c>
      <c r="AG1819" s="204" t="s">
        <v>398</v>
      </c>
      <c r="AS1819" s="65" t="str">
        <f>IFERROR(VLOOKUP(#REF!,[1]Lookup!$B$2:$E$115,4,FALSE),"")</f>
        <v/>
      </c>
      <c r="AT1819" s="65" t="str">
        <f>IFERROR(VLOOKUP(#REF!,[1]Lookup!$B$2:$E$115,2,FALSE),"")</f>
        <v/>
      </c>
      <c r="AU1819" s="65" t="str">
        <f>IFERROR(VLOOKUP(#REF!,[1]Lookup!$B$2:$E$115,3,FALSE),"")</f>
        <v/>
      </c>
    </row>
    <row r="1820" spans="31:47" x14ac:dyDescent="0.3">
      <c r="AE1820" s="204" t="s">
        <v>398</v>
      </c>
      <c r="AF1820" s="204" t="s">
        <v>398</v>
      </c>
      <c r="AG1820" s="204" t="s">
        <v>398</v>
      </c>
      <c r="AS1820" s="65" t="str">
        <f>IFERROR(VLOOKUP(#REF!,[1]Lookup!$B$2:$E$115,4,FALSE),"")</f>
        <v/>
      </c>
      <c r="AT1820" s="65" t="str">
        <f>IFERROR(VLOOKUP(#REF!,[1]Lookup!$B$2:$E$115,2,FALSE),"")</f>
        <v/>
      </c>
      <c r="AU1820" s="65" t="str">
        <f>IFERROR(VLOOKUP(#REF!,[1]Lookup!$B$2:$E$115,3,FALSE),"")</f>
        <v/>
      </c>
    </row>
    <row r="1821" spans="31:47" x14ac:dyDescent="0.3">
      <c r="AE1821" s="204" t="s">
        <v>398</v>
      </c>
      <c r="AF1821" s="204" t="s">
        <v>398</v>
      </c>
      <c r="AG1821" s="204" t="s">
        <v>398</v>
      </c>
      <c r="AS1821" s="65" t="str">
        <f>IFERROR(VLOOKUP(#REF!,[1]Lookup!$B$2:$E$115,4,FALSE),"")</f>
        <v/>
      </c>
      <c r="AT1821" s="65" t="str">
        <f>IFERROR(VLOOKUP(#REF!,[1]Lookup!$B$2:$E$115,2,FALSE),"")</f>
        <v/>
      </c>
      <c r="AU1821" s="65" t="str">
        <f>IFERROR(VLOOKUP(#REF!,[1]Lookup!$B$2:$E$115,3,FALSE),"")</f>
        <v/>
      </c>
    </row>
    <row r="1822" spans="31:47" x14ac:dyDescent="0.3">
      <c r="AE1822" s="204" t="s">
        <v>398</v>
      </c>
      <c r="AF1822" s="204" t="s">
        <v>398</v>
      </c>
      <c r="AG1822" s="204" t="s">
        <v>398</v>
      </c>
      <c r="AS1822" s="65" t="str">
        <f>IFERROR(VLOOKUP(#REF!,[1]Lookup!$B$2:$E$115,4,FALSE),"")</f>
        <v/>
      </c>
      <c r="AT1822" s="65" t="str">
        <f>IFERROR(VLOOKUP(#REF!,[1]Lookup!$B$2:$E$115,2,FALSE),"")</f>
        <v/>
      </c>
      <c r="AU1822" s="65" t="str">
        <f>IFERROR(VLOOKUP(#REF!,[1]Lookup!$B$2:$E$115,3,FALSE),"")</f>
        <v/>
      </c>
    </row>
    <row r="1823" spans="31:47" x14ac:dyDescent="0.3">
      <c r="AE1823" s="204" t="s">
        <v>398</v>
      </c>
      <c r="AF1823" s="204" t="s">
        <v>398</v>
      </c>
      <c r="AG1823" s="204" t="s">
        <v>398</v>
      </c>
      <c r="AS1823" s="65" t="str">
        <f>IFERROR(VLOOKUP(#REF!,[1]Lookup!$B$2:$E$115,4,FALSE),"")</f>
        <v/>
      </c>
      <c r="AT1823" s="65" t="str">
        <f>IFERROR(VLOOKUP(#REF!,[1]Lookup!$B$2:$E$115,2,FALSE),"")</f>
        <v/>
      </c>
      <c r="AU1823" s="65" t="str">
        <f>IFERROR(VLOOKUP(#REF!,[1]Lookup!$B$2:$E$115,3,FALSE),"")</f>
        <v/>
      </c>
    </row>
    <row r="1824" spans="31:47" x14ac:dyDescent="0.3">
      <c r="AE1824" s="204" t="s">
        <v>398</v>
      </c>
      <c r="AF1824" s="204" t="s">
        <v>398</v>
      </c>
      <c r="AG1824" s="204" t="s">
        <v>398</v>
      </c>
      <c r="AS1824" s="65" t="str">
        <f>IFERROR(VLOOKUP(#REF!,[1]Lookup!$B$2:$E$115,4,FALSE),"")</f>
        <v/>
      </c>
      <c r="AT1824" s="65" t="str">
        <f>IFERROR(VLOOKUP(#REF!,[1]Lookup!$B$2:$E$115,2,FALSE),"")</f>
        <v/>
      </c>
      <c r="AU1824" s="65" t="str">
        <f>IFERROR(VLOOKUP(#REF!,[1]Lookup!$B$2:$E$115,3,FALSE),"")</f>
        <v/>
      </c>
    </row>
    <row r="1825" spans="31:47" x14ac:dyDescent="0.3">
      <c r="AE1825" s="204" t="s">
        <v>398</v>
      </c>
      <c r="AF1825" s="204" t="s">
        <v>398</v>
      </c>
      <c r="AG1825" s="204" t="s">
        <v>398</v>
      </c>
      <c r="AS1825" s="65" t="str">
        <f>IFERROR(VLOOKUP(#REF!,[1]Lookup!$B$2:$E$115,4,FALSE),"")</f>
        <v/>
      </c>
      <c r="AT1825" s="65" t="str">
        <f>IFERROR(VLOOKUP(#REF!,[1]Lookup!$B$2:$E$115,2,FALSE),"")</f>
        <v/>
      </c>
      <c r="AU1825" s="65" t="str">
        <f>IFERROR(VLOOKUP(#REF!,[1]Lookup!$B$2:$E$115,3,FALSE),"")</f>
        <v/>
      </c>
    </row>
    <row r="1826" spans="31:47" x14ac:dyDescent="0.3">
      <c r="AE1826" s="204" t="s">
        <v>398</v>
      </c>
      <c r="AF1826" s="204" t="s">
        <v>398</v>
      </c>
      <c r="AG1826" s="204" t="s">
        <v>398</v>
      </c>
      <c r="AS1826" s="65" t="str">
        <f>IFERROR(VLOOKUP(#REF!,[1]Lookup!$B$2:$E$115,4,FALSE),"")</f>
        <v/>
      </c>
      <c r="AT1826" s="65" t="str">
        <f>IFERROR(VLOOKUP(#REF!,[1]Lookup!$B$2:$E$115,2,FALSE),"")</f>
        <v/>
      </c>
      <c r="AU1826" s="65" t="str">
        <f>IFERROR(VLOOKUP(#REF!,[1]Lookup!$B$2:$E$115,3,FALSE),"")</f>
        <v/>
      </c>
    </row>
    <row r="1827" spans="31:47" x14ac:dyDescent="0.3">
      <c r="AE1827" s="204" t="s">
        <v>398</v>
      </c>
      <c r="AF1827" s="204" t="s">
        <v>398</v>
      </c>
      <c r="AG1827" s="204" t="s">
        <v>398</v>
      </c>
      <c r="AS1827" s="65" t="str">
        <f>IFERROR(VLOOKUP(#REF!,[1]Lookup!$B$2:$E$115,4,FALSE),"")</f>
        <v/>
      </c>
      <c r="AT1827" s="65" t="str">
        <f>IFERROR(VLOOKUP(#REF!,[1]Lookup!$B$2:$E$115,2,FALSE),"")</f>
        <v/>
      </c>
      <c r="AU1827" s="65" t="str">
        <f>IFERROR(VLOOKUP(#REF!,[1]Lookup!$B$2:$E$115,3,FALSE),"")</f>
        <v/>
      </c>
    </row>
    <row r="1828" spans="31:47" x14ac:dyDescent="0.3">
      <c r="AE1828" s="204" t="s">
        <v>398</v>
      </c>
      <c r="AF1828" s="204" t="s">
        <v>398</v>
      </c>
      <c r="AG1828" s="204" t="s">
        <v>398</v>
      </c>
      <c r="AS1828" s="65" t="str">
        <f>IFERROR(VLOOKUP(#REF!,[1]Lookup!$B$2:$E$115,4,FALSE),"")</f>
        <v/>
      </c>
      <c r="AT1828" s="65" t="str">
        <f>IFERROR(VLOOKUP(#REF!,[1]Lookup!$B$2:$E$115,2,FALSE),"")</f>
        <v/>
      </c>
      <c r="AU1828" s="65" t="str">
        <f>IFERROR(VLOOKUP(#REF!,[1]Lookup!$B$2:$E$115,3,FALSE),"")</f>
        <v/>
      </c>
    </row>
    <row r="1829" spans="31:47" x14ac:dyDescent="0.3">
      <c r="AE1829" s="204" t="s">
        <v>398</v>
      </c>
      <c r="AF1829" s="204" t="s">
        <v>398</v>
      </c>
      <c r="AG1829" s="204" t="s">
        <v>398</v>
      </c>
      <c r="AS1829" s="65" t="str">
        <f>IFERROR(VLOOKUP(#REF!,[1]Lookup!$B$2:$E$115,4,FALSE),"")</f>
        <v/>
      </c>
      <c r="AT1829" s="65" t="str">
        <f>IFERROR(VLOOKUP(#REF!,[1]Lookup!$B$2:$E$115,2,FALSE),"")</f>
        <v/>
      </c>
      <c r="AU1829" s="65" t="str">
        <f>IFERROR(VLOOKUP(#REF!,[1]Lookup!$B$2:$E$115,3,FALSE),"")</f>
        <v/>
      </c>
    </row>
    <row r="1830" spans="31:47" x14ac:dyDescent="0.3">
      <c r="AE1830" s="204" t="s">
        <v>398</v>
      </c>
      <c r="AF1830" s="204" t="s">
        <v>398</v>
      </c>
      <c r="AG1830" s="204" t="s">
        <v>398</v>
      </c>
      <c r="AS1830" s="65" t="str">
        <f>IFERROR(VLOOKUP(#REF!,[1]Lookup!$B$2:$E$115,4,FALSE),"")</f>
        <v/>
      </c>
      <c r="AT1830" s="65" t="str">
        <f>IFERROR(VLOOKUP(#REF!,[1]Lookup!$B$2:$E$115,2,FALSE),"")</f>
        <v/>
      </c>
      <c r="AU1830" s="65" t="str">
        <f>IFERROR(VLOOKUP(#REF!,[1]Lookup!$B$2:$E$115,3,FALSE),"")</f>
        <v/>
      </c>
    </row>
    <row r="1831" spans="31:47" x14ac:dyDescent="0.3">
      <c r="AE1831" s="204" t="s">
        <v>398</v>
      </c>
      <c r="AF1831" s="204" t="s">
        <v>398</v>
      </c>
      <c r="AG1831" s="204" t="s">
        <v>398</v>
      </c>
      <c r="AS1831" s="65" t="str">
        <f>IFERROR(VLOOKUP(#REF!,[1]Lookup!$B$2:$E$115,4,FALSE),"")</f>
        <v/>
      </c>
      <c r="AT1831" s="65" t="str">
        <f>IFERROR(VLOOKUP(#REF!,[1]Lookup!$B$2:$E$115,2,FALSE),"")</f>
        <v/>
      </c>
      <c r="AU1831" s="65" t="str">
        <f>IFERROR(VLOOKUP(#REF!,[1]Lookup!$B$2:$E$115,3,FALSE),"")</f>
        <v/>
      </c>
    </row>
    <row r="1832" spans="31:47" x14ac:dyDescent="0.3">
      <c r="AE1832" s="204" t="s">
        <v>398</v>
      </c>
      <c r="AF1832" s="204" t="s">
        <v>398</v>
      </c>
      <c r="AG1832" s="204" t="s">
        <v>398</v>
      </c>
      <c r="AS1832" s="65" t="str">
        <f>IFERROR(VLOOKUP(#REF!,[1]Lookup!$B$2:$E$115,4,FALSE),"")</f>
        <v/>
      </c>
      <c r="AT1832" s="65" t="str">
        <f>IFERROR(VLOOKUP(#REF!,[1]Lookup!$B$2:$E$115,2,FALSE),"")</f>
        <v/>
      </c>
      <c r="AU1832" s="65" t="str">
        <f>IFERROR(VLOOKUP(#REF!,[1]Lookup!$B$2:$E$115,3,FALSE),"")</f>
        <v/>
      </c>
    </row>
    <row r="1833" spans="31:47" x14ac:dyDescent="0.3">
      <c r="AE1833" s="204" t="s">
        <v>398</v>
      </c>
      <c r="AF1833" s="204" t="s">
        <v>398</v>
      </c>
      <c r="AG1833" s="204" t="s">
        <v>398</v>
      </c>
      <c r="AS1833" s="65" t="str">
        <f>IFERROR(VLOOKUP(#REF!,[1]Lookup!$B$2:$E$115,4,FALSE),"")</f>
        <v/>
      </c>
      <c r="AT1833" s="65" t="str">
        <f>IFERROR(VLOOKUP(#REF!,[1]Lookup!$B$2:$E$115,2,FALSE),"")</f>
        <v/>
      </c>
      <c r="AU1833" s="65" t="str">
        <f>IFERROR(VLOOKUP(#REF!,[1]Lookup!$B$2:$E$115,3,FALSE),"")</f>
        <v/>
      </c>
    </row>
    <row r="1834" spans="31:47" x14ac:dyDescent="0.3">
      <c r="AE1834" s="204" t="s">
        <v>398</v>
      </c>
      <c r="AF1834" s="204" t="s">
        <v>398</v>
      </c>
      <c r="AG1834" s="204" t="s">
        <v>398</v>
      </c>
      <c r="AS1834" s="65" t="str">
        <f>IFERROR(VLOOKUP(#REF!,[1]Lookup!$B$2:$E$115,4,FALSE),"")</f>
        <v/>
      </c>
      <c r="AT1834" s="65" t="str">
        <f>IFERROR(VLOOKUP(#REF!,[1]Lookup!$B$2:$E$115,2,FALSE),"")</f>
        <v/>
      </c>
      <c r="AU1834" s="65" t="str">
        <f>IFERROR(VLOOKUP(#REF!,[1]Lookup!$B$2:$E$115,3,FALSE),"")</f>
        <v/>
      </c>
    </row>
    <row r="1835" spans="31:47" x14ac:dyDescent="0.3">
      <c r="AE1835" s="204" t="s">
        <v>398</v>
      </c>
      <c r="AF1835" s="204" t="s">
        <v>398</v>
      </c>
      <c r="AG1835" s="204" t="s">
        <v>398</v>
      </c>
      <c r="AS1835" s="65" t="str">
        <f>IFERROR(VLOOKUP(#REF!,[1]Lookup!$B$2:$E$115,4,FALSE),"")</f>
        <v/>
      </c>
      <c r="AT1835" s="65" t="str">
        <f>IFERROR(VLOOKUP(#REF!,[1]Lookup!$B$2:$E$115,2,FALSE),"")</f>
        <v/>
      </c>
      <c r="AU1835" s="65" t="str">
        <f>IFERROR(VLOOKUP(#REF!,[1]Lookup!$B$2:$E$115,3,FALSE),"")</f>
        <v/>
      </c>
    </row>
    <row r="1836" spans="31:47" x14ac:dyDescent="0.3">
      <c r="AE1836" s="204" t="s">
        <v>398</v>
      </c>
      <c r="AF1836" s="204" t="s">
        <v>398</v>
      </c>
      <c r="AG1836" s="204" t="s">
        <v>398</v>
      </c>
      <c r="AS1836" s="65" t="str">
        <f>IFERROR(VLOOKUP(#REF!,[1]Lookup!$B$2:$E$115,4,FALSE),"")</f>
        <v/>
      </c>
      <c r="AT1836" s="65" t="str">
        <f>IFERROR(VLOOKUP(#REF!,[1]Lookup!$B$2:$E$115,2,FALSE),"")</f>
        <v/>
      </c>
      <c r="AU1836" s="65" t="str">
        <f>IFERROR(VLOOKUP(#REF!,[1]Lookup!$B$2:$E$115,3,FALSE),"")</f>
        <v/>
      </c>
    </row>
    <row r="1837" spans="31:47" x14ac:dyDescent="0.3">
      <c r="AE1837" s="204" t="s">
        <v>398</v>
      </c>
      <c r="AF1837" s="204" t="s">
        <v>398</v>
      </c>
      <c r="AG1837" s="204" t="s">
        <v>398</v>
      </c>
      <c r="AS1837" s="65" t="str">
        <f>IFERROR(VLOOKUP(#REF!,[1]Lookup!$B$2:$E$115,4,FALSE),"")</f>
        <v/>
      </c>
      <c r="AT1837" s="65" t="str">
        <f>IFERROR(VLOOKUP(#REF!,[1]Lookup!$B$2:$E$115,2,FALSE),"")</f>
        <v/>
      </c>
      <c r="AU1837" s="65" t="str">
        <f>IFERROR(VLOOKUP(#REF!,[1]Lookup!$B$2:$E$115,3,FALSE),"")</f>
        <v/>
      </c>
    </row>
    <row r="1838" spans="31:47" x14ac:dyDescent="0.3">
      <c r="AE1838" s="204" t="s">
        <v>398</v>
      </c>
      <c r="AF1838" s="204" t="s">
        <v>398</v>
      </c>
      <c r="AG1838" s="204" t="s">
        <v>398</v>
      </c>
      <c r="AS1838" s="65" t="str">
        <f>IFERROR(VLOOKUP(#REF!,[1]Lookup!$B$2:$E$115,4,FALSE),"")</f>
        <v/>
      </c>
      <c r="AT1838" s="65" t="str">
        <f>IFERROR(VLOOKUP(#REF!,[1]Lookup!$B$2:$E$115,2,FALSE),"")</f>
        <v/>
      </c>
      <c r="AU1838" s="65" t="str">
        <f>IFERROR(VLOOKUP(#REF!,[1]Lookup!$B$2:$E$115,3,FALSE),"")</f>
        <v/>
      </c>
    </row>
    <row r="1839" spans="31:47" x14ac:dyDescent="0.3">
      <c r="AE1839" s="204" t="s">
        <v>398</v>
      </c>
      <c r="AF1839" s="204" t="s">
        <v>398</v>
      </c>
      <c r="AG1839" s="204" t="s">
        <v>398</v>
      </c>
      <c r="AS1839" s="65" t="str">
        <f>IFERROR(VLOOKUP(#REF!,[1]Lookup!$B$2:$E$115,4,FALSE),"")</f>
        <v/>
      </c>
      <c r="AT1839" s="65" t="str">
        <f>IFERROR(VLOOKUP(#REF!,[1]Lookup!$B$2:$E$115,2,FALSE),"")</f>
        <v/>
      </c>
      <c r="AU1839" s="65" t="str">
        <f>IFERROR(VLOOKUP(#REF!,[1]Lookup!$B$2:$E$115,3,FALSE),"")</f>
        <v/>
      </c>
    </row>
    <row r="1840" spans="31:47" x14ac:dyDescent="0.3">
      <c r="AE1840" s="204" t="s">
        <v>398</v>
      </c>
      <c r="AF1840" s="204" t="s">
        <v>398</v>
      </c>
      <c r="AG1840" s="204" t="s">
        <v>398</v>
      </c>
      <c r="AS1840" s="65" t="str">
        <f>IFERROR(VLOOKUP(#REF!,[1]Lookup!$B$2:$E$115,4,FALSE),"")</f>
        <v/>
      </c>
      <c r="AT1840" s="65" t="str">
        <f>IFERROR(VLOOKUP(#REF!,[1]Lookup!$B$2:$E$115,2,FALSE),"")</f>
        <v/>
      </c>
      <c r="AU1840" s="65" t="str">
        <f>IFERROR(VLOOKUP(#REF!,[1]Lookup!$B$2:$E$115,3,FALSE),"")</f>
        <v/>
      </c>
    </row>
    <row r="1841" spans="31:47" x14ac:dyDescent="0.3">
      <c r="AE1841" s="204" t="s">
        <v>398</v>
      </c>
      <c r="AF1841" s="204" t="s">
        <v>398</v>
      </c>
      <c r="AG1841" s="204" t="s">
        <v>398</v>
      </c>
      <c r="AS1841" s="65" t="str">
        <f>IFERROR(VLOOKUP(#REF!,[1]Lookup!$B$2:$E$115,4,FALSE),"")</f>
        <v/>
      </c>
      <c r="AT1841" s="65" t="str">
        <f>IFERROR(VLOOKUP(#REF!,[1]Lookup!$B$2:$E$115,2,FALSE),"")</f>
        <v/>
      </c>
      <c r="AU1841" s="65" t="str">
        <f>IFERROR(VLOOKUP(#REF!,[1]Lookup!$B$2:$E$115,3,FALSE),"")</f>
        <v/>
      </c>
    </row>
    <row r="1842" spans="31:47" x14ac:dyDescent="0.3">
      <c r="AE1842" s="204" t="s">
        <v>398</v>
      </c>
      <c r="AF1842" s="204" t="s">
        <v>398</v>
      </c>
      <c r="AG1842" s="204" t="s">
        <v>398</v>
      </c>
      <c r="AS1842" s="65" t="str">
        <f>IFERROR(VLOOKUP(#REF!,[1]Lookup!$B$2:$E$115,4,FALSE),"")</f>
        <v/>
      </c>
      <c r="AT1842" s="65" t="str">
        <f>IFERROR(VLOOKUP(#REF!,[1]Lookup!$B$2:$E$115,2,FALSE),"")</f>
        <v/>
      </c>
      <c r="AU1842" s="65" t="str">
        <f>IFERROR(VLOOKUP(#REF!,[1]Lookup!$B$2:$E$115,3,FALSE),"")</f>
        <v/>
      </c>
    </row>
    <row r="1843" spans="31:47" x14ac:dyDescent="0.3">
      <c r="AE1843" s="204" t="s">
        <v>398</v>
      </c>
      <c r="AF1843" s="204" t="s">
        <v>398</v>
      </c>
      <c r="AG1843" s="204" t="s">
        <v>398</v>
      </c>
      <c r="AS1843" s="65" t="str">
        <f>IFERROR(VLOOKUP(#REF!,[1]Lookup!$B$2:$E$115,4,FALSE),"")</f>
        <v/>
      </c>
      <c r="AT1843" s="65" t="str">
        <f>IFERROR(VLOOKUP(#REF!,[1]Lookup!$B$2:$E$115,2,FALSE),"")</f>
        <v/>
      </c>
      <c r="AU1843" s="65" t="str">
        <f>IFERROR(VLOOKUP(#REF!,[1]Lookup!$B$2:$E$115,3,FALSE),"")</f>
        <v/>
      </c>
    </row>
    <row r="1844" spans="31:47" x14ac:dyDescent="0.3">
      <c r="AE1844" s="204" t="s">
        <v>398</v>
      </c>
      <c r="AF1844" s="204" t="s">
        <v>398</v>
      </c>
      <c r="AG1844" s="204" t="s">
        <v>398</v>
      </c>
      <c r="AS1844" s="65" t="str">
        <f>IFERROR(VLOOKUP(#REF!,[1]Lookup!$B$2:$E$115,4,FALSE),"")</f>
        <v/>
      </c>
      <c r="AT1844" s="65" t="str">
        <f>IFERROR(VLOOKUP(#REF!,[1]Lookup!$B$2:$E$115,2,FALSE),"")</f>
        <v/>
      </c>
      <c r="AU1844" s="65" t="str">
        <f>IFERROR(VLOOKUP(#REF!,[1]Lookup!$B$2:$E$115,3,FALSE),"")</f>
        <v/>
      </c>
    </row>
    <row r="1845" spans="31:47" x14ac:dyDescent="0.3">
      <c r="AE1845" s="204" t="s">
        <v>398</v>
      </c>
      <c r="AF1845" s="204" t="s">
        <v>398</v>
      </c>
      <c r="AG1845" s="204" t="s">
        <v>398</v>
      </c>
      <c r="AS1845" s="65" t="str">
        <f>IFERROR(VLOOKUP(#REF!,[1]Lookup!$B$2:$E$115,4,FALSE),"")</f>
        <v/>
      </c>
      <c r="AT1845" s="65" t="str">
        <f>IFERROR(VLOOKUP(#REF!,[1]Lookup!$B$2:$E$115,2,FALSE),"")</f>
        <v/>
      </c>
      <c r="AU1845" s="65" t="str">
        <f>IFERROR(VLOOKUP(#REF!,[1]Lookup!$B$2:$E$115,3,FALSE),"")</f>
        <v/>
      </c>
    </row>
    <row r="1846" spans="31:47" x14ac:dyDescent="0.3">
      <c r="AE1846" s="204" t="s">
        <v>398</v>
      </c>
      <c r="AF1846" s="204" t="s">
        <v>398</v>
      </c>
      <c r="AG1846" s="204" t="s">
        <v>398</v>
      </c>
      <c r="AS1846" s="65" t="str">
        <f>IFERROR(VLOOKUP(#REF!,[1]Lookup!$B$2:$E$115,4,FALSE),"")</f>
        <v/>
      </c>
      <c r="AT1846" s="65" t="str">
        <f>IFERROR(VLOOKUP(#REF!,[1]Lookup!$B$2:$E$115,2,FALSE),"")</f>
        <v/>
      </c>
      <c r="AU1846" s="65" t="str">
        <f>IFERROR(VLOOKUP(#REF!,[1]Lookup!$B$2:$E$115,3,FALSE),"")</f>
        <v/>
      </c>
    </row>
    <row r="1847" spans="31:47" x14ac:dyDescent="0.3">
      <c r="AE1847" s="204" t="s">
        <v>398</v>
      </c>
      <c r="AF1847" s="204" t="s">
        <v>398</v>
      </c>
      <c r="AG1847" s="204" t="s">
        <v>398</v>
      </c>
      <c r="AS1847" s="65" t="str">
        <f>IFERROR(VLOOKUP(#REF!,[1]Lookup!$B$2:$E$115,4,FALSE),"")</f>
        <v/>
      </c>
      <c r="AT1847" s="65" t="str">
        <f>IFERROR(VLOOKUP(#REF!,[1]Lookup!$B$2:$E$115,2,FALSE),"")</f>
        <v/>
      </c>
      <c r="AU1847" s="65" t="str">
        <f>IFERROR(VLOOKUP(#REF!,[1]Lookup!$B$2:$E$115,3,FALSE),"")</f>
        <v/>
      </c>
    </row>
    <row r="1848" spans="31:47" x14ac:dyDescent="0.3">
      <c r="AE1848" s="204" t="s">
        <v>398</v>
      </c>
      <c r="AF1848" s="204" t="s">
        <v>398</v>
      </c>
      <c r="AG1848" s="204" t="s">
        <v>398</v>
      </c>
      <c r="AS1848" s="65" t="str">
        <f>IFERROR(VLOOKUP(#REF!,[1]Lookup!$B$2:$E$115,4,FALSE),"")</f>
        <v/>
      </c>
      <c r="AT1848" s="65" t="str">
        <f>IFERROR(VLOOKUP(#REF!,[1]Lookup!$B$2:$E$115,2,FALSE),"")</f>
        <v/>
      </c>
      <c r="AU1848" s="65" t="str">
        <f>IFERROR(VLOOKUP(#REF!,[1]Lookup!$B$2:$E$115,3,FALSE),"")</f>
        <v/>
      </c>
    </row>
    <row r="1849" spans="31:47" x14ac:dyDescent="0.3">
      <c r="AE1849" s="204" t="s">
        <v>398</v>
      </c>
      <c r="AF1849" s="204" t="s">
        <v>398</v>
      </c>
      <c r="AG1849" s="204" t="s">
        <v>398</v>
      </c>
      <c r="AS1849" s="65" t="str">
        <f>IFERROR(VLOOKUP(#REF!,[1]Lookup!$B$2:$E$115,4,FALSE),"")</f>
        <v/>
      </c>
      <c r="AT1849" s="65" t="str">
        <f>IFERROR(VLOOKUP(#REF!,[1]Lookup!$B$2:$E$115,2,FALSE),"")</f>
        <v/>
      </c>
      <c r="AU1849" s="65" t="str">
        <f>IFERROR(VLOOKUP(#REF!,[1]Lookup!$B$2:$E$115,3,FALSE),"")</f>
        <v/>
      </c>
    </row>
    <row r="1850" spans="31:47" x14ac:dyDescent="0.3">
      <c r="AE1850" s="204" t="s">
        <v>398</v>
      </c>
      <c r="AF1850" s="204" t="s">
        <v>398</v>
      </c>
      <c r="AG1850" s="204" t="s">
        <v>398</v>
      </c>
      <c r="AS1850" s="65" t="str">
        <f>IFERROR(VLOOKUP(#REF!,[1]Lookup!$B$2:$E$115,4,FALSE),"")</f>
        <v/>
      </c>
      <c r="AT1850" s="65" t="str">
        <f>IFERROR(VLOOKUP(#REF!,[1]Lookup!$B$2:$E$115,2,FALSE),"")</f>
        <v/>
      </c>
      <c r="AU1850" s="65" t="str">
        <f>IFERROR(VLOOKUP(#REF!,[1]Lookup!$B$2:$E$115,3,FALSE),"")</f>
        <v/>
      </c>
    </row>
    <row r="1851" spans="31:47" x14ac:dyDescent="0.3">
      <c r="AE1851" s="204" t="s">
        <v>398</v>
      </c>
      <c r="AF1851" s="204" t="s">
        <v>398</v>
      </c>
      <c r="AG1851" s="204" t="s">
        <v>398</v>
      </c>
      <c r="AS1851" s="65" t="str">
        <f>IFERROR(VLOOKUP(#REF!,[1]Lookup!$B$2:$E$115,4,FALSE),"")</f>
        <v/>
      </c>
      <c r="AT1851" s="65" t="str">
        <f>IFERROR(VLOOKUP(#REF!,[1]Lookup!$B$2:$E$115,2,FALSE),"")</f>
        <v/>
      </c>
      <c r="AU1851" s="65" t="str">
        <f>IFERROR(VLOOKUP(#REF!,[1]Lookup!$B$2:$E$115,3,FALSE),"")</f>
        <v/>
      </c>
    </row>
    <row r="1852" spans="31:47" x14ac:dyDescent="0.3">
      <c r="AE1852" s="204" t="s">
        <v>398</v>
      </c>
      <c r="AF1852" s="204" t="s">
        <v>398</v>
      </c>
      <c r="AG1852" s="204" t="s">
        <v>398</v>
      </c>
      <c r="AS1852" s="65" t="str">
        <f>IFERROR(VLOOKUP(#REF!,[1]Lookup!$B$2:$E$115,4,FALSE),"")</f>
        <v/>
      </c>
      <c r="AT1852" s="65" t="str">
        <f>IFERROR(VLOOKUP(#REF!,[1]Lookup!$B$2:$E$115,2,FALSE),"")</f>
        <v/>
      </c>
      <c r="AU1852" s="65" t="str">
        <f>IFERROR(VLOOKUP(#REF!,[1]Lookup!$B$2:$E$115,3,FALSE),"")</f>
        <v/>
      </c>
    </row>
    <row r="1853" spans="31:47" x14ac:dyDescent="0.3">
      <c r="AE1853" s="204" t="s">
        <v>398</v>
      </c>
      <c r="AF1853" s="204" t="s">
        <v>398</v>
      </c>
      <c r="AG1853" s="204" t="s">
        <v>398</v>
      </c>
      <c r="AS1853" s="65" t="str">
        <f>IFERROR(VLOOKUP(#REF!,[1]Lookup!$B$2:$E$115,4,FALSE),"")</f>
        <v/>
      </c>
      <c r="AT1853" s="65" t="str">
        <f>IFERROR(VLOOKUP(#REF!,[1]Lookup!$B$2:$E$115,2,FALSE),"")</f>
        <v/>
      </c>
      <c r="AU1853" s="65" t="str">
        <f>IFERROR(VLOOKUP(#REF!,[1]Lookup!$B$2:$E$115,3,FALSE),"")</f>
        <v/>
      </c>
    </row>
    <row r="1854" spans="31:47" x14ac:dyDescent="0.3">
      <c r="AE1854" s="204" t="s">
        <v>398</v>
      </c>
      <c r="AF1854" s="204" t="s">
        <v>398</v>
      </c>
      <c r="AG1854" s="204" t="s">
        <v>398</v>
      </c>
      <c r="AS1854" s="65" t="str">
        <f>IFERROR(VLOOKUP(#REF!,[1]Lookup!$B$2:$E$115,4,FALSE),"")</f>
        <v/>
      </c>
      <c r="AT1854" s="65" t="str">
        <f>IFERROR(VLOOKUP(#REF!,[1]Lookup!$B$2:$E$115,2,FALSE),"")</f>
        <v/>
      </c>
      <c r="AU1854" s="65" t="str">
        <f>IFERROR(VLOOKUP(#REF!,[1]Lookup!$B$2:$E$115,3,FALSE),"")</f>
        <v/>
      </c>
    </row>
    <row r="1855" spans="31:47" x14ac:dyDescent="0.3">
      <c r="AE1855" s="204" t="s">
        <v>398</v>
      </c>
      <c r="AF1855" s="204" t="s">
        <v>398</v>
      </c>
      <c r="AG1855" s="204" t="s">
        <v>398</v>
      </c>
      <c r="AS1855" s="65" t="str">
        <f>IFERROR(VLOOKUP(#REF!,[1]Lookup!$B$2:$E$115,4,FALSE),"")</f>
        <v/>
      </c>
      <c r="AT1855" s="65" t="str">
        <f>IFERROR(VLOOKUP(#REF!,[1]Lookup!$B$2:$E$115,2,FALSE),"")</f>
        <v/>
      </c>
      <c r="AU1855" s="65" t="str">
        <f>IFERROR(VLOOKUP(#REF!,[1]Lookup!$B$2:$E$115,3,FALSE),"")</f>
        <v/>
      </c>
    </row>
    <row r="1856" spans="31:47" x14ac:dyDescent="0.3">
      <c r="AE1856" s="204" t="s">
        <v>398</v>
      </c>
      <c r="AF1856" s="204" t="s">
        <v>398</v>
      </c>
      <c r="AG1856" s="204" t="s">
        <v>398</v>
      </c>
      <c r="AS1856" s="65" t="str">
        <f>IFERROR(VLOOKUP(#REF!,[1]Lookup!$B$2:$E$115,4,FALSE),"")</f>
        <v/>
      </c>
      <c r="AT1856" s="65" t="str">
        <f>IFERROR(VLOOKUP(#REF!,[1]Lookup!$B$2:$E$115,2,FALSE),"")</f>
        <v/>
      </c>
      <c r="AU1856" s="65" t="str">
        <f>IFERROR(VLOOKUP(#REF!,[1]Lookup!$B$2:$E$115,3,FALSE),"")</f>
        <v/>
      </c>
    </row>
    <row r="1857" spans="31:47" x14ac:dyDescent="0.3">
      <c r="AE1857" s="204" t="s">
        <v>398</v>
      </c>
      <c r="AF1857" s="204" t="s">
        <v>398</v>
      </c>
      <c r="AG1857" s="204" t="s">
        <v>398</v>
      </c>
      <c r="AS1857" s="65" t="str">
        <f>IFERROR(VLOOKUP(#REF!,[1]Lookup!$B$2:$E$115,4,FALSE),"")</f>
        <v/>
      </c>
      <c r="AT1857" s="65" t="str">
        <f>IFERROR(VLOOKUP(#REF!,[1]Lookup!$B$2:$E$115,2,FALSE),"")</f>
        <v/>
      </c>
      <c r="AU1857" s="65" t="str">
        <f>IFERROR(VLOOKUP(#REF!,[1]Lookup!$B$2:$E$115,3,FALSE),"")</f>
        <v/>
      </c>
    </row>
    <row r="1858" spans="31:47" x14ac:dyDescent="0.3">
      <c r="AE1858" s="204" t="s">
        <v>398</v>
      </c>
      <c r="AF1858" s="204" t="s">
        <v>398</v>
      </c>
      <c r="AG1858" s="204" t="s">
        <v>398</v>
      </c>
      <c r="AS1858" s="65" t="str">
        <f>IFERROR(VLOOKUP(#REF!,[1]Lookup!$B$2:$E$115,4,FALSE),"")</f>
        <v/>
      </c>
      <c r="AT1858" s="65" t="str">
        <f>IFERROR(VLOOKUP(#REF!,[1]Lookup!$B$2:$E$115,2,FALSE),"")</f>
        <v/>
      </c>
      <c r="AU1858" s="65" t="str">
        <f>IFERROR(VLOOKUP(#REF!,[1]Lookup!$B$2:$E$115,3,FALSE),"")</f>
        <v/>
      </c>
    </row>
    <row r="1859" spans="31:47" x14ac:dyDescent="0.3">
      <c r="AE1859" s="204" t="s">
        <v>398</v>
      </c>
      <c r="AF1859" s="204" t="s">
        <v>398</v>
      </c>
      <c r="AG1859" s="204" t="s">
        <v>398</v>
      </c>
      <c r="AS1859" s="65" t="str">
        <f>IFERROR(VLOOKUP(#REF!,[1]Lookup!$B$2:$E$115,4,FALSE),"")</f>
        <v/>
      </c>
      <c r="AT1859" s="65" t="str">
        <f>IFERROR(VLOOKUP(#REF!,[1]Lookup!$B$2:$E$115,2,FALSE),"")</f>
        <v/>
      </c>
      <c r="AU1859" s="65" t="str">
        <f>IFERROR(VLOOKUP(#REF!,[1]Lookup!$B$2:$E$115,3,FALSE),"")</f>
        <v/>
      </c>
    </row>
    <row r="1860" spans="31:47" x14ac:dyDescent="0.3">
      <c r="AE1860" s="204" t="s">
        <v>398</v>
      </c>
      <c r="AF1860" s="204" t="s">
        <v>398</v>
      </c>
      <c r="AG1860" s="204" t="s">
        <v>398</v>
      </c>
      <c r="AS1860" s="65" t="str">
        <f>IFERROR(VLOOKUP(#REF!,[1]Lookup!$B$2:$E$115,4,FALSE),"")</f>
        <v/>
      </c>
      <c r="AT1860" s="65" t="str">
        <f>IFERROR(VLOOKUP(#REF!,[1]Lookup!$B$2:$E$115,2,FALSE),"")</f>
        <v/>
      </c>
      <c r="AU1860" s="65" t="str">
        <f>IFERROR(VLOOKUP(#REF!,[1]Lookup!$B$2:$E$115,3,FALSE),"")</f>
        <v/>
      </c>
    </row>
    <row r="1861" spans="31:47" x14ac:dyDescent="0.3">
      <c r="AE1861" s="204" t="s">
        <v>398</v>
      </c>
      <c r="AF1861" s="204" t="s">
        <v>398</v>
      </c>
      <c r="AG1861" s="204" t="s">
        <v>398</v>
      </c>
      <c r="AS1861" s="65" t="str">
        <f>IFERROR(VLOOKUP(#REF!,[1]Lookup!$B$2:$E$115,4,FALSE),"")</f>
        <v/>
      </c>
      <c r="AT1861" s="65" t="str">
        <f>IFERROR(VLOOKUP(#REF!,[1]Lookup!$B$2:$E$115,2,FALSE),"")</f>
        <v/>
      </c>
      <c r="AU1861" s="65" t="str">
        <f>IFERROR(VLOOKUP(#REF!,[1]Lookup!$B$2:$E$115,3,FALSE),"")</f>
        <v/>
      </c>
    </row>
    <row r="1862" spans="31:47" x14ac:dyDescent="0.3">
      <c r="AE1862" s="204" t="s">
        <v>398</v>
      </c>
      <c r="AF1862" s="204" t="s">
        <v>398</v>
      </c>
      <c r="AG1862" s="204" t="s">
        <v>398</v>
      </c>
      <c r="AS1862" s="65" t="str">
        <f>IFERROR(VLOOKUP(#REF!,[1]Lookup!$B$2:$E$115,4,FALSE),"")</f>
        <v/>
      </c>
      <c r="AT1862" s="65" t="str">
        <f>IFERROR(VLOOKUP(#REF!,[1]Lookup!$B$2:$E$115,2,FALSE),"")</f>
        <v/>
      </c>
      <c r="AU1862" s="65" t="str">
        <f>IFERROR(VLOOKUP(#REF!,[1]Lookup!$B$2:$E$115,3,FALSE),"")</f>
        <v/>
      </c>
    </row>
    <row r="1863" spans="31:47" x14ac:dyDescent="0.3">
      <c r="AE1863" s="204" t="s">
        <v>398</v>
      </c>
      <c r="AF1863" s="204" t="s">
        <v>398</v>
      </c>
      <c r="AG1863" s="204" t="s">
        <v>398</v>
      </c>
      <c r="AS1863" s="65" t="str">
        <f>IFERROR(VLOOKUP(#REF!,[1]Lookup!$B$2:$E$115,4,FALSE),"")</f>
        <v/>
      </c>
      <c r="AT1863" s="65" t="str">
        <f>IFERROR(VLOOKUP(#REF!,[1]Lookup!$B$2:$E$115,2,FALSE),"")</f>
        <v/>
      </c>
      <c r="AU1863" s="65" t="str">
        <f>IFERROR(VLOOKUP(#REF!,[1]Lookup!$B$2:$E$115,3,FALSE),"")</f>
        <v/>
      </c>
    </row>
    <row r="1864" spans="31:47" x14ac:dyDescent="0.3">
      <c r="AE1864" s="204" t="s">
        <v>398</v>
      </c>
      <c r="AF1864" s="204" t="s">
        <v>398</v>
      </c>
      <c r="AG1864" s="204" t="s">
        <v>398</v>
      </c>
      <c r="AS1864" s="65" t="str">
        <f>IFERROR(VLOOKUP(#REF!,[1]Lookup!$B$2:$E$115,4,FALSE),"")</f>
        <v/>
      </c>
      <c r="AT1864" s="65" t="str">
        <f>IFERROR(VLOOKUP(#REF!,[1]Lookup!$B$2:$E$115,2,FALSE),"")</f>
        <v/>
      </c>
      <c r="AU1864" s="65" t="str">
        <f>IFERROR(VLOOKUP(#REF!,[1]Lookup!$B$2:$E$115,3,FALSE),"")</f>
        <v/>
      </c>
    </row>
    <row r="1865" spans="31:47" x14ac:dyDescent="0.3">
      <c r="AE1865" s="204" t="s">
        <v>398</v>
      </c>
      <c r="AF1865" s="204" t="s">
        <v>398</v>
      </c>
      <c r="AG1865" s="204" t="s">
        <v>398</v>
      </c>
      <c r="AS1865" s="65" t="str">
        <f>IFERROR(VLOOKUP(#REF!,[1]Lookup!$B$2:$E$115,4,FALSE),"")</f>
        <v/>
      </c>
      <c r="AT1865" s="65" t="str">
        <f>IFERROR(VLOOKUP(#REF!,[1]Lookup!$B$2:$E$115,2,FALSE),"")</f>
        <v/>
      </c>
      <c r="AU1865" s="65" t="str">
        <f>IFERROR(VLOOKUP(#REF!,[1]Lookup!$B$2:$E$115,3,FALSE),"")</f>
        <v/>
      </c>
    </row>
    <row r="1866" spans="31:47" x14ac:dyDescent="0.3">
      <c r="AE1866" s="204" t="s">
        <v>398</v>
      </c>
      <c r="AF1866" s="204" t="s">
        <v>398</v>
      </c>
      <c r="AG1866" s="204" t="s">
        <v>398</v>
      </c>
      <c r="AS1866" s="65" t="str">
        <f>IFERROR(VLOOKUP(#REF!,[1]Lookup!$B$2:$E$115,4,FALSE),"")</f>
        <v/>
      </c>
      <c r="AT1866" s="65" t="str">
        <f>IFERROR(VLOOKUP(#REF!,[1]Lookup!$B$2:$E$115,2,FALSE),"")</f>
        <v/>
      </c>
      <c r="AU1866" s="65" t="str">
        <f>IFERROR(VLOOKUP(#REF!,[1]Lookup!$B$2:$E$115,3,FALSE),"")</f>
        <v/>
      </c>
    </row>
    <row r="1867" spans="31:47" x14ac:dyDescent="0.3">
      <c r="AE1867" s="204" t="s">
        <v>398</v>
      </c>
      <c r="AF1867" s="204" t="s">
        <v>398</v>
      </c>
      <c r="AG1867" s="204" t="s">
        <v>398</v>
      </c>
      <c r="AS1867" s="65" t="str">
        <f>IFERROR(VLOOKUP(#REF!,[1]Lookup!$B$2:$E$115,4,FALSE),"")</f>
        <v/>
      </c>
      <c r="AT1867" s="65" t="str">
        <f>IFERROR(VLOOKUP(#REF!,[1]Lookup!$B$2:$E$115,2,FALSE),"")</f>
        <v/>
      </c>
      <c r="AU1867" s="65" t="str">
        <f>IFERROR(VLOOKUP(#REF!,[1]Lookup!$B$2:$E$115,3,FALSE),"")</f>
        <v/>
      </c>
    </row>
    <row r="1868" spans="31:47" x14ac:dyDescent="0.3">
      <c r="AE1868" s="204" t="s">
        <v>398</v>
      </c>
      <c r="AF1868" s="204" t="s">
        <v>398</v>
      </c>
      <c r="AG1868" s="204" t="s">
        <v>398</v>
      </c>
      <c r="AS1868" s="65" t="str">
        <f>IFERROR(VLOOKUP(#REF!,[1]Lookup!$B$2:$E$115,4,FALSE),"")</f>
        <v/>
      </c>
      <c r="AT1868" s="65" t="str">
        <f>IFERROR(VLOOKUP(#REF!,[1]Lookup!$B$2:$E$115,2,FALSE),"")</f>
        <v/>
      </c>
      <c r="AU1868" s="65" t="str">
        <f>IFERROR(VLOOKUP(#REF!,[1]Lookup!$B$2:$E$115,3,FALSE),"")</f>
        <v/>
      </c>
    </row>
    <row r="1869" spans="31:47" x14ac:dyDescent="0.3">
      <c r="AE1869" s="204" t="s">
        <v>398</v>
      </c>
      <c r="AF1869" s="204" t="s">
        <v>398</v>
      </c>
      <c r="AG1869" s="204" t="s">
        <v>398</v>
      </c>
      <c r="AS1869" s="65" t="str">
        <f>IFERROR(VLOOKUP(#REF!,[1]Lookup!$B$2:$E$115,4,FALSE),"")</f>
        <v/>
      </c>
      <c r="AT1869" s="65" t="str">
        <f>IFERROR(VLOOKUP(#REF!,[1]Lookup!$B$2:$E$115,2,FALSE),"")</f>
        <v/>
      </c>
      <c r="AU1869" s="65" t="str">
        <f>IFERROR(VLOOKUP(#REF!,[1]Lookup!$B$2:$E$115,3,FALSE),"")</f>
        <v/>
      </c>
    </row>
    <row r="1870" spans="31:47" x14ac:dyDescent="0.3">
      <c r="AE1870" s="204" t="s">
        <v>398</v>
      </c>
      <c r="AF1870" s="204" t="s">
        <v>398</v>
      </c>
      <c r="AG1870" s="204" t="s">
        <v>398</v>
      </c>
      <c r="AS1870" s="65" t="str">
        <f>IFERROR(VLOOKUP(#REF!,[1]Lookup!$B$2:$E$115,4,FALSE),"")</f>
        <v/>
      </c>
      <c r="AT1870" s="65" t="str">
        <f>IFERROR(VLOOKUP(#REF!,[1]Lookup!$B$2:$E$115,2,FALSE),"")</f>
        <v/>
      </c>
      <c r="AU1870" s="65" t="str">
        <f>IFERROR(VLOOKUP(#REF!,[1]Lookup!$B$2:$E$115,3,FALSE),"")</f>
        <v/>
      </c>
    </row>
    <row r="1871" spans="31:47" x14ac:dyDescent="0.3">
      <c r="AE1871" s="204" t="s">
        <v>398</v>
      </c>
      <c r="AF1871" s="204" t="s">
        <v>398</v>
      </c>
      <c r="AG1871" s="204" t="s">
        <v>398</v>
      </c>
      <c r="AS1871" s="65" t="str">
        <f>IFERROR(VLOOKUP(#REF!,[1]Lookup!$B$2:$E$115,4,FALSE),"")</f>
        <v/>
      </c>
      <c r="AT1871" s="65" t="str">
        <f>IFERROR(VLOOKUP(#REF!,[1]Lookup!$B$2:$E$115,2,FALSE),"")</f>
        <v/>
      </c>
      <c r="AU1871" s="65" t="str">
        <f>IFERROR(VLOOKUP(#REF!,[1]Lookup!$B$2:$E$115,3,FALSE),"")</f>
        <v/>
      </c>
    </row>
    <row r="1872" spans="31:47" x14ac:dyDescent="0.3">
      <c r="AE1872" s="204" t="s">
        <v>398</v>
      </c>
      <c r="AF1872" s="204" t="s">
        <v>398</v>
      </c>
      <c r="AG1872" s="204" t="s">
        <v>398</v>
      </c>
      <c r="AS1872" s="65" t="str">
        <f>IFERROR(VLOOKUP(#REF!,[1]Lookup!$B$2:$E$115,4,FALSE),"")</f>
        <v/>
      </c>
      <c r="AT1872" s="65" t="str">
        <f>IFERROR(VLOOKUP(#REF!,[1]Lookup!$B$2:$E$115,2,FALSE),"")</f>
        <v/>
      </c>
      <c r="AU1872" s="65" t="str">
        <f>IFERROR(VLOOKUP(#REF!,[1]Lookup!$B$2:$E$115,3,FALSE),"")</f>
        <v/>
      </c>
    </row>
    <row r="1873" spans="31:47" x14ac:dyDescent="0.3">
      <c r="AE1873" s="204" t="s">
        <v>398</v>
      </c>
      <c r="AF1873" s="204" t="s">
        <v>398</v>
      </c>
      <c r="AG1873" s="204" t="s">
        <v>398</v>
      </c>
      <c r="AS1873" s="65" t="str">
        <f>IFERROR(VLOOKUP(#REF!,[1]Lookup!$B$2:$E$115,4,FALSE),"")</f>
        <v/>
      </c>
      <c r="AT1873" s="65" t="str">
        <f>IFERROR(VLOOKUP(#REF!,[1]Lookup!$B$2:$E$115,2,FALSE),"")</f>
        <v/>
      </c>
      <c r="AU1873" s="65" t="str">
        <f>IFERROR(VLOOKUP(#REF!,[1]Lookup!$B$2:$E$115,3,FALSE),"")</f>
        <v/>
      </c>
    </row>
    <row r="1874" spans="31:47" x14ac:dyDescent="0.3">
      <c r="AE1874" s="204" t="s">
        <v>398</v>
      </c>
      <c r="AF1874" s="204" t="s">
        <v>398</v>
      </c>
      <c r="AG1874" s="204" t="s">
        <v>398</v>
      </c>
      <c r="AS1874" s="65" t="str">
        <f>IFERROR(VLOOKUP(#REF!,[1]Lookup!$B$2:$E$115,4,FALSE),"")</f>
        <v/>
      </c>
      <c r="AT1874" s="65" t="str">
        <f>IFERROR(VLOOKUP(#REF!,[1]Lookup!$B$2:$E$115,2,FALSE),"")</f>
        <v/>
      </c>
      <c r="AU1874" s="65" t="str">
        <f>IFERROR(VLOOKUP(#REF!,[1]Lookup!$B$2:$E$115,3,FALSE),"")</f>
        <v/>
      </c>
    </row>
    <row r="1875" spans="31:47" x14ac:dyDescent="0.3">
      <c r="AE1875" s="204" t="s">
        <v>398</v>
      </c>
      <c r="AF1875" s="204" t="s">
        <v>398</v>
      </c>
      <c r="AG1875" s="204" t="s">
        <v>398</v>
      </c>
      <c r="AS1875" s="65" t="str">
        <f>IFERROR(VLOOKUP(#REF!,[1]Lookup!$B$2:$E$115,4,FALSE),"")</f>
        <v/>
      </c>
      <c r="AT1875" s="65" t="str">
        <f>IFERROR(VLOOKUP(#REF!,[1]Lookup!$B$2:$E$115,2,FALSE),"")</f>
        <v/>
      </c>
      <c r="AU1875" s="65" t="str">
        <f>IFERROR(VLOOKUP(#REF!,[1]Lookup!$B$2:$E$115,3,FALSE),"")</f>
        <v/>
      </c>
    </row>
    <row r="1876" spans="31:47" x14ac:dyDescent="0.3">
      <c r="AE1876" s="204" t="s">
        <v>398</v>
      </c>
      <c r="AF1876" s="204" t="s">
        <v>398</v>
      </c>
      <c r="AG1876" s="204" t="s">
        <v>398</v>
      </c>
      <c r="AS1876" s="65" t="str">
        <f>IFERROR(VLOOKUP(#REF!,[1]Lookup!$B$2:$E$115,4,FALSE),"")</f>
        <v/>
      </c>
      <c r="AT1876" s="65" t="str">
        <f>IFERROR(VLOOKUP(#REF!,[1]Lookup!$B$2:$E$115,2,FALSE),"")</f>
        <v/>
      </c>
      <c r="AU1876" s="65" t="str">
        <f>IFERROR(VLOOKUP(#REF!,[1]Lookup!$B$2:$E$115,3,FALSE),"")</f>
        <v/>
      </c>
    </row>
    <row r="1877" spans="31:47" x14ac:dyDescent="0.3">
      <c r="AE1877" s="204" t="s">
        <v>398</v>
      </c>
      <c r="AF1877" s="204" t="s">
        <v>398</v>
      </c>
      <c r="AG1877" s="204" t="s">
        <v>398</v>
      </c>
      <c r="AS1877" s="65" t="str">
        <f>IFERROR(VLOOKUP(#REF!,[1]Lookup!$B$2:$E$115,4,FALSE),"")</f>
        <v/>
      </c>
      <c r="AT1877" s="65" t="str">
        <f>IFERROR(VLOOKUP(#REF!,[1]Lookup!$B$2:$E$115,2,FALSE),"")</f>
        <v/>
      </c>
      <c r="AU1877" s="65" t="str">
        <f>IFERROR(VLOOKUP(#REF!,[1]Lookup!$B$2:$E$115,3,FALSE),"")</f>
        <v/>
      </c>
    </row>
    <row r="1878" spans="31:47" x14ac:dyDescent="0.3">
      <c r="AE1878" s="204" t="s">
        <v>398</v>
      </c>
      <c r="AF1878" s="204" t="s">
        <v>398</v>
      </c>
      <c r="AG1878" s="204" t="s">
        <v>398</v>
      </c>
      <c r="AS1878" s="65" t="str">
        <f>IFERROR(VLOOKUP(#REF!,[1]Lookup!$B$2:$E$115,4,FALSE),"")</f>
        <v/>
      </c>
      <c r="AT1878" s="65" t="str">
        <f>IFERROR(VLOOKUP(#REF!,[1]Lookup!$B$2:$E$115,2,FALSE),"")</f>
        <v/>
      </c>
      <c r="AU1878" s="65" t="str">
        <f>IFERROR(VLOOKUP(#REF!,[1]Lookup!$B$2:$E$115,3,FALSE),"")</f>
        <v/>
      </c>
    </row>
    <row r="1879" spans="31:47" x14ac:dyDescent="0.3">
      <c r="AE1879" s="204" t="s">
        <v>398</v>
      </c>
      <c r="AF1879" s="204" t="s">
        <v>398</v>
      </c>
      <c r="AG1879" s="204" t="s">
        <v>398</v>
      </c>
      <c r="AS1879" s="65" t="str">
        <f>IFERROR(VLOOKUP(#REF!,[1]Lookup!$B$2:$E$115,4,FALSE),"")</f>
        <v/>
      </c>
      <c r="AT1879" s="65" t="str">
        <f>IFERROR(VLOOKUP(#REF!,[1]Lookup!$B$2:$E$115,2,FALSE),"")</f>
        <v/>
      </c>
      <c r="AU1879" s="65" t="str">
        <f>IFERROR(VLOOKUP(#REF!,[1]Lookup!$B$2:$E$115,3,FALSE),"")</f>
        <v/>
      </c>
    </row>
    <row r="1880" spans="31:47" x14ac:dyDescent="0.3">
      <c r="AE1880" s="204" t="s">
        <v>398</v>
      </c>
      <c r="AF1880" s="204" t="s">
        <v>398</v>
      </c>
      <c r="AG1880" s="204" t="s">
        <v>398</v>
      </c>
      <c r="AS1880" s="65" t="str">
        <f>IFERROR(VLOOKUP(#REF!,[1]Lookup!$B$2:$E$115,4,FALSE),"")</f>
        <v/>
      </c>
      <c r="AT1880" s="65" t="str">
        <f>IFERROR(VLOOKUP(#REF!,[1]Lookup!$B$2:$E$115,2,FALSE),"")</f>
        <v/>
      </c>
      <c r="AU1880" s="65" t="str">
        <f>IFERROR(VLOOKUP(#REF!,[1]Lookup!$B$2:$E$115,3,FALSE),"")</f>
        <v/>
      </c>
    </row>
    <row r="1881" spans="31:47" x14ac:dyDescent="0.3">
      <c r="AE1881" s="204" t="s">
        <v>398</v>
      </c>
      <c r="AF1881" s="204" t="s">
        <v>398</v>
      </c>
      <c r="AG1881" s="204" t="s">
        <v>398</v>
      </c>
      <c r="AS1881" s="65" t="str">
        <f>IFERROR(VLOOKUP(#REF!,[1]Lookup!$B$2:$E$115,4,FALSE),"")</f>
        <v/>
      </c>
      <c r="AT1881" s="65" t="str">
        <f>IFERROR(VLOOKUP(#REF!,[1]Lookup!$B$2:$E$115,2,FALSE),"")</f>
        <v/>
      </c>
      <c r="AU1881" s="65" t="str">
        <f>IFERROR(VLOOKUP(#REF!,[1]Lookup!$B$2:$E$115,3,FALSE),"")</f>
        <v/>
      </c>
    </row>
    <row r="1882" spans="31:47" x14ac:dyDescent="0.3">
      <c r="AE1882" s="204" t="s">
        <v>398</v>
      </c>
      <c r="AF1882" s="204" t="s">
        <v>398</v>
      </c>
      <c r="AG1882" s="204" t="s">
        <v>398</v>
      </c>
      <c r="AS1882" s="65" t="str">
        <f>IFERROR(VLOOKUP(#REF!,[1]Lookup!$B$2:$E$115,4,FALSE),"")</f>
        <v/>
      </c>
      <c r="AT1882" s="65" t="str">
        <f>IFERROR(VLOOKUP(#REF!,[1]Lookup!$B$2:$E$115,2,FALSE),"")</f>
        <v/>
      </c>
      <c r="AU1882" s="65" t="str">
        <f>IFERROR(VLOOKUP(#REF!,[1]Lookup!$B$2:$E$115,3,FALSE),"")</f>
        <v/>
      </c>
    </row>
    <row r="1883" spans="31:47" x14ac:dyDescent="0.3">
      <c r="AE1883" s="204" t="s">
        <v>398</v>
      </c>
      <c r="AF1883" s="204" t="s">
        <v>398</v>
      </c>
      <c r="AG1883" s="204" t="s">
        <v>398</v>
      </c>
      <c r="AS1883" s="65" t="str">
        <f>IFERROR(VLOOKUP(#REF!,[1]Lookup!$B$2:$E$115,4,FALSE),"")</f>
        <v/>
      </c>
      <c r="AT1883" s="65" t="str">
        <f>IFERROR(VLOOKUP(#REF!,[1]Lookup!$B$2:$E$115,2,FALSE),"")</f>
        <v/>
      </c>
      <c r="AU1883" s="65" t="str">
        <f>IFERROR(VLOOKUP(#REF!,[1]Lookup!$B$2:$E$115,3,FALSE),"")</f>
        <v/>
      </c>
    </row>
    <row r="1884" spans="31:47" x14ac:dyDescent="0.3">
      <c r="AE1884" s="204" t="s">
        <v>398</v>
      </c>
      <c r="AF1884" s="204" t="s">
        <v>398</v>
      </c>
      <c r="AG1884" s="204" t="s">
        <v>398</v>
      </c>
      <c r="AS1884" s="65" t="str">
        <f>IFERROR(VLOOKUP(#REF!,[1]Lookup!$B$2:$E$115,4,FALSE),"")</f>
        <v/>
      </c>
      <c r="AT1884" s="65" t="str">
        <f>IFERROR(VLOOKUP(#REF!,[1]Lookup!$B$2:$E$115,2,FALSE),"")</f>
        <v/>
      </c>
      <c r="AU1884" s="65" t="str">
        <f>IFERROR(VLOOKUP(#REF!,[1]Lookup!$B$2:$E$115,3,FALSE),"")</f>
        <v/>
      </c>
    </row>
    <row r="1885" spans="31:47" x14ac:dyDescent="0.3">
      <c r="AE1885" s="204" t="s">
        <v>398</v>
      </c>
      <c r="AF1885" s="204" t="s">
        <v>398</v>
      </c>
      <c r="AG1885" s="204" t="s">
        <v>398</v>
      </c>
      <c r="AS1885" s="65" t="str">
        <f>IFERROR(VLOOKUP(#REF!,[1]Lookup!$B$2:$E$115,4,FALSE),"")</f>
        <v/>
      </c>
      <c r="AT1885" s="65" t="str">
        <f>IFERROR(VLOOKUP(#REF!,[1]Lookup!$B$2:$E$115,2,FALSE),"")</f>
        <v/>
      </c>
      <c r="AU1885" s="65" t="str">
        <f>IFERROR(VLOOKUP(#REF!,[1]Lookup!$B$2:$E$115,3,FALSE),"")</f>
        <v/>
      </c>
    </row>
    <row r="1886" spans="31:47" x14ac:dyDescent="0.3">
      <c r="AE1886" s="204" t="s">
        <v>398</v>
      </c>
      <c r="AF1886" s="204" t="s">
        <v>398</v>
      </c>
      <c r="AG1886" s="204" t="s">
        <v>398</v>
      </c>
      <c r="AS1886" s="65" t="str">
        <f>IFERROR(VLOOKUP(#REF!,[1]Lookup!$B$2:$E$115,4,FALSE),"")</f>
        <v/>
      </c>
      <c r="AT1886" s="65" t="str">
        <f>IFERROR(VLOOKUP(#REF!,[1]Lookup!$B$2:$E$115,2,FALSE),"")</f>
        <v/>
      </c>
      <c r="AU1886" s="65" t="str">
        <f>IFERROR(VLOOKUP(#REF!,[1]Lookup!$B$2:$E$115,3,FALSE),"")</f>
        <v/>
      </c>
    </row>
    <row r="1887" spans="31:47" x14ac:dyDescent="0.3">
      <c r="AE1887" s="204" t="s">
        <v>398</v>
      </c>
      <c r="AF1887" s="204" t="s">
        <v>398</v>
      </c>
      <c r="AG1887" s="204" t="s">
        <v>398</v>
      </c>
      <c r="AS1887" s="65" t="str">
        <f>IFERROR(VLOOKUP(#REF!,[1]Lookup!$B$2:$E$115,4,FALSE),"")</f>
        <v/>
      </c>
      <c r="AT1887" s="65" t="str">
        <f>IFERROR(VLOOKUP(#REF!,[1]Lookup!$B$2:$E$115,2,FALSE),"")</f>
        <v/>
      </c>
      <c r="AU1887" s="65" t="str">
        <f>IFERROR(VLOOKUP(#REF!,[1]Lookup!$B$2:$E$115,3,FALSE),"")</f>
        <v/>
      </c>
    </row>
    <row r="1888" spans="31:47" x14ac:dyDescent="0.3">
      <c r="AE1888" s="204" t="s">
        <v>398</v>
      </c>
      <c r="AF1888" s="204" t="s">
        <v>398</v>
      </c>
      <c r="AG1888" s="204" t="s">
        <v>398</v>
      </c>
      <c r="AS1888" s="65" t="str">
        <f>IFERROR(VLOOKUP(#REF!,[1]Lookup!$B$2:$E$115,4,FALSE),"")</f>
        <v/>
      </c>
      <c r="AT1888" s="65" t="str">
        <f>IFERROR(VLOOKUP(#REF!,[1]Lookup!$B$2:$E$115,2,FALSE),"")</f>
        <v/>
      </c>
      <c r="AU1888" s="65" t="str">
        <f>IFERROR(VLOOKUP(#REF!,[1]Lookup!$B$2:$E$115,3,FALSE),"")</f>
        <v/>
      </c>
    </row>
    <row r="1889" spans="31:47" x14ac:dyDescent="0.3">
      <c r="AE1889" s="204" t="s">
        <v>398</v>
      </c>
      <c r="AF1889" s="204" t="s">
        <v>398</v>
      </c>
      <c r="AG1889" s="204" t="s">
        <v>398</v>
      </c>
      <c r="AS1889" s="65" t="str">
        <f>IFERROR(VLOOKUP(#REF!,[1]Lookup!$B$2:$E$115,4,FALSE),"")</f>
        <v/>
      </c>
      <c r="AT1889" s="65" t="str">
        <f>IFERROR(VLOOKUP(#REF!,[1]Lookup!$B$2:$E$115,2,FALSE),"")</f>
        <v/>
      </c>
      <c r="AU1889" s="65" t="str">
        <f>IFERROR(VLOOKUP(#REF!,[1]Lookup!$B$2:$E$115,3,FALSE),"")</f>
        <v/>
      </c>
    </row>
    <row r="1890" spans="31:47" x14ac:dyDescent="0.3">
      <c r="AE1890" s="204" t="s">
        <v>398</v>
      </c>
      <c r="AF1890" s="204" t="s">
        <v>398</v>
      </c>
      <c r="AG1890" s="204" t="s">
        <v>398</v>
      </c>
      <c r="AS1890" s="65" t="str">
        <f>IFERROR(VLOOKUP(#REF!,[1]Lookup!$B$2:$E$115,4,FALSE),"")</f>
        <v/>
      </c>
      <c r="AT1890" s="65" t="str">
        <f>IFERROR(VLOOKUP(#REF!,[1]Lookup!$B$2:$E$115,2,FALSE),"")</f>
        <v/>
      </c>
      <c r="AU1890" s="65" t="str">
        <f>IFERROR(VLOOKUP(#REF!,[1]Lookup!$B$2:$E$115,3,FALSE),"")</f>
        <v/>
      </c>
    </row>
    <row r="1891" spans="31:47" x14ac:dyDescent="0.3">
      <c r="AE1891" s="204" t="s">
        <v>398</v>
      </c>
      <c r="AF1891" s="204" t="s">
        <v>398</v>
      </c>
      <c r="AG1891" s="204" t="s">
        <v>398</v>
      </c>
      <c r="AS1891" s="65" t="str">
        <f>IFERROR(VLOOKUP(#REF!,[1]Lookup!$B$2:$E$115,4,FALSE),"")</f>
        <v/>
      </c>
      <c r="AT1891" s="65" t="str">
        <f>IFERROR(VLOOKUP(#REF!,[1]Lookup!$B$2:$E$115,2,FALSE),"")</f>
        <v/>
      </c>
      <c r="AU1891" s="65" t="str">
        <f>IFERROR(VLOOKUP(#REF!,[1]Lookup!$B$2:$E$115,3,FALSE),"")</f>
        <v/>
      </c>
    </row>
    <row r="1892" spans="31:47" x14ac:dyDescent="0.3">
      <c r="AE1892" s="204" t="s">
        <v>398</v>
      </c>
      <c r="AF1892" s="204" t="s">
        <v>398</v>
      </c>
      <c r="AG1892" s="204" t="s">
        <v>398</v>
      </c>
      <c r="AS1892" s="65" t="str">
        <f>IFERROR(VLOOKUP(#REF!,[1]Lookup!$B$2:$E$115,4,FALSE),"")</f>
        <v/>
      </c>
      <c r="AT1892" s="65" t="str">
        <f>IFERROR(VLOOKUP(#REF!,[1]Lookup!$B$2:$E$115,2,FALSE),"")</f>
        <v/>
      </c>
      <c r="AU1892" s="65" t="str">
        <f>IFERROR(VLOOKUP(#REF!,[1]Lookup!$B$2:$E$115,3,FALSE),"")</f>
        <v/>
      </c>
    </row>
    <row r="1893" spans="31:47" x14ac:dyDescent="0.3">
      <c r="AE1893" s="204" t="s">
        <v>398</v>
      </c>
      <c r="AF1893" s="204" t="s">
        <v>398</v>
      </c>
      <c r="AG1893" s="204" t="s">
        <v>398</v>
      </c>
      <c r="AS1893" s="65" t="str">
        <f>IFERROR(VLOOKUP(#REF!,[1]Lookup!$B$2:$E$115,4,FALSE),"")</f>
        <v/>
      </c>
      <c r="AT1893" s="65" t="str">
        <f>IFERROR(VLOOKUP(#REF!,[1]Lookup!$B$2:$E$115,2,FALSE),"")</f>
        <v/>
      </c>
      <c r="AU1893" s="65" t="str">
        <f>IFERROR(VLOOKUP(#REF!,[1]Lookup!$B$2:$E$115,3,FALSE),"")</f>
        <v/>
      </c>
    </row>
    <row r="1894" spans="31:47" x14ac:dyDescent="0.3">
      <c r="AE1894" s="204" t="s">
        <v>398</v>
      </c>
      <c r="AF1894" s="204" t="s">
        <v>398</v>
      </c>
      <c r="AG1894" s="204" t="s">
        <v>398</v>
      </c>
      <c r="AS1894" s="65" t="str">
        <f>IFERROR(VLOOKUP(#REF!,[1]Lookup!$B$2:$E$115,4,FALSE),"")</f>
        <v/>
      </c>
      <c r="AT1894" s="65" t="str">
        <f>IFERROR(VLOOKUP(#REF!,[1]Lookup!$B$2:$E$115,2,FALSE),"")</f>
        <v/>
      </c>
      <c r="AU1894" s="65" t="str">
        <f>IFERROR(VLOOKUP(#REF!,[1]Lookup!$B$2:$E$115,3,FALSE),"")</f>
        <v/>
      </c>
    </row>
    <row r="1895" spans="31:47" x14ac:dyDescent="0.3">
      <c r="AE1895" s="204" t="s">
        <v>398</v>
      </c>
      <c r="AF1895" s="204" t="s">
        <v>398</v>
      </c>
      <c r="AG1895" s="204" t="s">
        <v>398</v>
      </c>
      <c r="AS1895" s="65" t="str">
        <f>IFERROR(VLOOKUP(#REF!,[1]Lookup!$B$2:$E$115,4,FALSE),"")</f>
        <v/>
      </c>
      <c r="AT1895" s="65" t="str">
        <f>IFERROR(VLOOKUP(#REF!,[1]Lookup!$B$2:$E$115,2,FALSE),"")</f>
        <v/>
      </c>
      <c r="AU1895" s="65" t="str">
        <f>IFERROR(VLOOKUP(#REF!,[1]Lookup!$B$2:$E$115,3,FALSE),"")</f>
        <v/>
      </c>
    </row>
    <row r="1896" spans="31:47" x14ac:dyDescent="0.3">
      <c r="AE1896" s="204" t="s">
        <v>398</v>
      </c>
      <c r="AF1896" s="204" t="s">
        <v>398</v>
      </c>
      <c r="AG1896" s="204" t="s">
        <v>398</v>
      </c>
      <c r="AS1896" s="65" t="str">
        <f>IFERROR(VLOOKUP(#REF!,[1]Lookup!$B$2:$E$115,4,FALSE),"")</f>
        <v/>
      </c>
      <c r="AT1896" s="65" t="str">
        <f>IFERROR(VLOOKUP(#REF!,[1]Lookup!$B$2:$E$115,2,FALSE),"")</f>
        <v/>
      </c>
      <c r="AU1896" s="65" t="str">
        <f>IFERROR(VLOOKUP(#REF!,[1]Lookup!$B$2:$E$115,3,FALSE),"")</f>
        <v/>
      </c>
    </row>
    <row r="1897" spans="31:47" x14ac:dyDescent="0.3">
      <c r="AE1897" s="204" t="s">
        <v>398</v>
      </c>
      <c r="AF1897" s="204" t="s">
        <v>398</v>
      </c>
      <c r="AG1897" s="204" t="s">
        <v>398</v>
      </c>
      <c r="AS1897" s="65" t="str">
        <f>IFERROR(VLOOKUP(#REF!,[1]Lookup!$B$2:$E$115,4,FALSE),"")</f>
        <v/>
      </c>
      <c r="AT1897" s="65" t="str">
        <f>IFERROR(VLOOKUP(#REF!,[1]Lookup!$B$2:$E$115,2,FALSE),"")</f>
        <v/>
      </c>
      <c r="AU1897" s="65" t="str">
        <f>IFERROR(VLOOKUP(#REF!,[1]Lookup!$B$2:$E$115,3,FALSE),"")</f>
        <v/>
      </c>
    </row>
    <row r="1898" spans="31:47" x14ac:dyDescent="0.3">
      <c r="AE1898" s="204" t="s">
        <v>398</v>
      </c>
      <c r="AF1898" s="204" t="s">
        <v>398</v>
      </c>
      <c r="AG1898" s="204" t="s">
        <v>398</v>
      </c>
      <c r="AS1898" s="65" t="str">
        <f>IFERROR(VLOOKUP(#REF!,[1]Lookup!$B$2:$E$115,4,FALSE),"")</f>
        <v/>
      </c>
      <c r="AT1898" s="65" t="str">
        <f>IFERROR(VLOOKUP(#REF!,[1]Lookup!$B$2:$E$115,2,FALSE),"")</f>
        <v/>
      </c>
      <c r="AU1898" s="65" t="str">
        <f>IFERROR(VLOOKUP(#REF!,[1]Lookup!$B$2:$E$115,3,FALSE),"")</f>
        <v/>
      </c>
    </row>
    <row r="1899" spans="31:47" x14ac:dyDescent="0.3">
      <c r="AE1899" s="204" t="s">
        <v>398</v>
      </c>
      <c r="AF1899" s="204" t="s">
        <v>398</v>
      </c>
      <c r="AG1899" s="204" t="s">
        <v>398</v>
      </c>
      <c r="AS1899" s="65" t="str">
        <f>IFERROR(VLOOKUP(#REF!,[1]Lookup!$B$2:$E$115,4,FALSE),"")</f>
        <v/>
      </c>
      <c r="AT1899" s="65" t="str">
        <f>IFERROR(VLOOKUP(#REF!,[1]Lookup!$B$2:$E$115,2,FALSE),"")</f>
        <v/>
      </c>
      <c r="AU1899" s="65" t="str">
        <f>IFERROR(VLOOKUP(#REF!,[1]Lookup!$B$2:$E$115,3,FALSE),"")</f>
        <v/>
      </c>
    </row>
    <row r="1900" spans="31:47" x14ac:dyDescent="0.3">
      <c r="AE1900" s="204" t="s">
        <v>398</v>
      </c>
      <c r="AF1900" s="204" t="s">
        <v>398</v>
      </c>
      <c r="AG1900" s="204" t="s">
        <v>398</v>
      </c>
      <c r="AS1900" s="65" t="str">
        <f>IFERROR(VLOOKUP(#REF!,[1]Lookup!$B$2:$E$115,4,FALSE),"")</f>
        <v/>
      </c>
      <c r="AT1900" s="65" t="str">
        <f>IFERROR(VLOOKUP(#REF!,[1]Lookup!$B$2:$E$115,2,FALSE),"")</f>
        <v/>
      </c>
      <c r="AU1900" s="65" t="str">
        <f>IFERROR(VLOOKUP(#REF!,[1]Lookup!$B$2:$E$115,3,FALSE),"")</f>
        <v/>
      </c>
    </row>
    <row r="1901" spans="31:47" x14ac:dyDescent="0.3">
      <c r="AE1901" s="204" t="s">
        <v>398</v>
      </c>
      <c r="AF1901" s="204" t="s">
        <v>398</v>
      </c>
      <c r="AG1901" s="204" t="s">
        <v>398</v>
      </c>
      <c r="AS1901" s="65" t="str">
        <f>IFERROR(VLOOKUP(#REF!,[1]Lookup!$B$2:$E$115,4,FALSE),"")</f>
        <v/>
      </c>
      <c r="AT1901" s="65" t="str">
        <f>IFERROR(VLOOKUP(#REF!,[1]Lookup!$B$2:$E$115,2,FALSE),"")</f>
        <v/>
      </c>
      <c r="AU1901" s="65" t="str">
        <f>IFERROR(VLOOKUP(#REF!,[1]Lookup!$B$2:$E$115,3,FALSE),"")</f>
        <v/>
      </c>
    </row>
    <row r="1902" spans="31:47" x14ac:dyDescent="0.3">
      <c r="AE1902" s="204" t="s">
        <v>398</v>
      </c>
      <c r="AF1902" s="204" t="s">
        <v>398</v>
      </c>
      <c r="AG1902" s="204" t="s">
        <v>398</v>
      </c>
      <c r="AS1902" s="65" t="str">
        <f>IFERROR(VLOOKUP(#REF!,[1]Lookup!$B$2:$E$115,4,FALSE),"")</f>
        <v/>
      </c>
      <c r="AT1902" s="65" t="str">
        <f>IFERROR(VLOOKUP(#REF!,[1]Lookup!$B$2:$E$115,2,FALSE),"")</f>
        <v/>
      </c>
      <c r="AU1902" s="65" t="str">
        <f>IFERROR(VLOOKUP(#REF!,[1]Lookup!$B$2:$E$115,3,FALSE),"")</f>
        <v/>
      </c>
    </row>
    <row r="1903" spans="31:47" x14ac:dyDescent="0.3">
      <c r="AE1903" s="204" t="s">
        <v>398</v>
      </c>
      <c r="AF1903" s="204" t="s">
        <v>398</v>
      </c>
      <c r="AG1903" s="204" t="s">
        <v>398</v>
      </c>
      <c r="AS1903" s="65" t="str">
        <f>IFERROR(VLOOKUP(#REF!,[1]Lookup!$B$2:$E$115,4,FALSE),"")</f>
        <v/>
      </c>
      <c r="AT1903" s="65" t="str">
        <f>IFERROR(VLOOKUP(#REF!,[1]Lookup!$B$2:$E$115,2,FALSE),"")</f>
        <v/>
      </c>
      <c r="AU1903" s="65" t="str">
        <f>IFERROR(VLOOKUP(#REF!,[1]Lookup!$B$2:$E$115,3,FALSE),"")</f>
        <v/>
      </c>
    </row>
    <row r="1904" spans="31:47" x14ac:dyDescent="0.3">
      <c r="AE1904" s="204" t="s">
        <v>398</v>
      </c>
      <c r="AF1904" s="204" t="s">
        <v>398</v>
      </c>
      <c r="AG1904" s="204" t="s">
        <v>398</v>
      </c>
      <c r="AS1904" s="65" t="str">
        <f>IFERROR(VLOOKUP(#REF!,[1]Lookup!$B$2:$E$115,4,FALSE),"")</f>
        <v/>
      </c>
      <c r="AT1904" s="65" t="str">
        <f>IFERROR(VLOOKUP(#REF!,[1]Lookup!$B$2:$E$115,2,FALSE),"")</f>
        <v/>
      </c>
      <c r="AU1904" s="65" t="str">
        <f>IFERROR(VLOOKUP(#REF!,[1]Lookup!$B$2:$E$115,3,FALSE),"")</f>
        <v/>
      </c>
    </row>
    <row r="1905" spans="31:47" x14ac:dyDescent="0.3">
      <c r="AE1905" s="204" t="s">
        <v>398</v>
      </c>
      <c r="AF1905" s="204" t="s">
        <v>398</v>
      </c>
      <c r="AG1905" s="204" t="s">
        <v>398</v>
      </c>
      <c r="AS1905" s="65" t="str">
        <f>IFERROR(VLOOKUP(#REF!,[1]Lookup!$B$2:$E$115,4,FALSE),"")</f>
        <v/>
      </c>
      <c r="AT1905" s="65" t="str">
        <f>IFERROR(VLOOKUP(#REF!,[1]Lookup!$B$2:$E$115,2,FALSE),"")</f>
        <v/>
      </c>
      <c r="AU1905" s="65" t="str">
        <f>IFERROR(VLOOKUP(#REF!,[1]Lookup!$B$2:$E$115,3,FALSE),"")</f>
        <v/>
      </c>
    </row>
    <row r="1906" spans="31:47" x14ac:dyDescent="0.3">
      <c r="AE1906" s="204" t="s">
        <v>398</v>
      </c>
      <c r="AF1906" s="204" t="s">
        <v>398</v>
      </c>
      <c r="AG1906" s="204" t="s">
        <v>398</v>
      </c>
      <c r="AS1906" s="65" t="str">
        <f>IFERROR(VLOOKUP(#REF!,[1]Lookup!$B$2:$E$115,4,FALSE),"")</f>
        <v/>
      </c>
      <c r="AT1906" s="65" t="str">
        <f>IFERROR(VLOOKUP(#REF!,[1]Lookup!$B$2:$E$115,2,FALSE),"")</f>
        <v/>
      </c>
      <c r="AU1906" s="65" t="str">
        <f>IFERROR(VLOOKUP(#REF!,[1]Lookup!$B$2:$E$115,3,FALSE),"")</f>
        <v/>
      </c>
    </row>
    <row r="1907" spans="31:47" x14ac:dyDescent="0.3">
      <c r="AE1907" s="204" t="s">
        <v>398</v>
      </c>
      <c r="AF1907" s="204" t="s">
        <v>398</v>
      </c>
      <c r="AG1907" s="204" t="s">
        <v>398</v>
      </c>
      <c r="AS1907" s="65" t="str">
        <f>IFERROR(VLOOKUP(#REF!,[1]Lookup!$B$2:$E$115,4,FALSE),"")</f>
        <v/>
      </c>
      <c r="AT1907" s="65" t="str">
        <f>IFERROR(VLOOKUP(#REF!,[1]Lookup!$B$2:$E$115,2,FALSE),"")</f>
        <v/>
      </c>
      <c r="AU1907" s="65" t="str">
        <f>IFERROR(VLOOKUP(#REF!,[1]Lookup!$B$2:$E$115,3,FALSE),"")</f>
        <v/>
      </c>
    </row>
    <row r="1908" spans="31:47" x14ac:dyDescent="0.3">
      <c r="AE1908" s="204" t="s">
        <v>398</v>
      </c>
      <c r="AF1908" s="204" t="s">
        <v>398</v>
      </c>
      <c r="AG1908" s="204" t="s">
        <v>398</v>
      </c>
      <c r="AS1908" s="65" t="str">
        <f>IFERROR(VLOOKUP(#REF!,[1]Lookup!$B$2:$E$115,4,FALSE),"")</f>
        <v/>
      </c>
      <c r="AT1908" s="65" t="str">
        <f>IFERROR(VLOOKUP(#REF!,[1]Lookup!$B$2:$E$115,2,FALSE),"")</f>
        <v/>
      </c>
      <c r="AU1908" s="65" t="str">
        <f>IFERROR(VLOOKUP(#REF!,[1]Lookup!$B$2:$E$115,3,FALSE),"")</f>
        <v/>
      </c>
    </row>
    <row r="1909" spans="31:47" x14ac:dyDescent="0.3">
      <c r="AE1909" s="204" t="s">
        <v>398</v>
      </c>
      <c r="AF1909" s="204" t="s">
        <v>398</v>
      </c>
      <c r="AG1909" s="204" t="s">
        <v>398</v>
      </c>
      <c r="AS1909" s="65" t="str">
        <f>IFERROR(VLOOKUP(#REF!,[1]Lookup!$B$2:$E$115,4,FALSE),"")</f>
        <v/>
      </c>
      <c r="AT1909" s="65" t="str">
        <f>IFERROR(VLOOKUP(#REF!,[1]Lookup!$B$2:$E$115,2,FALSE),"")</f>
        <v/>
      </c>
      <c r="AU1909" s="65" t="str">
        <f>IFERROR(VLOOKUP(#REF!,[1]Lookup!$B$2:$E$115,3,FALSE),"")</f>
        <v/>
      </c>
    </row>
    <row r="1910" spans="31:47" x14ac:dyDescent="0.3">
      <c r="AE1910" s="204" t="s">
        <v>398</v>
      </c>
      <c r="AF1910" s="204" t="s">
        <v>398</v>
      </c>
      <c r="AG1910" s="204" t="s">
        <v>398</v>
      </c>
      <c r="AS1910" s="65" t="str">
        <f>IFERROR(VLOOKUP(#REF!,[1]Lookup!$B$2:$E$115,4,FALSE),"")</f>
        <v/>
      </c>
      <c r="AT1910" s="65" t="str">
        <f>IFERROR(VLOOKUP(#REF!,[1]Lookup!$B$2:$E$115,2,FALSE),"")</f>
        <v/>
      </c>
      <c r="AU1910" s="65" t="str">
        <f>IFERROR(VLOOKUP(#REF!,[1]Lookup!$B$2:$E$115,3,FALSE),"")</f>
        <v/>
      </c>
    </row>
    <row r="1911" spans="31:47" x14ac:dyDescent="0.3">
      <c r="AE1911" s="204" t="s">
        <v>398</v>
      </c>
      <c r="AF1911" s="204" t="s">
        <v>398</v>
      </c>
      <c r="AG1911" s="204" t="s">
        <v>398</v>
      </c>
      <c r="AS1911" s="65" t="str">
        <f>IFERROR(VLOOKUP(#REF!,[1]Lookup!$B$2:$E$115,4,FALSE),"")</f>
        <v/>
      </c>
      <c r="AT1911" s="65" t="str">
        <f>IFERROR(VLOOKUP(#REF!,[1]Lookup!$B$2:$E$115,2,FALSE),"")</f>
        <v/>
      </c>
      <c r="AU1911" s="65" t="str">
        <f>IFERROR(VLOOKUP(#REF!,[1]Lookup!$B$2:$E$115,3,FALSE),"")</f>
        <v/>
      </c>
    </row>
    <row r="1912" spans="31:47" x14ac:dyDescent="0.3">
      <c r="AE1912" s="204" t="s">
        <v>398</v>
      </c>
      <c r="AF1912" s="204" t="s">
        <v>398</v>
      </c>
      <c r="AG1912" s="204" t="s">
        <v>398</v>
      </c>
      <c r="AS1912" s="65" t="str">
        <f>IFERROR(VLOOKUP(#REF!,[1]Lookup!$B$2:$E$115,4,FALSE),"")</f>
        <v/>
      </c>
      <c r="AT1912" s="65" t="str">
        <f>IFERROR(VLOOKUP(#REF!,[1]Lookup!$B$2:$E$115,2,FALSE),"")</f>
        <v/>
      </c>
      <c r="AU1912" s="65" t="str">
        <f>IFERROR(VLOOKUP(#REF!,[1]Lookup!$B$2:$E$115,3,FALSE),"")</f>
        <v/>
      </c>
    </row>
    <row r="1913" spans="31:47" x14ac:dyDescent="0.3">
      <c r="AE1913" s="204" t="s">
        <v>398</v>
      </c>
      <c r="AF1913" s="204" t="s">
        <v>398</v>
      </c>
      <c r="AG1913" s="204" t="s">
        <v>398</v>
      </c>
      <c r="AS1913" s="65" t="str">
        <f>IFERROR(VLOOKUP(#REF!,[1]Lookup!$B$2:$E$115,4,FALSE),"")</f>
        <v/>
      </c>
      <c r="AT1913" s="65" t="str">
        <f>IFERROR(VLOOKUP(#REF!,[1]Lookup!$B$2:$E$115,2,FALSE),"")</f>
        <v/>
      </c>
      <c r="AU1913" s="65" t="str">
        <f>IFERROR(VLOOKUP(#REF!,[1]Lookup!$B$2:$E$115,3,FALSE),"")</f>
        <v/>
      </c>
    </row>
    <row r="1914" spans="31:47" x14ac:dyDescent="0.3">
      <c r="AE1914" s="204" t="s">
        <v>398</v>
      </c>
      <c r="AF1914" s="204" t="s">
        <v>398</v>
      </c>
      <c r="AG1914" s="204" t="s">
        <v>398</v>
      </c>
      <c r="AS1914" s="65" t="str">
        <f>IFERROR(VLOOKUP(#REF!,[1]Lookup!$B$2:$E$115,4,FALSE),"")</f>
        <v/>
      </c>
      <c r="AT1914" s="65" t="str">
        <f>IFERROR(VLOOKUP(#REF!,[1]Lookup!$B$2:$E$115,2,FALSE),"")</f>
        <v/>
      </c>
      <c r="AU1914" s="65" t="str">
        <f>IFERROR(VLOOKUP(#REF!,[1]Lookup!$B$2:$E$115,3,FALSE),"")</f>
        <v/>
      </c>
    </row>
    <row r="1915" spans="31:47" x14ac:dyDescent="0.3">
      <c r="AE1915" s="204" t="s">
        <v>398</v>
      </c>
      <c r="AF1915" s="204" t="s">
        <v>398</v>
      </c>
      <c r="AG1915" s="204" t="s">
        <v>398</v>
      </c>
      <c r="AS1915" s="65" t="str">
        <f>IFERROR(VLOOKUP(#REF!,[1]Lookup!$B$2:$E$115,4,FALSE),"")</f>
        <v/>
      </c>
      <c r="AT1915" s="65" t="str">
        <f>IFERROR(VLOOKUP(#REF!,[1]Lookup!$B$2:$E$115,2,FALSE),"")</f>
        <v/>
      </c>
      <c r="AU1915" s="65" t="str">
        <f>IFERROR(VLOOKUP(#REF!,[1]Lookup!$B$2:$E$115,3,FALSE),"")</f>
        <v/>
      </c>
    </row>
    <row r="1916" spans="31:47" x14ac:dyDescent="0.3">
      <c r="AE1916" s="204" t="s">
        <v>398</v>
      </c>
      <c r="AF1916" s="204" t="s">
        <v>398</v>
      </c>
      <c r="AG1916" s="204" t="s">
        <v>398</v>
      </c>
      <c r="AS1916" s="65" t="str">
        <f>IFERROR(VLOOKUP(#REF!,[1]Lookup!$B$2:$E$115,4,FALSE),"")</f>
        <v/>
      </c>
      <c r="AT1916" s="65" t="str">
        <f>IFERROR(VLOOKUP(#REF!,[1]Lookup!$B$2:$E$115,2,FALSE),"")</f>
        <v/>
      </c>
      <c r="AU1916" s="65" t="str">
        <f>IFERROR(VLOOKUP(#REF!,[1]Lookup!$B$2:$E$115,3,FALSE),"")</f>
        <v/>
      </c>
    </row>
    <row r="1917" spans="31:47" x14ac:dyDescent="0.3">
      <c r="AE1917" s="204" t="s">
        <v>398</v>
      </c>
      <c r="AF1917" s="204" t="s">
        <v>398</v>
      </c>
      <c r="AG1917" s="204" t="s">
        <v>398</v>
      </c>
      <c r="AS1917" s="65" t="str">
        <f>IFERROR(VLOOKUP(#REF!,[1]Lookup!$B$2:$E$115,4,FALSE),"")</f>
        <v/>
      </c>
      <c r="AT1917" s="65" t="str">
        <f>IFERROR(VLOOKUP(#REF!,[1]Lookup!$B$2:$E$115,2,FALSE),"")</f>
        <v/>
      </c>
      <c r="AU1917" s="65" t="str">
        <f>IFERROR(VLOOKUP(#REF!,[1]Lookup!$B$2:$E$115,3,FALSE),"")</f>
        <v/>
      </c>
    </row>
    <row r="1918" spans="31:47" x14ac:dyDescent="0.3">
      <c r="AE1918" s="204" t="s">
        <v>398</v>
      </c>
      <c r="AF1918" s="204" t="s">
        <v>398</v>
      </c>
      <c r="AG1918" s="204" t="s">
        <v>398</v>
      </c>
      <c r="AS1918" s="65" t="str">
        <f>IFERROR(VLOOKUP(#REF!,[1]Lookup!$B$2:$E$115,4,FALSE),"")</f>
        <v/>
      </c>
      <c r="AT1918" s="65" t="str">
        <f>IFERROR(VLOOKUP(#REF!,[1]Lookup!$B$2:$E$115,2,FALSE),"")</f>
        <v/>
      </c>
      <c r="AU1918" s="65" t="str">
        <f>IFERROR(VLOOKUP(#REF!,[1]Lookup!$B$2:$E$115,3,FALSE),"")</f>
        <v/>
      </c>
    </row>
    <row r="1919" spans="31:47" x14ac:dyDescent="0.3">
      <c r="AE1919" s="204" t="s">
        <v>398</v>
      </c>
      <c r="AF1919" s="204" t="s">
        <v>398</v>
      </c>
      <c r="AG1919" s="204" t="s">
        <v>398</v>
      </c>
      <c r="AS1919" s="65" t="str">
        <f>IFERROR(VLOOKUP(#REF!,[1]Lookup!$B$2:$E$115,4,FALSE),"")</f>
        <v/>
      </c>
      <c r="AT1919" s="65" t="str">
        <f>IFERROR(VLOOKUP(#REF!,[1]Lookup!$B$2:$E$115,2,FALSE),"")</f>
        <v/>
      </c>
      <c r="AU1919" s="65" t="str">
        <f>IFERROR(VLOOKUP(#REF!,[1]Lookup!$B$2:$E$115,3,FALSE),"")</f>
        <v/>
      </c>
    </row>
    <row r="1920" spans="31:47" x14ac:dyDescent="0.3">
      <c r="AE1920" s="204" t="s">
        <v>398</v>
      </c>
      <c r="AF1920" s="204" t="s">
        <v>398</v>
      </c>
      <c r="AG1920" s="204" t="s">
        <v>398</v>
      </c>
      <c r="AS1920" s="65" t="str">
        <f>IFERROR(VLOOKUP(#REF!,[1]Lookup!$B$2:$E$115,4,FALSE),"")</f>
        <v/>
      </c>
      <c r="AT1920" s="65" t="str">
        <f>IFERROR(VLOOKUP(#REF!,[1]Lookup!$B$2:$E$115,2,FALSE),"")</f>
        <v/>
      </c>
      <c r="AU1920" s="65" t="str">
        <f>IFERROR(VLOOKUP(#REF!,[1]Lookup!$B$2:$E$115,3,FALSE),"")</f>
        <v/>
      </c>
    </row>
    <row r="1921" spans="31:47" x14ac:dyDescent="0.3">
      <c r="AE1921" s="204" t="s">
        <v>398</v>
      </c>
      <c r="AF1921" s="204" t="s">
        <v>398</v>
      </c>
      <c r="AG1921" s="204" t="s">
        <v>398</v>
      </c>
      <c r="AS1921" s="65" t="str">
        <f>IFERROR(VLOOKUP(#REF!,[1]Lookup!$B$2:$E$115,4,FALSE),"")</f>
        <v/>
      </c>
      <c r="AT1921" s="65" t="str">
        <f>IFERROR(VLOOKUP(#REF!,[1]Lookup!$B$2:$E$115,2,FALSE),"")</f>
        <v/>
      </c>
      <c r="AU1921" s="65" t="str">
        <f>IFERROR(VLOOKUP(#REF!,[1]Lookup!$B$2:$E$115,3,FALSE),"")</f>
        <v/>
      </c>
    </row>
    <row r="1922" spans="31:47" x14ac:dyDescent="0.3">
      <c r="AE1922" s="204" t="s">
        <v>398</v>
      </c>
      <c r="AF1922" s="204" t="s">
        <v>398</v>
      </c>
      <c r="AG1922" s="204" t="s">
        <v>398</v>
      </c>
      <c r="AS1922" s="65" t="str">
        <f>IFERROR(VLOOKUP(#REF!,[1]Lookup!$B$2:$E$115,4,FALSE),"")</f>
        <v/>
      </c>
      <c r="AT1922" s="65" t="str">
        <f>IFERROR(VLOOKUP(#REF!,[1]Lookup!$B$2:$E$115,2,FALSE),"")</f>
        <v/>
      </c>
      <c r="AU1922" s="65" t="str">
        <f>IFERROR(VLOOKUP(#REF!,[1]Lookup!$B$2:$E$115,3,FALSE),"")</f>
        <v/>
      </c>
    </row>
    <row r="1923" spans="31:47" x14ac:dyDescent="0.3">
      <c r="AE1923" s="204" t="s">
        <v>398</v>
      </c>
      <c r="AF1923" s="204" t="s">
        <v>398</v>
      </c>
      <c r="AG1923" s="204" t="s">
        <v>398</v>
      </c>
      <c r="AS1923" s="65" t="str">
        <f>IFERROR(VLOOKUP(#REF!,[1]Lookup!$B$2:$E$115,4,FALSE),"")</f>
        <v/>
      </c>
      <c r="AT1923" s="65" t="str">
        <f>IFERROR(VLOOKUP(#REF!,[1]Lookup!$B$2:$E$115,2,FALSE),"")</f>
        <v/>
      </c>
      <c r="AU1923" s="65" t="str">
        <f>IFERROR(VLOOKUP(#REF!,[1]Lookup!$B$2:$E$115,3,FALSE),"")</f>
        <v/>
      </c>
    </row>
    <row r="1924" spans="31:47" x14ac:dyDescent="0.3">
      <c r="AE1924" s="204" t="s">
        <v>398</v>
      </c>
      <c r="AF1924" s="204" t="s">
        <v>398</v>
      </c>
      <c r="AG1924" s="204" t="s">
        <v>398</v>
      </c>
      <c r="AS1924" s="65" t="str">
        <f>IFERROR(VLOOKUP(#REF!,[1]Lookup!$B$2:$E$115,4,FALSE),"")</f>
        <v/>
      </c>
      <c r="AT1924" s="65" t="str">
        <f>IFERROR(VLOOKUP(#REF!,[1]Lookup!$B$2:$E$115,2,FALSE),"")</f>
        <v/>
      </c>
      <c r="AU1924" s="65" t="str">
        <f>IFERROR(VLOOKUP(#REF!,[1]Lookup!$B$2:$E$115,3,FALSE),"")</f>
        <v/>
      </c>
    </row>
    <row r="1925" spans="31:47" x14ac:dyDescent="0.3">
      <c r="AE1925" s="204" t="s">
        <v>398</v>
      </c>
      <c r="AF1925" s="204" t="s">
        <v>398</v>
      </c>
      <c r="AG1925" s="204" t="s">
        <v>398</v>
      </c>
      <c r="AS1925" s="65" t="str">
        <f>IFERROR(VLOOKUP(#REF!,[1]Lookup!$B$2:$E$115,4,FALSE),"")</f>
        <v/>
      </c>
      <c r="AT1925" s="65" t="str">
        <f>IFERROR(VLOOKUP(#REF!,[1]Lookup!$B$2:$E$115,2,FALSE),"")</f>
        <v/>
      </c>
      <c r="AU1925" s="65" t="str">
        <f>IFERROR(VLOOKUP(#REF!,[1]Lookup!$B$2:$E$115,3,FALSE),"")</f>
        <v/>
      </c>
    </row>
    <row r="1926" spans="31:47" x14ac:dyDescent="0.3">
      <c r="AE1926" s="204" t="s">
        <v>398</v>
      </c>
      <c r="AF1926" s="204" t="s">
        <v>398</v>
      </c>
      <c r="AG1926" s="204" t="s">
        <v>398</v>
      </c>
      <c r="AS1926" s="65" t="str">
        <f>IFERROR(VLOOKUP(#REF!,[1]Lookup!$B$2:$E$115,4,FALSE),"")</f>
        <v/>
      </c>
      <c r="AT1926" s="65" t="str">
        <f>IFERROR(VLOOKUP(#REF!,[1]Lookup!$B$2:$E$115,2,FALSE),"")</f>
        <v/>
      </c>
      <c r="AU1926" s="65" t="str">
        <f>IFERROR(VLOOKUP(#REF!,[1]Lookup!$B$2:$E$115,3,FALSE),"")</f>
        <v/>
      </c>
    </row>
    <row r="1927" spans="31:47" x14ac:dyDescent="0.3">
      <c r="AE1927" s="204" t="s">
        <v>398</v>
      </c>
      <c r="AF1927" s="204" t="s">
        <v>398</v>
      </c>
      <c r="AG1927" s="204" t="s">
        <v>398</v>
      </c>
      <c r="AS1927" s="65" t="str">
        <f>IFERROR(VLOOKUP(#REF!,[1]Lookup!$B$2:$E$115,4,FALSE),"")</f>
        <v/>
      </c>
      <c r="AT1927" s="65" t="str">
        <f>IFERROR(VLOOKUP(#REF!,[1]Lookup!$B$2:$E$115,2,FALSE),"")</f>
        <v/>
      </c>
      <c r="AU1927" s="65" t="str">
        <f>IFERROR(VLOOKUP(#REF!,[1]Lookup!$B$2:$E$115,3,FALSE),"")</f>
        <v/>
      </c>
    </row>
    <row r="1928" spans="31:47" x14ac:dyDescent="0.3">
      <c r="AE1928" s="204" t="s">
        <v>398</v>
      </c>
      <c r="AF1928" s="204" t="s">
        <v>398</v>
      </c>
      <c r="AG1928" s="204" t="s">
        <v>398</v>
      </c>
      <c r="AS1928" s="65" t="str">
        <f>IFERROR(VLOOKUP(#REF!,[1]Lookup!$B$2:$E$115,4,FALSE),"")</f>
        <v/>
      </c>
      <c r="AT1928" s="65" t="str">
        <f>IFERROR(VLOOKUP(#REF!,[1]Lookup!$B$2:$E$115,2,FALSE),"")</f>
        <v/>
      </c>
      <c r="AU1928" s="65" t="str">
        <f>IFERROR(VLOOKUP(#REF!,[1]Lookup!$B$2:$E$115,3,FALSE),"")</f>
        <v/>
      </c>
    </row>
    <row r="1929" spans="31:47" x14ac:dyDescent="0.3">
      <c r="AE1929" s="204" t="s">
        <v>398</v>
      </c>
      <c r="AF1929" s="204" t="s">
        <v>398</v>
      </c>
      <c r="AG1929" s="204" t="s">
        <v>398</v>
      </c>
      <c r="AS1929" s="65" t="str">
        <f>IFERROR(VLOOKUP(#REF!,[1]Lookup!$B$2:$E$115,4,FALSE),"")</f>
        <v/>
      </c>
      <c r="AT1929" s="65" t="str">
        <f>IFERROR(VLOOKUP(#REF!,[1]Lookup!$B$2:$E$115,2,FALSE),"")</f>
        <v/>
      </c>
      <c r="AU1929" s="65" t="str">
        <f>IFERROR(VLOOKUP(#REF!,[1]Lookup!$B$2:$E$115,3,FALSE),"")</f>
        <v/>
      </c>
    </row>
    <row r="1930" spans="31:47" x14ac:dyDescent="0.3">
      <c r="AE1930" s="204" t="s">
        <v>398</v>
      </c>
      <c r="AF1930" s="204" t="s">
        <v>398</v>
      </c>
      <c r="AG1930" s="204" t="s">
        <v>398</v>
      </c>
      <c r="AS1930" s="65" t="str">
        <f>IFERROR(VLOOKUP(#REF!,[1]Lookup!$B$2:$E$115,4,FALSE),"")</f>
        <v/>
      </c>
      <c r="AT1930" s="65" t="str">
        <f>IFERROR(VLOOKUP(#REF!,[1]Lookup!$B$2:$E$115,2,FALSE),"")</f>
        <v/>
      </c>
      <c r="AU1930" s="65" t="str">
        <f>IFERROR(VLOOKUP(#REF!,[1]Lookup!$B$2:$E$115,3,FALSE),"")</f>
        <v/>
      </c>
    </row>
    <row r="1931" spans="31:47" x14ac:dyDescent="0.3">
      <c r="AE1931" s="204" t="s">
        <v>398</v>
      </c>
      <c r="AF1931" s="204" t="s">
        <v>398</v>
      </c>
      <c r="AG1931" s="204" t="s">
        <v>398</v>
      </c>
      <c r="AS1931" s="65" t="str">
        <f>IFERROR(VLOOKUP(#REF!,[1]Lookup!$B$2:$E$115,4,FALSE),"")</f>
        <v/>
      </c>
      <c r="AT1931" s="65" t="str">
        <f>IFERROR(VLOOKUP(#REF!,[1]Lookup!$B$2:$E$115,2,FALSE),"")</f>
        <v/>
      </c>
      <c r="AU1931" s="65" t="str">
        <f>IFERROR(VLOOKUP(#REF!,[1]Lookup!$B$2:$E$115,3,FALSE),"")</f>
        <v/>
      </c>
    </row>
    <row r="1932" spans="31:47" x14ac:dyDescent="0.3">
      <c r="AE1932" s="204" t="s">
        <v>398</v>
      </c>
      <c r="AF1932" s="204" t="s">
        <v>398</v>
      </c>
      <c r="AG1932" s="204" t="s">
        <v>398</v>
      </c>
      <c r="AS1932" s="65" t="str">
        <f>IFERROR(VLOOKUP(#REF!,[1]Lookup!$B$2:$E$115,4,FALSE),"")</f>
        <v/>
      </c>
      <c r="AT1932" s="65" t="str">
        <f>IFERROR(VLOOKUP(#REF!,[1]Lookup!$B$2:$E$115,2,FALSE),"")</f>
        <v/>
      </c>
      <c r="AU1932" s="65" t="str">
        <f>IFERROR(VLOOKUP(#REF!,[1]Lookup!$B$2:$E$115,3,FALSE),"")</f>
        <v/>
      </c>
    </row>
    <row r="1933" spans="31:47" x14ac:dyDescent="0.3">
      <c r="AE1933" s="204" t="s">
        <v>398</v>
      </c>
      <c r="AF1933" s="204" t="s">
        <v>398</v>
      </c>
      <c r="AG1933" s="204" t="s">
        <v>398</v>
      </c>
      <c r="AS1933" s="65" t="str">
        <f>IFERROR(VLOOKUP(#REF!,[1]Lookup!$B$2:$E$115,4,FALSE),"")</f>
        <v/>
      </c>
      <c r="AT1933" s="65" t="str">
        <f>IFERROR(VLOOKUP(#REF!,[1]Lookup!$B$2:$E$115,2,FALSE),"")</f>
        <v/>
      </c>
      <c r="AU1933" s="65" t="str">
        <f>IFERROR(VLOOKUP(#REF!,[1]Lookup!$B$2:$E$115,3,FALSE),"")</f>
        <v/>
      </c>
    </row>
    <row r="1934" spans="31:47" x14ac:dyDescent="0.3">
      <c r="AE1934" s="204" t="s">
        <v>398</v>
      </c>
      <c r="AF1934" s="204" t="s">
        <v>398</v>
      </c>
      <c r="AG1934" s="204" t="s">
        <v>398</v>
      </c>
      <c r="AS1934" s="65" t="str">
        <f>IFERROR(VLOOKUP(#REF!,[1]Lookup!$B$2:$E$115,4,FALSE),"")</f>
        <v/>
      </c>
      <c r="AT1934" s="65" t="str">
        <f>IFERROR(VLOOKUP(#REF!,[1]Lookup!$B$2:$E$115,2,FALSE),"")</f>
        <v/>
      </c>
      <c r="AU1934" s="65" t="str">
        <f>IFERROR(VLOOKUP(#REF!,[1]Lookup!$B$2:$E$115,3,FALSE),"")</f>
        <v/>
      </c>
    </row>
    <row r="1935" spans="31:47" x14ac:dyDescent="0.3">
      <c r="AE1935" s="204" t="s">
        <v>398</v>
      </c>
      <c r="AF1935" s="204" t="s">
        <v>398</v>
      </c>
      <c r="AG1935" s="204" t="s">
        <v>398</v>
      </c>
      <c r="AS1935" s="65" t="str">
        <f>IFERROR(VLOOKUP(#REF!,[1]Lookup!$B$2:$E$115,4,FALSE),"")</f>
        <v/>
      </c>
      <c r="AT1935" s="65" t="str">
        <f>IFERROR(VLOOKUP(#REF!,[1]Lookup!$B$2:$E$115,2,FALSE),"")</f>
        <v/>
      </c>
      <c r="AU1935" s="65" t="str">
        <f>IFERROR(VLOOKUP(#REF!,[1]Lookup!$B$2:$E$115,3,FALSE),"")</f>
        <v/>
      </c>
    </row>
    <row r="1936" spans="31:47" x14ac:dyDescent="0.3">
      <c r="AE1936" s="204" t="s">
        <v>398</v>
      </c>
      <c r="AF1936" s="204" t="s">
        <v>398</v>
      </c>
      <c r="AG1936" s="204" t="s">
        <v>398</v>
      </c>
      <c r="AS1936" s="65" t="str">
        <f>IFERROR(VLOOKUP(#REF!,[1]Lookup!$B$2:$E$115,4,FALSE),"")</f>
        <v/>
      </c>
      <c r="AT1936" s="65" t="str">
        <f>IFERROR(VLOOKUP(#REF!,[1]Lookup!$B$2:$E$115,2,FALSE),"")</f>
        <v/>
      </c>
      <c r="AU1936" s="65" t="str">
        <f>IFERROR(VLOOKUP(#REF!,[1]Lookup!$B$2:$E$115,3,FALSE),"")</f>
        <v/>
      </c>
    </row>
    <row r="1937" spans="31:47" x14ac:dyDescent="0.3">
      <c r="AE1937" s="204" t="s">
        <v>398</v>
      </c>
      <c r="AF1937" s="204" t="s">
        <v>398</v>
      </c>
      <c r="AG1937" s="204" t="s">
        <v>398</v>
      </c>
      <c r="AS1937" s="65" t="str">
        <f>IFERROR(VLOOKUP(#REF!,[1]Lookup!$B$2:$E$115,4,FALSE),"")</f>
        <v/>
      </c>
      <c r="AT1937" s="65" t="str">
        <f>IFERROR(VLOOKUP(#REF!,[1]Lookup!$B$2:$E$115,2,FALSE),"")</f>
        <v/>
      </c>
      <c r="AU1937" s="65" t="str">
        <f>IFERROR(VLOOKUP(#REF!,[1]Lookup!$B$2:$E$115,3,FALSE),"")</f>
        <v/>
      </c>
    </row>
    <row r="1938" spans="31:47" x14ac:dyDescent="0.3">
      <c r="AE1938" s="204" t="s">
        <v>398</v>
      </c>
      <c r="AF1938" s="204" t="s">
        <v>398</v>
      </c>
      <c r="AG1938" s="204" t="s">
        <v>398</v>
      </c>
      <c r="AS1938" s="65" t="str">
        <f>IFERROR(VLOOKUP(#REF!,[1]Lookup!$B$2:$E$115,4,FALSE),"")</f>
        <v/>
      </c>
      <c r="AT1938" s="65" t="str">
        <f>IFERROR(VLOOKUP(#REF!,[1]Lookup!$B$2:$E$115,2,FALSE),"")</f>
        <v/>
      </c>
      <c r="AU1938" s="65" t="str">
        <f>IFERROR(VLOOKUP(#REF!,[1]Lookup!$B$2:$E$115,3,FALSE),"")</f>
        <v/>
      </c>
    </row>
    <row r="1939" spans="31:47" x14ac:dyDescent="0.3">
      <c r="AE1939" s="204" t="s">
        <v>398</v>
      </c>
      <c r="AF1939" s="204" t="s">
        <v>398</v>
      </c>
      <c r="AG1939" s="204" t="s">
        <v>398</v>
      </c>
      <c r="AS1939" s="65" t="str">
        <f>IFERROR(VLOOKUP(#REF!,[1]Lookup!$B$2:$E$115,4,FALSE),"")</f>
        <v/>
      </c>
      <c r="AT1939" s="65" t="str">
        <f>IFERROR(VLOOKUP(#REF!,[1]Lookup!$B$2:$E$115,2,FALSE),"")</f>
        <v/>
      </c>
      <c r="AU1939" s="65" t="str">
        <f>IFERROR(VLOOKUP(#REF!,[1]Lookup!$B$2:$E$115,3,FALSE),"")</f>
        <v/>
      </c>
    </row>
    <row r="1940" spans="31:47" x14ac:dyDescent="0.3">
      <c r="AE1940" s="204" t="s">
        <v>398</v>
      </c>
      <c r="AF1940" s="204" t="s">
        <v>398</v>
      </c>
      <c r="AG1940" s="204" t="s">
        <v>398</v>
      </c>
      <c r="AS1940" s="65" t="str">
        <f>IFERROR(VLOOKUP(#REF!,[1]Lookup!$B$2:$E$115,4,FALSE),"")</f>
        <v/>
      </c>
      <c r="AT1940" s="65" t="str">
        <f>IFERROR(VLOOKUP(#REF!,[1]Lookup!$B$2:$E$115,2,FALSE),"")</f>
        <v/>
      </c>
      <c r="AU1940" s="65" t="str">
        <f>IFERROR(VLOOKUP(#REF!,[1]Lookup!$B$2:$E$115,3,FALSE),"")</f>
        <v/>
      </c>
    </row>
    <row r="1941" spans="31:47" x14ac:dyDescent="0.3">
      <c r="AE1941" s="204" t="s">
        <v>398</v>
      </c>
      <c r="AF1941" s="204" t="s">
        <v>398</v>
      </c>
      <c r="AG1941" s="204" t="s">
        <v>398</v>
      </c>
      <c r="AS1941" s="65" t="str">
        <f>IFERROR(VLOOKUP(#REF!,[1]Lookup!$B$2:$E$115,4,FALSE),"")</f>
        <v/>
      </c>
      <c r="AT1941" s="65" t="str">
        <f>IFERROR(VLOOKUP(#REF!,[1]Lookup!$B$2:$E$115,2,FALSE),"")</f>
        <v/>
      </c>
      <c r="AU1941" s="65" t="str">
        <f>IFERROR(VLOOKUP(#REF!,[1]Lookup!$B$2:$E$115,3,FALSE),"")</f>
        <v/>
      </c>
    </row>
    <row r="1942" spans="31:47" x14ac:dyDescent="0.3">
      <c r="AE1942" s="204" t="s">
        <v>398</v>
      </c>
      <c r="AF1942" s="204" t="s">
        <v>398</v>
      </c>
      <c r="AG1942" s="204" t="s">
        <v>398</v>
      </c>
      <c r="AS1942" s="65" t="str">
        <f>IFERROR(VLOOKUP(#REF!,[1]Lookup!$B$2:$E$115,4,FALSE),"")</f>
        <v/>
      </c>
      <c r="AT1942" s="65" t="str">
        <f>IFERROR(VLOOKUP(#REF!,[1]Lookup!$B$2:$E$115,2,FALSE),"")</f>
        <v/>
      </c>
      <c r="AU1942" s="65" t="str">
        <f>IFERROR(VLOOKUP(#REF!,[1]Lookup!$B$2:$E$115,3,FALSE),"")</f>
        <v/>
      </c>
    </row>
    <row r="1943" spans="31:47" x14ac:dyDescent="0.3">
      <c r="AE1943" s="204" t="s">
        <v>398</v>
      </c>
      <c r="AF1943" s="204" t="s">
        <v>398</v>
      </c>
      <c r="AG1943" s="204" t="s">
        <v>398</v>
      </c>
      <c r="AS1943" s="65" t="str">
        <f>IFERROR(VLOOKUP(#REF!,[1]Lookup!$B$2:$E$115,4,FALSE),"")</f>
        <v/>
      </c>
      <c r="AT1943" s="65" t="str">
        <f>IFERROR(VLOOKUP(#REF!,[1]Lookup!$B$2:$E$115,2,FALSE),"")</f>
        <v/>
      </c>
      <c r="AU1943" s="65" t="str">
        <f>IFERROR(VLOOKUP(#REF!,[1]Lookup!$B$2:$E$115,3,FALSE),"")</f>
        <v/>
      </c>
    </row>
    <row r="1944" spans="31:47" x14ac:dyDescent="0.3">
      <c r="AE1944" s="204" t="s">
        <v>398</v>
      </c>
      <c r="AF1944" s="204" t="s">
        <v>398</v>
      </c>
      <c r="AG1944" s="204" t="s">
        <v>398</v>
      </c>
      <c r="AS1944" s="65" t="str">
        <f>IFERROR(VLOOKUP(#REF!,[1]Lookup!$B$2:$E$115,4,FALSE),"")</f>
        <v/>
      </c>
      <c r="AT1944" s="65" t="str">
        <f>IFERROR(VLOOKUP(#REF!,[1]Lookup!$B$2:$E$115,2,FALSE),"")</f>
        <v/>
      </c>
      <c r="AU1944" s="65" t="str">
        <f>IFERROR(VLOOKUP(#REF!,[1]Lookup!$B$2:$E$115,3,FALSE),"")</f>
        <v/>
      </c>
    </row>
    <row r="1945" spans="31:47" x14ac:dyDescent="0.3">
      <c r="AE1945" s="204" t="s">
        <v>398</v>
      </c>
      <c r="AF1945" s="204" t="s">
        <v>398</v>
      </c>
      <c r="AG1945" s="204" t="s">
        <v>398</v>
      </c>
      <c r="AS1945" s="65" t="str">
        <f>IFERROR(VLOOKUP(#REF!,[1]Lookup!$B$2:$E$115,4,FALSE),"")</f>
        <v/>
      </c>
      <c r="AT1945" s="65" t="str">
        <f>IFERROR(VLOOKUP(#REF!,[1]Lookup!$B$2:$E$115,2,FALSE),"")</f>
        <v/>
      </c>
      <c r="AU1945" s="65" t="str">
        <f>IFERROR(VLOOKUP(#REF!,[1]Lookup!$B$2:$E$115,3,FALSE),"")</f>
        <v/>
      </c>
    </row>
    <row r="1946" spans="31:47" x14ac:dyDescent="0.3">
      <c r="AE1946" s="204" t="s">
        <v>398</v>
      </c>
      <c r="AF1946" s="204" t="s">
        <v>398</v>
      </c>
      <c r="AG1946" s="204" t="s">
        <v>398</v>
      </c>
      <c r="AS1946" s="65" t="str">
        <f>IFERROR(VLOOKUP(#REF!,[1]Lookup!$B$2:$E$115,4,FALSE),"")</f>
        <v/>
      </c>
      <c r="AT1946" s="65" t="str">
        <f>IFERROR(VLOOKUP(#REF!,[1]Lookup!$B$2:$E$115,2,FALSE),"")</f>
        <v/>
      </c>
      <c r="AU1946" s="65" t="str">
        <f>IFERROR(VLOOKUP(#REF!,[1]Lookup!$B$2:$E$115,3,FALSE),"")</f>
        <v/>
      </c>
    </row>
    <row r="1947" spans="31:47" x14ac:dyDescent="0.3">
      <c r="AE1947" s="204" t="s">
        <v>398</v>
      </c>
      <c r="AF1947" s="204" t="s">
        <v>398</v>
      </c>
      <c r="AG1947" s="204" t="s">
        <v>398</v>
      </c>
      <c r="AS1947" s="65" t="str">
        <f>IFERROR(VLOOKUP(#REF!,[1]Lookup!$B$2:$E$115,4,FALSE),"")</f>
        <v/>
      </c>
      <c r="AT1947" s="65" t="str">
        <f>IFERROR(VLOOKUP(#REF!,[1]Lookup!$B$2:$E$115,2,FALSE),"")</f>
        <v/>
      </c>
      <c r="AU1947" s="65" t="str">
        <f>IFERROR(VLOOKUP(#REF!,[1]Lookup!$B$2:$E$115,3,FALSE),"")</f>
        <v/>
      </c>
    </row>
    <row r="1948" spans="31:47" x14ac:dyDescent="0.3">
      <c r="AE1948" s="204" t="s">
        <v>398</v>
      </c>
      <c r="AF1948" s="204" t="s">
        <v>398</v>
      </c>
      <c r="AG1948" s="204" t="s">
        <v>398</v>
      </c>
      <c r="AS1948" s="65" t="str">
        <f>IFERROR(VLOOKUP(#REF!,[1]Lookup!$B$2:$E$115,4,FALSE),"")</f>
        <v/>
      </c>
      <c r="AT1948" s="65" t="str">
        <f>IFERROR(VLOOKUP(#REF!,[1]Lookup!$B$2:$E$115,2,FALSE),"")</f>
        <v/>
      </c>
      <c r="AU1948" s="65" t="str">
        <f>IFERROR(VLOOKUP(#REF!,[1]Lookup!$B$2:$E$115,3,FALSE),"")</f>
        <v/>
      </c>
    </row>
    <row r="1949" spans="31:47" x14ac:dyDescent="0.3">
      <c r="AE1949" s="204" t="s">
        <v>398</v>
      </c>
      <c r="AF1949" s="204" t="s">
        <v>398</v>
      </c>
      <c r="AG1949" s="204" t="s">
        <v>398</v>
      </c>
      <c r="AS1949" s="65" t="str">
        <f>IFERROR(VLOOKUP(#REF!,[1]Lookup!$B$2:$E$115,4,FALSE),"")</f>
        <v/>
      </c>
      <c r="AT1949" s="65" t="str">
        <f>IFERROR(VLOOKUP(#REF!,[1]Lookup!$B$2:$E$115,2,FALSE),"")</f>
        <v/>
      </c>
      <c r="AU1949" s="65" t="str">
        <f>IFERROR(VLOOKUP(#REF!,[1]Lookup!$B$2:$E$115,3,FALSE),"")</f>
        <v/>
      </c>
    </row>
    <row r="1950" spans="31:47" x14ac:dyDescent="0.3">
      <c r="AE1950" s="204" t="s">
        <v>398</v>
      </c>
      <c r="AF1950" s="204" t="s">
        <v>398</v>
      </c>
      <c r="AG1950" s="204" t="s">
        <v>398</v>
      </c>
      <c r="AS1950" s="65" t="str">
        <f>IFERROR(VLOOKUP(#REF!,[1]Lookup!$B$2:$E$115,4,FALSE),"")</f>
        <v/>
      </c>
      <c r="AT1950" s="65" t="str">
        <f>IFERROR(VLOOKUP(#REF!,[1]Lookup!$B$2:$E$115,2,FALSE),"")</f>
        <v/>
      </c>
      <c r="AU1950" s="65" t="str">
        <f>IFERROR(VLOOKUP(#REF!,[1]Lookup!$B$2:$E$115,3,FALSE),"")</f>
        <v/>
      </c>
    </row>
    <row r="1951" spans="31:47" x14ac:dyDescent="0.3">
      <c r="AE1951" s="204" t="s">
        <v>398</v>
      </c>
      <c r="AF1951" s="204" t="s">
        <v>398</v>
      </c>
      <c r="AG1951" s="204" t="s">
        <v>398</v>
      </c>
      <c r="AS1951" s="65" t="str">
        <f>IFERROR(VLOOKUP(#REF!,[1]Lookup!$B$2:$E$115,4,FALSE),"")</f>
        <v/>
      </c>
      <c r="AT1951" s="65" t="str">
        <f>IFERROR(VLOOKUP(#REF!,[1]Lookup!$B$2:$E$115,2,FALSE),"")</f>
        <v/>
      </c>
      <c r="AU1951" s="65" t="str">
        <f>IFERROR(VLOOKUP(#REF!,[1]Lookup!$B$2:$E$115,3,FALSE),"")</f>
        <v/>
      </c>
    </row>
    <row r="1952" spans="31:47" x14ac:dyDescent="0.3">
      <c r="AE1952" s="204" t="s">
        <v>398</v>
      </c>
      <c r="AF1952" s="204" t="s">
        <v>398</v>
      </c>
      <c r="AG1952" s="204" t="s">
        <v>398</v>
      </c>
      <c r="AS1952" s="65" t="str">
        <f>IFERROR(VLOOKUP(#REF!,[1]Lookup!$B$2:$E$115,4,FALSE),"")</f>
        <v/>
      </c>
      <c r="AT1952" s="65" t="str">
        <f>IFERROR(VLOOKUP(#REF!,[1]Lookup!$B$2:$E$115,2,FALSE),"")</f>
        <v/>
      </c>
      <c r="AU1952" s="65" t="str">
        <f>IFERROR(VLOOKUP(#REF!,[1]Lookup!$B$2:$E$115,3,FALSE),"")</f>
        <v/>
      </c>
    </row>
    <row r="1953" spans="31:47" x14ac:dyDescent="0.3">
      <c r="AE1953" s="204" t="s">
        <v>398</v>
      </c>
      <c r="AF1953" s="204" t="s">
        <v>398</v>
      </c>
      <c r="AG1953" s="204" t="s">
        <v>398</v>
      </c>
      <c r="AS1953" s="65" t="str">
        <f>IFERROR(VLOOKUP(#REF!,[1]Lookup!$B$2:$E$115,4,FALSE),"")</f>
        <v/>
      </c>
      <c r="AT1953" s="65" t="str">
        <f>IFERROR(VLOOKUP(#REF!,[1]Lookup!$B$2:$E$115,2,FALSE),"")</f>
        <v/>
      </c>
      <c r="AU1953" s="65" t="str">
        <f>IFERROR(VLOOKUP(#REF!,[1]Lookup!$B$2:$E$115,3,FALSE),"")</f>
        <v/>
      </c>
    </row>
    <row r="1954" spans="31:47" x14ac:dyDescent="0.3">
      <c r="AE1954" s="204" t="s">
        <v>398</v>
      </c>
      <c r="AF1954" s="204" t="s">
        <v>398</v>
      </c>
      <c r="AG1954" s="204" t="s">
        <v>398</v>
      </c>
      <c r="AS1954" s="65" t="str">
        <f>IFERROR(VLOOKUP(#REF!,[1]Lookup!$B$2:$E$115,4,FALSE),"")</f>
        <v/>
      </c>
      <c r="AT1954" s="65" t="str">
        <f>IFERROR(VLOOKUP(#REF!,[1]Lookup!$B$2:$E$115,2,FALSE),"")</f>
        <v/>
      </c>
      <c r="AU1954" s="65" t="str">
        <f>IFERROR(VLOOKUP(#REF!,[1]Lookup!$B$2:$E$115,3,FALSE),"")</f>
        <v/>
      </c>
    </row>
    <row r="1955" spans="31:47" x14ac:dyDescent="0.3">
      <c r="AE1955" s="204" t="s">
        <v>398</v>
      </c>
      <c r="AF1955" s="204" t="s">
        <v>398</v>
      </c>
      <c r="AG1955" s="204" t="s">
        <v>398</v>
      </c>
      <c r="AS1955" s="65" t="str">
        <f>IFERROR(VLOOKUP(#REF!,[1]Lookup!$B$2:$E$115,4,FALSE),"")</f>
        <v/>
      </c>
      <c r="AT1955" s="65" t="str">
        <f>IFERROR(VLOOKUP(#REF!,[1]Lookup!$B$2:$E$115,2,FALSE),"")</f>
        <v/>
      </c>
      <c r="AU1955" s="65" t="str">
        <f>IFERROR(VLOOKUP(#REF!,[1]Lookup!$B$2:$E$115,3,FALSE),"")</f>
        <v/>
      </c>
    </row>
    <row r="1956" spans="31:47" x14ac:dyDescent="0.3">
      <c r="AE1956" s="204" t="s">
        <v>398</v>
      </c>
      <c r="AF1956" s="204" t="s">
        <v>398</v>
      </c>
      <c r="AG1956" s="204" t="s">
        <v>398</v>
      </c>
      <c r="AS1956" s="65" t="str">
        <f>IFERROR(VLOOKUP(#REF!,[1]Lookup!$B$2:$E$115,4,FALSE),"")</f>
        <v/>
      </c>
      <c r="AT1956" s="65" t="str">
        <f>IFERROR(VLOOKUP(#REF!,[1]Lookup!$B$2:$E$115,2,FALSE),"")</f>
        <v/>
      </c>
      <c r="AU1956" s="65" t="str">
        <f>IFERROR(VLOOKUP(#REF!,[1]Lookup!$B$2:$E$115,3,FALSE),"")</f>
        <v/>
      </c>
    </row>
    <row r="1957" spans="31:47" x14ac:dyDescent="0.3">
      <c r="AE1957" s="204" t="s">
        <v>398</v>
      </c>
      <c r="AF1957" s="204" t="s">
        <v>398</v>
      </c>
      <c r="AG1957" s="204" t="s">
        <v>398</v>
      </c>
      <c r="AS1957" s="65" t="str">
        <f>IFERROR(VLOOKUP(#REF!,[1]Lookup!$B$2:$E$115,4,FALSE),"")</f>
        <v/>
      </c>
      <c r="AT1957" s="65" t="str">
        <f>IFERROR(VLOOKUP(#REF!,[1]Lookup!$B$2:$E$115,2,FALSE),"")</f>
        <v/>
      </c>
      <c r="AU1957" s="65" t="str">
        <f>IFERROR(VLOOKUP(#REF!,[1]Lookup!$B$2:$E$115,3,FALSE),"")</f>
        <v/>
      </c>
    </row>
    <row r="1958" spans="31:47" x14ac:dyDescent="0.3">
      <c r="AE1958" s="204" t="s">
        <v>398</v>
      </c>
      <c r="AF1958" s="204" t="s">
        <v>398</v>
      </c>
      <c r="AG1958" s="204" t="s">
        <v>398</v>
      </c>
      <c r="AS1958" s="65" t="str">
        <f>IFERROR(VLOOKUP(#REF!,[1]Lookup!$B$2:$E$115,4,FALSE),"")</f>
        <v/>
      </c>
      <c r="AT1958" s="65" t="str">
        <f>IFERROR(VLOOKUP(#REF!,[1]Lookup!$B$2:$E$115,2,FALSE),"")</f>
        <v/>
      </c>
      <c r="AU1958" s="65" t="str">
        <f>IFERROR(VLOOKUP(#REF!,[1]Lookup!$B$2:$E$115,3,FALSE),"")</f>
        <v/>
      </c>
    </row>
    <row r="1959" spans="31:47" x14ac:dyDescent="0.3">
      <c r="AE1959" s="204" t="s">
        <v>398</v>
      </c>
      <c r="AF1959" s="204" t="s">
        <v>398</v>
      </c>
      <c r="AG1959" s="204" t="s">
        <v>398</v>
      </c>
      <c r="AS1959" s="65" t="str">
        <f>IFERROR(VLOOKUP(#REF!,[1]Lookup!$B$2:$E$115,4,FALSE),"")</f>
        <v/>
      </c>
      <c r="AT1959" s="65" t="str">
        <f>IFERROR(VLOOKUP(#REF!,[1]Lookup!$B$2:$E$115,2,FALSE),"")</f>
        <v/>
      </c>
      <c r="AU1959" s="65" t="str">
        <f>IFERROR(VLOOKUP(#REF!,[1]Lookup!$B$2:$E$115,3,FALSE),"")</f>
        <v/>
      </c>
    </row>
    <row r="1960" spans="31:47" x14ac:dyDescent="0.3">
      <c r="AE1960" s="204" t="s">
        <v>398</v>
      </c>
      <c r="AF1960" s="204" t="s">
        <v>398</v>
      </c>
      <c r="AG1960" s="204" t="s">
        <v>398</v>
      </c>
      <c r="AS1960" s="65" t="str">
        <f>IFERROR(VLOOKUP(#REF!,[1]Lookup!$B$2:$E$115,4,FALSE),"")</f>
        <v/>
      </c>
      <c r="AT1960" s="65" t="str">
        <f>IFERROR(VLOOKUP(#REF!,[1]Lookup!$B$2:$E$115,2,FALSE),"")</f>
        <v/>
      </c>
      <c r="AU1960" s="65" t="str">
        <f>IFERROR(VLOOKUP(#REF!,[1]Lookup!$B$2:$E$115,3,FALSE),"")</f>
        <v/>
      </c>
    </row>
    <row r="1961" spans="31:47" x14ac:dyDescent="0.3">
      <c r="AE1961" s="204" t="s">
        <v>398</v>
      </c>
      <c r="AF1961" s="204" t="s">
        <v>398</v>
      </c>
      <c r="AG1961" s="204" t="s">
        <v>398</v>
      </c>
      <c r="AS1961" s="65" t="str">
        <f>IFERROR(VLOOKUP(#REF!,[1]Lookup!$B$2:$E$115,4,FALSE),"")</f>
        <v/>
      </c>
      <c r="AT1961" s="65" t="str">
        <f>IFERROR(VLOOKUP(#REF!,[1]Lookup!$B$2:$E$115,2,FALSE),"")</f>
        <v/>
      </c>
      <c r="AU1961" s="65" t="str">
        <f>IFERROR(VLOOKUP(#REF!,[1]Lookup!$B$2:$E$115,3,FALSE),"")</f>
        <v/>
      </c>
    </row>
    <row r="1962" spans="31:47" x14ac:dyDescent="0.3">
      <c r="AE1962" s="204" t="s">
        <v>398</v>
      </c>
      <c r="AF1962" s="204" t="s">
        <v>398</v>
      </c>
      <c r="AG1962" s="204" t="s">
        <v>398</v>
      </c>
      <c r="AS1962" s="65" t="str">
        <f>IFERROR(VLOOKUP(#REF!,[1]Lookup!$B$2:$E$115,4,FALSE),"")</f>
        <v/>
      </c>
      <c r="AT1962" s="65" t="str">
        <f>IFERROR(VLOOKUP(#REF!,[1]Lookup!$B$2:$E$115,2,FALSE),"")</f>
        <v/>
      </c>
      <c r="AU1962" s="65" t="str">
        <f>IFERROR(VLOOKUP(#REF!,[1]Lookup!$B$2:$E$115,3,FALSE),"")</f>
        <v/>
      </c>
    </row>
    <row r="1963" spans="31:47" x14ac:dyDescent="0.3">
      <c r="AE1963" s="204" t="s">
        <v>398</v>
      </c>
      <c r="AF1963" s="204" t="s">
        <v>398</v>
      </c>
      <c r="AG1963" s="204" t="s">
        <v>398</v>
      </c>
      <c r="AS1963" s="65" t="str">
        <f>IFERROR(VLOOKUP(#REF!,[1]Lookup!$B$2:$E$115,4,FALSE),"")</f>
        <v/>
      </c>
      <c r="AT1963" s="65" t="str">
        <f>IFERROR(VLOOKUP(#REF!,[1]Lookup!$B$2:$E$115,2,FALSE),"")</f>
        <v/>
      </c>
      <c r="AU1963" s="65" t="str">
        <f>IFERROR(VLOOKUP(#REF!,[1]Lookup!$B$2:$E$115,3,FALSE),"")</f>
        <v/>
      </c>
    </row>
    <row r="1964" spans="31:47" x14ac:dyDescent="0.3">
      <c r="AE1964" s="204" t="s">
        <v>398</v>
      </c>
      <c r="AF1964" s="204" t="s">
        <v>398</v>
      </c>
      <c r="AG1964" s="204" t="s">
        <v>398</v>
      </c>
      <c r="AS1964" s="65" t="str">
        <f>IFERROR(VLOOKUP(#REF!,[1]Lookup!$B$2:$E$115,4,FALSE),"")</f>
        <v/>
      </c>
      <c r="AT1964" s="65" t="str">
        <f>IFERROR(VLOOKUP(#REF!,[1]Lookup!$B$2:$E$115,2,FALSE),"")</f>
        <v/>
      </c>
      <c r="AU1964" s="65" t="str">
        <f>IFERROR(VLOOKUP(#REF!,[1]Lookup!$B$2:$E$115,3,FALSE),"")</f>
        <v/>
      </c>
    </row>
    <row r="1965" spans="31:47" x14ac:dyDescent="0.3">
      <c r="AE1965" s="204" t="s">
        <v>398</v>
      </c>
      <c r="AF1965" s="204" t="s">
        <v>398</v>
      </c>
      <c r="AG1965" s="204" t="s">
        <v>398</v>
      </c>
      <c r="AS1965" s="65" t="str">
        <f>IFERROR(VLOOKUP(#REF!,[1]Lookup!$B$2:$E$115,4,FALSE),"")</f>
        <v/>
      </c>
      <c r="AT1965" s="65" t="str">
        <f>IFERROR(VLOOKUP(#REF!,[1]Lookup!$B$2:$E$115,2,FALSE),"")</f>
        <v/>
      </c>
      <c r="AU1965" s="65" t="str">
        <f>IFERROR(VLOOKUP(#REF!,[1]Lookup!$B$2:$E$115,3,FALSE),"")</f>
        <v/>
      </c>
    </row>
    <row r="1966" spans="31:47" x14ac:dyDescent="0.3">
      <c r="AE1966" s="204" t="s">
        <v>398</v>
      </c>
      <c r="AF1966" s="204" t="s">
        <v>398</v>
      </c>
      <c r="AG1966" s="204" t="s">
        <v>398</v>
      </c>
      <c r="AS1966" s="65" t="str">
        <f>IFERROR(VLOOKUP(#REF!,[1]Lookup!$B$2:$E$115,4,FALSE),"")</f>
        <v/>
      </c>
      <c r="AT1966" s="65" t="str">
        <f>IFERROR(VLOOKUP(#REF!,[1]Lookup!$B$2:$E$115,2,FALSE),"")</f>
        <v/>
      </c>
      <c r="AU1966" s="65" t="str">
        <f>IFERROR(VLOOKUP(#REF!,[1]Lookup!$B$2:$E$115,3,FALSE),"")</f>
        <v/>
      </c>
    </row>
    <row r="1967" spans="31:47" x14ac:dyDescent="0.3">
      <c r="AE1967" s="204" t="s">
        <v>398</v>
      </c>
      <c r="AF1967" s="204" t="s">
        <v>398</v>
      </c>
      <c r="AG1967" s="204" t="s">
        <v>398</v>
      </c>
      <c r="AS1967" s="65" t="str">
        <f>IFERROR(VLOOKUP(#REF!,[1]Lookup!$B$2:$E$115,4,FALSE),"")</f>
        <v/>
      </c>
      <c r="AT1967" s="65" t="str">
        <f>IFERROR(VLOOKUP(#REF!,[1]Lookup!$B$2:$E$115,2,FALSE),"")</f>
        <v/>
      </c>
      <c r="AU1967" s="65" t="str">
        <f>IFERROR(VLOOKUP(#REF!,[1]Lookup!$B$2:$E$115,3,FALSE),"")</f>
        <v/>
      </c>
    </row>
    <row r="1968" spans="31:47" x14ac:dyDescent="0.3">
      <c r="AE1968" s="204" t="s">
        <v>398</v>
      </c>
      <c r="AF1968" s="204" t="s">
        <v>398</v>
      </c>
      <c r="AG1968" s="204" t="s">
        <v>398</v>
      </c>
      <c r="AS1968" s="65" t="str">
        <f>IFERROR(VLOOKUP(#REF!,[1]Lookup!$B$2:$E$115,4,FALSE),"")</f>
        <v/>
      </c>
      <c r="AT1968" s="65" t="str">
        <f>IFERROR(VLOOKUP(#REF!,[1]Lookup!$B$2:$E$115,2,FALSE),"")</f>
        <v/>
      </c>
      <c r="AU1968" s="65" t="str">
        <f>IFERROR(VLOOKUP(#REF!,[1]Lookup!$B$2:$E$115,3,FALSE),"")</f>
        <v/>
      </c>
    </row>
    <row r="1969" spans="31:47" x14ac:dyDescent="0.3">
      <c r="AE1969" s="204" t="s">
        <v>398</v>
      </c>
      <c r="AF1969" s="204" t="s">
        <v>398</v>
      </c>
      <c r="AG1969" s="204" t="s">
        <v>398</v>
      </c>
      <c r="AS1969" s="65" t="str">
        <f>IFERROR(VLOOKUP(#REF!,[1]Lookup!$B$2:$E$115,4,FALSE),"")</f>
        <v/>
      </c>
      <c r="AT1969" s="65" t="str">
        <f>IFERROR(VLOOKUP(#REF!,[1]Lookup!$B$2:$E$115,2,FALSE),"")</f>
        <v/>
      </c>
      <c r="AU1969" s="65" t="str">
        <f>IFERROR(VLOOKUP(#REF!,[1]Lookup!$B$2:$E$115,3,FALSE),"")</f>
        <v/>
      </c>
    </row>
    <row r="1970" spans="31:47" x14ac:dyDescent="0.3">
      <c r="AE1970" s="204" t="s">
        <v>398</v>
      </c>
      <c r="AF1970" s="204" t="s">
        <v>398</v>
      </c>
      <c r="AG1970" s="204" t="s">
        <v>398</v>
      </c>
      <c r="AS1970" s="65" t="str">
        <f>IFERROR(VLOOKUP(#REF!,[1]Lookup!$B$2:$E$115,4,FALSE),"")</f>
        <v/>
      </c>
      <c r="AT1970" s="65" t="str">
        <f>IFERROR(VLOOKUP(#REF!,[1]Lookup!$B$2:$E$115,2,FALSE),"")</f>
        <v/>
      </c>
      <c r="AU1970" s="65" t="str">
        <f>IFERROR(VLOOKUP(#REF!,[1]Lookup!$B$2:$E$115,3,FALSE),"")</f>
        <v/>
      </c>
    </row>
    <row r="1971" spans="31:47" x14ac:dyDescent="0.3">
      <c r="AE1971" s="204" t="s">
        <v>398</v>
      </c>
      <c r="AF1971" s="204" t="s">
        <v>398</v>
      </c>
      <c r="AG1971" s="204" t="s">
        <v>398</v>
      </c>
      <c r="AS1971" s="65" t="str">
        <f>IFERROR(VLOOKUP(#REF!,[1]Lookup!$B$2:$E$115,4,FALSE),"")</f>
        <v/>
      </c>
      <c r="AT1971" s="65" t="str">
        <f>IFERROR(VLOOKUP(#REF!,[1]Lookup!$B$2:$E$115,2,FALSE),"")</f>
        <v/>
      </c>
      <c r="AU1971" s="65" t="str">
        <f>IFERROR(VLOOKUP(#REF!,[1]Lookup!$B$2:$E$115,3,FALSE),"")</f>
        <v/>
      </c>
    </row>
    <row r="1972" spans="31:47" x14ac:dyDescent="0.3">
      <c r="AE1972" s="204" t="s">
        <v>398</v>
      </c>
      <c r="AF1972" s="204" t="s">
        <v>398</v>
      </c>
      <c r="AG1972" s="204" t="s">
        <v>398</v>
      </c>
      <c r="AS1972" s="65" t="str">
        <f>IFERROR(VLOOKUP(#REF!,[1]Lookup!$B$2:$E$115,4,FALSE),"")</f>
        <v/>
      </c>
      <c r="AT1972" s="65" t="str">
        <f>IFERROR(VLOOKUP(#REF!,[1]Lookup!$B$2:$E$115,2,FALSE),"")</f>
        <v/>
      </c>
      <c r="AU1972" s="65" t="str">
        <f>IFERROR(VLOOKUP(#REF!,[1]Lookup!$B$2:$E$115,3,FALSE),"")</f>
        <v/>
      </c>
    </row>
    <row r="1973" spans="31:47" x14ac:dyDescent="0.3">
      <c r="AE1973" s="204" t="s">
        <v>398</v>
      </c>
      <c r="AF1973" s="204" t="s">
        <v>398</v>
      </c>
      <c r="AG1973" s="204" t="s">
        <v>398</v>
      </c>
      <c r="AS1973" s="65" t="str">
        <f>IFERROR(VLOOKUP(#REF!,[1]Lookup!$B$2:$E$115,4,FALSE),"")</f>
        <v/>
      </c>
      <c r="AT1973" s="65" t="str">
        <f>IFERROR(VLOOKUP(#REF!,[1]Lookup!$B$2:$E$115,2,FALSE),"")</f>
        <v/>
      </c>
      <c r="AU1973" s="65" t="str">
        <f>IFERROR(VLOOKUP(#REF!,[1]Lookup!$B$2:$E$115,3,FALSE),"")</f>
        <v/>
      </c>
    </row>
    <row r="1974" spans="31:47" x14ac:dyDescent="0.3">
      <c r="AE1974" s="204" t="s">
        <v>398</v>
      </c>
      <c r="AF1974" s="204" t="s">
        <v>398</v>
      </c>
      <c r="AG1974" s="204" t="s">
        <v>398</v>
      </c>
      <c r="AS1974" s="65" t="str">
        <f>IFERROR(VLOOKUP(#REF!,[1]Lookup!$B$2:$E$115,4,FALSE),"")</f>
        <v/>
      </c>
      <c r="AT1974" s="65" t="str">
        <f>IFERROR(VLOOKUP(#REF!,[1]Lookup!$B$2:$E$115,2,FALSE),"")</f>
        <v/>
      </c>
      <c r="AU1974" s="65" t="str">
        <f>IFERROR(VLOOKUP(#REF!,[1]Lookup!$B$2:$E$115,3,FALSE),"")</f>
        <v/>
      </c>
    </row>
    <row r="1975" spans="31:47" x14ac:dyDescent="0.3">
      <c r="AE1975" s="204" t="s">
        <v>398</v>
      </c>
      <c r="AF1975" s="204" t="s">
        <v>398</v>
      </c>
      <c r="AG1975" s="204" t="s">
        <v>398</v>
      </c>
      <c r="AS1975" s="65" t="str">
        <f>IFERROR(VLOOKUP(#REF!,[1]Lookup!$B$2:$E$115,4,FALSE),"")</f>
        <v/>
      </c>
      <c r="AT1975" s="65" t="str">
        <f>IFERROR(VLOOKUP(#REF!,[1]Lookup!$B$2:$E$115,2,FALSE),"")</f>
        <v/>
      </c>
      <c r="AU1975" s="65" t="str">
        <f>IFERROR(VLOOKUP(#REF!,[1]Lookup!$B$2:$E$115,3,FALSE),"")</f>
        <v/>
      </c>
    </row>
    <row r="1976" spans="31:47" x14ac:dyDescent="0.3">
      <c r="AE1976" s="204" t="s">
        <v>398</v>
      </c>
      <c r="AF1976" s="204" t="s">
        <v>398</v>
      </c>
      <c r="AG1976" s="204" t="s">
        <v>398</v>
      </c>
      <c r="AS1976" s="65" t="str">
        <f>IFERROR(VLOOKUP(#REF!,[1]Lookup!$B$2:$E$115,4,FALSE),"")</f>
        <v/>
      </c>
      <c r="AT1976" s="65" t="str">
        <f>IFERROR(VLOOKUP(#REF!,[1]Lookup!$B$2:$E$115,2,FALSE),"")</f>
        <v/>
      </c>
      <c r="AU1976" s="65" t="str">
        <f>IFERROR(VLOOKUP(#REF!,[1]Lookup!$B$2:$E$115,3,FALSE),"")</f>
        <v/>
      </c>
    </row>
    <row r="1977" spans="31:47" x14ac:dyDescent="0.3">
      <c r="AE1977" s="204" t="s">
        <v>398</v>
      </c>
      <c r="AF1977" s="204" t="s">
        <v>398</v>
      </c>
      <c r="AG1977" s="204" t="s">
        <v>398</v>
      </c>
      <c r="AS1977" s="65" t="str">
        <f>IFERROR(VLOOKUP(#REF!,[1]Lookup!$B$2:$E$115,4,FALSE),"")</f>
        <v/>
      </c>
      <c r="AT1977" s="65" t="str">
        <f>IFERROR(VLOOKUP(#REF!,[1]Lookup!$B$2:$E$115,2,FALSE),"")</f>
        <v/>
      </c>
      <c r="AU1977" s="65" t="str">
        <f>IFERROR(VLOOKUP(#REF!,[1]Lookup!$B$2:$E$115,3,FALSE),"")</f>
        <v/>
      </c>
    </row>
    <row r="1978" spans="31:47" x14ac:dyDescent="0.3">
      <c r="AE1978" s="204" t="s">
        <v>398</v>
      </c>
      <c r="AF1978" s="204" t="s">
        <v>398</v>
      </c>
      <c r="AG1978" s="204" t="s">
        <v>398</v>
      </c>
      <c r="AS1978" s="65" t="str">
        <f>IFERROR(VLOOKUP(#REF!,[1]Lookup!$B$2:$E$115,4,FALSE),"")</f>
        <v/>
      </c>
      <c r="AT1978" s="65" t="str">
        <f>IFERROR(VLOOKUP(#REF!,[1]Lookup!$B$2:$E$115,2,FALSE),"")</f>
        <v/>
      </c>
      <c r="AU1978" s="65" t="str">
        <f>IFERROR(VLOOKUP(#REF!,[1]Lookup!$B$2:$E$115,3,FALSE),"")</f>
        <v/>
      </c>
    </row>
    <row r="1979" spans="31:47" x14ac:dyDescent="0.3">
      <c r="AE1979" s="204" t="s">
        <v>398</v>
      </c>
      <c r="AF1979" s="204" t="s">
        <v>398</v>
      </c>
      <c r="AG1979" s="204" t="s">
        <v>398</v>
      </c>
      <c r="AS1979" s="65" t="str">
        <f>IFERROR(VLOOKUP(#REF!,[1]Lookup!$B$2:$E$115,4,FALSE),"")</f>
        <v/>
      </c>
      <c r="AT1979" s="65" t="str">
        <f>IFERROR(VLOOKUP(#REF!,[1]Lookup!$B$2:$E$115,2,FALSE),"")</f>
        <v/>
      </c>
      <c r="AU1979" s="65" t="str">
        <f>IFERROR(VLOOKUP(#REF!,[1]Lookup!$B$2:$E$115,3,FALSE),"")</f>
        <v/>
      </c>
    </row>
    <row r="1980" spans="31:47" x14ac:dyDescent="0.3">
      <c r="AE1980" s="204" t="s">
        <v>398</v>
      </c>
      <c r="AF1980" s="204" t="s">
        <v>398</v>
      </c>
      <c r="AG1980" s="204" t="s">
        <v>398</v>
      </c>
      <c r="AS1980" s="65" t="str">
        <f>IFERROR(VLOOKUP(#REF!,[1]Lookup!$B$2:$E$115,4,FALSE),"")</f>
        <v/>
      </c>
      <c r="AT1980" s="65" t="str">
        <f>IFERROR(VLOOKUP(#REF!,[1]Lookup!$B$2:$E$115,2,FALSE),"")</f>
        <v/>
      </c>
      <c r="AU1980" s="65" t="str">
        <f>IFERROR(VLOOKUP(#REF!,[1]Lookup!$B$2:$E$115,3,FALSE),"")</f>
        <v/>
      </c>
    </row>
    <row r="1981" spans="31:47" x14ac:dyDescent="0.3">
      <c r="AE1981" s="204" t="s">
        <v>398</v>
      </c>
      <c r="AF1981" s="204" t="s">
        <v>398</v>
      </c>
      <c r="AG1981" s="204" t="s">
        <v>398</v>
      </c>
      <c r="AS1981" s="65" t="str">
        <f>IFERROR(VLOOKUP(#REF!,[1]Lookup!$B$2:$E$115,4,FALSE),"")</f>
        <v/>
      </c>
      <c r="AT1981" s="65" t="str">
        <f>IFERROR(VLOOKUP(#REF!,[1]Lookup!$B$2:$E$115,2,FALSE),"")</f>
        <v/>
      </c>
      <c r="AU1981" s="65" t="str">
        <f>IFERROR(VLOOKUP(#REF!,[1]Lookup!$B$2:$E$115,3,FALSE),"")</f>
        <v/>
      </c>
    </row>
    <row r="1982" spans="31:47" x14ac:dyDescent="0.3">
      <c r="AE1982" s="204" t="s">
        <v>398</v>
      </c>
      <c r="AF1982" s="204" t="s">
        <v>398</v>
      </c>
      <c r="AG1982" s="204" t="s">
        <v>398</v>
      </c>
      <c r="AS1982" s="65" t="str">
        <f>IFERROR(VLOOKUP(#REF!,[1]Lookup!$B$2:$E$115,4,FALSE),"")</f>
        <v/>
      </c>
      <c r="AT1982" s="65" t="str">
        <f>IFERROR(VLOOKUP(#REF!,[1]Lookup!$B$2:$E$115,2,FALSE),"")</f>
        <v/>
      </c>
      <c r="AU1982" s="65" t="str">
        <f>IFERROR(VLOOKUP(#REF!,[1]Lookup!$B$2:$E$115,3,FALSE),"")</f>
        <v/>
      </c>
    </row>
    <row r="1983" spans="31:47" x14ac:dyDescent="0.3">
      <c r="AE1983" s="204" t="s">
        <v>398</v>
      </c>
      <c r="AF1983" s="204" t="s">
        <v>398</v>
      </c>
      <c r="AG1983" s="204" t="s">
        <v>398</v>
      </c>
      <c r="AS1983" s="65" t="str">
        <f>IFERROR(VLOOKUP(#REF!,[1]Lookup!$B$2:$E$115,4,FALSE),"")</f>
        <v/>
      </c>
      <c r="AT1983" s="65" t="str">
        <f>IFERROR(VLOOKUP(#REF!,[1]Lookup!$B$2:$E$115,2,FALSE),"")</f>
        <v/>
      </c>
      <c r="AU1983" s="65" t="str">
        <f>IFERROR(VLOOKUP(#REF!,[1]Lookup!$B$2:$E$115,3,FALSE),"")</f>
        <v/>
      </c>
    </row>
    <row r="1984" spans="31:47" x14ac:dyDescent="0.3">
      <c r="AE1984" s="204" t="s">
        <v>398</v>
      </c>
      <c r="AF1984" s="204" t="s">
        <v>398</v>
      </c>
      <c r="AG1984" s="204" t="s">
        <v>398</v>
      </c>
      <c r="AS1984" s="65" t="str">
        <f>IFERROR(VLOOKUP(#REF!,[1]Lookup!$B$2:$E$115,4,FALSE),"")</f>
        <v/>
      </c>
      <c r="AT1984" s="65" t="str">
        <f>IFERROR(VLOOKUP(#REF!,[1]Lookup!$B$2:$E$115,2,FALSE),"")</f>
        <v/>
      </c>
      <c r="AU1984" s="65" t="str">
        <f>IFERROR(VLOOKUP(#REF!,[1]Lookup!$B$2:$E$115,3,FALSE),"")</f>
        <v/>
      </c>
    </row>
    <row r="1985" spans="31:47" x14ac:dyDescent="0.3">
      <c r="AE1985" s="204" t="s">
        <v>398</v>
      </c>
      <c r="AF1985" s="204" t="s">
        <v>398</v>
      </c>
      <c r="AG1985" s="204" t="s">
        <v>398</v>
      </c>
      <c r="AS1985" s="65" t="str">
        <f>IFERROR(VLOOKUP(#REF!,[1]Lookup!$B$2:$E$115,4,FALSE),"")</f>
        <v/>
      </c>
      <c r="AT1985" s="65" t="str">
        <f>IFERROR(VLOOKUP(#REF!,[1]Lookup!$B$2:$E$115,2,FALSE),"")</f>
        <v/>
      </c>
      <c r="AU1985" s="65" t="str">
        <f>IFERROR(VLOOKUP(#REF!,[1]Lookup!$B$2:$E$115,3,FALSE),"")</f>
        <v/>
      </c>
    </row>
    <row r="1986" spans="31:47" x14ac:dyDescent="0.3">
      <c r="AE1986" s="204" t="s">
        <v>398</v>
      </c>
      <c r="AF1986" s="204" t="s">
        <v>398</v>
      </c>
      <c r="AG1986" s="204" t="s">
        <v>398</v>
      </c>
      <c r="AS1986" s="65" t="str">
        <f>IFERROR(VLOOKUP(#REF!,[1]Lookup!$B$2:$E$115,4,FALSE),"")</f>
        <v/>
      </c>
      <c r="AT1986" s="65" t="str">
        <f>IFERROR(VLOOKUP(#REF!,[1]Lookup!$B$2:$E$115,2,FALSE),"")</f>
        <v/>
      </c>
      <c r="AU1986" s="65" t="str">
        <f>IFERROR(VLOOKUP(#REF!,[1]Lookup!$B$2:$E$115,3,FALSE),"")</f>
        <v/>
      </c>
    </row>
    <row r="1987" spans="31:47" x14ac:dyDescent="0.3">
      <c r="AE1987" s="204" t="s">
        <v>398</v>
      </c>
      <c r="AF1987" s="204" t="s">
        <v>398</v>
      </c>
      <c r="AG1987" s="204" t="s">
        <v>398</v>
      </c>
      <c r="AS1987" s="65" t="str">
        <f>IFERROR(VLOOKUP(#REF!,[1]Lookup!$B$2:$E$115,4,FALSE),"")</f>
        <v/>
      </c>
      <c r="AT1987" s="65" t="str">
        <f>IFERROR(VLOOKUP(#REF!,[1]Lookup!$B$2:$E$115,2,FALSE),"")</f>
        <v/>
      </c>
      <c r="AU1987" s="65" t="str">
        <f>IFERROR(VLOOKUP(#REF!,[1]Lookup!$B$2:$E$115,3,FALSE),"")</f>
        <v/>
      </c>
    </row>
    <row r="1988" spans="31:47" x14ac:dyDescent="0.3">
      <c r="AE1988" s="204" t="s">
        <v>398</v>
      </c>
      <c r="AF1988" s="204" t="s">
        <v>398</v>
      </c>
      <c r="AG1988" s="204" t="s">
        <v>398</v>
      </c>
      <c r="AS1988" s="65" t="str">
        <f>IFERROR(VLOOKUP(#REF!,[1]Lookup!$B$2:$E$115,4,FALSE),"")</f>
        <v/>
      </c>
      <c r="AT1988" s="65" t="str">
        <f>IFERROR(VLOOKUP(#REF!,[1]Lookup!$B$2:$E$115,2,FALSE),"")</f>
        <v/>
      </c>
      <c r="AU1988" s="65" t="str">
        <f>IFERROR(VLOOKUP(#REF!,[1]Lookup!$B$2:$E$115,3,FALSE),"")</f>
        <v/>
      </c>
    </row>
    <row r="1989" spans="31:47" x14ac:dyDescent="0.3">
      <c r="AE1989" s="204" t="s">
        <v>398</v>
      </c>
      <c r="AF1989" s="204" t="s">
        <v>398</v>
      </c>
      <c r="AG1989" s="204" t="s">
        <v>398</v>
      </c>
      <c r="AS1989" s="65" t="str">
        <f>IFERROR(VLOOKUP(#REF!,[1]Lookup!$B$2:$E$115,4,FALSE),"")</f>
        <v/>
      </c>
      <c r="AT1989" s="65" t="str">
        <f>IFERROR(VLOOKUP(#REF!,[1]Lookup!$B$2:$E$115,2,FALSE),"")</f>
        <v/>
      </c>
      <c r="AU1989" s="65" t="str">
        <f>IFERROR(VLOOKUP(#REF!,[1]Lookup!$B$2:$E$115,3,FALSE),"")</f>
        <v/>
      </c>
    </row>
    <row r="1990" spans="31:47" x14ac:dyDescent="0.3">
      <c r="AE1990" s="204" t="s">
        <v>398</v>
      </c>
      <c r="AF1990" s="204" t="s">
        <v>398</v>
      </c>
      <c r="AG1990" s="204" t="s">
        <v>398</v>
      </c>
      <c r="AS1990" s="65" t="str">
        <f>IFERROR(VLOOKUP(#REF!,[1]Lookup!$B$2:$E$115,4,FALSE),"")</f>
        <v/>
      </c>
      <c r="AT1990" s="65" t="str">
        <f>IFERROR(VLOOKUP(#REF!,[1]Lookup!$B$2:$E$115,2,FALSE),"")</f>
        <v/>
      </c>
      <c r="AU1990" s="65" t="str">
        <f>IFERROR(VLOOKUP(#REF!,[1]Lookup!$B$2:$E$115,3,FALSE),"")</f>
        <v/>
      </c>
    </row>
    <row r="1991" spans="31:47" x14ac:dyDescent="0.3">
      <c r="AE1991" s="204" t="s">
        <v>398</v>
      </c>
      <c r="AF1991" s="204" t="s">
        <v>398</v>
      </c>
      <c r="AG1991" s="204" t="s">
        <v>398</v>
      </c>
      <c r="AS1991" s="65" t="str">
        <f>IFERROR(VLOOKUP(#REF!,[1]Lookup!$B$2:$E$115,4,FALSE),"")</f>
        <v/>
      </c>
      <c r="AT1991" s="65" t="str">
        <f>IFERROR(VLOOKUP(#REF!,[1]Lookup!$B$2:$E$115,2,FALSE),"")</f>
        <v/>
      </c>
      <c r="AU1991" s="65" t="str">
        <f>IFERROR(VLOOKUP(#REF!,[1]Lookup!$B$2:$E$115,3,FALSE),"")</f>
        <v/>
      </c>
    </row>
    <row r="1992" spans="31:47" x14ac:dyDescent="0.3">
      <c r="AE1992" s="204" t="s">
        <v>398</v>
      </c>
      <c r="AF1992" s="204" t="s">
        <v>398</v>
      </c>
      <c r="AG1992" s="204" t="s">
        <v>398</v>
      </c>
      <c r="AS1992" s="65" t="str">
        <f>IFERROR(VLOOKUP(#REF!,[1]Lookup!$B$2:$E$115,4,FALSE),"")</f>
        <v/>
      </c>
      <c r="AT1992" s="65" t="str">
        <f>IFERROR(VLOOKUP(#REF!,[1]Lookup!$B$2:$E$115,2,FALSE),"")</f>
        <v/>
      </c>
      <c r="AU1992" s="65" t="str">
        <f>IFERROR(VLOOKUP(#REF!,[1]Lookup!$B$2:$E$115,3,FALSE),"")</f>
        <v/>
      </c>
    </row>
    <row r="1993" spans="31:47" x14ac:dyDescent="0.3">
      <c r="AE1993" s="204" t="s">
        <v>398</v>
      </c>
      <c r="AF1993" s="204" t="s">
        <v>398</v>
      </c>
      <c r="AG1993" s="204" t="s">
        <v>398</v>
      </c>
      <c r="AS1993" s="65" t="str">
        <f>IFERROR(VLOOKUP(#REF!,[1]Lookup!$B$2:$E$115,4,FALSE),"")</f>
        <v/>
      </c>
      <c r="AT1993" s="65" t="str">
        <f>IFERROR(VLOOKUP(#REF!,[1]Lookup!$B$2:$E$115,2,FALSE),"")</f>
        <v/>
      </c>
      <c r="AU1993" s="65" t="str">
        <f>IFERROR(VLOOKUP(#REF!,[1]Lookup!$B$2:$E$115,3,FALSE),"")</f>
        <v/>
      </c>
    </row>
    <row r="1994" spans="31:47" x14ac:dyDescent="0.3">
      <c r="AE1994" s="204" t="s">
        <v>398</v>
      </c>
      <c r="AF1994" s="204" t="s">
        <v>398</v>
      </c>
      <c r="AG1994" s="204" t="s">
        <v>398</v>
      </c>
      <c r="AS1994" s="65" t="str">
        <f>IFERROR(VLOOKUP(#REF!,[1]Lookup!$B$2:$E$115,4,FALSE),"")</f>
        <v/>
      </c>
      <c r="AT1994" s="65" t="str">
        <f>IFERROR(VLOOKUP(#REF!,[1]Lookup!$B$2:$E$115,2,FALSE),"")</f>
        <v/>
      </c>
      <c r="AU1994" s="65" t="str">
        <f>IFERROR(VLOOKUP(#REF!,[1]Lookup!$B$2:$E$115,3,FALSE),"")</f>
        <v/>
      </c>
    </row>
    <row r="1995" spans="31:47" x14ac:dyDescent="0.3">
      <c r="AE1995" s="204" t="s">
        <v>398</v>
      </c>
      <c r="AF1995" s="204" t="s">
        <v>398</v>
      </c>
      <c r="AG1995" s="204" t="s">
        <v>398</v>
      </c>
      <c r="AS1995" s="65" t="str">
        <f>IFERROR(VLOOKUP(#REF!,[1]Lookup!$B$2:$E$115,4,FALSE),"")</f>
        <v/>
      </c>
      <c r="AT1995" s="65" t="str">
        <f>IFERROR(VLOOKUP(#REF!,[1]Lookup!$B$2:$E$115,2,FALSE),"")</f>
        <v/>
      </c>
      <c r="AU1995" s="65" t="str">
        <f>IFERROR(VLOOKUP(#REF!,[1]Lookup!$B$2:$E$115,3,FALSE),"")</f>
        <v/>
      </c>
    </row>
    <row r="1996" spans="31:47" x14ac:dyDescent="0.3">
      <c r="AE1996" s="204" t="s">
        <v>398</v>
      </c>
      <c r="AF1996" s="204" t="s">
        <v>398</v>
      </c>
      <c r="AG1996" s="204" t="s">
        <v>398</v>
      </c>
      <c r="AS1996" s="65" t="str">
        <f>IFERROR(VLOOKUP(#REF!,[1]Lookup!$B$2:$E$115,4,FALSE),"")</f>
        <v/>
      </c>
      <c r="AT1996" s="65" t="str">
        <f>IFERROR(VLOOKUP(#REF!,[1]Lookup!$B$2:$E$115,2,FALSE),"")</f>
        <v/>
      </c>
      <c r="AU1996" s="65" t="str">
        <f>IFERROR(VLOOKUP(#REF!,[1]Lookup!$B$2:$E$115,3,FALSE),"")</f>
        <v/>
      </c>
    </row>
    <row r="1997" spans="31:47" x14ac:dyDescent="0.3">
      <c r="AE1997" s="204" t="s">
        <v>398</v>
      </c>
      <c r="AF1997" s="204" t="s">
        <v>398</v>
      </c>
      <c r="AG1997" s="204" t="s">
        <v>398</v>
      </c>
      <c r="AS1997" s="65" t="str">
        <f>IFERROR(VLOOKUP(#REF!,[1]Lookup!$B$2:$E$115,4,FALSE),"")</f>
        <v/>
      </c>
      <c r="AT1997" s="65" t="str">
        <f>IFERROR(VLOOKUP(#REF!,[1]Lookup!$B$2:$E$115,2,FALSE),"")</f>
        <v/>
      </c>
      <c r="AU1997" s="65" t="str">
        <f>IFERROR(VLOOKUP(#REF!,[1]Lookup!$B$2:$E$115,3,FALSE),"")</f>
        <v/>
      </c>
    </row>
    <row r="1998" spans="31:47" x14ac:dyDescent="0.3">
      <c r="AE1998" s="204" t="s">
        <v>398</v>
      </c>
      <c r="AF1998" s="204" t="s">
        <v>398</v>
      </c>
      <c r="AG1998" s="204" t="s">
        <v>398</v>
      </c>
      <c r="AS1998" s="65" t="str">
        <f>IFERROR(VLOOKUP(#REF!,[1]Lookup!$B$2:$E$115,4,FALSE),"")</f>
        <v/>
      </c>
      <c r="AT1998" s="65" t="str">
        <f>IFERROR(VLOOKUP(#REF!,[1]Lookup!$B$2:$E$115,2,FALSE),"")</f>
        <v/>
      </c>
      <c r="AU1998" s="65" t="str">
        <f>IFERROR(VLOOKUP(#REF!,[1]Lookup!$B$2:$E$115,3,FALSE),"")</f>
        <v/>
      </c>
    </row>
    <row r="1999" spans="31:47" x14ac:dyDescent="0.3">
      <c r="AE1999" s="204" t="s">
        <v>398</v>
      </c>
      <c r="AF1999" s="204" t="s">
        <v>398</v>
      </c>
      <c r="AG1999" s="204" t="s">
        <v>398</v>
      </c>
      <c r="AS1999" s="65" t="str">
        <f>IFERROR(VLOOKUP(#REF!,[1]Lookup!$B$2:$E$115,4,FALSE),"")</f>
        <v/>
      </c>
      <c r="AT1999" s="65" t="str">
        <f>IFERROR(VLOOKUP(#REF!,[1]Lookup!$B$2:$E$115,2,FALSE),"")</f>
        <v/>
      </c>
      <c r="AU1999" s="65" t="str">
        <f>IFERROR(VLOOKUP(#REF!,[1]Lookup!$B$2:$E$115,3,FALSE),"")</f>
        <v/>
      </c>
    </row>
    <row r="2000" spans="31:47" x14ac:dyDescent="0.3">
      <c r="AE2000" s="204" t="s">
        <v>398</v>
      </c>
      <c r="AF2000" s="204" t="s">
        <v>398</v>
      </c>
      <c r="AG2000" s="204" t="s">
        <v>398</v>
      </c>
      <c r="AS2000" s="65" t="str">
        <f>IFERROR(VLOOKUP(#REF!,[1]Lookup!$B$2:$E$115,4,FALSE),"")</f>
        <v/>
      </c>
      <c r="AT2000" s="65" t="str">
        <f>IFERROR(VLOOKUP(#REF!,[1]Lookup!$B$2:$E$115,2,FALSE),"")</f>
        <v/>
      </c>
      <c r="AU2000" s="65" t="str">
        <f>IFERROR(VLOOKUP(#REF!,[1]Lookup!$B$2:$E$115,3,FALSE),"")</f>
        <v/>
      </c>
    </row>
    <row r="2001" spans="31:47" x14ac:dyDescent="0.3">
      <c r="AE2001" s="204" t="s">
        <v>398</v>
      </c>
      <c r="AF2001" s="204" t="s">
        <v>398</v>
      </c>
      <c r="AG2001" s="204" t="s">
        <v>398</v>
      </c>
      <c r="AS2001" s="65" t="str">
        <f>IFERROR(VLOOKUP(#REF!,[1]Lookup!$B$2:$E$115,4,FALSE),"")</f>
        <v/>
      </c>
      <c r="AT2001" s="65" t="str">
        <f>IFERROR(VLOOKUP(#REF!,[1]Lookup!$B$2:$E$115,2,FALSE),"")</f>
        <v/>
      </c>
      <c r="AU2001" s="65" t="str">
        <f>IFERROR(VLOOKUP(#REF!,[1]Lookup!$B$2:$E$115,3,FALSE),"")</f>
        <v/>
      </c>
    </row>
    <row r="2002" spans="31:47" x14ac:dyDescent="0.3">
      <c r="AE2002" s="204" t="s">
        <v>398</v>
      </c>
      <c r="AF2002" s="204" t="s">
        <v>398</v>
      </c>
      <c r="AG2002" s="204" t="s">
        <v>398</v>
      </c>
      <c r="AS2002" s="65" t="str">
        <f>IFERROR(VLOOKUP(#REF!,[1]Lookup!$B$2:$E$115,4,FALSE),"")</f>
        <v/>
      </c>
      <c r="AT2002" s="65" t="str">
        <f>IFERROR(VLOOKUP(#REF!,[1]Lookup!$B$2:$E$115,2,FALSE),"")</f>
        <v/>
      </c>
      <c r="AU2002" s="65" t="str">
        <f>IFERROR(VLOOKUP(#REF!,[1]Lookup!$B$2:$E$115,3,FALSE),"")</f>
        <v/>
      </c>
    </row>
    <row r="2003" spans="31:47" x14ac:dyDescent="0.3">
      <c r="AE2003" s="204" t="s">
        <v>398</v>
      </c>
      <c r="AF2003" s="204" t="s">
        <v>398</v>
      </c>
      <c r="AG2003" s="204" t="s">
        <v>398</v>
      </c>
      <c r="AS2003" s="65" t="str">
        <f>IFERROR(VLOOKUP(#REF!,[1]Lookup!$B$2:$E$115,4,FALSE),"")</f>
        <v/>
      </c>
      <c r="AT2003" s="65" t="str">
        <f>IFERROR(VLOOKUP(#REF!,[1]Lookup!$B$2:$E$115,2,FALSE),"")</f>
        <v/>
      </c>
      <c r="AU2003" s="65" t="str">
        <f>IFERROR(VLOOKUP(#REF!,[1]Lookup!$B$2:$E$115,3,FALSE),"")</f>
        <v/>
      </c>
    </row>
    <row r="2004" spans="31:47" x14ac:dyDescent="0.3">
      <c r="AE2004" s="204" t="s">
        <v>398</v>
      </c>
      <c r="AF2004" s="204" t="s">
        <v>398</v>
      </c>
      <c r="AG2004" s="204" t="s">
        <v>398</v>
      </c>
      <c r="AS2004" s="65" t="str">
        <f>IFERROR(VLOOKUP(#REF!,[1]Lookup!$B$2:$E$115,4,FALSE),"")</f>
        <v/>
      </c>
      <c r="AT2004" s="65" t="str">
        <f>IFERROR(VLOOKUP(#REF!,[1]Lookup!$B$2:$E$115,2,FALSE),"")</f>
        <v/>
      </c>
      <c r="AU2004" s="65" t="str">
        <f>IFERROR(VLOOKUP(#REF!,[1]Lookup!$B$2:$E$115,3,FALSE),"")</f>
        <v/>
      </c>
    </row>
    <row r="2005" spans="31:47" x14ac:dyDescent="0.3">
      <c r="AE2005" s="204" t="s">
        <v>398</v>
      </c>
      <c r="AF2005" s="204" t="s">
        <v>398</v>
      </c>
      <c r="AG2005" s="204" t="s">
        <v>398</v>
      </c>
      <c r="AS2005" s="65" t="str">
        <f>IFERROR(VLOOKUP(#REF!,[1]Lookup!$B$2:$E$115,4,FALSE),"")</f>
        <v/>
      </c>
      <c r="AT2005" s="65" t="str">
        <f>IFERROR(VLOOKUP(#REF!,[1]Lookup!$B$2:$E$115,2,FALSE),"")</f>
        <v/>
      </c>
      <c r="AU2005" s="65" t="str">
        <f>IFERROR(VLOOKUP(#REF!,[1]Lookup!$B$2:$E$115,3,FALSE),"")</f>
        <v/>
      </c>
    </row>
    <row r="2006" spans="31:47" x14ac:dyDescent="0.3">
      <c r="AE2006" s="204" t="s">
        <v>398</v>
      </c>
      <c r="AF2006" s="204" t="s">
        <v>398</v>
      </c>
      <c r="AG2006" s="204" t="s">
        <v>398</v>
      </c>
      <c r="AS2006" s="65" t="str">
        <f>IFERROR(VLOOKUP(#REF!,[1]Lookup!$B$2:$E$115,4,FALSE),"")</f>
        <v/>
      </c>
      <c r="AT2006" s="65" t="str">
        <f>IFERROR(VLOOKUP(#REF!,[1]Lookup!$B$2:$E$115,2,FALSE),"")</f>
        <v/>
      </c>
      <c r="AU2006" s="65" t="str">
        <f>IFERROR(VLOOKUP(#REF!,[1]Lookup!$B$2:$E$115,3,FALSE),"")</f>
        <v/>
      </c>
    </row>
    <row r="2007" spans="31:47" x14ac:dyDescent="0.3">
      <c r="AE2007" s="204" t="s">
        <v>398</v>
      </c>
      <c r="AF2007" s="204" t="s">
        <v>398</v>
      </c>
      <c r="AG2007" s="204" t="s">
        <v>398</v>
      </c>
      <c r="AS2007" s="65" t="str">
        <f>IFERROR(VLOOKUP(#REF!,[1]Lookup!$B$2:$E$115,4,FALSE),"")</f>
        <v/>
      </c>
      <c r="AT2007" s="65" t="str">
        <f>IFERROR(VLOOKUP(#REF!,[1]Lookup!$B$2:$E$115,2,FALSE),"")</f>
        <v/>
      </c>
      <c r="AU2007" s="65" t="str">
        <f>IFERROR(VLOOKUP(#REF!,[1]Lookup!$B$2:$E$115,3,FALSE),"")</f>
        <v/>
      </c>
    </row>
    <row r="2008" spans="31:47" x14ac:dyDescent="0.3">
      <c r="AE2008" s="204" t="s">
        <v>398</v>
      </c>
      <c r="AF2008" s="204" t="s">
        <v>398</v>
      </c>
      <c r="AG2008" s="204" t="s">
        <v>398</v>
      </c>
      <c r="AS2008" s="65" t="str">
        <f>IFERROR(VLOOKUP(#REF!,[1]Lookup!$B$2:$E$115,4,FALSE),"")</f>
        <v/>
      </c>
      <c r="AT2008" s="65" t="str">
        <f>IFERROR(VLOOKUP(#REF!,[1]Lookup!$B$2:$E$115,2,FALSE),"")</f>
        <v/>
      </c>
      <c r="AU2008" s="65" t="str">
        <f>IFERROR(VLOOKUP(#REF!,[1]Lookup!$B$2:$E$115,3,FALSE),"")</f>
        <v/>
      </c>
    </row>
    <row r="2009" spans="31:47" x14ac:dyDescent="0.3">
      <c r="AE2009" s="204" t="s">
        <v>398</v>
      </c>
      <c r="AF2009" s="204" t="s">
        <v>398</v>
      </c>
      <c r="AG2009" s="204" t="s">
        <v>398</v>
      </c>
      <c r="AS2009" s="65" t="str">
        <f>IFERROR(VLOOKUP(#REF!,[1]Lookup!$B$2:$E$115,4,FALSE),"")</f>
        <v/>
      </c>
      <c r="AT2009" s="65" t="str">
        <f>IFERROR(VLOOKUP(#REF!,[1]Lookup!$B$2:$E$115,2,FALSE),"")</f>
        <v/>
      </c>
      <c r="AU2009" s="65" t="str">
        <f>IFERROR(VLOOKUP(#REF!,[1]Lookup!$B$2:$E$115,3,FALSE),"")</f>
        <v/>
      </c>
    </row>
    <row r="2010" spans="31:47" x14ac:dyDescent="0.3">
      <c r="AE2010" s="204" t="s">
        <v>398</v>
      </c>
      <c r="AF2010" s="204" t="s">
        <v>398</v>
      </c>
      <c r="AG2010" s="204" t="s">
        <v>398</v>
      </c>
      <c r="AS2010" s="65" t="str">
        <f>IFERROR(VLOOKUP(#REF!,[1]Lookup!$B$2:$E$115,4,FALSE),"")</f>
        <v/>
      </c>
      <c r="AT2010" s="65" t="str">
        <f>IFERROR(VLOOKUP(#REF!,[1]Lookup!$B$2:$E$115,2,FALSE),"")</f>
        <v/>
      </c>
      <c r="AU2010" s="65" t="str">
        <f>IFERROR(VLOOKUP(#REF!,[1]Lookup!$B$2:$E$115,3,FALSE),"")</f>
        <v/>
      </c>
    </row>
    <row r="2011" spans="31:47" x14ac:dyDescent="0.3">
      <c r="AE2011" s="204" t="s">
        <v>398</v>
      </c>
      <c r="AF2011" s="204" t="s">
        <v>398</v>
      </c>
      <c r="AG2011" s="204" t="s">
        <v>398</v>
      </c>
      <c r="AS2011" s="65" t="str">
        <f>IFERROR(VLOOKUP(#REF!,[1]Lookup!$B$2:$E$115,4,FALSE),"")</f>
        <v/>
      </c>
      <c r="AT2011" s="65" t="str">
        <f>IFERROR(VLOOKUP(#REF!,[1]Lookup!$B$2:$E$115,2,FALSE),"")</f>
        <v/>
      </c>
      <c r="AU2011" s="65" t="str">
        <f>IFERROR(VLOOKUP(#REF!,[1]Lookup!$B$2:$E$115,3,FALSE),"")</f>
        <v/>
      </c>
    </row>
    <row r="2012" spans="31:47" x14ac:dyDescent="0.3">
      <c r="AE2012" s="204" t="s">
        <v>398</v>
      </c>
      <c r="AF2012" s="204" t="s">
        <v>398</v>
      </c>
      <c r="AG2012" s="204" t="s">
        <v>398</v>
      </c>
      <c r="AS2012" s="65" t="str">
        <f>IFERROR(VLOOKUP(#REF!,[1]Lookup!$B$2:$E$115,4,FALSE),"")</f>
        <v/>
      </c>
      <c r="AT2012" s="65" t="str">
        <f>IFERROR(VLOOKUP(#REF!,[1]Lookup!$B$2:$E$115,2,FALSE),"")</f>
        <v/>
      </c>
      <c r="AU2012" s="65" t="str">
        <f>IFERROR(VLOOKUP(#REF!,[1]Lookup!$B$2:$E$115,3,FALSE),"")</f>
        <v/>
      </c>
    </row>
    <row r="2013" spans="31:47" x14ac:dyDescent="0.3">
      <c r="AE2013" s="204" t="s">
        <v>398</v>
      </c>
      <c r="AF2013" s="204" t="s">
        <v>398</v>
      </c>
      <c r="AG2013" s="204" t="s">
        <v>398</v>
      </c>
      <c r="AS2013" s="65" t="str">
        <f>IFERROR(VLOOKUP(#REF!,[1]Lookup!$B$2:$E$115,4,FALSE),"")</f>
        <v/>
      </c>
      <c r="AT2013" s="65" t="str">
        <f>IFERROR(VLOOKUP(#REF!,[1]Lookup!$B$2:$E$115,2,FALSE),"")</f>
        <v/>
      </c>
      <c r="AU2013" s="65" t="str">
        <f>IFERROR(VLOOKUP(#REF!,[1]Lookup!$B$2:$E$115,3,FALSE),"")</f>
        <v/>
      </c>
    </row>
    <row r="2014" spans="31:47" x14ac:dyDescent="0.3">
      <c r="AE2014" s="204" t="s">
        <v>398</v>
      </c>
      <c r="AF2014" s="204" t="s">
        <v>398</v>
      </c>
      <c r="AG2014" s="204" t="s">
        <v>398</v>
      </c>
      <c r="AS2014" s="65" t="str">
        <f>IFERROR(VLOOKUP(#REF!,[1]Lookup!$B$2:$E$115,4,FALSE),"")</f>
        <v/>
      </c>
      <c r="AT2014" s="65" t="str">
        <f>IFERROR(VLOOKUP(#REF!,[1]Lookup!$B$2:$E$115,2,FALSE),"")</f>
        <v/>
      </c>
      <c r="AU2014" s="65" t="str">
        <f>IFERROR(VLOOKUP(#REF!,[1]Lookup!$B$2:$E$115,3,FALSE),"")</f>
        <v/>
      </c>
    </row>
    <row r="2015" spans="31:47" x14ac:dyDescent="0.3">
      <c r="AE2015" s="204" t="s">
        <v>398</v>
      </c>
      <c r="AF2015" s="204" t="s">
        <v>398</v>
      </c>
      <c r="AG2015" s="204" t="s">
        <v>398</v>
      </c>
      <c r="AS2015" s="65" t="str">
        <f>IFERROR(VLOOKUP(#REF!,[1]Lookup!$B$2:$E$115,4,FALSE),"")</f>
        <v/>
      </c>
      <c r="AT2015" s="65" t="str">
        <f>IFERROR(VLOOKUP(#REF!,[1]Lookup!$B$2:$E$115,2,FALSE),"")</f>
        <v/>
      </c>
      <c r="AU2015" s="65" t="str">
        <f>IFERROR(VLOOKUP(#REF!,[1]Lookup!$B$2:$E$115,3,FALSE),"")</f>
        <v/>
      </c>
    </row>
    <row r="2016" spans="31:47" x14ac:dyDescent="0.3">
      <c r="AE2016" s="204" t="s">
        <v>398</v>
      </c>
      <c r="AF2016" s="204" t="s">
        <v>398</v>
      </c>
      <c r="AG2016" s="204" t="s">
        <v>398</v>
      </c>
      <c r="AS2016" s="65" t="str">
        <f>IFERROR(VLOOKUP(#REF!,[1]Lookup!$B$2:$E$115,4,FALSE),"")</f>
        <v/>
      </c>
      <c r="AT2016" s="65" t="str">
        <f>IFERROR(VLOOKUP(#REF!,[1]Lookup!$B$2:$E$115,2,FALSE),"")</f>
        <v/>
      </c>
      <c r="AU2016" s="65" t="str">
        <f>IFERROR(VLOOKUP(#REF!,[1]Lookup!$B$2:$E$115,3,FALSE),"")</f>
        <v/>
      </c>
    </row>
    <row r="2017" spans="31:47" x14ac:dyDescent="0.3">
      <c r="AE2017" s="204" t="s">
        <v>398</v>
      </c>
      <c r="AF2017" s="204" t="s">
        <v>398</v>
      </c>
      <c r="AG2017" s="204" t="s">
        <v>398</v>
      </c>
      <c r="AS2017" s="65" t="str">
        <f>IFERROR(VLOOKUP(#REF!,[1]Lookup!$B$2:$E$115,4,FALSE),"")</f>
        <v/>
      </c>
      <c r="AT2017" s="65" t="str">
        <f>IFERROR(VLOOKUP(#REF!,[1]Lookup!$B$2:$E$115,2,FALSE),"")</f>
        <v/>
      </c>
      <c r="AU2017" s="65" t="str">
        <f>IFERROR(VLOOKUP(#REF!,[1]Lookup!$B$2:$E$115,3,FALSE),"")</f>
        <v/>
      </c>
    </row>
    <row r="2018" spans="31:47" x14ac:dyDescent="0.3">
      <c r="AE2018" s="204" t="s">
        <v>398</v>
      </c>
      <c r="AF2018" s="204" t="s">
        <v>398</v>
      </c>
      <c r="AG2018" s="204" t="s">
        <v>398</v>
      </c>
      <c r="AS2018" s="65" t="str">
        <f>IFERROR(VLOOKUP(#REF!,[1]Lookup!$B$2:$E$115,4,FALSE),"")</f>
        <v/>
      </c>
      <c r="AT2018" s="65" t="str">
        <f>IFERROR(VLOOKUP(#REF!,[1]Lookup!$B$2:$E$115,2,FALSE),"")</f>
        <v/>
      </c>
      <c r="AU2018" s="65" t="str">
        <f>IFERROR(VLOOKUP(#REF!,[1]Lookup!$B$2:$E$115,3,FALSE),"")</f>
        <v/>
      </c>
    </row>
    <row r="2019" spans="31:47" x14ac:dyDescent="0.3">
      <c r="AE2019" s="204" t="s">
        <v>398</v>
      </c>
      <c r="AF2019" s="204" t="s">
        <v>398</v>
      </c>
      <c r="AG2019" s="204" t="s">
        <v>398</v>
      </c>
      <c r="AS2019" s="65" t="str">
        <f>IFERROR(VLOOKUP(#REF!,[1]Lookup!$B$2:$E$115,4,FALSE),"")</f>
        <v/>
      </c>
      <c r="AT2019" s="65" t="str">
        <f>IFERROR(VLOOKUP(#REF!,[1]Lookup!$B$2:$E$115,2,FALSE),"")</f>
        <v/>
      </c>
      <c r="AU2019" s="65" t="str">
        <f>IFERROR(VLOOKUP(#REF!,[1]Lookup!$B$2:$E$115,3,FALSE),"")</f>
        <v/>
      </c>
    </row>
    <row r="2020" spans="31:47" x14ac:dyDescent="0.3">
      <c r="AE2020" s="204" t="s">
        <v>398</v>
      </c>
      <c r="AF2020" s="204" t="s">
        <v>398</v>
      </c>
      <c r="AG2020" s="204" t="s">
        <v>398</v>
      </c>
      <c r="AS2020" s="65" t="str">
        <f>IFERROR(VLOOKUP(#REF!,[1]Lookup!$B$2:$E$115,4,FALSE),"")</f>
        <v/>
      </c>
      <c r="AT2020" s="65" t="str">
        <f>IFERROR(VLOOKUP(#REF!,[1]Lookup!$B$2:$E$115,2,FALSE),"")</f>
        <v/>
      </c>
      <c r="AU2020" s="65" t="str">
        <f>IFERROR(VLOOKUP(#REF!,[1]Lookup!$B$2:$E$115,3,FALSE),"")</f>
        <v/>
      </c>
    </row>
    <row r="2021" spans="31:47" x14ac:dyDescent="0.3">
      <c r="AE2021" s="204" t="s">
        <v>398</v>
      </c>
      <c r="AF2021" s="204" t="s">
        <v>398</v>
      </c>
      <c r="AG2021" s="204" t="s">
        <v>398</v>
      </c>
      <c r="AS2021" s="65" t="str">
        <f>IFERROR(VLOOKUP(#REF!,[1]Lookup!$B$2:$E$115,4,FALSE),"")</f>
        <v/>
      </c>
      <c r="AT2021" s="65" t="str">
        <f>IFERROR(VLOOKUP(#REF!,[1]Lookup!$B$2:$E$115,2,FALSE),"")</f>
        <v/>
      </c>
      <c r="AU2021" s="65" t="str">
        <f>IFERROR(VLOOKUP(#REF!,[1]Lookup!$B$2:$E$115,3,FALSE),"")</f>
        <v/>
      </c>
    </row>
    <row r="2022" spans="31:47" x14ac:dyDescent="0.3">
      <c r="AE2022" s="204" t="s">
        <v>398</v>
      </c>
      <c r="AF2022" s="204" t="s">
        <v>398</v>
      </c>
      <c r="AG2022" s="204" t="s">
        <v>398</v>
      </c>
      <c r="AS2022" s="65" t="str">
        <f>IFERROR(VLOOKUP(#REF!,[1]Lookup!$B$2:$E$115,4,FALSE),"")</f>
        <v/>
      </c>
      <c r="AT2022" s="65" t="str">
        <f>IFERROR(VLOOKUP(#REF!,[1]Lookup!$B$2:$E$115,2,FALSE),"")</f>
        <v/>
      </c>
      <c r="AU2022" s="65" t="str">
        <f>IFERROR(VLOOKUP(#REF!,[1]Lookup!$B$2:$E$115,3,FALSE),"")</f>
        <v/>
      </c>
    </row>
    <row r="2023" spans="31:47" x14ac:dyDescent="0.3">
      <c r="AE2023" s="204" t="s">
        <v>398</v>
      </c>
      <c r="AF2023" s="204" t="s">
        <v>398</v>
      </c>
      <c r="AG2023" s="204" t="s">
        <v>398</v>
      </c>
      <c r="AS2023" s="65" t="str">
        <f>IFERROR(VLOOKUP(#REF!,[1]Lookup!$B$2:$E$115,4,FALSE),"")</f>
        <v/>
      </c>
      <c r="AT2023" s="65" t="str">
        <f>IFERROR(VLOOKUP(#REF!,[1]Lookup!$B$2:$E$115,2,FALSE),"")</f>
        <v/>
      </c>
      <c r="AU2023" s="65" t="str">
        <f>IFERROR(VLOOKUP(#REF!,[1]Lookup!$B$2:$E$115,3,FALSE),"")</f>
        <v/>
      </c>
    </row>
    <row r="2024" spans="31:47" x14ac:dyDescent="0.3">
      <c r="AE2024" s="204" t="s">
        <v>398</v>
      </c>
      <c r="AF2024" s="204" t="s">
        <v>398</v>
      </c>
      <c r="AG2024" s="204" t="s">
        <v>398</v>
      </c>
      <c r="AS2024" s="65" t="str">
        <f>IFERROR(VLOOKUP(#REF!,[1]Lookup!$B$2:$E$115,4,FALSE),"")</f>
        <v/>
      </c>
      <c r="AT2024" s="65" t="str">
        <f>IFERROR(VLOOKUP(#REF!,[1]Lookup!$B$2:$E$115,2,FALSE),"")</f>
        <v/>
      </c>
      <c r="AU2024" s="65" t="str">
        <f>IFERROR(VLOOKUP(#REF!,[1]Lookup!$B$2:$E$115,3,FALSE),"")</f>
        <v/>
      </c>
    </row>
    <row r="2025" spans="31:47" x14ac:dyDescent="0.3">
      <c r="AE2025" s="204" t="s">
        <v>398</v>
      </c>
      <c r="AF2025" s="204" t="s">
        <v>398</v>
      </c>
      <c r="AG2025" s="204" t="s">
        <v>398</v>
      </c>
      <c r="AS2025" s="65" t="str">
        <f>IFERROR(VLOOKUP(#REF!,[1]Lookup!$B$2:$E$115,4,FALSE),"")</f>
        <v/>
      </c>
      <c r="AT2025" s="65" t="str">
        <f>IFERROR(VLOOKUP(#REF!,[1]Lookup!$B$2:$E$115,2,FALSE),"")</f>
        <v/>
      </c>
      <c r="AU2025" s="65" t="str">
        <f>IFERROR(VLOOKUP(#REF!,[1]Lookup!$B$2:$E$115,3,FALSE),"")</f>
        <v/>
      </c>
    </row>
    <row r="2026" spans="31:47" x14ac:dyDescent="0.3">
      <c r="AE2026" s="204" t="s">
        <v>398</v>
      </c>
      <c r="AF2026" s="204" t="s">
        <v>398</v>
      </c>
      <c r="AG2026" s="204" t="s">
        <v>398</v>
      </c>
      <c r="AS2026" s="65" t="str">
        <f>IFERROR(VLOOKUP(#REF!,[1]Lookup!$B$2:$E$115,4,FALSE),"")</f>
        <v/>
      </c>
      <c r="AT2026" s="65" t="str">
        <f>IFERROR(VLOOKUP(#REF!,[1]Lookup!$B$2:$E$115,2,FALSE),"")</f>
        <v/>
      </c>
      <c r="AU2026" s="65" t="str">
        <f>IFERROR(VLOOKUP(#REF!,[1]Lookup!$B$2:$E$115,3,FALSE),"")</f>
        <v/>
      </c>
    </row>
    <row r="2027" spans="31:47" x14ac:dyDescent="0.3">
      <c r="AE2027" s="204" t="s">
        <v>398</v>
      </c>
      <c r="AF2027" s="204" t="s">
        <v>398</v>
      </c>
      <c r="AG2027" s="204" t="s">
        <v>398</v>
      </c>
      <c r="AS2027" s="65" t="str">
        <f>IFERROR(VLOOKUP(#REF!,[1]Lookup!$B$2:$E$115,4,FALSE),"")</f>
        <v/>
      </c>
      <c r="AT2027" s="65" t="str">
        <f>IFERROR(VLOOKUP(#REF!,[1]Lookup!$B$2:$E$115,2,FALSE),"")</f>
        <v/>
      </c>
      <c r="AU2027" s="65" t="str">
        <f>IFERROR(VLOOKUP(#REF!,[1]Lookup!$B$2:$E$115,3,FALSE),"")</f>
        <v/>
      </c>
    </row>
    <row r="2028" spans="31:47" x14ac:dyDescent="0.3">
      <c r="AE2028" s="204" t="s">
        <v>398</v>
      </c>
      <c r="AF2028" s="204" t="s">
        <v>398</v>
      </c>
      <c r="AG2028" s="204" t="s">
        <v>398</v>
      </c>
      <c r="AS2028" s="65" t="str">
        <f>IFERROR(VLOOKUP(#REF!,[1]Lookup!$B$2:$E$115,4,FALSE),"")</f>
        <v/>
      </c>
      <c r="AT2028" s="65" t="str">
        <f>IFERROR(VLOOKUP(#REF!,[1]Lookup!$B$2:$E$115,2,FALSE),"")</f>
        <v/>
      </c>
      <c r="AU2028" s="65" t="str">
        <f>IFERROR(VLOOKUP(#REF!,[1]Lookup!$B$2:$E$115,3,FALSE),"")</f>
        <v/>
      </c>
    </row>
    <row r="2029" spans="31:47" x14ac:dyDescent="0.3">
      <c r="AE2029" s="204" t="s">
        <v>398</v>
      </c>
      <c r="AF2029" s="204" t="s">
        <v>398</v>
      </c>
      <c r="AG2029" s="204" t="s">
        <v>398</v>
      </c>
      <c r="AS2029" s="65" t="str">
        <f>IFERROR(VLOOKUP(#REF!,[1]Lookup!$B$2:$E$115,4,FALSE),"")</f>
        <v/>
      </c>
      <c r="AT2029" s="65" t="str">
        <f>IFERROR(VLOOKUP(#REF!,[1]Lookup!$B$2:$E$115,2,FALSE),"")</f>
        <v/>
      </c>
      <c r="AU2029" s="65" t="str">
        <f>IFERROR(VLOOKUP(#REF!,[1]Lookup!$B$2:$E$115,3,FALSE),"")</f>
        <v/>
      </c>
    </row>
    <row r="2030" spans="31:47" x14ac:dyDescent="0.3">
      <c r="AE2030" s="204" t="s">
        <v>398</v>
      </c>
      <c r="AF2030" s="204" t="s">
        <v>398</v>
      </c>
      <c r="AG2030" s="204" t="s">
        <v>398</v>
      </c>
      <c r="AS2030" s="65" t="str">
        <f>IFERROR(VLOOKUP(#REF!,[1]Lookup!$B$2:$E$115,4,FALSE),"")</f>
        <v/>
      </c>
      <c r="AT2030" s="65" t="str">
        <f>IFERROR(VLOOKUP(#REF!,[1]Lookup!$B$2:$E$115,2,FALSE),"")</f>
        <v/>
      </c>
      <c r="AU2030" s="65" t="str">
        <f>IFERROR(VLOOKUP(#REF!,[1]Lookup!$B$2:$E$115,3,FALSE),"")</f>
        <v/>
      </c>
    </row>
    <row r="2031" spans="31:47" x14ac:dyDescent="0.3">
      <c r="AE2031" s="204" t="s">
        <v>398</v>
      </c>
      <c r="AF2031" s="204" t="s">
        <v>398</v>
      </c>
      <c r="AG2031" s="204" t="s">
        <v>398</v>
      </c>
      <c r="AS2031" s="65" t="str">
        <f>IFERROR(VLOOKUP(#REF!,[1]Lookup!$B$2:$E$115,4,FALSE),"")</f>
        <v/>
      </c>
      <c r="AT2031" s="65" t="str">
        <f>IFERROR(VLOOKUP(#REF!,[1]Lookup!$B$2:$E$115,2,FALSE),"")</f>
        <v/>
      </c>
      <c r="AU2031" s="65" t="str">
        <f>IFERROR(VLOOKUP(#REF!,[1]Lookup!$B$2:$E$115,3,FALSE),"")</f>
        <v/>
      </c>
    </row>
    <row r="2032" spans="31:47" x14ac:dyDescent="0.3">
      <c r="AE2032" s="204" t="s">
        <v>398</v>
      </c>
      <c r="AF2032" s="204" t="s">
        <v>398</v>
      </c>
      <c r="AG2032" s="204" t="s">
        <v>398</v>
      </c>
      <c r="AS2032" s="65" t="str">
        <f>IFERROR(VLOOKUP(#REF!,[1]Lookup!$B$2:$E$115,4,FALSE),"")</f>
        <v/>
      </c>
      <c r="AT2032" s="65" t="str">
        <f>IFERROR(VLOOKUP(#REF!,[1]Lookup!$B$2:$E$115,2,FALSE),"")</f>
        <v/>
      </c>
      <c r="AU2032" s="65" t="str">
        <f>IFERROR(VLOOKUP(#REF!,[1]Lookup!$B$2:$E$115,3,FALSE),"")</f>
        <v/>
      </c>
    </row>
    <row r="2033" spans="31:47" x14ac:dyDescent="0.3">
      <c r="AE2033" s="204" t="s">
        <v>398</v>
      </c>
      <c r="AF2033" s="204" t="s">
        <v>398</v>
      </c>
      <c r="AG2033" s="204" t="s">
        <v>398</v>
      </c>
      <c r="AS2033" s="65" t="str">
        <f>IFERROR(VLOOKUP(#REF!,[1]Lookup!$B$2:$E$115,4,FALSE),"")</f>
        <v/>
      </c>
      <c r="AT2033" s="65" t="str">
        <f>IFERROR(VLOOKUP(#REF!,[1]Lookup!$B$2:$E$115,2,FALSE),"")</f>
        <v/>
      </c>
      <c r="AU2033" s="65" t="str">
        <f>IFERROR(VLOOKUP(#REF!,[1]Lookup!$B$2:$E$115,3,FALSE),"")</f>
        <v/>
      </c>
    </row>
    <row r="2034" spans="31:47" x14ac:dyDescent="0.3">
      <c r="AE2034" s="204" t="s">
        <v>398</v>
      </c>
      <c r="AF2034" s="204" t="s">
        <v>398</v>
      </c>
      <c r="AG2034" s="204" t="s">
        <v>398</v>
      </c>
      <c r="AS2034" s="65" t="str">
        <f>IFERROR(VLOOKUP(#REF!,[1]Lookup!$B$2:$E$115,4,FALSE),"")</f>
        <v/>
      </c>
      <c r="AT2034" s="65" t="str">
        <f>IFERROR(VLOOKUP(#REF!,[1]Lookup!$B$2:$E$115,2,FALSE),"")</f>
        <v/>
      </c>
      <c r="AU2034" s="65" t="str">
        <f>IFERROR(VLOOKUP(#REF!,[1]Lookup!$B$2:$E$115,3,FALSE),"")</f>
        <v/>
      </c>
    </row>
    <row r="2035" spans="31:47" x14ac:dyDescent="0.3">
      <c r="AE2035" s="204" t="s">
        <v>398</v>
      </c>
      <c r="AF2035" s="204" t="s">
        <v>398</v>
      </c>
      <c r="AG2035" s="204" t="s">
        <v>398</v>
      </c>
      <c r="AS2035" s="65" t="str">
        <f>IFERROR(VLOOKUP(#REF!,[1]Lookup!$B$2:$E$115,4,FALSE),"")</f>
        <v/>
      </c>
      <c r="AT2035" s="65" t="str">
        <f>IFERROR(VLOOKUP(#REF!,[1]Lookup!$B$2:$E$115,2,FALSE),"")</f>
        <v/>
      </c>
      <c r="AU2035" s="65" t="str">
        <f>IFERROR(VLOOKUP(#REF!,[1]Lookup!$B$2:$E$115,3,FALSE),"")</f>
        <v/>
      </c>
    </row>
    <row r="2036" spans="31:47" x14ac:dyDescent="0.3">
      <c r="AE2036" s="204" t="s">
        <v>398</v>
      </c>
      <c r="AF2036" s="204" t="s">
        <v>398</v>
      </c>
      <c r="AG2036" s="204" t="s">
        <v>398</v>
      </c>
      <c r="AS2036" s="65" t="str">
        <f>IFERROR(VLOOKUP(#REF!,[1]Lookup!$B$2:$E$115,4,FALSE),"")</f>
        <v/>
      </c>
      <c r="AT2036" s="65" t="str">
        <f>IFERROR(VLOOKUP(#REF!,[1]Lookup!$B$2:$E$115,2,FALSE),"")</f>
        <v/>
      </c>
      <c r="AU2036" s="65" t="str">
        <f>IFERROR(VLOOKUP(#REF!,[1]Lookup!$B$2:$E$115,3,FALSE),"")</f>
        <v/>
      </c>
    </row>
    <row r="2037" spans="31:47" x14ac:dyDescent="0.3">
      <c r="AE2037" s="204" t="s">
        <v>398</v>
      </c>
      <c r="AF2037" s="204" t="s">
        <v>398</v>
      </c>
      <c r="AG2037" s="204" t="s">
        <v>398</v>
      </c>
      <c r="AS2037" s="65" t="str">
        <f>IFERROR(VLOOKUP(#REF!,[1]Lookup!$B$2:$E$115,4,FALSE),"")</f>
        <v/>
      </c>
      <c r="AT2037" s="65" t="str">
        <f>IFERROR(VLOOKUP(#REF!,[1]Lookup!$B$2:$E$115,2,FALSE),"")</f>
        <v/>
      </c>
      <c r="AU2037" s="65" t="str">
        <f>IFERROR(VLOOKUP(#REF!,[1]Lookup!$B$2:$E$115,3,FALSE),"")</f>
        <v/>
      </c>
    </row>
    <row r="2038" spans="31:47" x14ac:dyDescent="0.3">
      <c r="AE2038" s="204" t="s">
        <v>398</v>
      </c>
      <c r="AF2038" s="204" t="s">
        <v>398</v>
      </c>
      <c r="AG2038" s="204" t="s">
        <v>398</v>
      </c>
      <c r="AS2038" s="65" t="str">
        <f>IFERROR(VLOOKUP(#REF!,[1]Lookup!$B$2:$E$115,4,FALSE),"")</f>
        <v/>
      </c>
      <c r="AT2038" s="65" t="str">
        <f>IFERROR(VLOOKUP(#REF!,[1]Lookup!$B$2:$E$115,2,FALSE),"")</f>
        <v/>
      </c>
      <c r="AU2038" s="65" t="str">
        <f>IFERROR(VLOOKUP(#REF!,[1]Lookup!$B$2:$E$115,3,FALSE),"")</f>
        <v/>
      </c>
    </row>
    <row r="2039" spans="31:47" x14ac:dyDescent="0.3">
      <c r="AE2039" s="204" t="s">
        <v>398</v>
      </c>
      <c r="AF2039" s="204" t="s">
        <v>398</v>
      </c>
      <c r="AG2039" s="204" t="s">
        <v>398</v>
      </c>
      <c r="AS2039" s="65" t="str">
        <f>IFERROR(VLOOKUP(#REF!,[1]Lookup!$B$2:$E$115,4,FALSE),"")</f>
        <v/>
      </c>
      <c r="AT2039" s="65" t="str">
        <f>IFERROR(VLOOKUP(#REF!,[1]Lookup!$B$2:$E$115,2,FALSE),"")</f>
        <v/>
      </c>
      <c r="AU2039" s="65" t="str">
        <f>IFERROR(VLOOKUP(#REF!,[1]Lookup!$B$2:$E$115,3,FALSE),"")</f>
        <v/>
      </c>
    </row>
    <row r="2040" spans="31:47" x14ac:dyDescent="0.3">
      <c r="AE2040" s="204" t="s">
        <v>398</v>
      </c>
      <c r="AF2040" s="204" t="s">
        <v>398</v>
      </c>
      <c r="AG2040" s="204" t="s">
        <v>398</v>
      </c>
      <c r="AS2040" s="65" t="str">
        <f>IFERROR(VLOOKUP(#REF!,[1]Lookup!$B$2:$E$115,4,FALSE),"")</f>
        <v/>
      </c>
      <c r="AT2040" s="65" t="str">
        <f>IFERROR(VLOOKUP(#REF!,[1]Lookup!$B$2:$E$115,2,FALSE),"")</f>
        <v/>
      </c>
      <c r="AU2040" s="65" t="str">
        <f>IFERROR(VLOOKUP(#REF!,[1]Lookup!$B$2:$E$115,3,FALSE),"")</f>
        <v/>
      </c>
    </row>
    <row r="2041" spans="31:47" x14ac:dyDescent="0.3">
      <c r="AE2041" s="204" t="s">
        <v>398</v>
      </c>
      <c r="AF2041" s="204" t="s">
        <v>398</v>
      </c>
      <c r="AG2041" s="204" t="s">
        <v>398</v>
      </c>
      <c r="AS2041" s="65" t="str">
        <f>IFERROR(VLOOKUP(#REF!,[1]Lookup!$B$2:$E$115,4,FALSE),"")</f>
        <v/>
      </c>
      <c r="AT2041" s="65" t="str">
        <f>IFERROR(VLOOKUP(#REF!,[1]Lookup!$B$2:$E$115,2,FALSE),"")</f>
        <v/>
      </c>
      <c r="AU2041" s="65" t="str">
        <f>IFERROR(VLOOKUP(#REF!,[1]Lookup!$B$2:$E$115,3,FALSE),"")</f>
        <v/>
      </c>
    </row>
    <row r="2042" spans="31:47" x14ac:dyDescent="0.3">
      <c r="AE2042" s="204" t="s">
        <v>398</v>
      </c>
      <c r="AF2042" s="204" t="s">
        <v>398</v>
      </c>
      <c r="AG2042" s="204" t="s">
        <v>398</v>
      </c>
      <c r="AS2042" s="65" t="str">
        <f>IFERROR(VLOOKUP(#REF!,[1]Lookup!$B$2:$E$115,4,FALSE),"")</f>
        <v/>
      </c>
      <c r="AT2042" s="65" t="str">
        <f>IFERROR(VLOOKUP(#REF!,[1]Lookup!$B$2:$E$115,2,FALSE),"")</f>
        <v/>
      </c>
      <c r="AU2042" s="65" t="str">
        <f>IFERROR(VLOOKUP(#REF!,[1]Lookup!$B$2:$E$115,3,FALSE),"")</f>
        <v/>
      </c>
    </row>
    <row r="2043" spans="31:47" x14ac:dyDescent="0.3">
      <c r="AE2043" s="204" t="s">
        <v>398</v>
      </c>
      <c r="AF2043" s="204" t="s">
        <v>398</v>
      </c>
      <c r="AG2043" s="204" t="s">
        <v>398</v>
      </c>
      <c r="AS2043" s="65" t="str">
        <f>IFERROR(VLOOKUP(#REF!,[1]Lookup!$B$2:$E$115,4,FALSE),"")</f>
        <v/>
      </c>
      <c r="AT2043" s="65" t="str">
        <f>IFERROR(VLOOKUP(#REF!,[1]Lookup!$B$2:$E$115,2,FALSE),"")</f>
        <v/>
      </c>
      <c r="AU2043" s="65" t="str">
        <f>IFERROR(VLOOKUP(#REF!,[1]Lookup!$B$2:$E$115,3,FALSE),"")</f>
        <v/>
      </c>
    </row>
    <row r="2044" spans="31:47" x14ac:dyDescent="0.3">
      <c r="AE2044" s="204" t="s">
        <v>398</v>
      </c>
      <c r="AF2044" s="204" t="s">
        <v>398</v>
      </c>
      <c r="AG2044" s="204" t="s">
        <v>398</v>
      </c>
      <c r="AS2044" s="65" t="str">
        <f>IFERROR(VLOOKUP(#REF!,[1]Lookup!$B$2:$E$115,4,FALSE),"")</f>
        <v/>
      </c>
      <c r="AT2044" s="65" t="str">
        <f>IFERROR(VLOOKUP(#REF!,[1]Lookup!$B$2:$E$115,2,FALSE),"")</f>
        <v/>
      </c>
      <c r="AU2044" s="65" t="str">
        <f>IFERROR(VLOOKUP(#REF!,[1]Lookup!$B$2:$E$115,3,FALSE),"")</f>
        <v/>
      </c>
    </row>
    <row r="2045" spans="31:47" x14ac:dyDescent="0.3">
      <c r="AE2045" s="204" t="s">
        <v>398</v>
      </c>
      <c r="AF2045" s="204" t="s">
        <v>398</v>
      </c>
      <c r="AG2045" s="204" t="s">
        <v>398</v>
      </c>
      <c r="AS2045" s="65" t="str">
        <f>IFERROR(VLOOKUP(#REF!,[1]Lookup!$B$2:$E$115,4,FALSE),"")</f>
        <v/>
      </c>
      <c r="AT2045" s="65" t="str">
        <f>IFERROR(VLOOKUP(#REF!,[1]Lookup!$B$2:$E$115,2,FALSE),"")</f>
        <v/>
      </c>
      <c r="AU2045" s="65" t="str">
        <f>IFERROR(VLOOKUP(#REF!,[1]Lookup!$B$2:$E$115,3,FALSE),"")</f>
        <v/>
      </c>
    </row>
    <row r="2046" spans="31:47" x14ac:dyDescent="0.3">
      <c r="AE2046" s="204" t="s">
        <v>398</v>
      </c>
      <c r="AF2046" s="204" t="s">
        <v>398</v>
      </c>
      <c r="AG2046" s="204" t="s">
        <v>398</v>
      </c>
      <c r="AS2046" s="65" t="str">
        <f>IFERROR(VLOOKUP(#REF!,[1]Lookup!$B$2:$E$115,4,FALSE),"")</f>
        <v/>
      </c>
      <c r="AT2046" s="65" t="str">
        <f>IFERROR(VLOOKUP(#REF!,[1]Lookup!$B$2:$E$115,2,FALSE),"")</f>
        <v/>
      </c>
      <c r="AU2046" s="65" t="str">
        <f>IFERROR(VLOOKUP(#REF!,[1]Lookup!$B$2:$E$115,3,FALSE),"")</f>
        <v/>
      </c>
    </row>
    <row r="2047" spans="31:47" x14ac:dyDescent="0.3">
      <c r="AE2047" s="204" t="s">
        <v>398</v>
      </c>
      <c r="AF2047" s="204" t="s">
        <v>398</v>
      </c>
      <c r="AG2047" s="204" t="s">
        <v>398</v>
      </c>
      <c r="AS2047" s="65" t="str">
        <f>IFERROR(VLOOKUP(#REF!,[1]Lookup!$B$2:$E$115,4,FALSE),"")</f>
        <v/>
      </c>
      <c r="AT2047" s="65" t="str">
        <f>IFERROR(VLOOKUP(#REF!,[1]Lookup!$B$2:$E$115,2,FALSE),"")</f>
        <v/>
      </c>
      <c r="AU2047" s="65" t="str">
        <f>IFERROR(VLOOKUP(#REF!,[1]Lookup!$B$2:$E$115,3,FALSE),"")</f>
        <v/>
      </c>
    </row>
    <row r="2048" spans="31:47" x14ac:dyDescent="0.3">
      <c r="AE2048" s="204" t="s">
        <v>398</v>
      </c>
      <c r="AF2048" s="204" t="s">
        <v>398</v>
      </c>
      <c r="AG2048" s="204" t="s">
        <v>398</v>
      </c>
      <c r="AS2048" s="65" t="str">
        <f>IFERROR(VLOOKUP(#REF!,[1]Lookup!$B$2:$E$115,4,FALSE),"")</f>
        <v/>
      </c>
      <c r="AT2048" s="65" t="str">
        <f>IFERROR(VLOOKUP(#REF!,[1]Lookup!$B$2:$E$115,2,FALSE),"")</f>
        <v/>
      </c>
      <c r="AU2048" s="65" t="str">
        <f>IFERROR(VLOOKUP(#REF!,[1]Lookup!$B$2:$E$115,3,FALSE),"")</f>
        <v/>
      </c>
    </row>
    <row r="2049" spans="31:47" x14ac:dyDescent="0.3">
      <c r="AE2049" s="204" t="s">
        <v>398</v>
      </c>
      <c r="AF2049" s="204" t="s">
        <v>398</v>
      </c>
      <c r="AG2049" s="204" t="s">
        <v>398</v>
      </c>
      <c r="AS2049" s="65" t="str">
        <f>IFERROR(VLOOKUP(#REF!,[1]Lookup!$B$2:$E$115,4,FALSE),"")</f>
        <v/>
      </c>
      <c r="AT2049" s="65" t="str">
        <f>IFERROR(VLOOKUP(#REF!,[1]Lookup!$B$2:$E$115,2,FALSE),"")</f>
        <v/>
      </c>
      <c r="AU2049" s="65" t="str">
        <f>IFERROR(VLOOKUP(#REF!,[1]Lookup!$B$2:$E$115,3,FALSE),"")</f>
        <v/>
      </c>
    </row>
    <row r="2050" spans="31:47" x14ac:dyDescent="0.3">
      <c r="AE2050" s="204" t="s">
        <v>398</v>
      </c>
      <c r="AF2050" s="204" t="s">
        <v>398</v>
      </c>
      <c r="AG2050" s="204" t="s">
        <v>398</v>
      </c>
      <c r="AS2050" s="65" t="str">
        <f>IFERROR(VLOOKUP(#REF!,[1]Lookup!$B$2:$E$115,4,FALSE),"")</f>
        <v/>
      </c>
      <c r="AT2050" s="65" t="str">
        <f>IFERROR(VLOOKUP(#REF!,[1]Lookup!$B$2:$E$115,2,FALSE),"")</f>
        <v/>
      </c>
      <c r="AU2050" s="65" t="str">
        <f>IFERROR(VLOOKUP(#REF!,[1]Lookup!$B$2:$E$115,3,FALSE),"")</f>
        <v/>
      </c>
    </row>
    <row r="2051" spans="31:47" x14ac:dyDescent="0.3">
      <c r="AE2051" s="204" t="s">
        <v>398</v>
      </c>
      <c r="AF2051" s="204" t="s">
        <v>398</v>
      </c>
      <c r="AG2051" s="204" t="s">
        <v>398</v>
      </c>
      <c r="AS2051" s="65" t="str">
        <f>IFERROR(VLOOKUP(#REF!,[1]Lookup!$B$2:$E$115,4,FALSE),"")</f>
        <v/>
      </c>
      <c r="AT2051" s="65" t="str">
        <f>IFERROR(VLOOKUP(#REF!,[1]Lookup!$B$2:$E$115,2,FALSE),"")</f>
        <v/>
      </c>
      <c r="AU2051" s="65" t="str">
        <f>IFERROR(VLOOKUP(#REF!,[1]Lookup!$B$2:$E$115,3,FALSE),"")</f>
        <v/>
      </c>
    </row>
    <row r="2052" spans="31:47" x14ac:dyDescent="0.3">
      <c r="AE2052" s="204" t="s">
        <v>398</v>
      </c>
      <c r="AF2052" s="204" t="s">
        <v>398</v>
      </c>
      <c r="AG2052" s="204" t="s">
        <v>398</v>
      </c>
      <c r="AS2052" s="65" t="str">
        <f>IFERROR(VLOOKUP(#REF!,[1]Lookup!$B$2:$E$115,4,FALSE),"")</f>
        <v/>
      </c>
      <c r="AT2052" s="65" t="str">
        <f>IFERROR(VLOOKUP(#REF!,[1]Lookup!$B$2:$E$115,2,FALSE),"")</f>
        <v/>
      </c>
      <c r="AU2052" s="65" t="str">
        <f>IFERROR(VLOOKUP(#REF!,[1]Lookup!$B$2:$E$115,3,FALSE),"")</f>
        <v/>
      </c>
    </row>
    <row r="2053" spans="31:47" x14ac:dyDescent="0.3">
      <c r="AE2053" s="204" t="s">
        <v>398</v>
      </c>
      <c r="AF2053" s="204" t="s">
        <v>398</v>
      </c>
      <c r="AG2053" s="204" t="s">
        <v>398</v>
      </c>
      <c r="AS2053" s="65" t="str">
        <f>IFERROR(VLOOKUP(#REF!,[1]Lookup!$B$2:$E$115,4,FALSE),"")</f>
        <v/>
      </c>
      <c r="AT2053" s="65" t="str">
        <f>IFERROR(VLOOKUP(#REF!,[1]Lookup!$B$2:$E$115,2,FALSE),"")</f>
        <v/>
      </c>
      <c r="AU2053" s="65" t="str">
        <f>IFERROR(VLOOKUP(#REF!,[1]Lookup!$B$2:$E$115,3,FALSE),"")</f>
        <v/>
      </c>
    </row>
    <row r="2054" spans="31:47" x14ac:dyDescent="0.3">
      <c r="AE2054" s="204" t="s">
        <v>398</v>
      </c>
      <c r="AF2054" s="204" t="s">
        <v>398</v>
      </c>
      <c r="AG2054" s="204" t="s">
        <v>398</v>
      </c>
      <c r="AS2054" s="65" t="str">
        <f>IFERROR(VLOOKUP(#REF!,[1]Lookup!$B$2:$E$115,4,FALSE),"")</f>
        <v/>
      </c>
      <c r="AT2054" s="65" t="str">
        <f>IFERROR(VLOOKUP(#REF!,[1]Lookup!$B$2:$E$115,2,FALSE),"")</f>
        <v/>
      </c>
      <c r="AU2054" s="65" t="str">
        <f>IFERROR(VLOOKUP(#REF!,[1]Lookup!$B$2:$E$115,3,FALSE),"")</f>
        <v/>
      </c>
    </row>
    <row r="2055" spans="31:47" x14ac:dyDescent="0.3">
      <c r="AE2055" s="204" t="s">
        <v>398</v>
      </c>
      <c r="AF2055" s="204" t="s">
        <v>398</v>
      </c>
      <c r="AG2055" s="204" t="s">
        <v>398</v>
      </c>
      <c r="AS2055" s="65" t="str">
        <f>IFERROR(VLOOKUP(#REF!,[1]Lookup!$B$2:$E$115,4,FALSE),"")</f>
        <v/>
      </c>
      <c r="AT2055" s="65" t="str">
        <f>IFERROR(VLOOKUP(#REF!,[1]Lookup!$B$2:$E$115,2,FALSE),"")</f>
        <v/>
      </c>
      <c r="AU2055" s="65" t="str">
        <f>IFERROR(VLOOKUP(#REF!,[1]Lookup!$B$2:$E$115,3,FALSE),"")</f>
        <v/>
      </c>
    </row>
    <row r="2056" spans="31:47" x14ac:dyDescent="0.3">
      <c r="AE2056" s="204" t="s">
        <v>398</v>
      </c>
      <c r="AF2056" s="204" t="s">
        <v>398</v>
      </c>
      <c r="AG2056" s="204" t="s">
        <v>398</v>
      </c>
      <c r="AS2056" s="65" t="str">
        <f>IFERROR(VLOOKUP(#REF!,[1]Lookup!$B$2:$E$115,4,FALSE),"")</f>
        <v/>
      </c>
      <c r="AT2056" s="65" t="str">
        <f>IFERROR(VLOOKUP(#REF!,[1]Lookup!$B$2:$E$115,2,FALSE),"")</f>
        <v/>
      </c>
      <c r="AU2056" s="65" t="str">
        <f>IFERROR(VLOOKUP(#REF!,[1]Lookup!$B$2:$E$115,3,FALSE),"")</f>
        <v/>
      </c>
    </row>
    <row r="2057" spans="31:47" x14ac:dyDescent="0.3">
      <c r="AE2057" s="204" t="s">
        <v>398</v>
      </c>
      <c r="AF2057" s="204" t="s">
        <v>398</v>
      </c>
      <c r="AG2057" s="204" t="s">
        <v>398</v>
      </c>
      <c r="AS2057" s="65" t="str">
        <f>IFERROR(VLOOKUP(#REF!,[1]Lookup!$B$2:$E$115,4,FALSE),"")</f>
        <v/>
      </c>
      <c r="AT2057" s="65" t="str">
        <f>IFERROR(VLOOKUP(#REF!,[1]Lookup!$B$2:$E$115,2,FALSE),"")</f>
        <v/>
      </c>
      <c r="AU2057" s="65" t="str">
        <f>IFERROR(VLOOKUP(#REF!,[1]Lookup!$B$2:$E$115,3,FALSE),"")</f>
        <v/>
      </c>
    </row>
    <row r="2058" spans="31:47" x14ac:dyDescent="0.3">
      <c r="AE2058" s="204" t="s">
        <v>398</v>
      </c>
      <c r="AF2058" s="204" t="s">
        <v>398</v>
      </c>
      <c r="AG2058" s="204" t="s">
        <v>398</v>
      </c>
      <c r="AS2058" s="65" t="str">
        <f>IFERROR(VLOOKUP(#REF!,[1]Lookup!$B$2:$E$115,4,FALSE),"")</f>
        <v/>
      </c>
      <c r="AT2058" s="65" t="str">
        <f>IFERROR(VLOOKUP(#REF!,[1]Lookup!$B$2:$E$115,2,FALSE),"")</f>
        <v/>
      </c>
      <c r="AU2058" s="65" t="str">
        <f>IFERROR(VLOOKUP(#REF!,[1]Lookup!$B$2:$E$115,3,FALSE),"")</f>
        <v/>
      </c>
    </row>
    <row r="2059" spans="31:47" x14ac:dyDescent="0.3">
      <c r="AE2059" s="204" t="s">
        <v>398</v>
      </c>
      <c r="AF2059" s="204" t="s">
        <v>398</v>
      </c>
      <c r="AG2059" s="204" t="s">
        <v>398</v>
      </c>
      <c r="AS2059" s="65" t="str">
        <f>IFERROR(VLOOKUP(#REF!,[1]Lookup!$B$2:$E$115,4,FALSE),"")</f>
        <v/>
      </c>
      <c r="AT2059" s="65" t="str">
        <f>IFERROR(VLOOKUP(#REF!,[1]Lookup!$B$2:$E$115,2,FALSE),"")</f>
        <v/>
      </c>
      <c r="AU2059" s="65" t="str">
        <f>IFERROR(VLOOKUP(#REF!,[1]Lookup!$B$2:$E$115,3,FALSE),"")</f>
        <v/>
      </c>
    </row>
    <row r="2060" spans="31:47" x14ac:dyDescent="0.3">
      <c r="AE2060" s="204" t="s">
        <v>398</v>
      </c>
      <c r="AF2060" s="204" t="s">
        <v>398</v>
      </c>
      <c r="AG2060" s="204" t="s">
        <v>398</v>
      </c>
      <c r="AS2060" s="65" t="str">
        <f>IFERROR(VLOOKUP(#REF!,[1]Lookup!$B$2:$E$115,4,FALSE),"")</f>
        <v/>
      </c>
      <c r="AT2060" s="65" t="str">
        <f>IFERROR(VLOOKUP(#REF!,[1]Lookup!$B$2:$E$115,2,FALSE),"")</f>
        <v/>
      </c>
      <c r="AU2060" s="65" t="str">
        <f>IFERROR(VLOOKUP(#REF!,[1]Lookup!$B$2:$E$115,3,FALSE),"")</f>
        <v/>
      </c>
    </row>
    <row r="2061" spans="31:47" x14ac:dyDescent="0.3">
      <c r="AE2061" s="204" t="s">
        <v>398</v>
      </c>
      <c r="AF2061" s="204" t="s">
        <v>398</v>
      </c>
      <c r="AG2061" s="204" t="s">
        <v>398</v>
      </c>
      <c r="AS2061" s="65" t="str">
        <f>IFERROR(VLOOKUP(#REF!,[1]Lookup!$B$2:$E$115,4,FALSE),"")</f>
        <v/>
      </c>
      <c r="AT2061" s="65" t="str">
        <f>IFERROR(VLOOKUP(#REF!,[1]Lookup!$B$2:$E$115,2,FALSE),"")</f>
        <v/>
      </c>
      <c r="AU2061" s="65" t="str">
        <f>IFERROR(VLOOKUP(#REF!,[1]Lookup!$B$2:$E$115,3,FALSE),"")</f>
        <v/>
      </c>
    </row>
    <row r="2062" spans="31:47" x14ac:dyDescent="0.3">
      <c r="AE2062" s="204" t="s">
        <v>398</v>
      </c>
      <c r="AF2062" s="204" t="s">
        <v>398</v>
      </c>
      <c r="AG2062" s="204" t="s">
        <v>398</v>
      </c>
      <c r="AS2062" s="65" t="str">
        <f>IFERROR(VLOOKUP(#REF!,[1]Lookup!$B$2:$E$115,4,FALSE),"")</f>
        <v/>
      </c>
      <c r="AT2062" s="65" t="str">
        <f>IFERROR(VLOOKUP(#REF!,[1]Lookup!$B$2:$E$115,2,FALSE),"")</f>
        <v/>
      </c>
      <c r="AU2062" s="65" t="str">
        <f>IFERROR(VLOOKUP(#REF!,[1]Lookup!$B$2:$E$115,3,FALSE),"")</f>
        <v/>
      </c>
    </row>
    <row r="2063" spans="31:47" x14ac:dyDescent="0.3">
      <c r="AE2063" s="204" t="s">
        <v>398</v>
      </c>
      <c r="AF2063" s="204" t="s">
        <v>398</v>
      </c>
      <c r="AG2063" s="204" t="s">
        <v>398</v>
      </c>
      <c r="AS2063" s="65" t="str">
        <f>IFERROR(VLOOKUP(#REF!,[1]Lookup!$B$2:$E$115,4,FALSE),"")</f>
        <v/>
      </c>
      <c r="AT2063" s="65" t="str">
        <f>IFERROR(VLOOKUP(#REF!,[1]Lookup!$B$2:$E$115,2,FALSE),"")</f>
        <v/>
      </c>
      <c r="AU2063" s="65" t="str">
        <f>IFERROR(VLOOKUP(#REF!,[1]Lookup!$B$2:$E$115,3,FALSE),"")</f>
        <v/>
      </c>
    </row>
    <row r="2064" spans="31:47" x14ac:dyDescent="0.3">
      <c r="AE2064" s="204" t="s">
        <v>398</v>
      </c>
      <c r="AF2064" s="204" t="s">
        <v>398</v>
      </c>
      <c r="AG2064" s="204" t="s">
        <v>398</v>
      </c>
      <c r="AS2064" s="65" t="str">
        <f>IFERROR(VLOOKUP(#REF!,[1]Lookup!$B$2:$E$115,4,FALSE),"")</f>
        <v/>
      </c>
      <c r="AT2064" s="65" t="str">
        <f>IFERROR(VLOOKUP(#REF!,[1]Lookup!$B$2:$E$115,2,FALSE),"")</f>
        <v/>
      </c>
      <c r="AU2064" s="65" t="str">
        <f>IFERROR(VLOOKUP(#REF!,[1]Lookup!$B$2:$E$115,3,FALSE),"")</f>
        <v/>
      </c>
    </row>
    <row r="2065" spans="31:47" x14ac:dyDescent="0.3">
      <c r="AE2065" s="204" t="s">
        <v>398</v>
      </c>
      <c r="AF2065" s="204" t="s">
        <v>398</v>
      </c>
      <c r="AG2065" s="204" t="s">
        <v>398</v>
      </c>
      <c r="AS2065" s="65" t="str">
        <f>IFERROR(VLOOKUP(#REF!,[1]Lookup!$B$2:$E$115,4,FALSE),"")</f>
        <v/>
      </c>
      <c r="AT2065" s="65" t="str">
        <f>IFERROR(VLOOKUP(#REF!,[1]Lookup!$B$2:$E$115,2,FALSE),"")</f>
        <v/>
      </c>
      <c r="AU2065" s="65" t="str">
        <f>IFERROR(VLOOKUP(#REF!,[1]Lookup!$B$2:$E$115,3,FALSE),"")</f>
        <v/>
      </c>
    </row>
    <row r="2066" spans="31:47" x14ac:dyDescent="0.3">
      <c r="AE2066" s="204" t="s">
        <v>398</v>
      </c>
      <c r="AF2066" s="204" t="s">
        <v>398</v>
      </c>
      <c r="AG2066" s="204" t="s">
        <v>398</v>
      </c>
      <c r="AS2066" s="65" t="str">
        <f>IFERROR(VLOOKUP(#REF!,[1]Lookup!$B$2:$E$115,4,FALSE),"")</f>
        <v/>
      </c>
      <c r="AT2066" s="65" t="str">
        <f>IFERROR(VLOOKUP(#REF!,[1]Lookup!$B$2:$E$115,2,FALSE),"")</f>
        <v/>
      </c>
      <c r="AU2066" s="65" t="str">
        <f>IFERROR(VLOOKUP(#REF!,[1]Lookup!$B$2:$E$115,3,FALSE),"")</f>
        <v/>
      </c>
    </row>
    <row r="2067" spans="31:47" x14ac:dyDescent="0.3">
      <c r="AE2067" s="204" t="s">
        <v>398</v>
      </c>
      <c r="AF2067" s="204" t="s">
        <v>398</v>
      </c>
      <c r="AG2067" s="204" t="s">
        <v>398</v>
      </c>
      <c r="AS2067" s="65" t="str">
        <f>IFERROR(VLOOKUP(#REF!,[1]Lookup!$B$2:$E$115,4,FALSE),"")</f>
        <v/>
      </c>
      <c r="AT2067" s="65" t="str">
        <f>IFERROR(VLOOKUP(#REF!,[1]Lookup!$B$2:$E$115,2,FALSE),"")</f>
        <v/>
      </c>
      <c r="AU2067" s="65" t="str">
        <f>IFERROR(VLOOKUP(#REF!,[1]Lookup!$B$2:$E$115,3,FALSE),"")</f>
        <v/>
      </c>
    </row>
    <row r="2068" spans="31:47" x14ac:dyDescent="0.3">
      <c r="AE2068" s="204" t="s">
        <v>398</v>
      </c>
      <c r="AF2068" s="204" t="s">
        <v>398</v>
      </c>
      <c r="AG2068" s="204" t="s">
        <v>398</v>
      </c>
      <c r="AS2068" s="65" t="str">
        <f>IFERROR(VLOOKUP(#REF!,[1]Lookup!$B$2:$E$115,4,FALSE),"")</f>
        <v/>
      </c>
      <c r="AT2068" s="65" t="str">
        <f>IFERROR(VLOOKUP(#REF!,[1]Lookup!$B$2:$E$115,2,FALSE),"")</f>
        <v/>
      </c>
      <c r="AU2068" s="65" t="str">
        <f>IFERROR(VLOOKUP(#REF!,[1]Lookup!$B$2:$E$115,3,FALSE),"")</f>
        <v/>
      </c>
    </row>
    <row r="2069" spans="31:47" x14ac:dyDescent="0.3">
      <c r="AE2069" s="204" t="s">
        <v>398</v>
      </c>
      <c r="AF2069" s="204" t="s">
        <v>398</v>
      </c>
      <c r="AG2069" s="204" t="s">
        <v>398</v>
      </c>
      <c r="AS2069" s="65" t="str">
        <f>IFERROR(VLOOKUP(#REF!,[1]Lookup!$B$2:$E$115,4,FALSE),"")</f>
        <v/>
      </c>
      <c r="AT2069" s="65" t="str">
        <f>IFERROR(VLOOKUP(#REF!,[1]Lookup!$B$2:$E$115,2,FALSE),"")</f>
        <v/>
      </c>
      <c r="AU2069" s="65" t="str">
        <f>IFERROR(VLOOKUP(#REF!,[1]Lookup!$B$2:$E$115,3,FALSE),"")</f>
        <v/>
      </c>
    </row>
    <row r="2070" spans="31:47" x14ac:dyDescent="0.3">
      <c r="AE2070" s="204" t="s">
        <v>398</v>
      </c>
      <c r="AF2070" s="204" t="s">
        <v>398</v>
      </c>
      <c r="AG2070" s="204" t="s">
        <v>398</v>
      </c>
      <c r="AS2070" s="65" t="str">
        <f>IFERROR(VLOOKUP(#REF!,[1]Lookup!$B$2:$E$115,4,FALSE),"")</f>
        <v/>
      </c>
      <c r="AT2070" s="65" t="str">
        <f>IFERROR(VLOOKUP(#REF!,[1]Lookup!$B$2:$E$115,2,FALSE),"")</f>
        <v/>
      </c>
      <c r="AU2070" s="65" t="str">
        <f>IFERROR(VLOOKUP(#REF!,[1]Lookup!$B$2:$E$115,3,FALSE),"")</f>
        <v/>
      </c>
    </row>
    <row r="2071" spans="31:47" x14ac:dyDescent="0.3">
      <c r="AE2071" s="204" t="s">
        <v>398</v>
      </c>
      <c r="AF2071" s="204" t="s">
        <v>398</v>
      </c>
      <c r="AG2071" s="204" t="s">
        <v>398</v>
      </c>
      <c r="AS2071" s="65" t="str">
        <f>IFERROR(VLOOKUP(#REF!,[1]Lookup!$B$2:$E$115,4,FALSE),"")</f>
        <v/>
      </c>
      <c r="AT2071" s="65" t="str">
        <f>IFERROR(VLOOKUP(#REF!,[1]Lookup!$B$2:$E$115,2,FALSE),"")</f>
        <v/>
      </c>
      <c r="AU2071" s="65" t="str">
        <f>IFERROR(VLOOKUP(#REF!,[1]Lookup!$B$2:$E$115,3,FALSE),"")</f>
        <v/>
      </c>
    </row>
    <row r="2072" spans="31:47" x14ac:dyDescent="0.3">
      <c r="AE2072" s="204" t="s">
        <v>398</v>
      </c>
      <c r="AF2072" s="204" t="s">
        <v>398</v>
      </c>
      <c r="AG2072" s="204" t="s">
        <v>398</v>
      </c>
      <c r="AS2072" s="65" t="str">
        <f>IFERROR(VLOOKUP(#REF!,[1]Lookup!$B$2:$E$115,4,FALSE),"")</f>
        <v/>
      </c>
      <c r="AT2072" s="65" t="str">
        <f>IFERROR(VLOOKUP(#REF!,[1]Lookup!$B$2:$E$115,2,FALSE),"")</f>
        <v/>
      </c>
      <c r="AU2072" s="65" t="str">
        <f>IFERROR(VLOOKUP(#REF!,[1]Lookup!$B$2:$E$115,3,FALSE),"")</f>
        <v/>
      </c>
    </row>
    <row r="2073" spans="31:47" x14ac:dyDescent="0.3">
      <c r="AE2073" s="204" t="s">
        <v>398</v>
      </c>
      <c r="AF2073" s="204" t="s">
        <v>398</v>
      </c>
      <c r="AG2073" s="204" t="s">
        <v>398</v>
      </c>
      <c r="AS2073" s="65" t="str">
        <f>IFERROR(VLOOKUP(#REF!,[1]Lookup!$B$2:$E$115,4,FALSE),"")</f>
        <v/>
      </c>
      <c r="AT2073" s="65" t="str">
        <f>IFERROR(VLOOKUP(#REF!,[1]Lookup!$B$2:$E$115,2,FALSE),"")</f>
        <v/>
      </c>
      <c r="AU2073" s="65" t="str">
        <f>IFERROR(VLOOKUP(#REF!,[1]Lookup!$B$2:$E$115,3,FALSE),"")</f>
        <v/>
      </c>
    </row>
    <row r="2074" spans="31:47" x14ac:dyDescent="0.3">
      <c r="AE2074" s="204" t="s">
        <v>398</v>
      </c>
      <c r="AF2074" s="204" t="s">
        <v>398</v>
      </c>
      <c r="AG2074" s="204" t="s">
        <v>398</v>
      </c>
      <c r="AS2074" s="65" t="str">
        <f>IFERROR(VLOOKUP(#REF!,[1]Lookup!$B$2:$E$115,4,FALSE),"")</f>
        <v/>
      </c>
      <c r="AT2074" s="65" t="str">
        <f>IFERROR(VLOOKUP(#REF!,[1]Lookup!$B$2:$E$115,2,FALSE),"")</f>
        <v/>
      </c>
      <c r="AU2074" s="65" t="str">
        <f>IFERROR(VLOOKUP(#REF!,[1]Lookup!$B$2:$E$115,3,FALSE),"")</f>
        <v/>
      </c>
    </row>
    <row r="2075" spans="31:47" x14ac:dyDescent="0.3">
      <c r="AE2075" s="204" t="s">
        <v>398</v>
      </c>
      <c r="AF2075" s="204" t="s">
        <v>398</v>
      </c>
      <c r="AG2075" s="204" t="s">
        <v>398</v>
      </c>
      <c r="AS2075" s="65" t="str">
        <f>IFERROR(VLOOKUP(#REF!,[1]Lookup!$B$2:$E$115,4,FALSE),"")</f>
        <v/>
      </c>
      <c r="AT2075" s="65" t="str">
        <f>IFERROR(VLOOKUP(#REF!,[1]Lookup!$B$2:$E$115,2,FALSE),"")</f>
        <v/>
      </c>
      <c r="AU2075" s="65" t="str">
        <f>IFERROR(VLOOKUP(#REF!,[1]Lookup!$B$2:$E$115,3,FALSE),"")</f>
        <v/>
      </c>
    </row>
    <row r="2076" spans="31:47" x14ac:dyDescent="0.3">
      <c r="AE2076" s="204" t="s">
        <v>398</v>
      </c>
      <c r="AF2076" s="204" t="s">
        <v>398</v>
      </c>
      <c r="AG2076" s="204" t="s">
        <v>398</v>
      </c>
      <c r="AS2076" s="65" t="str">
        <f>IFERROR(VLOOKUP(#REF!,[1]Lookup!$B$2:$E$115,4,FALSE),"")</f>
        <v/>
      </c>
      <c r="AT2076" s="65" t="str">
        <f>IFERROR(VLOOKUP(#REF!,[1]Lookup!$B$2:$E$115,2,FALSE),"")</f>
        <v/>
      </c>
      <c r="AU2076" s="65" t="str">
        <f>IFERROR(VLOOKUP(#REF!,[1]Lookup!$B$2:$E$115,3,FALSE),"")</f>
        <v/>
      </c>
    </row>
    <row r="2077" spans="31:47" x14ac:dyDescent="0.3">
      <c r="AE2077" s="204" t="s">
        <v>398</v>
      </c>
      <c r="AF2077" s="204" t="s">
        <v>398</v>
      </c>
      <c r="AG2077" s="204" t="s">
        <v>398</v>
      </c>
      <c r="AS2077" s="65" t="str">
        <f>IFERROR(VLOOKUP(#REF!,[1]Lookup!$B$2:$E$115,4,FALSE),"")</f>
        <v/>
      </c>
      <c r="AT2077" s="65" t="str">
        <f>IFERROR(VLOOKUP(#REF!,[1]Lookup!$B$2:$E$115,2,FALSE),"")</f>
        <v/>
      </c>
      <c r="AU2077" s="65" t="str">
        <f>IFERROR(VLOOKUP(#REF!,[1]Lookup!$B$2:$E$115,3,FALSE),"")</f>
        <v/>
      </c>
    </row>
    <row r="2078" spans="31:47" x14ac:dyDescent="0.3">
      <c r="AE2078" s="204" t="s">
        <v>398</v>
      </c>
      <c r="AF2078" s="204" t="s">
        <v>398</v>
      </c>
      <c r="AG2078" s="204" t="s">
        <v>398</v>
      </c>
      <c r="AS2078" s="65" t="str">
        <f>IFERROR(VLOOKUP(#REF!,[1]Lookup!$B$2:$E$115,4,FALSE),"")</f>
        <v/>
      </c>
      <c r="AT2078" s="65" t="str">
        <f>IFERROR(VLOOKUP(#REF!,[1]Lookup!$B$2:$E$115,2,FALSE),"")</f>
        <v/>
      </c>
      <c r="AU2078" s="65" t="str">
        <f>IFERROR(VLOOKUP(#REF!,[1]Lookup!$B$2:$E$115,3,FALSE),"")</f>
        <v/>
      </c>
    </row>
    <row r="2079" spans="31:47" x14ac:dyDescent="0.3">
      <c r="AE2079" s="204" t="s">
        <v>398</v>
      </c>
      <c r="AF2079" s="204" t="s">
        <v>398</v>
      </c>
      <c r="AG2079" s="204" t="s">
        <v>398</v>
      </c>
      <c r="AS2079" s="65" t="str">
        <f>IFERROR(VLOOKUP(#REF!,[1]Lookup!$B$2:$E$115,4,FALSE),"")</f>
        <v/>
      </c>
      <c r="AT2079" s="65" t="str">
        <f>IFERROR(VLOOKUP(#REF!,[1]Lookup!$B$2:$E$115,2,FALSE),"")</f>
        <v/>
      </c>
      <c r="AU2079" s="65" t="str">
        <f>IFERROR(VLOOKUP(#REF!,[1]Lookup!$B$2:$E$115,3,FALSE),"")</f>
        <v/>
      </c>
    </row>
    <row r="2080" spans="31:47" x14ac:dyDescent="0.3">
      <c r="AE2080" s="204" t="s">
        <v>398</v>
      </c>
      <c r="AF2080" s="204" t="s">
        <v>398</v>
      </c>
      <c r="AG2080" s="204" t="s">
        <v>398</v>
      </c>
      <c r="AS2080" s="65" t="str">
        <f>IFERROR(VLOOKUP(#REF!,[1]Lookup!$B$2:$E$115,4,FALSE),"")</f>
        <v/>
      </c>
      <c r="AT2080" s="65" t="str">
        <f>IFERROR(VLOOKUP(#REF!,[1]Lookup!$B$2:$E$115,2,FALSE),"")</f>
        <v/>
      </c>
      <c r="AU2080" s="65" t="str">
        <f>IFERROR(VLOOKUP(#REF!,[1]Lookup!$B$2:$E$115,3,FALSE),"")</f>
        <v/>
      </c>
    </row>
    <row r="2081" spans="31:47" x14ac:dyDescent="0.3">
      <c r="AE2081" s="204" t="s">
        <v>398</v>
      </c>
      <c r="AF2081" s="204" t="s">
        <v>398</v>
      </c>
      <c r="AG2081" s="204" t="s">
        <v>398</v>
      </c>
      <c r="AS2081" s="65" t="str">
        <f>IFERROR(VLOOKUP(#REF!,[1]Lookup!$B$2:$E$115,4,FALSE),"")</f>
        <v/>
      </c>
      <c r="AT2081" s="65" t="str">
        <f>IFERROR(VLOOKUP(#REF!,[1]Lookup!$B$2:$E$115,2,FALSE),"")</f>
        <v/>
      </c>
      <c r="AU2081" s="65" t="str">
        <f>IFERROR(VLOOKUP(#REF!,[1]Lookup!$B$2:$E$115,3,FALSE),"")</f>
        <v/>
      </c>
    </row>
    <row r="2082" spans="31:47" x14ac:dyDescent="0.3">
      <c r="AE2082" s="204" t="s">
        <v>398</v>
      </c>
      <c r="AF2082" s="204" t="s">
        <v>398</v>
      </c>
      <c r="AG2082" s="204" t="s">
        <v>398</v>
      </c>
      <c r="AS2082" s="65" t="str">
        <f>IFERROR(VLOOKUP(#REF!,[1]Lookup!$B$2:$E$115,4,FALSE),"")</f>
        <v/>
      </c>
      <c r="AT2082" s="65" t="str">
        <f>IFERROR(VLOOKUP(#REF!,[1]Lookup!$B$2:$E$115,2,FALSE),"")</f>
        <v/>
      </c>
      <c r="AU2082" s="65" t="str">
        <f>IFERROR(VLOOKUP(#REF!,[1]Lookup!$B$2:$E$115,3,FALSE),"")</f>
        <v/>
      </c>
    </row>
    <row r="2083" spans="31:47" x14ac:dyDescent="0.3">
      <c r="AE2083" s="204" t="s">
        <v>398</v>
      </c>
      <c r="AF2083" s="204" t="s">
        <v>398</v>
      </c>
      <c r="AG2083" s="204" t="s">
        <v>398</v>
      </c>
      <c r="AS2083" s="65" t="str">
        <f>IFERROR(VLOOKUP(#REF!,[1]Lookup!$B$2:$E$115,4,FALSE),"")</f>
        <v/>
      </c>
      <c r="AT2083" s="65" t="str">
        <f>IFERROR(VLOOKUP(#REF!,[1]Lookup!$B$2:$E$115,2,FALSE),"")</f>
        <v/>
      </c>
      <c r="AU2083" s="65" t="str">
        <f>IFERROR(VLOOKUP(#REF!,[1]Lookup!$B$2:$E$115,3,FALSE),"")</f>
        <v/>
      </c>
    </row>
    <row r="2084" spans="31:47" x14ac:dyDescent="0.3">
      <c r="AE2084" s="204" t="s">
        <v>398</v>
      </c>
      <c r="AF2084" s="204" t="s">
        <v>398</v>
      </c>
      <c r="AG2084" s="204" t="s">
        <v>398</v>
      </c>
      <c r="AS2084" s="65" t="str">
        <f>IFERROR(VLOOKUP(#REF!,[1]Lookup!$B$2:$E$115,4,FALSE),"")</f>
        <v/>
      </c>
      <c r="AT2084" s="65" t="str">
        <f>IFERROR(VLOOKUP(#REF!,[1]Lookup!$B$2:$E$115,2,FALSE),"")</f>
        <v/>
      </c>
      <c r="AU2084" s="65" t="str">
        <f>IFERROR(VLOOKUP(#REF!,[1]Lookup!$B$2:$E$115,3,FALSE),"")</f>
        <v/>
      </c>
    </row>
    <row r="2085" spans="31:47" x14ac:dyDescent="0.3">
      <c r="AE2085" s="204" t="s">
        <v>398</v>
      </c>
      <c r="AF2085" s="204" t="s">
        <v>398</v>
      </c>
      <c r="AG2085" s="204" t="s">
        <v>398</v>
      </c>
      <c r="AS2085" s="65" t="str">
        <f>IFERROR(VLOOKUP(#REF!,[1]Lookup!$B$2:$E$115,4,FALSE),"")</f>
        <v/>
      </c>
      <c r="AT2085" s="65" t="str">
        <f>IFERROR(VLOOKUP(#REF!,[1]Lookup!$B$2:$E$115,2,FALSE),"")</f>
        <v/>
      </c>
      <c r="AU2085" s="65" t="str">
        <f>IFERROR(VLOOKUP(#REF!,[1]Lookup!$B$2:$E$115,3,FALSE),"")</f>
        <v/>
      </c>
    </row>
    <row r="2086" spans="31:47" x14ac:dyDescent="0.3">
      <c r="AE2086" s="204" t="s">
        <v>398</v>
      </c>
      <c r="AF2086" s="204" t="s">
        <v>398</v>
      </c>
      <c r="AG2086" s="204" t="s">
        <v>398</v>
      </c>
      <c r="AS2086" s="65" t="str">
        <f>IFERROR(VLOOKUP(#REF!,[1]Lookup!$B$2:$E$115,4,FALSE),"")</f>
        <v/>
      </c>
      <c r="AT2086" s="65" t="str">
        <f>IFERROR(VLOOKUP(#REF!,[1]Lookup!$B$2:$E$115,2,FALSE),"")</f>
        <v/>
      </c>
      <c r="AU2086" s="65" t="str">
        <f>IFERROR(VLOOKUP(#REF!,[1]Lookup!$B$2:$E$115,3,FALSE),"")</f>
        <v/>
      </c>
    </row>
    <row r="2087" spans="31:47" x14ac:dyDescent="0.3">
      <c r="AE2087" s="204" t="s">
        <v>398</v>
      </c>
      <c r="AF2087" s="204" t="s">
        <v>398</v>
      </c>
      <c r="AG2087" s="204" t="s">
        <v>398</v>
      </c>
      <c r="AS2087" s="65" t="str">
        <f>IFERROR(VLOOKUP(#REF!,[1]Lookup!$B$2:$E$115,4,FALSE),"")</f>
        <v/>
      </c>
      <c r="AT2087" s="65" t="str">
        <f>IFERROR(VLOOKUP(#REF!,[1]Lookup!$B$2:$E$115,2,FALSE),"")</f>
        <v/>
      </c>
      <c r="AU2087" s="65" t="str">
        <f>IFERROR(VLOOKUP(#REF!,[1]Lookup!$B$2:$E$115,3,FALSE),"")</f>
        <v/>
      </c>
    </row>
    <row r="2088" spans="31:47" x14ac:dyDescent="0.3">
      <c r="AE2088" s="204" t="s">
        <v>398</v>
      </c>
      <c r="AF2088" s="204" t="s">
        <v>398</v>
      </c>
      <c r="AG2088" s="204" t="s">
        <v>398</v>
      </c>
      <c r="AS2088" s="65" t="str">
        <f>IFERROR(VLOOKUP(#REF!,[1]Lookup!$B$2:$E$115,4,FALSE),"")</f>
        <v/>
      </c>
      <c r="AT2088" s="65" t="str">
        <f>IFERROR(VLOOKUP(#REF!,[1]Lookup!$B$2:$E$115,2,FALSE),"")</f>
        <v/>
      </c>
      <c r="AU2088" s="65" t="str">
        <f>IFERROR(VLOOKUP(#REF!,[1]Lookup!$B$2:$E$115,3,FALSE),"")</f>
        <v/>
      </c>
    </row>
    <row r="2089" spans="31:47" x14ac:dyDescent="0.3">
      <c r="AE2089" s="204" t="s">
        <v>398</v>
      </c>
      <c r="AF2089" s="204" t="s">
        <v>398</v>
      </c>
      <c r="AG2089" s="204" t="s">
        <v>398</v>
      </c>
      <c r="AS2089" s="65" t="str">
        <f>IFERROR(VLOOKUP(#REF!,[1]Lookup!$B$2:$E$115,4,FALSE),"")</f>
        <v/>
      </c>
      <c r="AT2089" s="65" t="str">
        <f>IFERROR(VLOOKUP(#REF!,[1]Lookup!$B$2:$E$115,2,FALSE),"")</f>
        <v/>
      </c>
      <c r="AU2089" s="65" t="str">
        <f>IFERROR(VLOOKUP(#REF!,[1]Lookup!$B$2:$E$115,3,FALSE),"")</f>
        <v/>
      </c>
    </row>
    <row r="2090" spans="31:47" x14ac:dyDescent="0.3">
      <c r="AE2090" s="204" t="s">
        <v>398</v>
      </c>
      <c r="AF2090" s="204" t="s">
        <v>398</v>
      </c>
      <c r="AG2090" s="204" t="s">
        <v>398</v>
      </c>
      <c r="AS2090" s="65" t="str">
        <f>IFERROR(VLOOKUP(#REF!,[1]Lookup!$B$2:$E$115,4,FALSE),"")</f>
        <v/>
      </c>
      <c r="AT2090" s="65" t="str">
        <f>IFERROR(VLOOKUP(#REF!,[1]Lookup!$B$2:$E$115,2,FALSE),"")</f>
        <v/>
      </c>
      <c r="AU2090" s="65" t="str">
        <f>IFERROR(VLOOKUP(#REF!,[1]Lookup!$B$2:$E$115,3,FALSE),"")</f>
        <v/>
      </c>
    </row>
    <row r="2091" spans="31:47" x14ac:dyDescent="0.3">
      <c r="AE2091" s="204" t="s">
        <v>398</v>
      </c>
      <c r="AF2091" s="204" t="s">
        <v>398</v>
      </c>
      <c r="AG2091" s="204" t="s">
        <v>398</v>
      </c>
      <c r="AS2091" s="65" t="str">
        <f>IFERROR(VLOOKUP(#REF!,[1]Lookup!$B$2:$E$115,4,FALSE),"")</f>
        <v/>
      </c>
      <c r="AT2091" s="65" t="str">
        <f>IFERROR(VLOOKUP(#REF!,[1]Lookup!$B$2:$E$115,2,FALSE),"")</f>
        <v/>
      </c>
      <c r="AU2091" s="65" t="str">
        <f>IFERROR(VLOOKUP(#REF!,[1]Lookup!$B$2:$E$115,3,FALSE),"")</f>
        <v/>
      </c>
    </row>
    <row r="2092" spans="31:47" x14ac:dyDescent="0.3">
      <c r="AE2092" s="204" t="s">
        <v>398</v>
      </c>
      <c r="AF2092" s="204" t="s">
        <v>398</v>
      </c>
      <c r="AG2092" s="204" t="s">
        <v>398</v>
      </c>
      <c r="AS2092" s="65" t="str">
        <f>IFERROR(VLOOKUP(#REF!,[1]Lookup!$B$2:$E$115,4,FALSE),"")</f>
        <v/>
      </c>
      <c r="AT2092" s="65" t="str">
        <f>IFERROR(VLOOKUP(#REF!,[1]Lookup!$B$2:$E$115,2,FALSE),"")</f>
        <v/>
      </c>
      <c r="AU2092" s="65" t="str">
        <f>IFERROR(VLOOKUP(#REF!,[1]Lookup!$B$2:$E$115,3,FALSE),"")</f>
        <v/>
      </c>
    </row>
    <row r="2093" spans="31:47" x14ac:dyDescent="0.3">
      <c r="AE2093" s="204" t="s">
        <v>398</v>
      </c>
      <c r="AF2093" s="204" t="s">
        <v>398</v>
      </c>
      <c r="AG2093" s="204" t="s">
        <v>398</v>
      </c>
      <c r="AS2093" s="65" t="str">
        <f>IFERROR(VLOOKUP(#REF!,[1]Lookup!$B$2:$E$115,4,FALSE),"")</f>
        <v/>
      </c>
      <c r="AT2093" s="65" t="str">
        <f>IFERROR(VLOOKUP(#REF!,[1]Lookup!$B$2:$E$115,2,FALSE),"")</f>
        <v/>
      </c>
      <c r="AU2093" s="65" t="str">
        <f>IFERROR(VLOOKUP(#REF!,[1]Lookup!$B$2:$E$115,3,FALSE),"")</f>
        <v/>
      </c>
    </row>
    <row r="2094" spans="31:47" x14ac:dyDescent="0.3">
      <c r="AE2094" s="204" t="s">
        <v>398</v>
      </c>
      <c r="AF2094" s="204" t="s">
        <v>398</v>
      </c>
      <c r="AG2094" s="204" t="s">
        <v>398</v>
      </c>
      <c r="AS2094" s="65" t="str">
        <f>IFERROR(VLOOKUP(#REF!,[1]Lookup!$B$2:$E$115,4,FALSE),"")</f>
        <v/>
      </c>
      <c r="AT2094" s="65" t="str">
        <f>IFERROR(VLOOKUP(#REF!,[1]Lookup!$B$2:$E$115,2,FALSE),"")</f>
        <v/>
      </c>
      <c r="AU2094" s="65" t="str">
        <f>IFERROR(VLOOKUP(#REF!,[1]Lookup!$B$2:$E$115,3,FALSE),"")</f>
        <v/>
      </c>
    </row>
    <row r="2095" spans="31:47" x14ac:dyDescent="0.3">
      <c r="AE2095" s="204" t="s">
        <v>398</v>
      </c>
      <c r="AF2095" s="204" t="s">
        <v>398</v>
      </c>
      <c r="AG2095" s="204" t="s">
        <v>398</v>
      </c>
      <c r="AS2095" s="65" t="str">
        <f>IFERROR(VLOOKUP(#REF!,[1]Lookup!$B$2:$E$115,4,FALSE),"")</f>
        <v/>
      </c>
      <c r="AT2095" s="65" t="str">
        <f>IFERROR(VLOOKUP(#REF!,[1]Lookup!$B$2:$E$115,2,FALSE),"")</f>
        <v/>
      </c>
      <c r="AU2095" s="65" t="str">
        <f>IFERROR(VLOOKUP(#REF!,[1]Lookup!$B$2:$E$115,3,FALSE),"")</f>
        <v/>
      </c>
    </row>
    <row r="2096" spans="31:47" x14ac:dyDescent="0.3">
      <c r="AE2096" s="204" t="s">
        <v>398</v>
      </c>
      <c r="AF2096" s="204" t="s">
        <v>398</v>
      </c>
      <c r="AG2096" s="204" t="s">
        <v>398</v>
      </c>
      <c r="AS2096" s="65" t="str">
        <f>IFERROR(VLOOKUP(#REF!,[1]Lookup!$B$2:$E$115,4,FALSE),"")</f>
        <v/>
      </c>
      <c r="AT2096" s="65" t="str">
        <f>IFERROR(VLOOKUP(#REF!,[1]Lookup!$B$2:$E$115,2,FALSE),"")</f>
        <v/>
      </c>
      <c r="AU2096" s="65" t="str">
        <f>IFERROR(VLOOKUP(#REF!,[1]Lookup!$B$2:$E$115,3,FALSE),"")</f>
        <v/>
      </c>
    </row>
    <row r="2097" spans="31:47" x14ac:dyDescent="0.3">
      <c r="AE2097" s="204" t="s">
        <v>398</v>
      </c>
      <c r="AF2097" s="204" t="s">
        <v>398</v>
      </c>
      <c r="AG2097" s="204" t="s">
        <v>398</v>
      </c>
      <c r="AS2097" s="65" t="str">
        <f>IFERROR(VLOOKUP(#REF!,[1]Lookup!$B$2:$E$115,4,FALSE),"")</f>
        <v/>
      </c>
      <c r="AT2097" s="65" t="str">
        <f>IFERROR(VLOOKUP(#REF!,[1]Lookup!$B$2:$E$115,2,FALSE),"")</f>
        <v/>
      </c>
      <c r="AU2097" s="65" t="str">
        <f>IFERROR(VLOOKUP(#REF!,[1]Lookup!$B$2:$E$115,3,FALSE),"")</f>
        <v/>
      </c>
    </row>
    <row r="2098" spans="31:47" x14ac:dyDescent="0.3">
      <c r="AE2098" s="204" t="s">
        <v>398</v>
      </c>
      <c r="AF2098" s="204" t="s">
        <v>398</v>
      </c>
      <c r="AG2098" s="204" t="s">
        <v>398</v>
      </c>
      <c r="AS2098" s="65" t="str">
        <f>IFERROR(VLOOKUP(#REF!,[1]Lookup!$B$2:$E$115,4,FALSE),"")</f>
        <v/>
      </c>
      <c r="AT2098" s="65" t="str">
        <f>IFERROR(VLOOKUP(#REF!,[1]Lookup!$B$2:$E$115,2,FALSE),"")</f>
        <v/>
      </c>
      <c r="AU2098" s="65" t="str">
        <f>IFERROR(VLOOKUP(#REF!,[1]Lookup!$B$2:$E$115,3,FALSE),"")</f>
        <v/>
      </c>
    </row>
    <row r="2099" spans="31:47" x14ac:dyDescent="0.3">
      <c r="AE2099" s="204" t="s">
        <v>398</v>
      </c>
      <c r="AF2099" s="204" t="s">
        <v>398</v>
      </c>
      <c r="AG2099" s="204" t="s">
        <v>398</v>
      </c>
      <c r="AS2099" s="65" t="str">
        <f>IFERROR(VLOOKUP(#REF!,[1]Lookup!$B$2:$E$115,4,FALSE),"")</f>
        <v/>
      </c>
      <c r="AT2099" s="65" t="str">
        <f>IFERROR(VLOOKUP(#REF!,[1]Lookup!$B$2:$E$115,2,FALSE),"")</f>
        <v/>
      </c>
      <c r="AU2099" s="65" t="str">
        <f>IFERROR(VLOOKUP(#REF!,[1]Lookup!$B$2:$E$115,3,FALSE),"")</f>
        <v/>
      </c>
    </row>
    <row r="2100" spans="31:47" x14ac:dyDescent="0.3">
      <c r="AE2100" s="204" t="s">
        <v>398</v>
      </c>
      <c r="AF2100" s="204" t="s">
        <v>398</v>
      </c>
      <c r="AG2100" s="204" t="s">
        <v>398</v>
      </c>
      <c r="AS2100" s="65" t="str">
        <f>IFERROR(VLOOKUP(#REF!,[1]Lookup!$B$2:$E$115,4,FALSE),"")</f>
        <v/>
      </c>
      <c r="AT2100" s="65" t="str">
        <f>IFERROR(VLOOKUP(#REF!,[1]Lookup!$B$2:$E$115,2,FALSE),"")</f>
        <v/>
      </c>
      <c r="AU2100" s="65" t="str">
        <f>IFERROR(VLOOKUP(#REF!,[1]Lookup!$B$2:$E$115,3,FALSE),"")</f>
        <v/>
      </c>
    </row>
    <row r="2101" spans="31:47" x14ac:dyDescent="0.3">
      <c r="AE2101" s="204" t="s">
        <v>398</v>
      </c>
      <c r="AF2101" s="204" t="s">
        <v>398</v>
      </c>
      <c r="AG2101" s="204" t="s">
        <v>398</v>
      </c>
      <c r="AS2101" s="65" t="str">
        <f>IFERROR(VLOOKUP(#REF!,[1]Lookup!$B$2:$E$115,4,FALSE),"")</f>
        <v/>
      </c>
      <c r="AT2101" s="65" t="str">
        <f>IFERROR(VLOOKUP(#REF!,[1]Lookup!$B$2:$E$115,2,FALSE),"")</f>
        <v/>
      </c>
      <c r="AU2101" s="65" t="str">
        <f>IFERROR(VLOOKUP(#REF!,[1]Lookup!$B$2:$E$115,3,FALSE),"")</f>
        <v/>
      </c>
    </row>
    <row r="2102" spans="31:47" x14ac:dyDescent="0.3">
      <c r="AE2102" s="204" t="s">
        <v>398</v>
      </c>
      <c r="AF2102" s="204" t="s">
        <v>398</v>
      </c>
      <c r="AG2102" s="204" t="s">
        <v>398</v>
      </c>
      <c r="AS2102" s="65" t="str">
        <f>IFERROR(VLOOKUP(#REF!,[1]Lookup!$B$2:$E$115,4,FALSE),"")</f>
        <v/>
      </c>
      <c r="AT2102" s="65" t="str">
        <f>IFERROR(VLOOKUP(#REF!,[1]Lookup!$B$2:$E$115,2,FALSE),"")</f>
        <v/>
      </c>
      <c r="AU2102" s="65" t="str">
        <f>IFERROR(VLOOKUP(#REF!,[1]Lookup!$B$2:$E$115,3,FALSE),"")</f>
        <v/>
      </c>
    </row>
    <row r="2103" spans="31:47" x14ac:dyDescent="0.3">
      <c r="AE2103" s="204" t="s">
        <v>398</v>
      </c>
      <c r="AF2103" s="204" t="s">
        <v>398</v>
      </c>
      <c r="AG2103" s="204" t="s">
        <v>398</v>
      </c>
      <c r="AS2103" s="65" t="str">
        <f>IFERROR(VLOOKUP(#REF!,[1]Lookup!$B$2:$E$115,4,FALSE),"")</f>
        <v/>
      </c>
      <c r="AT2103" s="65" t="str">
        <f>IFERROR(VLOOKUP(#REF!,[1]Lookup!$B$2:$E$115,2,FALSE),"")</f>
        <v/>
      </c>
      <c r="AU2103" s="65" t="str">
        <f>IFERROR(VLOOKUP(#REF!,[1]Lookup!$B$2:$E$115,3,FALSE),"")</f>
        <v/>
      </c>
    </row>
    <row r="2104" spans="31:47" x14ac:dyDescent="0.3">
      <c r="AE2104" s="204" t="s">
        <v>398</v>
      </c>
      <c r="AF2104" s="204" t="s">
        <v>398</v>
      </c>
      <c r="AG2104" s="204" t="s">
        <v>398</v>
      </c>
      <c r="AS2104" s="65" t="str">
        <f>IFERROR(VLOOKUP(#REF!,[1]Lookup!$B$2:$E$115,4,FALSE),"")</f>
        <v/>
      </c>
      <c r="AT2104" s="65" t="str">
        <f>IFERROR(VLOOKUP(#REF!,[1]Lookup!$B$2:$E$115,2,FALSE),"")</f>
        <v/>
      </c>
      <c r="AU2104" s="65" t="str">
        <f>IFERROR(VLOOKUP(#REF!,[1]Lookup!$B$2:$E$115,3,FALSE),"")</f>
        <v/>
      </c>
    </row>
    <row r="2105" spans="31:47" x14ac:dyDescent="0.3">
      <c r="AE2105" s="204" t="s">
        <v>398</v>
      </c>
      <c r="AF2105" s="204" t="s">
        <v>398</v>
      </c>
      <c r="AG2105" s="204" t="s">
        <v>398</v>
      </c>
      <c r="AS2105" s="65" t="str">
        <f>IFERROR(VLOOKUP(#REF!,[1]Lookup!$B$2:$E$115,4,FALSE),"")</f>
        <v/>
      </c>
      <c r="AT2105" s="65" t="str">
        <f>IFERROR(VLOOKUP(#REF!,[1]Lookup!$B$2:$E$115,2,FALSE),"")</f>
        <v/>
      </c>
      <c r="AU2105" s="65" t="str">
        <f>IFERROR(VLOOKUP(#REF!,[1]Lookup!$B$2:$E$115,3,FALSE),"")</f>
        <v/>
      </c>
    </row>
    <row r="2106" spans="31:47" x14ac:dyDescent="0.3">
      <c r="AE2106" s="204" t="s">
        <v>398</v>
      </c>
      <c r="AF2106" s="204" t="s">
        <v>398</v>
      </c>
      <c r="AG2106" s="204" t="s">
        <v>398</v>
      </c>
      <c r="AS2106" s="65" t="str">
        <f>IFERROR(VLOOKUP(#REF!,[1]Lookup!$B$2:$E$115,4,FALSE),"")</f>
        <v/>
      </c>
      <c r="AT2106" s="65" t="str">
        <f>IFERROR(VLOOKUP(#REF!,[1]Lookup!$B$2:$E$115,2,FALSE),"")</f>
        <v/>
      </c>
      <c r="AU2106" s="65" t="str">
        <f>IFERROR(VLOOKUP(#REF!,[1]Lookup!$B$2:$E$115,3,FALSE),"")</f>
        <v/>
      </c>
    </row>
    <row r="2107" spans="31:47" x14ac:dyDescent="0.3">
      <c r="AE2107" s="204" t="s">
        <v>398</v>
      </c>
      <c r="AF2107" s="204" t="s">
        <v>398</v>
      </c>
      <c r="AG2107" s="204" t="s">
        <v>398</v>
      </c>
      <c r="AS2107" s="65" t="str">
        <f>IFERROR(VLOOKUP(#REF!,[1]Lookup!$B$2:$E$115,4,FALSE),"")</f>
        <v/>
      </c>
      <c r="AT2107" s="65" t="str">
        <f>IFERROR(VLOOKUP(#REF!,[1]Lookup!$B$2:$E$115,2,FALSE),"")</f>
        <v/>
      </c>
      <c r="AU2107" s="65" t="str">
        <f>IFERROR(VLOOKUP(#REF!,[1]Lookup!$B$2:$E$115,3,FALSE),"")</f>
        <v/>
      </c>
    </row>
    <row r="2108" spans="31:47" x14ac:dyDescent="0.3">
      <c r="AE2108" s="204" t="s">
        <v>398</v>
      </c>
      <c r="AF2108" s="204" t="s">
        <v>398</v>
      </c>
      <c r="AG2108" s="204" t="s">
        <v>398</v>
      </c>
      <c r="AS2108" s="65" t="str">
        <f>IFERROR(VLOOKUP(#REF!,[1]Lookup!$B$2:$E$115,4,FALSE),"")</f>
        <v/>
      </c>
      <c r="AT2108" s="65" t="str">
        <f>IFERROR(VLOOKUP(#REF!,[1]Lookup!$B$2:$E$115,2,FALSE),"")</f>
        <v/>
      </c>
      <c r="AU2108" s="65" t="str">
        <f>IFERROR(VLOOKUP(#REF!,[1]Lookup!$B$2:$E$115,3,FALSE),"")</f>
        <v/>
      </c>
    </row>
    <row r="2109" spans="31:47" x14ac:dyDescent="0.3">
      <c r="AE2109" s="204" t="s">
        <v>398</v>
      </c>
      <c r="AF2109" s="204" t="s">
        <v>398</v>
      </c>
      <c r="AG2109" s="204" t="s">
        <v>398</v>
      </c>
      <c r="AS2109" s="65" t="str">
        <f>IFERROR(VLOOKUP(#REF!,[1]Lookup!$B$2:$E$115,4,FALSE),"")</f>
        <v/>
      </c>
      <c r="AT2109" s="65" t="str">
        <f>IFERROR(VLOOKUP(#REF!,[1]Lookup!$B$2:$E$115,2,FALSE),"")</f>
        <v/>
      </c>
      <c r="AU2109" s="65" t="str">
        <f>IFERROR(VLOOKUP(#REF!,[1]Lookup!$B$2:$E$115,3,FALSE),"")</f>
        <v/>
      </c>
    </row>
    <row r="2110" spans="31:47" x14ac:dyDescent="0.3">
      <c r="AE2110" s="204" t="s">
        <v>398</v>
      </c>
      <c r="AF2110" s="204" t="s">
        <v>398</v>
      </c>
      <c r="AG2110" s="204" t="s">
        <v>398</v>
      </c>
      <c r="AS2110" s="65" t="str">
        <f>IFERROR(VLOOKUP(#REF!,[1]Lookup!$B$2:$E$115,4,FALSE),"")</f>
        <v/>
      </c>
      <c r="AT2110" s="65" t="str">
        <f>IFERROR(VLOOKUP(#REF!,[1]Lookup!$B$2:$E$115,2,FALSE),"")</f>
        <v/>
      </c>
      <c r="AU2110" s="65" t="str">
        <f>IFERROR(VLOOKUP(#REF!,[1]Lookup!$B$2:$E$115,3,FALSE),"")</f>
        <v/>
      </c>
    </row>
    <row r="2111" spans="31:47" x14ac:dyDescent="0.3">
      <c r="AE2111" s="204" t="s">
        <v>398</v>
      </c>
      <c r="AF2111" s="204" t="s">
        <v>398</v>
      </c>
      <c r="AG2111" s="204" t="s">
        <v>398</v>
      </c>
      <c r="AS2111" s="65" t="str">
        <f>IFERROR(VLOOKUP(#REF!,[1]Lookup!$B$2:$E$115,4,FALSE),"")</f>
        <v/>
      </c>
      <c r="AT2111" s="65" t="str">
        <f>IFERROR(VLOOKUP(#REF!,[1]Lookup!$B$2:$E$115,2,FALSE),"")</f>
        <v/>
      </c>
      <c r="AU2111" s="65" t="str">
        <f>IFERROR(VLOOKUP(#REF!,[1]Lookup!$B$2:$E$115,3,FALSE),"")</f>
        <v/>
      </c>
    </row>
    <row r="2112" spans="31:47" x14ac:dyDescent="0.3">
      <c r="AE2112" s="204" t="s">
        <v>398</v>
      </c>
      <c r="AF2112" s="204" t="s">
        <v>398</v>
      </c>
      <c r="AG2112" s="204" t="s">
        <v>398</v>
      </c>
      <c r="AS2112" s="65" t="str">
        <f>IFERROR(VLOOKUP(#REF!,[1]Lookup!$B$2:$E$115,4,FALSE),"")</f>
        <v/>
      </c>
      <c r="AT2112" s="65" t="str">
        <f>IFERROR(VLOOKUP(#REF!,[1]Lookup!$B$2:$E$115,2,FALSE),"")</f>
        <v/>
      </c>
      <c r="AU2112" s="65" t="str">
        <f>IFERROR(VLOOKUP(#REF!,[1]Lookup!$B$2:$E$115,3,FALSE),"")</f>
        <v/>
      </c>
    </row>
    <row r="2113" spans="31:47" x14ac:dyDescent="0.3">
      <c r="AE2113" s="204" t="s">
        <v>398</v>
      </c>
      <c r="AF2113" s="204" t="s">
        <v>398</v>
      </c>
      <c r="AG2113" s="204" t="s">
        <v>398</v>
      </c>
      <c r="AS2113" s="65" t="str">
        <f>IFERROR(VLOOKUP(#REF!,[1]Lookup!$B$2:$E$115,4,FALSE),"")</f>
        <v/>
      </c>
      <c r="AT2113" s="65" t="str">
        <f>IFERROR(VLOOKUP(#REF!,[1]Lookup!$B$2:$E$115,2,FALSE),"")</f>
        <v/>
      </c>
      <c r="AU2113" s="65" t="str">
        <f>IFERROR(VLOOKUP(#REF!,[1]Lookup!$B$2:$E$115,3,FALSE),"")</f>
        <v/>
      </c>
    </row>
    <row r="2114" spans="31:47" x14ac:dyDescent="0.3">
      <c r="AE2114" s="204" t="s">
        <v>398</v>
      </c>
      <c r="AF2114" s="204" t="s">
        <v>398</v>
      </c>
      <c r="AG2114" s="204" t="s">
        <v>398</v>
      </c>
      <c r="AS2114" s="65" t="str">
        <f>IFERROR(VLOOKUP(#REF!,[1]Lookup!$B$2:$E$115,4,FALSE),"")</f>
        <v/>
      </c>
      <c r="AT2114" s="65" t="str">
        <f>IFERROR(VLOOKUP(#REF!,[1]Lookup!$B$2:$E$115,2,FALSE),"")</f>
        <v/>
      </c>
      <c r="AU2114" s="65" t="str">
        <f>IFERROR(VLOOKUP(#REF!,[1]Lookup!$B$2:$E$115,3,FALSE),"")</f>
        <v/>
      </c>
    </row>
    <row r="2115" spans="31:47" x14ac:dyDescent="0.3">
      <c r="AE2115" s="204" t="s">
        <v>398</v>
      </c>
      <c r="AF2115" s="204" t="s">
        <v>398</v>
      </c>
      <c r="AG2115" s="204" t="s">
        <v>398</v>
      </c>
      <c r="AS2115" s="65" t="str">
        <f>IFERROR(VLOOKUP(#REF!,[1]Lookup!$B$2:$E$115,4,FALSE),"")</f>
        <v/>
      </c>
      <c r="AT2115" s="65" t="str">
        <f>IFERROR(VLOOKUP(#REF!,[1]Lookup!$B$2:$E$115,2,FALSE),"")</f>
        <v/>
      </c>
      <c r="AU2115" s="65" t="str">
        <f>IFERROR(VLOOKUP(#REF!,[1]Lookup!$B$2:$E$115,3,FALSE),"")</f>
        <v/>
      </c>
    </row>
    <row r="2116" spans="31:47" x14ac:dyDescent="0.3">
      <c r="AE2116" s="204" t="s">
        <v>398</v>
      </c>
      <c r="AF2116" s="204" t="s">
        <v>398</v>
      </c>
      <c r="AG2116" s="204" t="s">
        <v>398</v>
      </c>
      <c r="AS2116" s="65" t="str">
        <f>IFERROR(VLOOKUP(#REF!,[1]Lookup!$B$2:$E$115,4,FALSE),"")</f>
        <v/>
      </c>
      <c r="AT2116" s="65" t="str">
        <f>IFERROR(VLOOKUP(#REF!,[1]Lookup!$B$2:$E$115,2,FALSE),"")</f>
        <v/>
      </c>
      <c r="AU2116" s="65" t="str">
        <f>IFERROR(VLOOKUP(#REF!,[1]Lookup!$B$2:$E$115,3,FALSE),"")</f>
        <v/>
      </c>
    </row>
    <row r="2117" spans="31:47" x14ac:dyDescent="0.3">
      <c r="AE2117" s="204" t="s">
        <v>398</v>
      </c>
      <c r="AF2117" s="204" t="s">
        <v>398</v>
      </c>
      <c r="AG2117" s="204" t="s">
        <v>398</v>
      </c>
      <c r="AS2117" s="65" t="str">
        <f>IFERROR(VLOOKUP(#REF!,[1]Lookup!$B$2:$E$115,4,FALSE),"")</f>
        <v/>
      </c>
      <c r="AT2117" s="65" t="str">
        <f>IFERROR(VLOOKUP(#REF!,[1]Lookup!$B$2:$E$115,2,FALSE),"")</f>
        <v/>
      </c>
      <c r="AU2117" s="65" t="str">
        <f>IFERROR(VLOOKUP(#REF!,[1]Lookup!$B$2:$E$115,3,FALSE),"")</f>
        <v/>
      </c>
    </row>
    <row r="2118" spans="31:47" x14ac:dyDescent="0.3">
      <c r="AE2118" s="204" t="s">
        <v>398</v>
      </c>
      <c r="AF2118" s="204" t="s">
        <v>398</v>
      </c>
      <c r="AG2118" s="204" t="s">
        <v>398</v>
      </c>
      <c r="AS2118" s="65" t="str">
        <f>IFERROR(VLOOKUP(#REF!,[1]Lookup!$B$2:$E$115,4,FALSE),"")</f>
        <v/>
      </c>
      <c r="AT2118" s="65" t="str">
        <f>IFERROR(VLOOKUP(#REF!,[1]Lookup!$B$2:$E$115,2,FALSE),"")</f>
        <v/>
      </c>
      <c r="AU2118" s="65" t="str">
        <f>IFERROR(VLOOKUP(#REF!,[1]Lookup!$B$2:$E$115,3,FALSE),"")</f>
        <v/>
      </c>
    </row>
    <row r="2119" spans="31:47" x14ac:dyDescent="0.3">
      <c r="AE2119" s="204" t="s">
        <v>398</v>
      </c>
      <c r="AF2119" s="204" t="s">
        <v>398</v>
      </c>
      <c r="AG2119" s="204" t="s">
        <v>398</v>
      </c>
      <c r="AS2119" s="65" t="str">
        <f>IFERROR(VLOOKUP(#REF!,[1]Lookup!$B$2:$E$115,4,FALSE),"")</f>
        <v/>
      </c>
      <c r="AT2119" s="65" t="str">
        <f>IFERROR(VLOOKUP(#REF!,[1]Lookup!$B$2:$E$115,2,FALSE),"")</f>
        <v/>
      </c>
      <c r="AU2119" s="65" t="str">
        <f>IFERROR(VLOOKUP(#REF!,[1]Lookup!$B$2:$E$115,3,FALSE),"")</f>
        <v/>
      </c>
    </row>
    <row r="2120" spans="31:47" x14ac:dyDescent="0.3">
      <c r="AE2120" s="204" t="s">
        <v>398</v>
      </c>
      <c r="AF2120" s="204" t="s">
        <v>398</v>
      </c>
      <c r="AG2120" s="204" t="s">
        <v>398</v>
      </c>
      <c r="AS2120" s="65" t="str">
        <f>IFERROR(VLOOKUP(#REF!,[1]Lookup!$B$2:$E$115,4,FALSE),"")</f>
        <v/>
      </c>
      <c r="AT2120" s="65" t="str">
        <f>IFERROR(VLOOKUP(#REF!,[1]Lookup!$B$2:$E$115,2,FALSE),"")</f>
        <v/>
      </c>
      <c r="AU2120" s="65" t="str">
        <f>IFERROR(VLOOKUP(#REF!,[1]Lookup!$B$2:$E$115,3,FALSE),"")</f>
        <v/>
      </c>
    </row>
    <row r="2121" spans="31:47" x14ac:dyDescent="0.3">
      <c r="AE2121" s="204" t="s">
        <v>398</v>
      </c>
      <c r="AF2121" s="204" t="s">
        <v>398</v>
      </c>
      <c r="AG2121" s="204" t="s">
        <v>398</v>
      </c>
      <c r="AS2121" s="65" t="str">
        <f>IFERROR(VLOOKUP(#REF!,[1]Lookup!$B$2:$E$115,4,FALSE),"")</f>
        <v/>
      </c>
      <c r="AT2121" s="65" t="str">
        <f>IFERROR(VLOOKUP(#REF!,[1]Lookup!$B$2:$E$115,2,FALSE),"")</f>
        <v/>
      </c>
      <c r="AU2121" s="65" t="str">
        <f>IFERROR(VLOOKUP(#REF!,[1]Lookup!$B$2:$E$115,3,FALSE),"")</f>
        <v/>
      </c>
    </row>
    <row r="2122" spans="31:47" x14ac:dyDescent="0.3">
      <c r="AE2122" s="204" t="s">
        <v>398</v>
      </c>
      <c r="AF2122" s="204" t="s">
        <v>398</v>
      </c>
      <c r="AG2122" s="204" t="s">
        <v>398</v>
      </c>
      <c r="AS2122" s="65" t="str">
        <f>IFERROR(VLOOKUP(#REF!,[1]Lookup!$B$2:$E$115,4,FALSE),"")</f>
        <v/>
      </c>
      <c r="AT2122" s="65" t="str">
        <f>IFERROR(VLOOKUP(#REF!,[1]Lookup!$B$2:$E$115,2,FALSE),"")</f>
        <v/>
      </c>
      <c r="AU2122" s="65" t="str">
        <f>IFERROR(VLOOKUP(#REF!,[1]Lookup!$B$2:$E$115,3,FALSE),"")</f>
        <v/>
      </c>
    </row>
    <row r="2123" spans="31:47" x14ac:dyDescent="0.3">
      <c r="AE2123" s="204" t="s">
        <v>398</v>
      </c>
      <c r="AF2123" s="204" t="s">
        <v>398</v>
      </c>
      <c r="AG2123" s="204" t="s">
        <v>398</v>
      </c>
      <c r="AS2123" s="65" t="str">
        <f>IFERROR(VLOOKUP(#REF!,[1]Lookup!$B$2:$E$115,4,FALSE),"")</f>
        <v/>
      </c>
      <c r="AT2123" s="65" t="str">
        <f>IFERROR(VLOOKUP(#REF!,[1]Lookup!$B$2:$E$115,2,FALSE),"")</f>
        <v/>
      </c>
      <c r="AU2123" s="65" t="str">
        <f>IFERROR(VLOOKUP(#REF!,[1]Lookup!$B$2:$E$115,3,FALSE),"")</f>
        <v/>
      </c>
    </row>
    <row r="2124" spans="31:47" x14ac:dyDescent="0.3">
      <c r="AE2124" s="204" t="s">
        <v>398</v>
      </c>
      <c r="AF2124" s="204" t="s">
        <v>398</v>
      </c>
      <c r="AG2124" s="204" t="s">
        <v>398</v>
      </c>
      <c r="AS2124" s="65" t="str">
        <f>IFERROR(VLOOKUP(#REF!,[1]Lookup!$B$2:$E$115,4,FALSE),"")</f>
        <v/>
      </c>
      <c r="AT2124" s="65" t="str">
        <f>IFERROR(VLOOKUP(#REF!,[1]Lookup!$B$2:$E$115,2,FALSE),"")</f>
        <v/>
      </c>
      <c r="AU2124" s="65" t="str">
        <f>IFERROR(VLOOKUP(#REF!,[1]Lookup!$B$2:$E$115,3,FALSE),"")</f>
        <v/>
      </c>
    </row>
    <row r="2125" spans="31:47" x14ac:dyDescent="0.3">
      <c r="AE2125" s="204" t="s">
        <v>398</v>
      </c>
      <c r="AF2125" s="204" t="s">
        <v>398</v>
      </c>
      <c r="AG2125" s="204" t="s">
        <v>398</v>
      </c>
      <c r="AS2125" s="65" t="str">
        <f>IFERROR(VLOOKUP(#REF!,[1]Lookup!$B$2:$E$115,4,FALSE),"")</f>
        <v/>
      </c>
      <c r="AT2125" s="65" t="str">
        <f>IFERROR(VLOOKUP(#REF!,[1]Lookup!$B$2:$E$115,2,FALSE),"")</f>
        <v/>
      </c>
      <c r="AU2125" s="65" t="str">
        <f>IFERROR(VLOOKUP(#REF!,[1]Lookup!$B$2:$E$115,3,FALSE),"")</f>
        <v/>
      </c>
    </row>
    <row r="2126" spans="31:47" x14ac:dyDescent="0.3">
      <c r="AE2126" s="204" t="s">
        <v>398</v>
      </c>
      <c r="AF2126" s="204" t="s">
        <v>398</v>
      </c>
      <c r="AG2126" s="204" t="s">
        <v>398</v>
      </c>
      <c r="AS2126" s="65" t="str">
        <f>IFERROR(VLOOKUP(#REF!,[1]Lookup!$B$2:$E$115,4,FALSE),"")</f>
        <v/>
      </c>
      <c r="AT2126" s="65" t="str">
        <f>IFERROR(VLOOKUP(#REF!,[1]Lookup!$B$2:$E$115,2,FALSE),"")</f>
        <v/>
      </c>
      <c r="AU2126" s="65" t="str">
        <f>IFERROR(VLOOKUP(#REF!,[1]Lookup!$B$2:$E$115,3,FALSE),"")</f>
        <v/>
      </c>
    </row>
    <row r="2127" spans="31:47" x14ac:dyDescent="0.3">
      <c r="AE2127" s="204" t="s">
        <v>398</v>
      </c>
      <c r="AF2127" s="204" t="s">
        <v>398</v>
      </c>
      <c r="AG2127" s="204" t="s">
        <v>398</v>
      </c>
      <c r="AS2127" s="65" t="str">
        <f>IFERROR(VLOOKUP(#REF!,[1]Lookup!$B$2:$E$115,4,FALSE),"")</f>
        <v/>
      </c>
      <c r="AT2127" s="65" t="str">
        <f>IFERROR(VLOOKUP(#REF!,[1]Lookup!$B$2:$E$115,2,FALSE),"")</f>
        <v/>
      </c>
      <c r="AU2127" s="65" t="str">
        <f>IFERROR(VLOOKUP(#REF!,[1]Lookup!$B$2:$E$115,3,FALSE),"")</f>
        <v/>
      </c>
    </row>
    <row r="2128" spans="31:47" x14ac:dyDescent="0.3">
      <c r="AE2128" s="204" t="s">
        <v>398</v>
      </c>
      <c r="AF2128" s="204" t="s">
        <v>398</v>
      </c>
      <c r="AG2128" s="204" t="s">
        <v>398</v>
      </c>
      <c r="AS2128" s="65" t="str">
        <f>IFERROR(VLOOKUP(#REF!,[1]Lookup!$B$2:$E$115,4,FALSE),"")</f>
        <v/>
      </c>
      <c r="AT2128" s="65" t="str">
        <f>IFERROR(VLOOKUP(#REF!,[1]Lookup!$B$2:$E$115,2,FALSE),"")</f>
        <v/>
      </c>
      <c r="AU2128" s="65" t="str">
        <f>IFERROR(VLOOKUP(#REF!,[1]Lookup!$B$2:$E$115,3,FALSE),"")</f>
        <v/>
      </c>
    </row>
    <row r="2129" spans="31:47" x14ac:dyDescent="0.3">
      <c r="AE2129" s="204" t="s">
        <v>398</v>
      </c>
      <c r="AF2129" s="204" t="s">
        <v>398</v>
      </c>
      <c r="AG2129" s="204" t="s">
        <v>398</v>
      </c>
      <c r="AS2129" s="65" t="str">
        <f>IFERROR(VLOOKUP(#REF!,[1]Lookup!$B$2:$E$115,4,FALSE),"")</f>
        <v/>
      </c>
      <c r="AT2129" s="65" t="str">
        <f>IFERROR(VLOOKUP(#REF!,[1]Lookup!$B$2:$E$115,2,FALSE),"")</f>
        <v/>
      </c>
      <c r="AU2129" s="65" t="str">
        <f>IFERROR(VLOOKUP(#REF!,[1]Lookup!$B$2:$E$115,3,FALSE),"")</f>
        <v/>
      </c>
    </row>
    <row r="2130" spans="31:47" x14ac:dyDescent="0.3">
      <c r="AE2130" s="204" t="s">
        <v>398</v>
      </c>
      <c r="AF2130" s="204" t="s">
        <v>398</v>
      </c>
      <c r="AG2130" s="204" t="s">
        <v>398</v>
      </c>
      <c r="AS2130" s="65" t="str">
        <f>IFERROR(VLOOKUP(#REF!,[1]Lookup!$B$2:$E$115,4,FALSE),"")</f>
        <v/>
      </c>
      <c r="AT2130" s="65" t="str">
        <f>IFERROR(VLOOKUP(#REF!,[1]Lookup!$B$2:$E$115,2,FALSE),"")</f>
        <v/>
      </c>
      <c r="AU2130" s="65" t="str">
        <f>IFERROR(VLOOKUP(#REF!,[1]Lookup!$B$2:$E$115,3,FALSE),"")</f>
        <v/>
      </c>
    </row>
    <row r="2131" spans="31:47" x14ac:dyDescent="0.3">
      <c r="AE2131" s="204" t="s">
        <v>398</v>
      </c>
      <c r="AF2131" s="204" t="s">
        <v>398</v>
      </c>
      <c r="AG2131" s="204" t="s">
        <v>398</v>
      </c>
      <c r="AS2131" s="65" t="str">
        <f>IFERROR(VLOOKUP(#REF!,[1]Lookup!$B$2:$E$115,4,FALSE),"")</f>
        <v/>
      </c>
      <c r="AT2131" s="65" t="str">
        <f>IFERROR(VLOOKUP(#REF!,[1]Lookup!$B$2:$E$115,2,FALSE),"")</f>
        <v/>
      </c>
      <c r="AU2131" s="65" t="str">
        <f>IFERROR(VLOOKUP(#REF!,[1]Lookup!$B$2:$E$115,3,FALSE),"")</f>
        <v/>
      </c>
    </row>
    <row r="2132" spans="31:47" x14ac:dyDescent="0.3">
      <c r="AE2132" s="204" t="s">
        <v>398</v>
      </c>
      <c r="AF2132" s="204" t="s">
        <v>398</v>
      </c>
      <c r="AG2132" s="204" t="s">
        <v>398</v>
      </c>
      <c r="AS2132" s="65" t="str">
        <f>IFERROR(VLOOKUP(#REF!,[1]Lookup!$B$2:$E$115,4,FALSE),"")</f>
        <v/>
      </c>
      <c r="AT2132" s="65" t="str">
        <f>IFERROR(VLOOKUP(#REF!,[1]Lookup!$B$2:$E$115,2,FALSE),"")</f>
        <v/>
      </c>
      <c r="AU2132" s="65" t="str">
        <f>IFERROR(VLOOKUP(#REF!,[1]Lookup!$B$2:$E$115,3,FALSE),"")</f>
        <v/>
      </c>
    </row>
    <row r="2133" spans="31:47" x14ac:dyDescent="0.3">
      <c r="AE2133" s="204" t="s">
        <v>398</v>
      </c>
      <c r="AF2133" s="204" t="s">
        <v>398</v>
      </c>
      <c r="AG2133" s="204" t="s">
        <v>398</v>
      </c>
      <c r="AS2133" s="65" t="str">
        <f>IFERROR(VLOOKUP(#REF!,[1]Lookup!$B$2:$E$115,4,FALSE),"")</f>
        <v/>
      </c>
      <c r="AT2133" s="65" t="str">
        <f>IFERROR(VLOOKUP(#REF!,[1]Lookup!$B$2:$E$115,2,FALSE),"")</f>
        <v/>
      </c>
      <c r="AU2133" s="65" t="str">
        <f>IFERROR(VLOOKUP(#REF!,[1]Lookup!$B$2:$E$115,3,FALSE),"")</f>
        <v/>
      </c>
    </row>
    <row r="2134" spans="31:47" x14ac:dyDescent="0.3">
      <c r="AE2134" s="204" t="s">
        <v>398</v>
      </c>
      <c r="AF2134" s="204" t="s">
        <v>398</v>
      </c>
      <c r="AG2134" s="204" t="s">
        <v>398</v>
      </c>
      <c r="AS2134" s="65" t="str">
        <f>IFERROR(VLOOKUP(#REF!,[1]Lookup!$B$2:$E$115,4,FALSE),"")</f>
        <v/>
      </c>
      <c r="AT2134" s="65" t="str">
        <f>IFERROR(VLOOKUP(#REF!,[1]Lookup!$B$2:$E$115,2,FALSE),"")</f>
        <v/>
      </c>
      <c r="AU2134" s="65" t="str">
        <f>IFERROR(VLOOKUP(#REF!,[1]Lookup!$B$2:$E$115,3,FALSE),"")</f>
        <v/>
      </c>
    </row>
    <row r="2135" spans="31:47" x14ac:dyDescent="0.3">
      <c r="AE2135" s="204" t="s">
        <v>398</v>
      </c>
      <c r="AF2135" s="204" t="s">
        <v>398</v>
      </c>
      <c r="AG2135" s="204" t="s">
        <v>398</v>
      </c>
      <c r="AS2135" s="65" t="str">
        <f>IFERROR(VLOOKUP(#REF!,[1]Lookup!$B$2:$E$115,4,FALSE),"")</f>
        <v/>
      </c>
      <c r="AT2135" s="65" t="str">
        <f>IFERROR(VLOOKUP(#REF!,[1]Lookup!$B$2:$E$115,2,FALSE),"")</f>
        <v/>
      </c>
      <c r="AU2135" s="65" t="str">
        <f>IFERROR(VLOOKUP(#REF!,[1]Lookup!$B$2:$E$115,3,FALSE),"")</f>
        <v/>
      </c>
    </row>
    <row r="2136" spans="31:47" x14ac:dyDescent="0.3">
      <c r="AE2136" s="204" t="s">
        <v>398</v>
      </c>
      <c r="AF2136" s="204" t="s">
        <v>398</v>
      </c>
      <c r="AG2136" s="204" t="s">
        <v>398</v>
      </c>
      <c r="AS2136" s="65" t="str">
        <f>IFERROR(VLOOKUP(#REF!,[1]Lookup!$B$2:$E$115,4,FALSE),"")</f>
        <v/>
      </c>
      <c r="AT2136" s="65" t="str">
        <f>IFERROR(VLOOKUP(#REF!,[1]Lookup!$B$2:$E$115,2,FALSE),"")</f>
        <v/>
      </c>
      <c r="AU2136" s="65" t="str">
        <f>IFERROR(VLOOKUP(#REF!,[1]Lookup!$B$2:$E$115,3,FALSE),"")</f>
        <v/>
      </c>
    </row>
    <row r="2137" spans="31:47" x14ac:dyDescent="0.3">
      <c r="AE2137" s="204" t="s">
        <v>398</v>
      </c>
      <c r="AF2137" s="204" t="s">
        <v>398</v>
      </c>
      <c r="AG2137" s="204" t="s">
        <v>398</v>
      </c>
      <c r="AS2137" s="65" t="str">
        <f>IFERROR(VLOOKUP(#REF!,[1]Lookup!$B$2:$E$115,4,FALSE),"")</f>
        <v/>
      </c>
      <c r="AT2137" s="65" t="str">
        <f>IFERROR(VLOOKUP(#REF!,[1]Lookup!$B$2:$E$115,2,FALSE),"")</f>
        <v/>
      </c>
      <c r="AU2137" s="65" t="str">
        <f>IFERROR(VLOOKUP(#REF!,[1]Lookup!$B$2:$E$115,3,FALSE),"")</f>
        <v/>
      </c>
    </row>
    <row r="2138" spans="31:47" x14ac:dyDescent="0.3">
      <c r="AE2138" s="204" t="s">
        <v>398</v>
      </c>
      <c r="AF2138" s="204" t="s">
        <v>398</v>
      </c>
      <c r="AG2138" s="204" t="s">
        <v>398</v>
      </c>
      <c r="AS2138" s="65" t="str">
        <f>IFERROR(VLOOKUP(#REF!,[1]Lookup!$B$2:$E$115,4,FALSE),"")</f>
        <v/>
      </c>
      <c r="AT2138" s="65" t="str">
        <f>IFERROR(VLOOKUP(#REF!,[1]Lookup!$B$2:$E$115,2,FALSE),"")</f>
        <v/>
      </c>
      <c r="AU2138" s="65" t="str">
        <f>IFERROR(VLOOKUP(#REF!,[1]Lookup!$B$2:$E$115,3,FALSE),"")</f>
        <v/>
      </c>
    </row>
    <row r="2139" spans="31:47" x14ac:dyDescent="0.3">
      <c r="AE2139" s="204" t="s">
        <v>398</v>
      </c>
      <c r="AF2139" s="204" t="s">
        <v>398</v>
      </c>
      <c r="AG2139" s="204" t="s">
        <v>398</v>
      </c>
      <c r="AS2139" s="65" t="str">
        <f>IFERROR(VLOOKUP(#REF!,[1]Lookup!$B$2:$E$115,4,FALSE),"")</f>
        <v/>
      </c>
      <c r="AT2139" s="65" t="str">
        <f>IFERROR(VLOOKUP(#REF!,[1]Lookup!$B$2:$E$115,2,FALSE),"")</f>
        <v/>
      </c>
      <c r="AU2139" s="65" t="str">
        <f>IFERROR(VLOOKUP(#REF!,[1]Lookup!$B$2:$E$115,3,FALSE),"")</f>
        <v/>
      </c>
    </row>
    <row r="2140" spans="31:47" x14ac:dyDescent="0.3">
      <c r="AE2140" s="204" t="s">
        <v>398</v>
      </c>
      <c r="AF2140" s="204" t="s">
        <v>398</v>
      </c>
      <c r="AG2140" s="204" t="s">
        <v>398</v>
      </c>
      <c r="AS2140" s="65" t="str">
        <f>IFERROR(VLOOKUP(#REF!,[1]Lookup!$B$2:$E$115,4,FALSE),"")</f>
        <v/>
      </c>
      <c r="AT2140" s="65" t="str">
        <f>IFERROR(VLOOKUP(#REF!,[1]Lookup!$B$2:$E$115,2,FALSE),"")</f>
        <v/>
      </c>
      <c r="AU2140" s="65" t="str">
        <f>IFERROR(VLOOKUP(#REF!,[1]Lookup!$B$2:$E$115,3,FALSE),"")</f>
        <v/>
      </c>
    </row>
    <row r="2141" spans="31:47" x14ac:dyDescent="0.3">
      <c r="AE2141" s="204" t="s">
        <v>398</v>
      </c>
      <c r="AF2141" s="204" t="s">
        <v>398</v>
      </c>
      <c r="AG2141" s="204" t="s">
        <v>398</v>
      </c>
      <c r="AS2141" s="65" t="str">
        <f>IFERROR(VLOOKUP(#REF!,[1]Lookup!$B$2:$E$115,4,FALSE),"")</f>
        <v/>
      </c>
      <c r="AT2141" s="65" t="str">
        <f>IFERROR(VLOOKUP(#REF!,[1]Lookup!$B$2:$E$115,2,FALSE),"")</f>
        <v/>
      </c>
      <c r="AU2141" s="65" t="str">
        <f>IFERROR(VLOOKUP(#REF!,[1]Lookup!$B$2:$E$115,3,FALSE),"")</f>
        <v/>
      </c>
    </row>
    <row r="2142" spans="31:47" x14ac:dyDescent="0.3">
      <c r="AE2142" s="204" t="s">
        <v>398</v>
      </c>
      <c r="AF2142" s="204" t="s">
        <v>398</v>
      </c>
      <c r="AG2142" s="204" t="s">
        <v>398</v>
      </c>
      <c r="AS2142" s="65" t="str">
        <f>IFERROR(VLOOKUP(#REF!,[1]Lookup!$B$2:$E$115,4,FALSE),"")</f>
        <v/>
      </c>
      <c r="AT2142" s="65" t="str">
        <f>IFERROR(VLOOKUP(#REF!,[1]Lookup!$B$2:$E$115,2,FALSE),"")</f>
        <v/>
      </c>
      <c r="AU2142" s="65" t="str">
        <f>IFERROR(VLOOKUP(#REF!,[1]Lookup!$B$2:$E$115,3,FALSE),"")</f>
        <v/>
      </c>
    </row>
    <row r="2143" spans="31:47" x14ac:dyDescent="0.3">
      <c r="AE2143" s="204" t="s">
        <v>398</v>
      </c>
      <c r="AF2143" s="204" t="s">
        <v>398</v>
      </c>
      <c r="AG2143" s="204" t="s">
        <v>398</v>
      </c>
      <c r="AS2143" s="65" t="str">
        <f>IFERROR(VLOOKUP(#REF!,[1]Lookup!$B$2:$E$115,4,FALSE),"")</f>
        <v/>
      </c>
      <c r="AT2143" s="65" t="str">
        <f>IFERROR(VLOOKUP(#REF!,[1]Lookup!$B$2:$E$115,2,FALSE),"")</f>
        <v/>
      </c>
      <c r="AU2143" s="65" t="str">
        <f>IFERROR(VLOOKUP(#REF!,[1]Lookup!$B$2:$E$115,3,FALSE),"")</f>
        <v/>
      </c>
    </row>
    <row r="2144" spans="31:47" x14ac:dyDescent="0.3">
      <c r="AE2144" s="204" t="s">
        <v>398</v>
      </c>
      <c r="AF2144" s="204" t="s">
        <v>398</v>
      </c>
      <c r="AG2144" s="204" t="s">
        <v>398</v>
      </c>
      <c r="AS2144" s="65" t="str">
        <f>IFERROR(VLOOKUP(#REF!,[1]Lookup!$B$2:$E$115,4,FALSE),"")</f>
        <v/>
      </c>
      <c r="AT2144" s="65" t="str">
        <f>IFERROR(VLOOKUP(#REF!,[1]Lookup!$B$2:$E$115,2,FALSE),"")</f>
        <v/>
      </c>
      <c r="AU2144" s="65" t="str">
        <f>IFERROR(VLOOKUP(#REF!,[1]Lookup!$B$2:$E$115,3,FALSE),"")</f>
        <v/>
      </c>
    </row>
    <row r="2145" spans="31:47" x14ac:dyDescent="0.3">
      <c r="AE2145" s="204" t="s">
        <v>398</v>
      </c>
      <c r="AF2145" s="204" t="s">
        <v>398</v>
      </c>
      <c r="AG2145" s="204" t="s">
        <v>398</v>
      </c>
      <c r="AS2145" s="65" t="str">
        <f>IFERROR(VLOOKUP(#REF!,[1]Lookup!$B$2:$E$115,4,FALSE),"")</f>
        <v/>
      </c>
      <c r="AT2145" s="65" t="str">
        <f>IFERROR(VLOOKUP(#REF!,[1]Lookup!$B$2:$E$115,2,FALSE),"")</f>
        <v/>
      </c>
      <c r="AU2145" s="65" t="str">
        <f>IFERROR(VLOOKUP(#REF!,[1]Lookup!$B$2:$E$115,3,FALSE),"")</f>
        <v/>
      </c>
    </row>
    <row r="2146" spans="31:47" x14ac:dyDescent="0.3">
      <c r="AE2146" s="204" t="s">
        <v>398</v>
      </c>
      <c r="AF2146" s="204" t="s">
        <v>398</v>
      </c>
      <c r="AG2146" s="204" t="s">
        <v>398</v>
      </c>
      <c r="AS2146" s="65" t="str">
        <f>IFERROR(VLOOKUP(#REF!,[1]Lookup!$B$2:$E$115,4,FALSE),"")</f>
        <v/>
      </c>
      <c r="AT2146" s="65" t="str">
        <f>IFERROR(VLOOKUP(#REF!,[1]Lookup!$B$2:$E$115,2,FALSE),"")</f>
        <v/>
      </c>
      <c r="AU2146" s="65" t="str">
        <f>IFERROR(VLOOKUP(#REF!,[1]Lookup!$B$2:$E$115,3,FALSE),"")</f>
        <v/>
      </c>
    </row>
    <row r="2147" spans="31:47" x14ac:dyDescent="0.3">
      <c r="AE2147" s="204" t="s">
        <v>398</v>
      </c>
      <c r="AF2147" s="204" t="s">
        <v>398</v>
      </c>
      <c r="AG2147" s="204" t="s">
        <v>398</v>
      </c>
      <c r="AS2147" s="65" t="str">
        <f>IFERROR(VLOOKUP(#REF!,[1]Lookup!$B$2:$E$115,4,FALSE),"")</f>
        <v/>
      </c>
      <c r="AT2147" s="65" t="str">
        <f>IFERROR(VLOOKUP(#REF!,[1]Lookup!$B$2:$E$115,2,FALSE),"")</f>
        <v/>
      </c>
      <c r="AU2147" s="65" t="str">
        <f>IFERROR(VLOOKUP(#REF!,[1]Lookup!$B$2:$E$115,3,FALSE),"")</f>
        <v/>
      </c>
    </row>
    <row r="2148" spans="31:47" x14ac:dyDescent="0.3">
      <c r="AE2148" s="204" t="s">
        <v>398</v>
      </c>
      <c r="AF2148" s="204" t="s">
        <v>398</v>
      </c>
      <c r="AG2148" s="204" t="s">
        <v>398</v>
      </c>
      <c r="AS2148" s="65" t="str">
        <f>IFERROR(VLOOKUP(#REF!,[1]Lookup!$B$2:$E$115,4,FALSE),"")</f>
        <v/>
      </c>
      <c r="AT2148" s="65" t="str">
        <f>IFERROR(VLOOKUP(#REF!,[1]Lookup!$B$2:$E$115,2,FALSE),"")</f>
        <v/>
      </c>
      <c r="AU2148" s="65" t="str">
        <f>IFERROR(VLOOKUP(#REF!,[1]Lookup!$B$2:$E$115,3,FALSE),"")</f>
        <v/>
      </c>
    </row>
    <row r="2149" spans="31:47" x14ac:dyDescent="0.3">
      <c r="AE2149" s="204" t="s">
        <v>398</v>
      </c>
      <c r="AF2149" s="204" t="s">
        <v>398</v>
      </c>
      <c r="AG2149" s="204" t="s">
        <v>398</v>
      </c>
      <c r="AS2149" s="65" t="str">
        <f>IFERROR(VLOOKUP(#REF!,[1]Lookup!$B$2:$E$115,4,FALSE),"")</f>
        <v/>
      </c>
      <c r="AT2149" s="65" t="str">
        <f>IFERROR(VLOOKUP(#REF!,[1]Lookup!$B$2:$E$115,2,FALSE),"")</f>
        <v/>
      </c>
      <c r="AU2149" s="65" t="str">
        <f>IFERROR(VLOOKUP(#REF!,[1]Lookup!$B$2:$E$115,3,FALSE),"")</f>
        <v/>
      </c>
    </row>
    <row r="2150" spans="31:47" x14ac:dyDescent="0.3">
      <c r="AE2150" s="204" t="s">
        <v>398</v>
      </c>
      <c r="AF2150" s="204" t="s">
        <v>398</v>
      </c>
      <c r="AG2150" s="204" t="s">
        <v>398</v>
      </c>
      <c r="AS2150" s="65" t="str">
        <f>IFERROR(VLOOKUP(#REF!,[1]Lookup!$B$2:$E$115,4,FALSE),"")</f>
        <v/>
      </c>
      <c r="AT2150" s="65" t="str">
        <f>IFERROR(VLOOKUP(#REF!,[1]Lookup!$B$2:$E$115,2,FALSE),"")</f>
        <v/>
      </c>
      <c r="AU2150" s="65" t="str">
        <f>IFERROR(VLOOKUP(#REF!,[1]Lookup!$B$2:$E$115,3,FALSE),"")</f>
        <v/>
      </c>
    </row>
    <row r="2151" spans="31:47" x14ac:dyDescent="0.3">
      <c r="AE2151" s="204" t="s">
        <v>398</v>
      </c>
      <c r="AF2151" s="204" t="s">
        <v>398</v>
      </c>
      <c r="AG2151" s="204" t="s">
        <v>398</v>
      </c>
      <c r="AS2151" s="65" t="str">
        <f>IFERROR(VLOOKUP(#REF!,[1]Lookup!$B$2:$E$115,4,FALSE),"")</f>
        <v/>
      </c>
      <c r="AT2151" s="65" t="str">
        <f>IFERROR(VLOOKUP(#REF!,[1]Lookup!$B$2:$E$115,2,FALSE),"")</f>
        <v/>
      </c>
      <c r="AU2151" s="65" t="str">
        <f>IFERROR(VLOOKUP(#REF!,[1]Lookup!$B$2:$E$115,3,FALSE),"")</f>
        <v/>
      </c>
    </row>
    <row r="2152" spans="31:47" x14ac:dyDescent="0.3">
      <c r="AE2152" s="204" t="s">
        <v>398</v>
      </c>
      <c r="AF2152" s="204" t="s">
        <v>398</v>
      </c>
      <c r="AG2152" s="204" t="s">
        <v>398</v>
      </c>
      <c r="AS2152" s="65" t="str">
        <f>IFERROR(VLOOKUP(#REF!,[1]Lookup!$B$2:$E$115,4,FALSE),"")</f>
        <v/>
      </c>
      <c r="AT2152" s="65" t="str">
        <f>IFERROR(VLOOKUP(#REF!,[1]Lookup!$B$2:$E$115,2,FALSE),"")</f>
        <v/>
      </c>
      <c r="AU2152" s="65" t="str">
        <f>IFERROR(VLOOKUP(#REF!,[1]Lookup!$B$2:$E$115,3,FALSE),"")</f>
        <v/>
      </c>
    </row>
    <row r="2153" spans="31:47" x14ac:dyDescent="0.3">
      <c r="AE2153" s="204" t="s">
        <v>398</v>
      </c>
      <c r="AF2153" s="204" t="s">
        <v>398</v>
      </c>
      <c r="AG2153" s="204" t="s">
        <v>398</v>
      </c>
      <c r="AS2153" s="65" t="str">
        <f>IFERROR(VLOOKUP(#REF!,[1]Lookup!$B$2:$E$115,4,FALSE),"")</f>
        <v/>
      </c>
      <c r="AT2153" s="65" t="str">
        <f>IFERROR(VLOOKUP(#REF!,[1]Lookup!$B$2:$E$115,2,FALSE),"")</f>
        <v/>
      </c>
      <c r="AU2153" s="65" t="str">
        <f>IFERROR(VLOOKUP(#REF!,[1]Lookup!$B$2:$E$115,3,FALSE),"")</f>
        <v/>
      </c>
    </row>
    <row r="2154" spans="31:47" x14ac:dyDescent="0.3">
      <c r="AE2154" s="204" t="s">
        <v>398</v>
      </c>
      <c r="AF2154" s="204" t="s">
        <v>398</v>
      </c>
      <c r="AG2154" s="204" t="s">
        <v>398</v>
      </c>
      <c r="AS2154" s="65" t="str">
        <f>IFERROR(VLOOKUP(#REF!,[1]Lookup!$B$2:$E$115,4,FALSE),"")</f>
        <v/>
      </c>
      <c r="AT2154" s="65" t="str">
        <f>IFERROR(VLOOKUP(#REF!,[1]Lookup!$B$2:$E$115,2,FALSE),"")</f>
        <v/>
      </c>
      <c r="AU2154" s="65" t="str">
        <f>IFERROR(VLOOKUP(#REF!,[1]Lookup!$B$2:$E$115,3,FALSE),"")</f>
        <v/>
      </c>
    </row>
    <row r="2155" spans="31:47" x14ac:dyDescent="0.3">
      <c r="AE2155" s="204" t="s">
        <v>398</v>
      </c>
      <c r="AF2155" s="204" t="s">
        <v>398</v>
      </c>
      <c r="AG2155" s="204" t="s">
        <v>398</v>
      </c>
      <c r="AS2155" s="65" t="str">
        <f>IFERROR(VLOOKUP(#REF!,[1]Lookup!$B$2:$E$115,4,FALSE),"")</f>
        <v/>
      </c>
      <c r="AT2155" s="65" t="str">
        <f>IFERROR(VLOOKUP(#REF!,[1]Lookup!$B$2:$E$115,2,FALSE),"")</f>
        <v/>
      </c>
      <c r="AU2155" s="65" t="str">
        <f>IFERROR(VLOOKUP(#REF!,[1]Lookup!$B$2:$E$115,3,FALSE),"")</f>
        <v/>
      </c>
    </row>
    <row r="2156" spans="31:47" x14ac:dyDescent="0.3">
      <c r="AE2156" s="204" t="s">
        <v>398</v>
      </c>
      <c r="AF2156" s="204" t="s">
        <v>398</v>
      </c>
      <c r="AG2156" s="204" t="s">
        <v>398</v>
      </c>
      <c r="AS2156" s="65" t="str">
        <f>IFERROR(VLOOKUP(#REF!,[1]Lookup!$B$2:$E$115,4,FALSE),"")</f>
        <v/>
      </c>
      <c r="AT2156" s="65" t="str">
        <f>IFERROR(VLOOKUP(#REF!,[1]Lookup!$B$2:$E$115,2,FALSE),"")</f>
        <v/>
      </c>
      <c r="AU2156" s="65" t="str">
        <f>IFERROR(VLOOKUP(#REF!,[1]Lookup!$B$2:$E$115,3,FALSE),"")</f>
        <v/>
      </c>
    </row>
    <row r="2157" spans="31:47" x14ac:dyDescent="0.3">
      <c r="AE2157" s="204" t="s">
        <v>398</v>
      </c>
      <c r="AF2157" s="204" t="s">
        <v>398</v>
      </c>
      <c r="AG2157" s="204" t="s">
        <v>398</v>
      </c>
      <c r="AS2157" s="65" t="str">
        <f>IFERROR(VLOOKUP(#REF!,[1]Lookup!$B$2:$E$115,4,FALSE),"")</f>
        <v/>
      </c>
      <c r="AT2157" s="65" t="str">
        <f>IFERROR(VLOOKUP(#REF!,[1]Lookup!$B$2:$E$115,2,FALSE),"")</f>
        <v/>
      </c>
      <c r="AU2157" s="65" t="str">
        <f>IFERROR(VLOOKUP(#REF!,[1]Lookup!$B$2:$E$115,3,FALSE),"")</f>
        <v/>
      </c>
    </row>
    <row r="2158" spans="31:47" x14ac:dyDescent="0.3">
      <c r="AE2158" s="204" t="s">
        <v>398</v>
      </c>
      <c r="AF2158" s="204" t="s">
        <v>398</v>
      </c>
      <c r="AG2158" s="204" t="s">
        <v>398</v>
      </c>
      <c r="AS2158" s="65" t="str">
        <f>IFERROR(VLOOKUP(#REF!,[1]Lookup!$B$2:$E$115,4,FALSE),"")</f>
        <v/>
      </c>
      <c r="AT2158" s="65" t="str">
        <f>IFERROR(VLOOKUP(#REF!,[1]Lookup!$B$2:$E$115,2,FALSE),"")</f>
        <v/>
      </c>
      <c r="AU2158" s="65" t="str">
        <f>IFERROR(VLOOKUP(#REF!,[1]Lookup!$B$2:$E$115,3,FALSE),"")</f>
        <v/>
      </c>
    </row>
    <row r="2159" spans="31:47" x14ac:dyDescent="0.3">
      <c r="AE2159" s="204" t="s">
        <v>398</v>
      </c>
      <c r="AF2159" s="204" t="s">
        <v>398</v>
      </c>
      <c r="AG2159" s="204" t="s">
        <v>398</v>
      </c>
      <c r="AS2159" s="65" t="str">
        <f>IFERROR(VLOOKUP(#REF!,[1]Lookup!$B$2:$E$115,4,FALSE),"")</f>
        <v/>
      </c>
      <c r="AT2159" s="65" t="str">
        <f>IFERROR(VLOOKUP(#REF!,[1]Lookup!$B$2:$E$115,2,FALSE),"")</f>
        <v/>
      </c>
      <c r="AU2159" s="65" t="str">
        <f>IFERROR(VLOOKUP(#REF!,[1]Lookup!$B$2:$E$115,3,FALSE),"")</f>
        <v/>
      </c>
    </row>
    <row r="2160" spans="31:47" x14ac:dyDescent="0.3">
      <c r="AE2160" s="204" t="s">
        <v>398</v>
      </c>
      <c r="AF2160" s="204" t="s">
        <v>398</v>
      </c>
      <c r="AG2160" s="204" t="s">
        <v>398</v>
      </c>
      <c r="AS2160" s="65" t="str">
        <f>IFERROR(VLOOKUP(#REF!,[1]Lookup!$B$2:$E$115,4,FALSE),"")</f>
        <v/>
      </c>
      <c r="AT2160" s="65" t="str">
        <f>IFERROR(VLOOKUP(#REF!,[1]Lookup!$B$2:$E$115,2,FALSE),"")</f>
        <v/>
      </c>
      <c r="AU2160" s="65" t="str">
        <f>IFERROR(VLOOKUP(#REF!,[1]Lookup!$B$2:$E$115,3,FALSE),"")</f>
        <v/>
      </c>
    </row>
    <row r="2161" spans="31:47" x14ac:dyDescent="0.3">
      <c r="AE2161" s="204" t="s">
        <v>398</v>
      </c>
      <c r="AF2161" s="204" t="s">
        <v>398</v>
      </c>
      <c r="AG2161" s="204" t="s">
        <v>398</v>
      </c>
      <c r="AS2161" s="65" t="str">
        <f>IFERROR(VLOOKUP(#REF!,[1]Lookup!$B$2:$E$115,4,FALSE),"")</f>
        <v/>
      </c>
      <c r="AT2161" s="65" t="str">
        <f>IFERROR(VLOOKUP(#REF!,[1]Lookup!$B$2:$E$115,2,FALSE),"")</f>
        <v/>
      </c>
      <c r="AU2161" s="65" t="str">
        <f>IFERROR(VLOOKUP(#REF!,[1]Lookup!$B$2:$E$115,3,FALSE),"")</f>
        <v/>
      </c>
    </row>
    <row r="2162" spans="31:47" x14ac:dyDescent="0.3">
      <c r="AE2162" s="204" t="s">
        <v>398</v>
      </c>
      <c r="AF2162" s="204" t="s">
        <v>398</v>
      </c>
      <c r="AG2162" s="204" t="s">
        <v>398</v>
      </c>
      <c r="AS2162" s="65" t="str">
        <f>IFERROR(VLOOKUP(#REF!,[1]Lookup!$B$2:$E$115,4,FALSE),"")</f>
        <v/>
      </c>
      <c r="AT2162" s="65" t="str">
        <f>IFERROR(VLOOKUP(#REF!,[1]Lookup!$B$2:$E$115,2,FALSE),"")</f>
        <v/>
      </c>
      <c r="AU2162" s="65" t="str">
        <f>IFERROR(VLOOKUP(#REF!,[1]Lookup!$B$2:$E$115,3,FALSE),"")</f>
        <v/>
      </c>
    </row>
    <row r="2163" spans="31:47" x14ac:dyDescent="0.3">
      <c r="AE2163" s="204" t="s">
        <v>398</v>
      </c>
      <c r="AF2163" s="204" t="s">
        <v>398</v>
      </c>
      <c r="AG2163" s="204" t="s">
        <v>398</v>
      </c>
      <c r="AS2163" s="65" t="str">
        <f>IFERROR(VLOOKUP(#REF!,[1]Lookup!$B$2:$E$115,4,FALSE),"")</f>
        <v/>
      </c>
      <c r="AT2163" s="65" t="str">
        <f>IFERROR(VLOOKUP(#REF!,[1]Lookup!$B$2:$E$115,2,FALSE),"")</f>
        <v/>
      </c>
      <c r="AU2163" s="65" t="str">
        <f>IFERROR(VLOOKUP(#REF!,[1]Lookup!$B$2:$E$115,3,FALSE),"")</f>
        <v/>
      </c>
    </row>
    <row r="2164" spans="31:47" x14ac:dyDescent="0.3">
      <c r="AE2164" s="204" t="s">
        <v>398</v>
      </c>
      <c r="AF2164" s="204" t="s">
        <v>398</v>
      </c>
      <c r="AG2164" s="204" t="s">
        <v>398</v>
      </c>
      <c r="AS2164" s="65" t="str">
        <f>IFERROR(VLOOKUP(#REF!,[1]Lookup!$B$2:$E$115,4,FALSE),"")</f>
        <v/>
      </c>
      <c r="AT2164" s="65" t="str">
        <f>IFERROR(VLOOKUP(#REF!,[1]Lookup!$B$2:$E$115,2,FALSE),"")</f>
        <v/>
      </c>
      <c r="AU2164" s="65" t="str">
        <f>IFERROR(VLOOKUP(#REF!,[1]Lookup!$B$2:$E$115,3,FALSE),"")</f>
        <v/>
      </c>
    </row>
    <row r="2165" spans="31:47" x14ac:dyDescent="0.3">
      <c r="AE2165" s="204" t="s">
        <v>398</v>
      </c>
      <c r="AF2165" s="204" t="s">
        <v>398</v>
      </c>
      <c r="AG2165" s="204" t="s">
        <v>398</v>
      </c>
      <c r="AS2165" s="65" t="str">
        <f>IFERROR(VLOOKUP(#REF!,[1]Lookup!$B$2:$E$115,4,FALSE),"")</f>
        <v/>
      </c>
      <c r="AT2165" s="65" t="str">
        <f>IFERROR(VLOOKUP(#REF!,[1]Lookup!$B$2:$E$115,2,FALSE),"")</f>
        <v/>
      </c>
      <c r="AU2165" s="65" t="str">
        <f>IFERROR(VLOOKUP(#REF!,[1]Lookup!$B$2:$E$115,3,FALSE),"")</f>
        <v/>
      </c>
    </row>
    <row r="2166" spans="31:47" x14ac:dyDescent="0.3">
      <c r="AE2166" s="204" t="s">
        <v>398</v>
      </c>
      <c r="AF2166" s="204" t="s">
        <v>398</v>
      </c>
      <c r="AG2166" s="204" t="s">
        <v>398</v>
      </c>
      <c r="AS2166" s="65" t="str">
        <f>IFERROR(VLOOKUP(#REF!,[1]Lookup!$B$2:$E$115,4,FALSE),"")</f>
        <v/>
      </c>
      <c r="AT2166" s="65" t="str">
        <f>IFERROR(VLOOKUP(#REF!,[1]Lookup!$B$2:$E$115,2,FALSE),"")</f>
        <v/>
      </c>
      <c r="AU2166" s="65" t="str">
        <f>IFERROR(VLOOKUP(#REF!,[1]Lookup!$B$2:$E$115,3,FALSE),"")</f>
        <v/>
      </c>
    </row>
    <row r="2167" spans="31:47" x14ac:dyDescent="0.3">
      <c r="AE2167" s="204" t="s">
        <v>398</v>
      </c>
      <c r="AF2167" s="204" t="s">
        <v>398</v>
      </c>
      <c r="AG2167" s="204" t="s">
        <v>398</v>
      </c>
      <c r="AS2167" s="65" t="str">
        <f>IFERROR(VLOOKUP(#REF!,[1]Lookup!$B$2:$E$115,4,FALSE),"")</f>
        <v/>
      </c>
      <c r="AT2167" s="65" t="str">
        <f>IFERROR(VLOOKUP(#REF!,[1]Lookup!$B$2:$E$115,2,FALSE),"")</f>
        <v/>
      </c>
      <c r="AU2167" s="65" t="str">
        <f>IFERROR(VLOOKUP(#REF!,[1]Lookup!$B$2:$E$115,3,FALSE),"")</f>
        <v/>
      </c>
    </row>
    <row r="2168" spans="31:47" x14ac:dyDescent="0.3">
      <c r="AE2168" s="204" t="s">
        <v>398</v>
      </c>
      <c r="AF2168" s="204" t="s">
        <v>398</v>
      </c>
      <c r="AG2168" s="204" t="s">
        <v>398</v>
      </c>
      <c r="AS2168" s="65" t="str">
        <f>IFERROR(VLOOKUP(#REF!,[1]Lookup!$B$2:$E$115,4,FALSE),"")</f>
        <v/>
      </c>
      <c r="AT2168" s="65" t="str">
        <f>IFERROR(VLOOKUP(#REF!,[1]Lookup!$B$2:$E$115,2,FALSE),"")</f>
        <v/>
      </c>
      <c r="AU2168" s="65" t="str">
        <f>IFERROR(VLOOKUP(#REF!,[1]Lookup!$B$2:$E$115,3,FALSE),"")</f>
        <v/>
      </c>
    </row>
    <row r="2169" spans="31:47" x14ac:dyDescent="0.3">
      <c r="AE2169" s="204" t="s">
        <v>398</v>
      </c>
      <c r="AF2169" s="204" t="s">
        <v>398</v>
      </c>
      <c r="AG2169" s="204" t="s">
        <v>398</v>
      </c>
      <c r="AS2169" s="65" t="str">
        <f>IFERROR(VLOOKUP(#REF!,[1]Lookup!$B$2:$E$115,4,FALSE),"")</f>
        <v/>
      </c>
      <c r="AT2169" s="65" t="str">
        <f>IFERROR(VLOOKUP(#REF!,[1]Lookup!$B$2:$E$115,2,FALSE),"")</f>
        <v/>
      </c>
      <c r="AU2169" s="65" t="str">
        <f>IFERROR(VLOOKUP(#REF!,[1]Lookup!$B$2:$E$115,3,FALSE),"")</f>
        <v/>
      </c>
    </row>
    <row r="2170" spans="31:47" x14ac:dyDescent="0.3">
      <c r="AE2170" s="204" t="s">
        <v>398</v>
      </c>
      <c r="AF2170" s="204" t="s">
        <v>398</v>
      </c>
      <c r="AG2170" s="204" t="s">
        <v>398</v>
      </c>
      <c r="AS2170" s="65" t="str">
        <f>IFERROR(VLOOKUP(#REF!,[1]Lookup!$B$2:$E$115,4,FALSE),"")</f>
        <v/>
      </c>
      <c r="AT2170" s="65" t="str">
        <f>IFERROR(VLOOKUP(#REF!,[1]Lookup!$B$2:$E$115,2,FALSE),"")</f>
        <v/>
      </c>
      <c r="AU2170" s="65" t="str">
        <f>IFERROR(VLOOKUP(#REF!,[1]Lookup!$B$2:$E$115,3,FALSE),"")</f>
        <v/>
      </c>
    </row>
    <row r="2171" spans="31:47" x14ac:dyDescent="0.3">
      <c r="AE2171" s="204" t="s">
        <v>398</v>
      </c>
      <c r="AF2171" s="204" t="s">
        <v>398</v>
      </c>
      <c r="AG2171" s="204" t="s">
        <v>398</v>
      </c>
      <c r="AS2171" s="65" t="str">
        <f>IFERROR(VLOOKUP(#REF!,[1]Lookup!$B$2:$E$115,4,FALSE),"")</f>
        <v/>
      </c>
      <c r="AT2171" s="65" t="str">
        <f>IFERROR(VLOOKUP(#REF!,[1]Lookup!$B$2:$E$115,2,FALSE),"")</f>
        <v/>
      </c>
      <c r="AU2171" s="65" t="str">
        <f>IFERROR(VLOOKUP(#REF!,[1]Lookup!$B$2:$E$115,3,FALSE),"")</f>
        <v/>
      </c>
    </row>
    <row r="2172" spans="31:47" x14ac:dyDescent="0.3">
      <c r="AE2172" s="204" t="s">
        <v>398</v>
      </c>
      <c r="AF2172" s="204" t="s">
        <v>398</v>
      </c>
      <c r="AG2172" s="204" t="s">
        <v>398</v>
      </c>
      <c r="AS2172" s="65" t="str">
        <f>IFERROR(VLOOKUP(#REF!,[1]Lookup!$B$2:$E$115,4,FALSE),"")</f>
        <v/>
      </c>
      <c r="AT2172" s="65" t="str">
        <f>IFERROR(VLOOKUP(#REF!,[1]Lookup!$B$2:$E$115,2,FALSE),"")</f>
        <v/>
      </c>
      <c r="AU2172" s="65" t="str">
        <f>IFERROR(VLOOKUP(#REF!,[1]Lookup!$B$2:$E$115,3,FALSE),"")</f>
        <v/>
      </c>
    </row>
    <row r="2173" spans="31:47" x14ac:dyDescent="0.3">
      <c r="AE2173" s="204" t="s">
        <v>398</v>
      </c>
      <c r="AF2173" s="204" t="s">
        <v>398</v>
      </c>
      <c r="AG2173" s="204" t="s">
        <v>398</v>
      </c>
      <c r="AS2173" s="65" t="str">
        <f>IFERROR(VLOOKUP(#REF!,[1]Lookup!$B$2:$E$115,4,FALSE),"")</f>
        <v/>
      </c>
      <c r="AT2173" s="65" t="str">
        <f>IFERROR(VLOOKUP(#REF!,[1]Lookup!$B$2:$E$115,2,FALSE),"")</f>
        <v/>
      </c>
      <c r="AU2173" s="65" t="str">
        <f>IFERROR(VLOOKUP(#REF!,[1]Lookup!$B$2:$E$115,3,FALSE),"")</f>
        <v/>
      </c>
    </row>
    <row r="2174" spans="31:47" x14ac:dyDescent="0.3">
      <c r="AE2174" s="204" t="s">
        <v>398</v>
      </c>
      <c r="AF2174" s="204" t="s">
        <v>398</v>
      </c>
      <c r="AG2174" s="204" t="s">
        <v>398</v>
      </c>
      <c r="AS2174" s="65" t="str">
        <f>IFERROR(VLOOKUP(#REF!,[1]Lookup!$B$2:$E$115,4,FALSE),"")</f>
        <v/>
      </c>
      <c r="AT2174" s="65" t="str">
        <f>IFERROR(VLOOKUP(#REF!,[1]Lookup!$B$2:$E$115,2,FALSE),"")</f>
        <v/>
      </c>
      <c r="AU2174" s="65" t="str">
        <f>IFERROR(VLOOKUP(#REF!,[1]Lookup!$B$2:$E$115,3,FALSE),"")</f>
        <v/>
      </c>
    </row>
    <row r="2175" spans="31:47" x14ac:dyDescent="0.3">
      <c r="AE2175" s="204" t="s">
        <v>398</v>
      </c>
      <c r="AF2175" s="204" t="s">
        <v>398</v>
      </c>
      <c r="AG2175" s="204" t="s">
        <v>398</v>
      </c>
      <c r="AS2175" s="65" t="str">
        <f>IFERROR(VLOOKUP(#REF!,[1]Lookup!$B$2:$E$115,4,FALSE),"")</f>
        <v/>
      </c>
      <c r="AT2175" s="65" t="str">
        <f>IFERROR(VLOOKUP(#REF!,[1]Lookup!$B$2:$E$115,2,FALSE),"")</f>
        <v/>
      </c>
      <c r="AU2175" s="65" t="str">
        <f>IFERROR(VLOOKUP(#REF!,[1]Lookup!$B$2:$E$115,3,FALSE),"")</f>
        <v/>
      </c>
    </row>
    <row r="2176" spans="31:47" x14ac:dyDescent="0.3">
      <c r="AE2176" s="204" t="s">
        <v>398</v>
      </c>
      <c r="AF2176" s="204" t="s">
        <v>398</v>
      </c>
      <c r="AG2176" s="204" t="s">
        <v>398</v>
      </c>
      <c r="AS2176" s="65" t="str">
        <f>IFERROR(VLOOKUP(#REF!,[1]Lookup!$B$2:$E$115,4,FALSE),"")</f>
        <v/>
      </c>
      <c r="AT2176" s="65" t="str">
        <f>IFERROR(VLOOKUP(#REF!,[1]Lookup!$B$2:$E$115,2,FALSE),"")</f>
        <v/>
      </c>
      <c r="AU2176" s="65" t="str">
        <f>IFERROR(VLOOKUP(#REF!,[1]Lookup!$B$2:$E$115,3,FALSE),"")</f>
        <v/>
      </c>
    </row>
    <row r="2177" spans="31:47" x14ac:dyDescent="0.3">
      <c r="AE2177" s="204" t="s">
        <v>398</v>
      </c>
      <c r="AF2177" s="204" t="s">
        <v>398</v>
      </c>
      <c r="AG2177" s="204" t="s">
        <v>398</v>
      </c>
      <c r="AS2177" s="65" t="str">
        <f>IFERROR(VLOOKUP(#REF!,[1]Lookup!$B$2:$E$115,4,FALSE),"")</f>
        <v/>
      </c>
      <c r="AT2177" s="65" t="str">
        <f>IFERROR(VLOOKUP(#REF!,[1]Lookup!$B$2:$E$115,2,FALSE),"")</f>
        <v/>
      </c>
      <c r="AU2177" s="65" t="str">
        <f>IFERROR(VLOOKUP(#REF!,[1]Lookup!$B$2:$E$115,3,FALSE),"")</f>
        <v/>
      </c>
    </row>
    <row r="2178" spans="31:47" x14ac:dyDescent="0.3">
      <c r="AE2178" s="204" t="s">
        <v>398</v>
      </c>
      <c r="AF2178" s="204" t="s">
        <v>398</v>
      </c>
      <c r="AG2178" s="204" t="s">
        <v>398</v>
      </c>
      <c r="AS2178" s="65" t="str">
        <f>IFERROR(VLOOKUP(#REF!,[1]Lookup!$B$2:$E$115,4,FALSE),"")</f>
        <v/>
      </c>
      <c r="AT2178" s="65" t="str">
        <f>IFERROR(VLOOKUP(#REF!,[1]Lookup!$B$2:$E$115,2,FALSE),"")</f>
        <v/>
      </c>
      <c r="AU2178" s="65" t="str">
        <f>IFERROR(VLOOKUP(#REF!,[1]Lookup!$B$2:$E$115,3,FALSE),"")</f>
        <v/>
      </c>
    </row>
    <row r="2179" spans="31:47" x14ac:dyDescent="0.3">
      <c r="AE2179" s="204" t="s">
        <v>398</v>
      </c>
      <c r="AF2179" s="204" t="s">
        <v>398</v>
      </c>
      <c r="AG2179" s="204" t="s">
        <v>398</v>
      </c>
      <c r="AS2179" s="65" t="str">
        <f>IFERROR(VLOOKUP(#REF!,[1]Lookup!$B$2:$E$115,4,FALSE),"")</f>
        <v/>
      </c>
      <c r="AT2179" s="65" t="str">
        <f>IFERROR(VLOOKUP(#REF!,[1]Lookup!$B$2:$E$115,2,FALSE),"")</f>
        <v/>
      </c>
      <c r="AU2179" s="65" t="str">
        <f>IFERROR(VLOOKUP(#REF!,[1]Lookup!$B$2:$E$115,3,FALSE),"")</f>
        <v/>
      </c>
    </row>
    <row r="2180" spans="31:47" x14ac:dyDescent="0.3">
      <c r="AE2180" s="204" t="s">
        <v>398</v>
      </c>
      <c r="AF2180" s="204" t="s">
        <v>398</v>
      </c>
      <c r="AG2180" s="204" t="s">
        <v>398</v>
      </c>
      <c r="AS2180" s="65" t="str">
        <f>IFERROR(VLOOKUP(#REF!,[1]Lookup!$B$2:$E$115,4,FALSE),"")</f>
        <v/>
      </c>
      <c r="AT2180" s="65" t="str">
        <f>IFERROR(VLOOKUP(#REF!,[1]Lookup!$B$2:$E$115,2,FALSE),"")</f>
        <v/>
      </c>
      <c r="AU2180" s="65" t="str">
        <f>IFERROR(VLOOKUP(#REF!,[1]Lookup!$B$2:$E$115,3,FALSE),"")</f>
        <v/>
      </c>
    </row>
    <row r="2181" spans="31:47" x14ac:dyDescent="0.3">
      <c r="AE2181" s="204" t="s">
        <v>398</v>
      </c>
      <c r="AF2181" s="204" t="s">
        <v>398</v>
      </c>
      <c r="AG2181" s="204" t="s">
        <v>398</v>
      </c>
      <c r="AS2181" s="65" t="str">
        <f>IFERROR(VLOOKUP(#REF!,[1]Lookup!$B$2:$E$115,4,FALSE),"")</f>
        <v/>
      </c>
      <c r="AT2181" s="65" t="str">
        <f>IFERROR(VLOOKUP(#REF!,[1]Lookup!$B$2:$E$115,2,FALSE),"")</f>
        <v/>
      </c>
      <c r="AU2181" s="65" t="str">
        <f>IFERROR(VLOOKUP(#REF!,[1]Lookup!$B$2:$E$115,3,FALSE),"")</f>
        <v/>
      </c>
    </row>
    <row r="2182" spans="31:47" x14ac:dyDescent="0.3">
      <c r="AE2182" s="204" t="s">
        <v>398</v>
      </c>
      <c r="AF2182" s="204" t="s">
        <v>398</v>
      </c>
      <c r="AG2182" s="204" t="s">
        <v>398</v>
      </c>
      <c r="AS2182" s="65" t="str">
        <f>IFERROR(VLOOKUP(#REF!,[1]Lookup!$B$2:$E$115,4,FALSE),"")</f>
        <v/>
      </c>
      <c r="AT2182" s="65" t="str">
        <f>IFERROR(VLOOKUP(#REF!,[1]Lookup!$B$2:$E$115,2,FALSE),"")</f>
        <v/>
      </c>
      <c r="AU2182" s="65" t="str">
        <f>IFERROR(VLOOKUP(#REF!,[1]Lookup!$B$2:$E$115,3,FALSE),"")</f>
        <v/>
      </c>
    </row>
    <row r="2183" spans="31:47" x14ac:dyDescent="0.3">
      <c r="AE2183" s="204" t="s">
        <v>398</v>
      </c>
      <c r="AF2183" s="204" t="s">
        <v>398</v>
      </c>
      <c r="AG2183" s="204" t="s">
        <v>398</v>
      </c>
      <c r="AS2183" s="65" t="str">
        <f>IFERROR(VLOOKUP(#REF!,[1]Lookup!$B$2:$E$115,4,FALSE),"")</f>
        <v/>
      </c>
      <c r="AT2183" s="65" t="str">
        <f>IFERROR(VLOOKUP(#REF!,[1]Lookup!$B$2:$E$115,2,FALSE),"")</f>
        <v/>
      </c>
      <c r="AU2183" s="65" t="str">
        <f>IFERROR(VLOOKUP(#REF!,[1]Lookup!$B$2:$E$115,3,FALSE),"")</f>
        <v/>
      </c>
    </row>
    <row r="2184" spans="31:47" x14ac:dyDescent="0.3">
      <c r="AE2184" s="204" t="s">
        <v>398</v>
      </c>
      <c r="AF2184" s="204" t="s">
        <v>398</v>
      </c>
      <c r="AG2184" s="204" t="s">
        <v>398</v>
      </c>
      <c r="AS2184" s="65" t="str">
        <f>IFERROR(VLOOKUP(#REF!,[1]Lookup!$B$2:$E$115,4,FALSE),"")</f>
        <v/>
      </c>
      <c r="AT2184" s="65" t="str">
        <f>IFERROR(VLOOKUP(#REF!,[1]Lookup!$B$2:$E$115,2,FALSE),"")</f>
        <v/>
      </c>
      <c r="AU2184" s="65" t="str">
        <f>IFERROR(VLOOKUP(#REF!,[1]Lookup!$B$2:$E$115,3,FALSE),"")</f>
        <v/>
      </c>
    </row>
    <row r="2185" spans="31:47" x14ac:dyDescent="0.3">
      <c r="AE2185" s="204" t="s">
        <v>398</v>
      </c>
      <c r="AF2185" s="204" t="s">
        <v>398</v>
      </c>
      <c r="AG2185" s="204" t="s">
        <v>398</v>
      </c>
      <c r="AS2185" s="65" t="str">
        <f>IFERROR(VLOOKUP(#REF!,[1]Lookup!$B$2:$E$115,4,FALSE),"")</f>
        <v/>
      </c>
      <c r="AT2185" s="65" t="str">
        <f>IFERROR(VLOOKUP(#REF!,[1]Lookup!$B$2:$E$115,2,FALSE),"")</f>
        <v/>
      </c>
      <c r="AU2185" s="65" t="str">
        <f>IFERROR(VLOOKUP(#REF!,[1]Lookup!$B$2:$E$115,3,FALSE),"")</f>
        <v/>
      </c>
    </row>
    <row r="2186" spans="31:47" x14ac:dyDescent="0.3">
      <c r="AE2186" s="204" t="s">
        <v>398</v>
      </c>
      <c r="AF2186" s="204" t="s">
        <v>398</v>
      </c>
      <c r="AG2186" s="204" t="s">
        <v>398</v>
      </c>
      <c r="AS2186" s="65" t="str">
        <f>IFERROR(VLOOKUP(#REF!,[1]Lookup!$B$2:$E$115,4,FALSE),"")</f>
        <v/>
      </c>
      <c r="AT2186" s="65" t="str">
        <f>IFERROR(VLOOKUP(#REF!,[1]Lookup!$B$2:$E$115,2,FALSE),"")</f>
        <v/>
      </c>
      <c r="AU2186" s="65" t="str">
        <f>IFERROR(VLOOKUP(#REF!,[1]Lookup!$B$2:$E$115,3,FALSE),"")</f>
        <v/>
      </c>
    </row>
    <row r="2187" spans="31:47" x14ac:dyDescent="0.3">
      <c r="AE2187" s="204" t="s">
        <v>398</v>
      </c>
      <c r="AF2187" s="204" t="s">
        <v>398</v>
      </c>
      <c r="AG2187" s="204" t="s">
        <v>398</v>
      </c>
      <c r="AS2187" s="65" t="str">
        <f>IFERROR(VLOOKUP(#REF!,[1]Lookup!$B$2:$E$115,4,FALSE),"")</f>
        <v/>
      </c>
      <c r="AT2187" s="65" t="str">
        <f>IFERROR(VLOOKUP(#REF!,[1]Lookup!$B$2:$E$115,2,FALSE),"")</f>
        <v/>
      </c>
      <c r="AU2187" s="65" t="str">
        <f>IFERROR(VLOOKUP(#REF!,[1]Lookup!$B$2:$E$115,3,FALSE),"")</f>
        <v/>
      </c>
    </row>
    <row r="2188" spans="31:47" x14ac:dyDescent="0.3">
      <c r="AE2188" s="204" t="s">
        <v>398</v>
      </c>
      <c r="AF2188" s="204" t="s">
        <v>398</v>
      </c>
      <c r="AG2188" s="204" t="s">
        <v>398</v>
      </c>
      <c r="AS2188" s="65" t="str">
        <f>IFERROR(VLOOKUP(#REF!,[1]Lookup!$B$2:$E$115,4,FALSE),"")</f>
        <v/>
      </c>
      <c r="AT2188" s="65" t="str">
        <f>IFERROR(VLOOKUP(#REF!,[1]Lookup!$B$2:$E$115,2,FALSE),"")</f>
        <v/>
      </c>
      <c r="AU2188" s="65" t="str">
        <f>IFERROR(VLOOKUP(#REF!,[1]Lookup!$B$2:$E$115,3,FALSE),"")</f>
        <v/>
      </c>
    </row>
    <row r="2189" spans="31:47" x14ac:dyDescent="0.3">
      <c r="AE2189" s="204" t="s">
        <v>398</v>
      </c>
      <c r="AF2189" s="204" t="s">
        <v>398</v>
      </c>
      <c r="AG2189" s="204" t="s">
        <v>398</v>
      </c>
      <c r="AS2189" s="65" t="str">
        <f>IFERROR(VLOOKUP(#REF!,[1]Lookup!$B$2:$E$115,4,FALSE),"")</f>
        <v/>
      </c>
      <c r="AT2189" s="65" t="str">
        <f>IFERROR(VLOOKUP(#REF!,[1]Lookup!$B$2:$E$115,2,FALSE),"")</f>
        <v/>
      </c>
      <c r="AU2189" s="65" t="str">
        <f>IFERROR(VLOOKUP(#REF!,[1]Lookup!$B$2:$E$115,3,FALSE),"")</f>
        <v/>
      </c>
    </row>
    <row r="2190" spans="31:47" x14ac:dyDescent="0.3">
      <c r="AE2190" s="204" t="s">
        <v>398</v>
      </c>
      <c r="AF2190" s="204" t="s">
        <v>398</v>
      </c>
      <c r="AG2190" s="204" t="s">
        <v>398</v>
      </c>
      <c r="AS2190" s="65" t="str">
        <f>IFERROR(VLOOKUP(#REF!,[1]Lookup!$B$2:$E$115,4,FALSE),"")</f>
        <v/>
      </c>
      <c r="AT2190" s="65" t="str">
        <f>IFERROR(VLOOKUP(#REF!,[1]Lookup!$B$2:$E$115,2,FALSE),"")</f>
        <v/>
      </c>
      <c r="AU2190" s="65" t="str">
        <f>IFERROR(VLOOKUP(#REF!,[1]Lookup!$B$2:$E$115,3,FALSE),"")</f>
        <v/>
      </c>
    </row>
    <row r="2191" spans="31:47" x14ac:dyDescent="0.3">
      <c r="AE2191" s="204" t="s">
        <v>398</v>
      </c>
      <c r="AF2191" s="204" t="s">
        <v>398</v>
      </c>
      <c r="AG2191" s="204" t="s">
        <v>398</v>
      </c>
      <c r="AS2191" s="65" t="str">
        <f>IFERROR(VLOOKUP(#REF!,[1]Lookup!$B$2:$E$115,4,FALSE),"")</f>
        <v/>
      </c>
      <c r="AT2191" s="65" t="str">
        <f>IFERROR(VLOOKUP(#REF!,[1]Lookup!$B$2:$E$115,2,FALSE),"")</f>
        <v/>
      </c>
      <c r="AU2191" s="65" t="str">
        <f>IFERROR(VLOOKUP(#REF!,[1]Lookup!$B$2:$E$115,3,FALSE),"")</f>
        <v/>
      </c>
    </row>
    <row r="2192" spans="31:47" x14ac:dyDescent="0.3">
      <c r="AE2192" s="204" t="s">
        <v>398</v>
      </c>
      <c r="AF2192" s="204" t="s">
        <v>398</v>
      </c>
      <c r="AG2192" s="204" t="s">
        <v>398</v>
      </c>
      <c r="AS2192" s="65" t="str">
        <f>IFERROR(VLOOKUP(#REF!,[1]Lookup!$B$2:$E$115,4,FALSE),"")</f>
        <v/>
      </c>
      <c r="AT2192" s="65" t="str">
        <f>IFERROR(VLOOKUP(#REF!,[1]Lookup!$B$2:$E$115,2,FALSE),"")</f>
        <v/>
      </c>
      <c r="AU2192" s="65" t="str">
        <f>IFERROR(VLOOKUP(#REF!,[1]Lookup!$B$2:$E$115,3,FALSE),"")</f>
        <v/>
      </c>
    </row>
    <row r="2193" spans="31:47" x14ac:dyDescent="0.3">
      <c r="AE2193" s="204" t="s">
        <v>398</v>
      </c>
      <c r="AF2193" s="204" t="s">
        <v>398</v>
      </c>
      <c r="AG2193" s="204" t="s">
        <v>398</v>
      </c>
      <c r="AS2193" s="65" t="str">
        <f>IFERROR(VLOOKUP(#REF!,[1]Lookup!$B$2:$E$115,4,FALSE),"")</f>
        <v/>
      </c>
      <c r="AT2193" s="65" t="str">
        <f>IFERROR(VLOOKUP(#REF!,[1]Lookup!$B$2:$E$115,2,FALSE),"")</f>
        <v/>
      </c>
      <c r="AU2193" s="65" t="str">
        <f>IFERROR(VLOOKUP(#REF!,[1]Lookup!$B$2:$E$115,3,FALSE),"")</f>
        <v/>
      </c>
    </row>
    <row r="2194" spans="31:47" x14ac:dyDescent="0.3">
      <c r="AE2194" s="204" t="s">
        <v>398</v>
      </c>
      <c r="AF2194" s="204" t="s">
        <v>398</v>
      </c>
      <c r="AG2194" s="204" t="s">
        <v>398</v>
      </c>
      <c r="AS2194" s="65" t="str">
        <f>IFERROR(VLOOKUP(#REF!,[1]Lookup!$B$2:$E$115,4,FALSE),"")</f>
        <v/>
      </c>
      <c r="AT2194" s="65" t="str">
        <f>IFERROR(VLOOKUP(#REF!,[1]Lookup!$B$2:$E$115,2,FALSE),"")</f>
        <v/>
      </c>
      <c r="AU2194" s="65" t="str">
        <f>IFERROR(VLOOKUP(#REF!,[1]Lookup!$B$2:$E$115,3,FALSE),"")</f>
        <v/>
      </c>
    </row>
    <row r="2195" spans="31:47" x14ac:dyDescent="0.3">
      <c r="AE2195" s="204" t="s">
        <v>398</v>
      </c>
      <c r="AF2195" s="204" t="s">
        <v>398</v>
      </c>
      <c r="AG2195" s="204" t="s">
        <v>398</v>
      </c>
      <c r="AS2195" s="65" t="str">
        <f>IFERROR(VLOOKUP(#REF!,[1]Lookup!$B$2:$E$115,4,FALSE),"")</f>
        <v/>
      </c>
      <c r="AT2195" s="65" t="str">
        <f>IFERROR(VLOOKUP(#REF!,[1]Lookup!$B$2:$E$115,2,FALSE),"")</f>
        <v/>
      </c>
      <c r="AU2195" s="65" t="str">
        <f>IFERROR(VLOOKUP(#REF!,[1]Lookup!$B$2:$E$115,3,FALSE),"")</f>
        <v/>
      </c>
    </row>
    <row r="2196" spans="31:47" x14ac:dyDescent="0.3">
      <c r="AE2196" s="204" t="s">
        <v>398</v>
      </c>
      <c r="AF2196" s="204" t="s">
        <v>398</v>
      </c>
      <c r="AG2196" s="204" t="s">
        <v>398</v>
      </c>
      <c r="AS2196" s="65" t="str">
        <f>IFERROR(VLOOKUP(#REF!,[1]Lookup!$B$2:$E$115,4,FALSE),"")</f>
        <v/>
      </c>
      <c r="AT2196" s="65" t="str">
        <f>IFERROR(VLOOKUP(#REF!,[1]Lookup!$B$2:$E$115,2,FALSE),"")</f>
        <v/>
      </c>
      <c r="AU2196" s="65" t="str">
        <f>IFERROR(VLOOKUP(#REF!,[1]Lookup!$B$2:$E$115,3,FALSE),"")</f>
        <v/>
      </c>
    </row>
    <row r="2197" spans="31:47" x14ac:dyDescent="0.3">
      <c r="AE2197" s="204" t="s">
        <v>398</v>
      </c>
      <c r="AF2197" s="204" t="s">
        <v>398</v>
      </c>
      <c r="AG2197" s="204" t="s">
        <v>398</v>
      </c>
      <c r="AS2197" s="65" t="str">
        <f>IFERROR(VLOOKUP(#REF!,[1]Lookup!$B$2:$E$115,4,FALSE),"")</f>
        <v/>
      </c>
      <c r="AT2197" s="65" t="str">
        <f>IFERROR(VLOOKUP(#REF!,[1]Lookup!$B$2:$E$115,2,FALSE),"")</f>
        <v/>
      </c>
      <c r="AU2197" s="65" t="str">
        <f>IFERROR(VLOOKUP(#REF!,[1]Lookup!$B$2:$E$115,3,FALSE),"")</f>
        <v/>
      </c>
    </row>
    <row r="2198" spans="31:47" x14ac:dyDescent="0.3">
      <c r="AE2198" s="204" t="s">
        <v>398</v>
      </c>
      <c r="AF2198" s="204" t="s">
        <v>398</v>
      </c>
      <c r="AG2198" s="204" t="s">
        <v>398</v>
      </c>
      <c r="AS2198" s="65" t="str">
        <f>IFERROR(VLOOKUP(#REF!,[1]Lookup!$B$2:$E$115,4,FALSE),"")</f>
        <v/>
      </c>
      <c r="AT2198" s="65" t="str">
        <f>IFERROR(VLOOKUP(#REF!,[1]Lookup!$B$2:$E$115,2,FALSE),"")</f>
        <v/>
      </c>
      <c r="AU2198" s="65" t="str">
        <f>IFERROR(VLOOKUP(#REF!,[1]Lookup!$B$2:$E$115,3,FALSE),"")</f>
        <v/>
      </c>
    </row>
    <row r="2199" spans="31:47" x14ac:dyDescent="0.3">
      <c r="AE2199" s="204" t="s">
        <v>398</v>
      </c>
      <c r="AF2199" s="204" t="s">
        <v>398</v>
      </c>
      <c r="AG2199" s="204" t="s">
        <v>398</v>
      </c>
      <c r="AS2199" s="65" t="str">
        <f>IFERROR(VLOOKUP(#REF!,[1]Lookup!$B$2:$E$115,4,FALSE),"")</f>
        <v/>
      </c>
      <c r="AT2199" s="65" t="str">
        <f>IFERROR(VLOOKUP(#REF!,[1]Lookup!$B$2:$E$115,2,FALSE),"")</f>
        <v/>
      </c>
      <c r="AU2199" s="65" t="str">
        <f>IFERROR(VLOOKUP(#REF!,[1]Lookup!$B$2:$E$115,3,FALSE),"")</f>
        <v/>
      </c>
    </row>
    <row r="2200" spans="31:47" x14ac:dyDescent="0.3">
      <c r="AE2200" s="204" t="s">
        <v>398</v>
      </c>
      <c r="AF2200" s="204" t="s">
        <v>398</v>
      </c>
      <c r="AG2200" s="204" t="s">
        <v>398</v>
      </c>
      <c r="AS2200" s="65" t="str">
        <f>IFERROR(VLOOKUP(#REF!,[1]Lookup!$B$2:$E$115,4,FALSE),"")</f>
        <v/>
      </c>
      <c r="AT2200" s="65" t="str">
        <f>IFERROR(VLOOKUP(#REF!,[1]Lookup!$B$2:$E$115,2,FALSE),"")</f>
        <v/>
      </c>
      <c r="AU2200" s="65" t="str">
        <f>IFERROR(VLOOKUP(#REF!,[1]Lookup!$B$2:$E$115,3,FALSE),"")</f>
        <v/>
      </c>
    </row>
    <row r="2201" spans="31:47" x14ac:dyDescent="0.3">
      <c r="AE2201" s="204" t="s">
        <v>398</v>
      </c>
      <c r="AF2201" s="204" t="s">
        <v>398</v>
      </c>
      <c r="AG2201" s="204" t="s">
        <v>398</v>
      </c>
      <c r="AS2201" s="65" t="str">
        <f>IFERROR(VLOOKUP(#REF!,[1]Lookup!$B$2:$E$115,4,FALSE),"")</f>
        <v/>
      </c>
      <c r="AT2201" s="65" t="str">
        <f>IFERROR(VLOOKUP(#REF!,[1]Lookup!$B$2:$E$115,2,FALSE),"")</f>
        <v/>
      </c>
      <c r="AU2201" s="65" t="str">
        <f>IFERROR(VLOOKUP(#REF!,[1]Lookup!$B$2:$E$115,3,FALSE),"")</f>
        <v/>
      </c>
    </row>
    <row r="2202" spans="31:47" x14ac:dyDescent="0.3">
      <c r="AE2202" s="204" t="s">
        <v>398</v>
      </c>
      <c r="AF2202" s="204" t="s">
        <v>398</v>
      </c>
      <c r="AG2202" s="204" t="s">
        <v>398</v>
      </c>
      <c r="AS2202" s="65" t="str">
        <f>IFERROR(VLOOKUP(#REF!,[1]Lookup!$B$2:$E$115,4,FALSE),"")</f>
        <v/>
      </c>
      <c r="AT2202" s="65" t="str">
        <f>IFERROR(VLOOKUP(#REF!,[1]Lookup!$B$2:$E$115,2,FALSE),"")</f>
        <v/>
      </c>
      <c r="AU2202" s="65" t="str">
        <f>IFERROR(VLOOKUP(#REF!,[1]Lookup!$B$2:$E$115,3,FALSE),"")</f>
        <v/>
      </c>
    </row>
    <row r="2203" spans="31:47" x14ac:dyDescent="0.3">
      <c r="AE2203" s="204" t="s">
        <v>398</v>
      </c>
      <c r="AF2203" s="204" t="s">
        <v>398</v>
      </c>
      <c r="AG2203" s="204" t="s">
        <v>398</v>
      </c>
      <c r="AS2203" s="65" t="str">
        <f>IFERROR(VLOOKUP(#REF!,[1]Lookup!$B$2:$E$115,4,FALSE),"")</f>
        <v/>
      </c>
      <c r="AT2203" s="65" t="str">
        <f>IFERROR(VLOOKUP(#REF!,[1]Lookup!$B$2:$E$115,2,FALSE),"")</f>
        <v/>
      </c>
      <c r="AU2203" s="65" t="str">
        <f>IFERROR(VLOOKUP(#REF!,[1]Lookup!$B$2:$E$115,3,FALSE),"")</f>
        <v/>
      </c>
    </row>
    <row r="2204" spans="31:47" x14ac:dyDescent="0.3">
      <c r="AE2204" s="204" t="s">
        <v>398</v>
      </c>
      <c r="AF2204" s="204" t="s">
        <v>398</v>
      </c>
      <c r="AG2204" s="204" t="s">
        <v>398</v>
      </c>
      <c r="AS2204" s="65" t="str">
        <f>IFERROR(VLOOKUP(#REF!,[1]Lookup!$B$2:$E$115,4,FALSE),"")</f>
        <v/>
      </c>
      <c r="AT2204" s="65" t="str">
        <f>IFERROR(VLOOKUP(#REF!,[1]Lookup!$B$2:$E$115,2,FALSE),"")</f>
        <v/>
      </c>
      <c r="AU2204" s="65" t="str">
        <f>IFERROR(VLOOKUP(#REF!,[1]Lookup!$B$2:$E$115,3,FALSE),"")</f>
        <v/>
      </c>
    </row>
    <row r="2205" spans="31:47" x14ac:dyDescent="0.3">
      <c r="AE2205" s="204" t="s">
        <v>398</v>
      </c>
      <c r="AF2205" s="204" t="s">
        <v>398</v>
      </c>
      <c r="AG2205" s="204" t="s">
        <v>398</v>
      </c>
      <c r="AS2205" s="65" t="str">
        <f>IFERROR(VLOOKUP(#REF!,[1]Lookup!$B$2:$E$115,4,FALSE),"")</f>
        <v/>
      </c>
      <c r="AT2205" s="65" t="str">
        <f>IFERROR(VLOOKUP(#REF!,[1]Lookup!$B$2:$E$115,2,FALSE),"")</f>
        <v/>
      </c>
      <c r="AU2205" s="65" t="str">
        <f>IFERROR(VLOOKUP(#REF!,[1]Lookup!$B$2:$E$115,3,FALSE),"")</f>
        <v/>
      </c>
    </row>
    <row r="2206" spans="31:47" x14ac:dyDescent="0.3">
      <c r="AE2206" s="204" t="s">
        <v>398</v>
      </c>
      <c r="AF2206" s="204" t="s">
        <v>398</v>
      </c>
      <c r="AG2206" s="204" t="s">
        <v>398</v>
      </c>
      <c r="AS2206" s="65" t="str">
        <f>IFERROR(VLOOKUP(#REF!,[1]Lookup!$B$2:$E$115,4,FALSE),"")</f>
        <v/>
      </c>
      <c r="AT2206" s="65" t="str">
        <f>IFERROR(VLOOKUP(#REF!,[1]Lookup!$B$2:$E$115,2,FALSE),"")</f>
        <v/>
      </c>
      <c r="AU2206" s="65" t="str">
        <f>IFERROR(VLOOKUP(#REF!,[1]Lookup!$B$2:$E$115,3,FALSE),"")</f>
        <v/>
      </c>
    </row>
    <row r="2207" spans="31:47" x14ac:dyDescent="0.3">
      <c r="AE2207" s="204" t="s">
        <v>398</v>
      </c>
      <c r="AF2207" s="204" t="s">
        <v>398</v>
      </c>
      <c r="AG2207" s="204" t="s">
        <v>398</v>
      </c>
      <c r="AS2207" s="65" t="str">
        <f>IFERROR(VLOOKUP(#REF!,[1]Lookup!$B$2:$E$115,4,FALSE),"")</f>
        <v/>
      </c>
      <c r="AT2207" s="65" t="str">
        <f>IFERROR(VLOOKUP(#REF!,[1]Lookup!$B$2:$E$115,2,FALSE),"")</f>
        <v/>
      </c>
      <c r="AU2207" s="65" t="str">
        <f>IFERROR(VLOOKUP(#REF!,[1]Lookup!$B$2:$E$115,3,FALSE),"")</f>
        <v/>
      </c>
    </row>
    <row r="2208" spans="31:47" x14ac:dyDescent="0.3">
      <c r="AE2208" s="204" t="s">
        <v>398</v>
      </c>
      <c r="AF2208" s="204" t="s">
        <v>398</v>
      </c>
      <c r="AG2208" s="204" t="s">
        <v>398</v>
      </c>
      <c r="AS2208" s="65" t="str">
        <f>IFERROR(VLOOKUP(#REF!,[1]Lookup!$B$2:$E$115,4,FALSE),"")</f>
        <v/>
      </c>
      <c r="AT2208" s="65" t="str">
        <f>IFERROR(VLOOKUP(#REF!,[1]Lookup!$B$2:$E$115,2,FALSE),"")</f>
        <v/>
      </c>
      <c r="AU2208" s="65" t="str">
        <f>IFERROR(VLOOKUP(#REF!,[1]Lookup!$B$2:$E$115,3,FALSE),"")</f>
        <v/>
      </c>
    </row>
    <row r="2209" spans="31:47" x14ac:dyDescent="0.3">
      <c r="AE2209" s="204" t="s">
        <v>398</v>
      </c>
      <c r="AF2209" s="204" t="s">
        <v>398</v>
      </c>
      <c r="AG2209" s="204" t="s">
        <v>398</v>
      </c>
      <c r="AS2209" s="65" t="str">
        <f>IFERROR(VLOOKUP(#REF!,[1]Lookup!$B$2:$E$115,4,FALSE),"")</f>
        <v/>
      </c>
      <c r="AT2209" s="65" t="str">
        <f>IFERROR(VLOOKUP(#REF!,[1]Lookup!$B$2:$E$115,2,FALSE),"")</f>
        <v/>
      </c>
      <c r="AU2209" s="65" t="str">
        <f>IFERROR(VLOOKUP(#REF!,[1]Lookup!$B$2:$E$115,3,FALSE),"")</f>
        <v/>
      </c>
    </row>
    <row r="2210" spans="31:47" x14ac:dyDescent="0.3">
      <c r="AE2210" s="204" t="s">
        <v>398</v>
      </c>
      <c r="AF2210" s="204" t="s">
        <v>398</v>
      </c>
      <c r="AG2210" s="204" t="s">
        <v>398</v>
      </c>
      <c r="AS2210" s="65" t="str">
        <f>IFERROR(VLOOKUP(#REF!,[1]Lookup!$B$2:$E$115,4,FALSE),"")</f>
        <v/>
      </c>
      <c r="AT2210" s="65" t="str">
        <f>IFERROR(VLOOKUP(#REF!,[1]Lookup!$B$2:$E$115,2,FALSE),"")</f>
        <v/>
      </c>
      <c r="AU2210" s="65" t="str">
        <f>IFERROR(VLOOKUP(#REF!,[1]Lookup!$B$2:$E$115,3,FALSE),"")</f>
        <v/>
      </c>
    </row>
    <row r="2211" spans="31:47" x14ac:dyDescent="0.3">
      <c r="AE2211" s="204" t="s">
        <v>398</v>
      </c>
      <c r="AF2211" s="204" t="s">
        <v>398</v>
      </c>
      <c r="AG2211" s="204" t="s">
        <v>398</v>
      </c>
      <c r="AS2211" s="65" t="str">
        <f>IFERROR(VLOOKUP(#REF!,[1]Lookup!$B$2:$E$115,4,FALSE),"")</f>
        <v/>
      </c>
      <c r="AT2211" s="65" t="str">
        <f>IFERROR(VLOOKUP(#REF!,[1]Lookup!$B$2:$E$115,2,FALSE),"")</f>
        <v/>
      </c>
      <c r="AU2211" s="65" t="str">
        <f>IFERROR(VLOOKUP(#REF!,[1]Lookup!$B$2:$E$115,3,FALSE),"")</f>
        <v/>
      </c>
    </row>
    <row r="2212" spans="31:47" x14ac:dyDescent="0.3">
      <c r="AE2212" s="204" t="s">
        <v>398</v>
      </c>
      <c r="AF2212" s="204" t="s">
        <v>398</v>
      </c>
      <c r="AG2212" s="204" t="s">
        <v>398</v>
      </c>
      <c r="AS2212" s="65" t="str">
        <f>IFERROR(VLOOKUP(#REF!,[1]Lookup!$B$2:$E$115,4,FALSE),"")</f>
        <v/>
      </c>
      <c r="AT2212" s="65" t="str">
        <f>IFERROR(VLOOKUP(#REF!,[1]Lookup!$B$2:$E$115,2,FALSE),"")</f>
        <v/>
      </c>
      <c r="AU2212" s="65" t="str">
        <f>IFERROR(VLOOKUP(#REF!,[1]Lookup!$B$2:$E$115,3,FALSE),"")</f>
        <v/>
      </c>
    </row>
    <row r="2213" spans="31:47" x14ac:dyDescent="0.3">
      <c r="AE2213" s="204" t="s">
        <v>398</v>
      </c>
      <c r="AF2213" s="204" t="s">
        <v>398</v>
      </c>
      <c r="AG2213" s="204" t="s">
        <v>398</v>
      </c>
      <c r="AS2213" s="65" t="str">
        <f>IFERROR(VLOOKUP(#REF!,[1]Lookup!$B$2:$E$115,4,FALSE),"")</f>
        <v/>
      </c>
      <c r="AT2213" s="65" t="str">
        <f>IFERROR(VLOOKUP(#REF!,[1]Lookup!$B$2:$E$115,2,FALSE),"")</f>
        <v/>
      </c>
      <c r="AU2213" s="65" t="str">
        <f>IFERROR(VLOOKUP(#REF!,[1]Lookup!$B$2:$E$115,3,FALSE),"")</f>
        <v/>
      </c>
    </row>
    <row r="2214" spans="31:47" x14ac:dyDescent="0.3">
      <c r="AE2214" s="204" t="s">
        <v>398</v>
      </c>
      <c r="AF2214" s="204" t="s">
        <v>398</v>
      </c>
      <c r="AG2214" s="204" t="s">
        <v>398</v>
      </c>
      <c r="AS2214" s="65" t="str">
        <f>IFERROR(VLOOKUP(#REF!,[1]Lookup!$B$2:$E$115,4,FALSE),"")</f>
        <v/>
      </c>
      <c r="AT2214" s="65" t="str">
        <f>IFERROR(VLOOKUP(#REF!,[1]Lookup!$B$2:$E$115,2,FALSE),"")</f>
        <v/>
      </c>
      <c r="AU2214" s="65" t="str">
        <f>IFERROR(VLOOKUP(#REF!,[1]Lookup!$B$2:$E$115,3,FALSE),"")</f>
        <v/>
      </c>
    </row>
    <row r="2215" spans="31:47" x14ac:dyDescent="0.3">
      <c r="AE2215" s="204" t="s">
        <v>398</v>
      </c>
      <c r="AF2215" s="204" t="s">
        <v>398</v>
      </c>
      <c r="AG2215" s="204" t="s">
        <v>398</v>
      </c>
      <c r="AS2215" s="65" t="str">
        <f>IFERROR(VLOOKUP(#REF!,[1]Lookup!$B$2:$E$115,4,FALSE),"")</f>
        <v/>
      </c>
      <c r="AT2215" s="65" t="str">
        <f>IFERROR(VLOOKUP(#REF!,[1]Lookup!$B$2:$E$115,2,FALSE),"")</f>
        <v/>
      </c>
      <c r="AU2215" s="65" t="str">
        <f>IFERROR(VLOOKUP(#REF!,[1]Lookup!$B$2:$E$115,3,FALSE),"")</f>
        <v/>
      </c>
    </row>
    <row r="2216" spans="31:47" x14ac:dyDescent="0.3">
      <c r="AE2216" s="204" t="s">
        <v>398</v>
      </c>
      <c r="AF2216" s="204" t="s">
        <v>398</v>
      </c>
      <c r="AG2216" s="204" t="s">
        <v>398</v>
      </c>
      <c r="AS2216" s="65" t="str">
        <f>IFERROR(VLOOKUP(#REF!,[1]Lookup!$B$2:$E$115,4,FALSE),"")</f>
        <v/>
      </c>
      <c r="AT2216" s="65" t="str">
        <f>IFERROR(VLOOKUP(#REF!,[1]Lookup!$B$2:$E$115,2,FALSE),"")</f>
        <v/>
      </c>
      <c r="AU2216" s="65" t="str">
        <f>IFERROR(VLOOKUP(#REF!,[1]Lookup!$B$2:$E$115,3,FALSE),"")</f>
        <v/>
      </c>
    </row>
    <row r="2217" spans="31:47" x14ac:dyDescent="0.3">
      <c r="AE2217" s="204" t="s">
        <v>398</v>
      </c>
      <c r="AF2217" s="204" t="s">
        <v>398</v>
      </c>
      <c r="AG2217" s="204" t="s">
        <v>398</v>
      </c>
      <c r="AS2217" s="65" t="str">
        <f>IFERROR(VLOOKUP(#REF!,[1]Lookup!$B$2:$E$115,4,FALSE),"")</f>
        <v/>
      </c>
      <c r="AT2217" s="65" t="str">
        <f>IFERROR(VLOOKUP(#REF!,[1]Lookup!$B$2:$E$115,2,FALSE),"")</f>
        <v/>
      </c>
      <c r="AU2217" s="65" t="str">
        <f>IFERROR(VLOOKUP(#REF!,[1]Lookup!$B$2:$E$115,3,FALSE),"")</f>
        <v/>
      </c>
    </row>
    <row r="2218" spans="31:47" x14ac:dyDescent="0.3">
      <c r="AE2218" s="204" t="s">
        <v>398</v>
      </c>
      <c r="AF2218" s="204" t="s">
        <v>398</v>
      </c>
      <c r="AG2218" s="204" t="s">
        <v>398</v>
      </c>
      <c r="AS2218" s="65" t="str">
        <f>IFERROR(VLOOKUP(#REF!,[1]Lookup!$B$2:$E$115,4,FALSE),"")</f>
        <v/>
      </c>
      <c r="AT2218" s="65" t="str">
        <f>IFERROR(VLOOKUP(#REF!,[1]Lookup!$B$2:$E$115,2,FALSE),"")</f>
        <v/>
      </c>
      <c r="AU2218" s="65" t="str">
        <f>IFERROR(VLOOKUP(#REF!,[1]Lookup!$B$2:$E$115,3,FALSE),"")</f>
        <v/>
      </c>
    </row>
    <row r="2219" spans="31:47" x14ac:dyDescent="0.3">
      <c r="AE2219" s="204" t="s">
        <v>398</v>
      </c>
      <c r="AF2219" s="204" t="s">
        <v>398</v>
      </c>
      <c r="AG2219" s="204" t="s">
        <v>398</v>
      </c>
      <c r="AS2219" s="65" t="str">
        <f>IFERROR(VLOOKUP(#REF!,[1]Lookup!$B$2:$E$115,4,FALSE),"")</f>
        <v/>
      </c>
      <c r="AT2219" s="65" t="str">
        <f>IFERROR(VLOOKUP(#REF!,[1]Lookup!$B$2:$E$115,2,FALSE),"")</f>
        <v/>
      </c>
      <c r="AU2219" s="65" t="str">
        <f>IFERROR(VLOOKUP(#REF!,[1]Lookup!$B$2:$E$115,3,FALSE),"")</f>
        <v/>
      </c>
    </row>
    <row r="2220" spans="31:47" x14ac:dyDescent="0.3">
      <c r="AE2220" s="204" t="s">
        <v>398</v>
      </c>
      <c r="AF2220" s="204" t="s">
        <v>398</v>
      </c>
      <c r="AG2220" s="204" t="s">
        <v>398</v>
      </c>
      <c r="AS2220" s="65" t="str">
        <f>IFERROR(VLOOKUP(#REF!,[1]Lookup!$B$2:$E$115,4,FALSE),"")</f>
        <v/>
      </c>
      <c r="AT2220" s="65" t="str">
        <f>IFERROR(VLOOKUP(#REF!,[1]Lookup!$B$2:$E$115,2,FALSE),"")</f>
        <v/>
      </c>
      <c r="AU2220" s="65" t="str">
        <f>IFERROR(VLOOKUP(#REF!,[1]Lookup!$B$2:$E$115,3,FALSE),"")</f>
        <v/>
      </c>
    </row>
    <row r="2221" spans="31:47" x14ac:dyDescent="0.3">
      <c r="AE2221" s="204" t="s">
        <v>398</v>
      </c>
      <c r="AF2221" s="204" t="s">
        <v>398</v>
      </c>
      <c r="AG2221" s="204" t="s">
        <v>398</v>
      </c>
      <c r="AS2221" s="65" t="str">
        <f>IFERROR(VLOOKUP(#REF!,[1]Lookup!$B$2:$E$115,4,FALSE),"")</f>
        <v/>
      </c>
      <c r="AT2221" s="65" t="str">
        <f>IFERROR(VLOOKUP(#REF!,[1]Lookup!$B$2:$E$115,2,FALSE),"")</f>
        <v/>
      </c>
      <c r="AU2221" s="65" t="str">
        <f>IFERROR(VLOOKUP(#REF!,[1]Lookup!$B$2:$E$115,3,FALSE),"")</f>
        <v/>
      </c>
    </row>
    <row r="2222" spans="31:47" x14ac:dyDescent="0.3">
      <c r="AE2222" s="204" t="s">
        <v>398</v>
      </c>
      <c r="AF2222" s="204" t="s">
        <v>398</v>
      </c>
      <c r="AG2222" s="204" t="s">
        <v>398</v>
      </c>
      <c r="AS2222" s="65" t="str">
        <f>IFERROR(VLOOKUP(#REF!,[1]Lookup!$B$2:$E$115,4,FALSE),"")</f>
        <v/>
      </c>
      <c r="AT2222" s="65" t="str">
        <f>IFERROR(VLOOKUP(#REF!,[1]Lookup!$B$2:$E$115,2,FALSE),"")</f>
        <v/>
      </c>
      <c r="AU2222" s="65" t="str">
        <f>IFERROR(VLOOKUP(#REF!,[1]Lookup!$B$2:$E$115,3,FALSE),"")</f>
        <v/>
      </c>
    </row>
    <row r="2223" spans="31:47" x14ac:dyDescent="0.3">
      <c r="AE2223" s="204" t="s">
        <v>398</v>
      </c>
      <c r="AF2223" s="204" t="s">
        <v>398</v>
      </c>
      <c r="AG2223" s="204" t="s">
        <v>398</v>
      </c>
      <c r="AS2223" s="65" t="str">
        <f>IFERROR(VLOOKUP(#REF!,[1]Lookup!$B$2:$E$115,4,FALSE),"")</f>
        <v/>
      </c>
      <c r="AT2223" s="65" t="str">
        <f>IFERROR(VLOOKUP(#REF!,[1]Lookup!$B$2:$E$115,2,FALSE),"")</f>
        <v/>
      </c>
      <c r="AU2223" s="65" t="str">
        <f>IFERROR(VLOOKUP(#REF!,[1]Lookup!$B$2:$E$115,3,FALSE),"")</f>
        <v/>
      </c>
    </row>
    <row r="2224" spans="31:47" x14ac:dyDescent="0.3">
      <c r="AE2224" s="204" t="s">
        <v>398</v>
      </c>
      <c r="AF2224" s="204" t="s">
        <v>398</v>
      </c>
      <c r="AG2224" s="204" t="s">
        <v>398</v>
      </c>
      <c r="AS2224" s="65" t="str">
        <f>IFERROR(VLOOKUP(#REF!,[1]Lookup!$B$2:$E$115,4,FALSE),"")</f>
        <v/>
      </c>
      <c r="AT2224" s="65" t="str">
        <f>IFERROR(VLOOKUP(#REF!,[1]Lookup!$B$2:$E$115,2,FALSE),"")</f>
        <v/>
      </c>
      <c r="AU2224" s="65" t="str">
        <f>IFERROR(VLOOKUP(#REF!,[1]Lookup!$B$2:$E$115,3,FALSE),"")</f>
        <v/>
      </c>
    </row>
    <row r="2225" spans="31:47" x14ac:dyDescent="0.3">
      <c r="AE2225" s="204" t="s">
        <v>398</v>
      </c>
      <c r="AF2225" s="204" t="s">
        <v>398</v>
      </c>
      <c r="AG2225" s="204" t="s">
        <v>398</v>
      </c>
      <c r="AS2225" s="65" t="str">
        <f>IFERROR(VLOOKUP(#REF!,[1]Lookup!$B$2:$E$115,4,FALSE),"")</f>
        <v/>
      </c>
      <c r="AT2225" s="65" t="str">
        <f>IFERROR(VLOOKUP(#REF!,[1]Lookup!$B$2:$E$115,2,FALSE),"")</f>
        <v/>
      </c>
      <c r="AU2225" s="65" t="str">
        <f>IFERROR(VLOOKUP(#REF!,[1]Lookup!$B$2:$E$115,3,FALSE),"")</f>
        <v/>
      </c>
    </row>
    <row r="2226" spans="31:47" x14ac:dyDescent="0.3">
      <c r="AE2226" s="204" t="s">
        <v>398</v>
      </c>
      <c r="AF2226" s="204" t="s">
        <v>398</v>
      </c>
      <c r="AG2226" s="204" t="s">
        <v>398</v>
      </c>
      <c r="AS2226" s="65" t="str">
        <f>IFERROR(VLOOKUP(#REF!,[1]Lookup!$B$2:$E$115,4,FALSE),"")</f>
        <v/>
      </c>
      <c r="AT2226" s="65" t="str">
        <f>IFERROR(VLOOKUP(#REF!,[1]Lookup!$B$2:$E$115,2,FALSE),"")</f>
        <v/>
      </c>
      <c r="AU2226" s="65" t="str">
        <f>IFERROR(VLOOKUP(#REF!,[1]Lookup!$B$2:$E$115,3,FALSE),"")</f>
        <v/>
      </c>
    </row>
    <row r="2227" spans="31:47" x14ac:dyDescent="0.3">
      <c r="AE2227" s="204" t="s">
        <v>398</v>
      </c>
      <c r="AF2227" s="204" t="s">
        <v>398</v>
      </c>
      <c r="AG2227" s="204" t="s">
        <v>398</v>
      </c>
      <c r="AS2227" s="65" t="str">
        <f>IFERROR(VLOOKUP(#REF!,[1]Lookup!$B$2:$E$115,4,FALSE),"")</f>
        <v/>
      </c>
      <c r="AT2227" s="65" t="str">
        <f>IFERROR(VLOOKUP(#REF!,[1]Lookup!$B$2:$E$115,2,FALSE),"")</f>
        <v/>
      </c>
      <c r="AU2227" s="65" t="str">
        <f>IFERROR(VLOOKUP(#REF!,[1]Lookup!$B$2:$E$115,3,FALSE),"")</f>
        <v/>
      </c>
    </row>
    <row r="2228" spans="31:47" x14ac:dyDescent="0.3">
      <c r="AE2228" s="204" t="s">
        <v>398</v>
      </c>
      <c r="AF2228" s="204" t="s">
        <v>398</v>
      </c>
      <c r="AG2228" s="204" t="s">
        <v>398</v>
      </c>
      <c r="AS2228" s="65" t="str">
        <f>IFERROR(VLOOKUP(#REF!,[1]Lookup!$B$2:$E$115,4,FALSE),"")</f>
        <v/>
      </c>
      <c r="AT2228" s="65" t="str">
        <f>IFERROR(VLOOKUP(#REF!,[1]Lookup!$B$2:$E$115,2,FALSE),"")</f>
        <v/>
      </c>
      <c r="AU2228" s="65" t="str">
        <f>IFERROR(VLOOKUP(#REF!,[1]Lookup!$B$2:$E$115,3,FALSE),"")</f>
        <v/>
      </c>
    </row>
    <row r="2229" spans="31:47" x14ac:dyDescent="0.3">
      <c r="AE2229" s="204" t="s">
        <v>398</v>
      </c>
      <c r="AF2229" s="204" t="s">
        <v>398</v>
      </c>
      <c r="AG2229" s="204" t="s">
        <v>398</v>
      </c>
      <c r="AS2229" s="65" t="str">
        <f>IFERROR(VLOOKUP(#REF!,[1]Lookup!$B$2:$E$115,4,FALSE),"")</f>
        <v/>
      </c>
      <c r="AT2229" s="65" t="str">
        <f>IFERROR(VLOOKUP(#REF!,[1]Lookup!$B$2:$E$115,2,FALSE),"")</f>
        <v/>
      </c>
      <c r="AU2229" s="65" t="str">
        <f>IFERROR(VLOOKUP(#REF!,[1]Lookup!$B$2:$E$115,3,FALSE),"")</f>
        <v/>
      </c>
    </row>
    <row r="2230" spans="31:47" x14ac:dyDescent="0.3">
      <c r="AE2230" s="204" t="s">
        <v>398</v>
      </c>
      <c r="AF2230" s="204" t="s">
        <v>398</v>
      </c>
      <c r="AG2230" s="204" t="s">
        <v>398</v>
      </c>
      <c r="AS2230" s="65" t="str">
        <f>IFERROR(VLOOKUP(#REF!,[1]Lookup!$B$2:$E$115,4,FALSE),"")</f>
        <v/>
      </c>
      <c r="AT2230" s="65" t="str">
        <f>IFERROR(VLOOKUP(#REF!,[1]Lookup!$B$2:$E$115,2,FALSE),"")</f>
        <v/>
      </c>
      <c r="AU2230" s="65" t="str">
        <f>IFERROR(VLOOKUP(#REF!,[1]Lookup!$B$2:$E$115,3,FALSE),"")</f>
        <v/>
      </c>
    </row>
    <row r="2231" spans="31:47" x14ac:dyDescent="0.3">
      <c r="AE2231" s="204" t="s">
        <v>398</v>
      </c>
      <c r="AF2231" s="204" t="s">
        <v>398</v>
      </c>
      <c r="AG2231" s="204" t="s">
        <v>398</v>
      </c>
      <c r="AS2231" s="65" t="str">
        <f>IFERROR(VLOOKUP(#REF!,[1]Lookup!$B$2:$E$115,4,FALSE),"")</f>
        <v/>
      </c>
      <c r="AT2231" s="65" t="str">
        <f>IFERROR(VLOOKUP(#REF!,[1]Lookup!$B$2:$E$115,2,FALSE),"")</f>
        <v/>
      </c>
      <c r="AU2231" s="65" t="str">
        <f>IFERROR(VLOOKUP(#REF!,[1]Lookup!$B$2:$E$115,3,FALSE),"")</f>
        <v/>
      </c>
    </row>
    <row r="2232" spans="31:47" x14ac:dyDescent="0.3">
      <c r="AE2232" s="204" t="s">
        <v>398</v>
      </c>
      <c r="AF2232" s="204" t="s">
        <v>398</v>
      </c>
      <c r="AG2232" s="204" t="s">
        <v>398</v>
      </c>
      <c r="AS2232" s="65" t="str">
        <f>IFERROR(VLOOKUP(#REF!,[1]Lookup!$B$2:$E$115,4,FALSE),"")</f>
        <v/>
      </c>
      <c r="AT2232" s="65" t="str">
        <f>IFERROR(VLOOKUP(#REF!,[1]Lookup!$B$2:$E$115,2,FALSE),"")</f>
        <v/>
      </c>
      <c r="AU2232" s="65" t="str">
        <f>IFERROR(VLOOKUP(#REF!,[1]Lookup!$B$2:$E$115,3,FALSE),"")</f>
        <v/>
      </c>
    </row>
    <row r="2233" spans="31:47" x14ac:dyDescent="0.3">
      <c r="AE2233" s="204" t="s">
        <v>398</v>
      </c>
      <c r="AF2233" s="204" t="s">
        <v>398</v>
      </c>
      <c r="AG2233" s="204" t="s">
        <v>398</v>
      </c>
      <c r="AS2233" s="65" t="str">
        <f>IFERROR(VLOOKUP(#REF!,[1]Lookup!$B$2:$E$115,4,FALSE),"")</f>
        <v/>
      </c>
      <c r="AT2233" s="65" t="str">
        <f>IFERROR(VLOOKUP(#REF!,[1]Lookup!$B$2:$E$115,2,FALSE),"")</f>
        <v/>
      </c>
      <c r="AU2233" s="65" t="str">
        <f>IFERROR(VLOOKUP(#REF!,[1]Lookup!$B$2:$E$115,3,FALSE),"")</f>
        <v/>
      </c>
    </row>
    <row r="2234" spans="31:47" x14ac:dyDescent="0.3">
      <c r="AE2234" s="204" t="s">
        <v>398</v>
      </c>
      <c r="AF2234" s="204" t="s">
        <v>398</v>
      </c>
      <c r="AG2234" s="204" t="s">
        <v>398</v>
      </c>
      <c r="AS2234" s="65" t="str">
        <f>IFERROR(VLOOKUP(#REF!,[1]Lookup!$B$2:$E$115,4,FALSE),"")</f>
        <v/>
      </c>
      <c r="AT2234" s="65" t="str">
        <f>IFERROR(VLOOKUP(#REF!,[1]Lookup!$B$2:$E$115,2,FALSE),"")</f>
        <v/>
      </c>
      <c r="AU2234" s="65" t="str">
        <f>IFERROR(VLOOKUP(#REF!,[1]Lookup!$B$2:$E$115,3,FALSE),"")</f>
        <v/>
      </c>
    </row>
    <row r="2235" spans="31:47" x14ac:dyDescent="0.3">
      <c r="AE2235" s="204" t="s">
        <v>398</v>
      </c>
      <c r="AF2235" s="204" t="s">
        <v>398</v>
      </c>
      <c r="AG2235" s="204" t="s">
        <v>398</v>
      </c>
      <c r="AS2235" s="65" t="str">
        <f>IFERROR(VLOOKUP(#REF!,[1]Lookup!$B$2:$E$115,4,FALSE),"")</f>
        <v/>
      </c>
      <c r="AT2235" s="65" t="str">
        <f>IFERROR(VLOOKUP(#REF!,[1]Lookup!$B$2:$E$115,2,FALSE),"")</f>
        <v/>
      </c>
      <c r="AU2235" s="65" t="str">
        <f>IFERROR(VLOOKUP(#REF!,[1]Lookup!$B$2:$E$115,3,FALSE),"")</f>
        <v/>
      </c>
    </row>
    <row r="2236" spans="31:47" x14ac:dyDescent="0.3">
      <c r="AE2236" s="204" t="s">
        <v>398</v>
      </c>
      <c r="AF2236" s="204" t="s">
        <v>398</v>
      </c>
      <c r="AG2236" s="204" t="s">
        <v>398</v>
      </c>
      <c r="AS2236" s="65" t="str">
        <f>IFERROR(VLOOKUP(#REF!,[1]Lookup!$B$2:$E$115,4,FALSE),"")</f>
        <v/>
      </c>
      <c r="AT2236" s="65" t="str">
        <f>IFERROR(VLOOKUP(#REF!,[1]Lookup!$B$2:$E$115,2,FALSE),"")</f>
        <v/>
      </c>
      <c r="AU2236" s="65" t="str">
        <f>IFERROR(VLOOKUP(#REF!,[1]Lookup!$B$2:$E$115,3,FALSE),"")</f>
        <v/>
      </c>
    </row>
    <row r="2237" spans="31:47" x14ac:dyDescent="0.3">
      <c r="AE2237" s="204" t="s">
        <v>398</v>
      </c>
      <c r="AF2237" s="204" t="s">
        <v>398</v>
      </c>
      <c r="AG2237" s="204" t="s">
        <v>398</v>
      </c>
      <c r="AS2237" s="65" t="str">
        <f>IFERROR(VLOOKUP(#REF!,[1]Lookup!$B$2:$E$115,4,FALSE),"")</f>
        <v/>
      </c>
      <c r="AT2237" s="65" t="str">
        <f>IFERROR(VLOOKUP(#REF!,[1]Lookup!$B$2:$E$115,2,FALSE),"")</f>
        <v/>
      </c>
      <c r="AU2237" s="65" t="str">
        <f>IFERROR(VLOOKUP(#REF!,[1]Lookup!$B$2:$E$115,3,FALSE),"")</f>
        <v/>
      </c>
    </row>
    <row r="2238" spans="31:47" x14ac:dyDescent="0.3">
      <c r="AE2238" s="204" t="s">
        <v>398</v>
      </c>
      <c r="AF2238" s="204" t="s">
        <v>398</v>
      </c>
      <c r="AG2238" s="204" t="s">
        <v>398</v>
      </c>
      <c r="AS2238" s="65" t="str">
        <f>IFERROR(VLOOKUP(#REF!,[1]Lookup!$B$2:$E$115,4,FALSE),"")</f>
        <v/>
      </c>
      <c r="AT2238" s="65" t="str">
        <f>IFERROR(VLOOKUP(#REF!,[1]Lookup!$B$2:$E$115,2,FALSE),"")</f>
        <v/>
      </c>
      <c r="AU2238" s="65" t="str">
        <f>IFERROR(VLOOKUP(#REF!,[1]Lookup!$B$2:$E$115,3,FALSE),"")</f>
        <v/>
      </c>
    </row>
    <row r="2239" spans="31:47" x14ac:dyDescent="0.3">
      <c r="AE2239" s="204" t="s">
        <v>398</v>
      </c>
      <c r="AF2239" s="204" t="s">
        <v>398</v>
      </c>
      <c r="AG2239" s="204" t="s">
        <v>398</v>
      </c>
      <c r="AS2239" s="65" t="str">
        <f>IFERROR(VLOOKUP(#REF!,[1]Lookup!$B$2:$E$115,4,FALSE),"")</f>
        <v/>
      </c>
      <c r="AT2239" s="65" t="str">
        <f>IFERROR(VLOOKUP(#REF!,[1]Lookup!$B$2:$E$115,2,FALSE),"")</f>
        <v/>
      </c>
      <c r="AU2239" s="65" t="str">
        <f>IFERROR(VLOOKUP(#REF!,[1]Lookup!$B$2:$E$115,3,FALSE),"")</f>
        <v/>
      </c>
    </row>
    <row r="2240" spans="31:47" x14ac:dyDescent="0.3">
      <c r="AE2240" s="204" t="s">
        <v>398</v>
      </c>
      <c r="AF2240" s="204" t="s">
        <v>398</v>
      </c>
      <c r="AG2240" s="204" t="s">
        <v>398</v>
      </c>
      <c r="AS2240" s="65" t="str">
        <f>IFERROR(VLOOKUP(#REF!,[1]Lookup!$B$2:$E$115,4,FALSE),"")</f>
        <v/>
      </c>
      <c r="AT2240" s="65" t="str">
        <f>IFERROR(VLOOKUP(#REF!,[1]Lookup!$B$2:$E$115,2,FALSE),"")</f>
        <v/>
      </c>
      <c r="AU2240" s="65" t="str">
        <f>IFERROR(VLOOKUP(#REF!,[1]Lookup!$B$2:$E$115,3,FALSE),"")</f>
        <v/>
      </c>
    </row>
    <row r="2241" spans="31:47" x14ac:dyDescent="0.3">
      <c r="AE2241" s="204" t="s">
        <v>398</v>
      </c>
      <c r="AF2241" s="204" t="s">
        <v>398</v>
      </c>
      <c r="AG2241" s="204" t="s">
        <v>398</v>
      </c>
      <c r="AS2241" s="65" t="str">
        <f>IFERROR(VLOOKUP(#REF!,[1]Lookup!$B$2:$E$115,4,FALSE),"")</f>
        <v/>
      </c>
      <c r="AT2241" s="65" t="str">
        <f>IFERROR(VLOOKUP(#REF!,[1]Lookup!$B$2:$E$115,2,FALSE),"")</f>
        <v/>
      </c>
      <c r="AU2241" s="65" t="str">
        <f>IFERROR(VLOOKUP(#REF!,[1]Lookup!$B$2:$E$115,3,FALSE),"")</f>
        <v/>
      </c>
    </row>
    <row r="2242" spans="31:47" x14ac:dyDescent="0.3">
      <c r="AE2242" s="204" t="s">
        <v>398</v>
      </c>
      <c r="AF2242" s="204" t="s">
        <v>398</v>
      </c>
      <c r="AG2242" s="204" t="s">
        <v>398</v>
      </c>
      <c r="AS2242" s="65" t="str">
        <f>IFERROR(VLOOKUP(#REF!,[1]Lookup!$B$2:$E$115,4,FALSE),"")</f>
        <v/>
      </c>
      <c r="AT2242" s="65" t="str">
        <f>IFERROR(VLOOKUP(#REF!,[1]Lookup!$B$2:$E$115,2,FALSE),"")</f>
        <v/>
      </c>
      <c r="AU2242" s="65" t="str">
        <f>IFERROR(VLOOKUP(#REF!,[1]Lookup!$B$2:$E$115,3,FALSE),"")</f>
        <v/>
      </c>
    </row>
    <row r="2243" spans="31:47" x14ac:dyDescent="0.3">
      <c r="AE2243" s="204" t="s">
        <v>398</v>
      </c>
      <c r="AF2243" s="204" t="s">
        <v>398</v>
      </c>
      <c r="AG2243" s="204" t="s">
        <v>398</v>
      </c>
      <c r="AS2243" s="65" t="str">
        <f>IFERROR(VLOOKUP(#REF!,[1]Lookup!$B$2:$E$115,4,FALSE),"")</f>
        <v/>
      </c>
      <c r="AT2243" s="65" t="str">
        <f>IFERROR(VLOOKUP(#REF!,[1]Lookup!$B$2:$E$115,2,FALSE),"")</f>
        <v/>
      </c>
      <c r="AU2243" s="65" t="str">
        <f>IFERROR(VLOOKUP(#REF!,[1]Lookup!$B$2:$E$115,3,FALSE),"")</f>
        <v/>
      </c>
    </row>
    <row r="2244" spans="31:47" x14ac:dyDescent="0.3">
      <c r="AE2244" s="204" t="s">
        <v>398</v>
      </c>
      <c r="AF2244" s="204" t="s">
        <v>398</v>
      </c>
      <c r="AG2244" s="204" t="s">
        <v>398</v>
      </c>
      <c r="AS2244" s="65" t="str">
        <f>IFERROR(VLOOKUP(#REF!,[1]Lookup!$B$2:$E$115,4,FALSE),"")</f>
        <v/>
      </c>
      <c r="AT2244" s="65" t="str">
        <f>IFERROR(VLOOKUP(#REF!,[1]Lookup!$B$2:$E$115,2,FALSE),"")</f>
        <v/>
      </c>
      <c r="AU2244" s="65" t="str">
        <f>IFERROR(VLOOKUP(#REF!,[1]Lookup!$B$2:$E$115,3,FALSE),"")</f>
        <v/>
      </c>
    </row>
    <row r="2245" spans="31:47" x14ac:dyDescent="0.3">
      <c r="AE2245" s="204" t="s">
        <v>398</v>
      </c>
      <c r="AF2245" s="204" t="s">
        <v>398</v>
      </c>
      <c r="AG2245" s="204" t="s">
        <v>398</v>
      </c>
      <c r="AS2245" s="65" t="str">
        <f>IFERROR(VLOOKUP(#REF!,[1]Lookup!$B$2:$E$115,4,FALSE),"")</f>
        <v/>
      </c>
      <c r="AT2245" s="65" t="str">
        <f>IFERROR(VLOOKUP(#REF!,[1]Lookup!$B$2:$E$115,2,FALSE),"")</f>
        <v/>
      </c>
      <c r="AU2245" s="65" t="str">
        <f>IFERROR(VLOOKUP(#REF!,[1]Lookup!$B$2:$E$115,3,FALSE),"")</f>
        <v/>
      </c>
    </row>
    <row r="2246" spans="31:47" x14ac:dyDescent="0.3">
      <c r="AE2246" s="204" t="s">
        <v>398</v>
      </c>
      <c r="AF2246" s="204" t="s">
        <v>398</v>
      </c>
      <c r="AG2246" s="204" t="s">
        <v>398</v>
      </c>
      <c r="AS2246" s="65" t="str">
        <f>IFERROR(VLOOKUP(#REF!,[1]Lookup!$B$2:$E$115,4,FALSE),"")</f>
        <v/>
      </c>
      <c r="AT2246" s="65" t="str">
        <f>IFERROR(VLOOKUP(#REF!,[1]Lookup!$B$2:$E$115,2,FALSE),"")</f>
        <v/>
      </c>
      <c r="AU2246" s="65" t="str">
        <f>IFERROR(VLOOKUP(#REF!,[1]Lookup!$B$2:$E$115,3,FALSE),"")</f>
        <v/>
      </c>
    </row>
    <row r="2247" spans="31:47" x14ac:dyDescent="0.3">
      <c r="AE2247" s="204" t="s">
        <v>398</v>
      </c>
      <c r="AF2247" s="204" t="s">
        <v>398</v>
      </c>
      <c r="AG2247" s="204" t="s">
        <v>398</v>
      </c>
      <c r="AS2247" s="65" t="str">
        <f>IFERROR(VLOOKUP(#REF!,[1]Lookup!$B$2:$E$115,4,FALSE),"")</f>
        <v/>
      </c>
      <c r="AT2247" s="65" t="str">
        <f>IFERROR(VLOOKUP(#REF!,[1]Lookup!$B$2:$E$115,2,FALSE),"")</f>
        <v/>
      </c>
      <c r="AU2247" s="65" t="str">
        <f>IFERROR(VLOOKUP(#REF!,[1]Lookup!$B$2:$E$115,3,FALSE),"")</f>
        <v/>
      </c>
    </row>
    <row r="2248" spans="31:47" x14ac:dyDescent="0.3">
      <c r="AE2248" s="204" t="s">
        <v>398</v>
      </c>
      <c r="AF2248" s="204" t="s">
        <v>398</v>
      </c>
      <c r="AG2248" s="204" t="s">
        <v>398</v>
      </c>
      <c r="AS2248" s="65" t="str">
        <f>IFERROR(VLOOKUP(#REF!,[1]Lookup!$B$2:$E$115,4,FALSE),"")</f>
        <v/>
      </c>
      <c r="AT2248" s="65" t="str">
        <f>IFERROR(VLOOKUP(#REF!,[1]Lookup!$B$2:$E$115,2,FALSE),"")</f>
        <v/>
      </c>
      <c r="AU2248" s="65" t="str">
        <f>IFERROR(VLOOKUP(#REF!,[1]Lookup!$B$2:$E$115,3,FALSE),"")</f>
        <v/>
      </c>
    </row>
    <row r="2249" spans="31:47" x14ac:dyDescent="0.3">
      <c r="AE2249" s="204" t="s">
        <v>398</v>
      </c>
      <c r="AF2249" s="204" t="s">
        <v>398</v>
      </c>
      <c r="AG2249" s="204" t="s">
        <v>398</v>
      </c>
      <c r="AS2249" s="65" t="str">
        <f>IFERROR(VLOOKUP(#REF!,[1]Lookup!$B$2:$E$115,4,FALSE),"")</f>
        <v/>
      </c>
      <c r="AT2249" s="65" t="str">
        <f>IFERROR(VLOOKUP(#REF!,[1]Lookup!$B$2:$E$115,2,FALSE),"")</f>
        <v/>
      </c>
      <c r="AU2249" s="65" t="str">
        <f>IFERROR(VLOOKUP(#REF!,[1]Lookup!$B$2:$E$115,3,FALSE),"")</f>
        <v/>
      </c>
    </row>
    <row r="2250" spans="31:47" x14ac:dyDescent="0.3">
      <c r="AE2250" s="204" t="s">
        <v>398</v>
      </c>
      <c r="AF2250" s="204" t="s">
        <v>398</v>
      </c>
      <c r="AG2250" s="204" t="s">
        <v>398</v>
      </c>
      <c r="AS2250" s="65" t="str">
        <f>IFERROR(VLOOKUP(#REF!,[1]Lookup!$B$2:$E$115,4,FALSE),"")</f>
        <v/>
      </c>
      <c r="AT2250" s="65" t="str">
        <f>IFERROR(VLOOKUP(#REF!,[1]Lookup!$B$2:$E$115,2,FALSE),"")</f>
        <v/>
      </c>
      <c r="AU2250" s="65" t="str">
        <f>IFERROR(VLOOKUP(#REF!,[1]Lookup!$B$2:$E$115,3,FALSE),"")</f>
        <v/>
      </c>
    </row>
    <row r="2251" spans="31:47" x14ac:dyDescent="0.3">
      <c r="AE2251" s="204" t="s">
        <v>398</v>
      </c>
      <c r="AF2251" s="204" t="s">
        <v>398</v>
      </c>
      <c r="AG2251" s="204" t="s">
        <v>398</v>
      </c>
      <c r="AS2251" s="65" t="str">
        <f>IFERROR(VLOOKUP(#REF!,[1]Lookup!$B$2:$E$115,4,FALSE),"")</f>
        <v/>
      </c>
      <c r="AT2251" s="65" t="str">
        <f>IFERROR(VLOOKUP(#REF!,[1]Lookup!$B$2:$E$115,2,FALSE),"")</f>
        <v/>
      </c>
      <c r="AU2251" s="65" t="str">
        <f>IFERROR(VLOOKUP(#REF!,[1]Lookup!$B$2:$E$115,3,FALSE),"")</f>
        <v/>
      </c>
    </row>
    <row r="2252" spans="31:47" x14ac:dyDescent="0.3">
      <c r="AE2252" s="204" t="s">
        <v>398</v>
      </c>
      <c r="AF2252" s="204" t="s">
        <v>398</v>
      </c>
      <c r="AG2252" s="204" t="s">
        <v>398</v>
      </c>
      <c r="AS2252" s="65" t="str">
        <f>IFERROR(VLOOKUP(#REF!,[1]Lookup!$B$2:$E$115,4,FALSE),"")</f>
        <v/>
      </c>
      <c r="AT2252" s="65" t="str">
        <f>IFERROR(VLOOKUP(#REF!,[1]Lookup!$B$2:$E$115,2,FALSE),"")</f>
        <v/>
      </c>
      <c r="AU2252" s="65" t="str">
        <f>IFERROR(VLOOKUP(#REF!,[1]Lookup!$B$2:$E$115,3,FALSE),"")</f>
        <v/>
      </c>
    </row>
    <row r="2253" spans="31:47" x14ac:dyDescent="0.3">
      <c r="AE2253" s="204" t="s">
        <v>398</v>
      </c>
      <c r="AF2253" s="204" t="s">
        <v>398</v>
      </c>
      <c r="AG2253" s="204" t="s">
        <v>398</v>
      </c>
      <c r="AS2253" s="65" t="str">
        <f>IFERROR(VLOOKUP(#REF!,[1]Lookup!$B$2:$E$115,4,FALSE),"")</f>
        <v/>
      </c>
      <c r="AT2253" s="65" t="str">
        <f>IFERROR(VLOOKUP(#REF!,[1]Lookup!$B$2:$E$115,2,FALSE),"")</f>
        <v/>
      </c>
      <c r="AU2253" s="65" t="str">
        <f>IFERROR(VLOOKUP(#REF!,[1]Lookup!$B$2:$E$115,3,FALSE),"")</f>
        <v/>
      </c>
    </row>
    <row r="2254" spans="31:47" x14ac:dyDescent="0.3">
      <c r="AE2254" s="204" t="s">
        <v>398</v>
      </c>
      <c r="AF2254" s="204" t="s">
        <v>398</v>
      </c>
      <c r="AG2254" s="204" t="s">
        <v>398</v>
      </c>
      <c r="AS2254" s="65" t="str">
        <f>IFERROR(VLOOKUP(#REF!,[1]Lookup!$B$2:$E$115,4,FALSE),"")</f>
        <v/>
      </c>
      <c r="AT2254" s="65" t="str">
        <f>IFERROR(VLOOKUP(#REF!,[1]Lookup!$B$2:$E$115,2,FALSE),"")</f>
        <v/>
      </c>
      <c r="AU2254" s="65" t="str">
        <f>IFERROR(VLOOKUP(#REF!,[1]Lookup!$B$2:$E$115,3,FALSE),"")</f>
        <v/>
      </c>
    </row>
    <row r="2255" spans="31:47" x14ac:dyDescent="0.3">
      <c r="AE2255" s="204" t="s">
        <v>398</v>
      </c>
      <c r="AF2255" s="204" t="s">
        <v>398</v>
      </c>
      <c r="AG2255" s="204" t="s">
        <v>398</v>
      </c>
      <c r="AS2255" s="65" t="str">
        <f>IFERROR(VLOOKUP(#REF!,[1]Lookup!$B$2:$E$115,4,FALSE),"")</f>
        <v/>
      </c>
      <c r="AT2255" s="65" t="str">
        <f>IFERROR(VLOOKUP(#REF!,[1]Lookup!$B$2:$E$115,2,FALSE),"")</f>
        <v/>
      </c>
      <c r="AU2255" s="65" t="str">
        <f>IFERROR(VLOOKUP(#REF!,[1]Lookup!$B$2:$E$115,3,FALSE),"")</f>
        <v/>
      </c>
    </row>
    <row r="2256" spans="31:47" x14ac:dyDescent="0.3">
      <c r="AE2256" s="204" t="s">
        <v>398</v>
      </c>
      <c r="AF2256" s="204" t="s">
        <v>398</v>
      </c>
      <c r="AG2256" s="204" t="s">
        <v>398</v>
      </c>
      <c r="AS2256" s="65" t="str">
        <f>IFERROR(VLOOKUP(#REF!,[1]Lookup!$B$2:$E$115,4,FALSE),"")</f>
        <v/>
      </c>
      <c r="AT2256" s="65" t="str">
        <f>IFERROR(VLOOKUP(#REF!,[1]Lookup!$B$2:$E$115,2,FALSE),"")</f>
        <v/>
      </c>
      <c r="AU2256" s="65" t="str">
        <f>IFERROR(VLOOKUP(#REF!,[1]Lookup!$B$2:$E$115,3,FALSE),"")</f>
        <v/>
      </c>
    </row>
    <row r="2257" spans="31:47" x14ac:dyDescent="0.3">
      <c r="AE2257" s="204" t="s">
        <v>398</v>
      </c>
      <c r="AF2257" s="204" t="s">
        <v>398</v>
      </c>
      <c r="AG2257" s="204" t="s">
        <v>398</v>
      </c>
      <c r="AS2257" s="65" t="str">
        <f>IFERROR(VLOOKUP(#REF!,[1]Lookup!$B$2:$E$115,4,FALSE),"")</f>
        <v/>
      </c>
      <c r="AT2257" s="65" t="str">
        <f>IFERROR(VLOOKUP(#REF!,[1]Lookup!$B$2:$E$115,2,FALSE),"")</f>
        <v/>
      </c>
      <c r="AU2257" s="65" t="str">
        <f>IFERROR(VLOOKUP(#REF!,[1]Lookup!$B$2:$E$115,3,FALSE),"")</f>
        <v/>
      </c>
    </row>
    <row r="2258" spans="31:47" x14ac:dyDescent="0.3">
      <c r="AE2258" s="204" t="s">
        <v>398</v>
      </c>
      <c r="AF2258" s="204" t="s">
        <v>398</v>
      </c>
      <c r="AG2258" s="204" t="s">
        <v>398</v>
      </c>
      <c r="AS2258" s="65" t="str">
        <f>IFERROR(VLOOKUP(#REF!,[1]Lookup!$B$2:$E$115,4,FALSE),"")</f>
        <v/>
      </c>
      <c r="AT2258" s="65" t="str">
        <f>IFERROR(VLOOKUP(#REF!,[1]Lookup!$B$2:$E$115,2,FALSE),"")</f>
        <v/>
      </c>
      <c r="AU2258" s="65" t="str">
        <f>IFERROR(VLOOKUP(#REF!,[1]Lookup!$B$2:$E$115,3,FALSE),"")</f>
        <v/>
      </c>
    </row>
    <row r="2259" spans="31:47" x14ac:dyDescent="0.3">
      <c r="AE2259" s="204" t="s">
        <v>398</v>
      </c>
      <c r="AF2259" s="204" t="s">
        <v>398</v>
      </c>
      <c r="AG2259" s="204" t="s">
        <v>398</v>
      </c>
      <c r="AS2259" s="65" t="str">
        <f>IFERROR(VLOOKUP(#REF!,[1]Lookup!$B$2:$E$115,4,FALSE),"")</f>
        <v/>
      </c>
      <c r="AT2259" s="65" t="str">
        <f>IFERROR(VLOOKUP(#REF!,[1]Lookup!$B$2:$E$115,2,FALSE),"")</f>
        <v/>
      </c>
      <c r="AU2259" s="65" t="str">
        <f>IFERROR(VLOOKUP(#REF!,[1]Lookup!$B$2:$E$115,3,FALSE),"")</f>
        <v/>
      </c>
    </row>
    <row r="2260" spans="31:47" x14ac:dyDescent="0.3">
      <c r="AE2260" s="204" t="s">
        <v>398</v>
      </c>
      <c r="AF2260" s="204" t="s">
        <v>398</v>
      </c>
      <c r="AG2260" s="204" t="s">
        <v>398</v>
      </c>
      <c r="AS2260" s="65" t="str">
        <f>IFERROR(VLOOKUP(#REF!,[1]Lookup!$B$2:$E$115,4,FALSE),"")</f>
        <v/>
      </c>
      <c r="AT2260" s="65" t="str">
        <f>IFERROR(VLOOKUP(#REF!,[1]Lookup!$B$2:$E$115,2,FALSE),"")</f>
        <v/>
      </c>
      <c r="AU2260" s="65" t="str">
        <f>IFERROR(VLOOKUP(#REF!,[1]Lookup!$B$2:$E$115,3,FALSE),"")</f>
        <v/>
      </c>
    </row>
    <row r="2261" spans="31:47" x14ac:dyDescent="0.3">
      <c r="AE2261" s="204" t="s">
        <v>398</v>
      </c>
      <c r="AF2261" s="204" t="s">
        <v>398</v>
      </c>
      <c r="AG2261" s="204" t="s">
        <v>398</v>
      </c>
      <c r="AS2261" s="65" t="str">
        <f>IFERROR(VLOOKUP(#REF!,[1]Lookup!$B$2:$E$115,4,FALSE),"")</f>
        <v/>
      </c>
      <c r="AT2261" s="65" t="str">
        <f>IFERROR(VLOOKUP(#REF!,[1]Lookup!$B$2:$E$115,2,FALSE),"")</f>
        <v/>
      </c>
      <c r="AU2261" s="65" t="str">
        <f>IFERROR(VLOOKUP(#REF!,[1]Lookup!$B$2:$E$115,3,FALSE),"")</f>
        <v/>
      </c>
    </row>
    <row r="2262" spans="31:47" x14ac:dyDescent="0.3">
      <c r="AE2262" s="204" t="s">
        <v>398</v>
      </c>
      <c r="AF2262" s="204" t="s">
        <v>398</v>
      </c>
      <c r="AG2262" s="204" t="s">
        <v>398</v>
      </c>
      <c r="AS2262" s="65" t="str">
        <f>IFERROR(VLOOKUP(#REF!,[1]Lookup!$B$2:$E$115,4,FALSE),"")</f>
        <v/>
      </c>
      <c r="AT2262" s="65" t="str">
        <f>IFERROR(VLOOKUP(#REF!,[1]Lookup!$B$2:$E$115,2,FALSE),"")</f>
        <v/>
      </c>
      <c r="AU2262" s="65" t="str">
        <f>IFERROR(VLOOKUP(#REF!,[1]Lookup!$B$2:$E$115,3,FALSE),"")</f>
        <v/>
      </c>
    </row>
    <row r="2263" spans="31:47" x14ac:dyDescent="0.3">
      <c r="AE2263" s="204" t="s">
        <v>398</v>
      </c>
      <c r="AF2263" s="204" t="s">
        <v>398</v>
      </c>
      <c r="AG2263" s="204" t="s">
        <v>398</v>
      </c>
      <c r="AS2263" s="65" t="str">
        <f>IFERROR(VLOOKUP(#REF!,[1]Lookup!$B$2:$E$115,4,FALSE),"")</f>
        <v/>
      </c>
      <c r="AT2263" s="65" t="str">
        <f>IFERROR(VLOOKUP(#REF!,[1]Lookup!$B$2:$E$115,2,FALSE),"")</f>
        <v/>
      </c>
      <c r="AU2263" s="65" t="str">
        <f>IFERROR(VLOOKUP(#REF!,[1]Lookup!$B$2:$E$115,3,FALSE),"")</f>
        <v/>
      </c>
    </row>
    <row r="2264" spans="31:47" x14ac:dyDescent="0.3">
      <c r="AE2264" s="204" t="s">
        <v>398</v>
      </c>
      <c r="AF2264" s="204" t="s">
        <v>398</v>
      </c>
      <c r="AG2264" s="204" t="s">
        <v>398</v>
      </c>
      <c r="AS2264" s="65" t="str">
        <f>IFERROR(VLOOKUP(#REF!,[1]Lookup!$B$2:$E$115,4,FALSE),"")</f>
        <v/>
      </c>
      <c r="AT2264" s="65" t="str">
        <f>IFERROR(VLOOKUP(#REF!,[1]Lookup!$B$2:$E$115,2,FALSE),"")</f>
        <v/>
      </c>
      <c r="AU2264" s="65" t="str">
        <f>IFERROR(VLOOKUP(#REF!,[1]Lookup!$B$2:$E$115,3,FALSE),"")</f>
        <v/>
      </c>
    </row>
    <row r="2265" spans="31:47" x14ac:dyDescent="0.3">
      <c r="AE2265" s="204" t="s">
        <v>398</v>
      </c>
      <c r="AF2265" s="204" t="s">
        <v>398</v>
      </c>
      <c r="AG2265" s="204" t="s">
        <v>398</v>
      </c>
      <c r="AS2265" s="65" t="str">
        <f>IFERROR(VLOOKUP(#REF!,[1]Lookup!$B$2:$E$115,4,FALSE),"")</f>
        <v/>
      </c>
      <c r="AT2265" s="65" t="str">
        <f>IFERROR(VLOOKUP(#REF!,[1]Lookup!$B$2:$E$115,2,FALSE),"")</f>
        <v/>
      </c>
      <c r="AU2265" s="65" t="str">
        <f>IFERROR(VLOOKUP(#REF!,[1]Lookup!$B$2:$E$115,3,FALSE),"")</f>
        <v/>
      </c>
    </row>
    <row r="2266" spans="31:47" x14ac:dyDescent="0.3">
      <c r="AE2266" s="204" t="s">
        <v>398</v>
      </c>
      <c r="AF2266" s="204" t="s">
        <v>398</v>
      </c>
      <c r="AG2266" s="204" t="s">
        <v>398</v>
      </c>
      <c r="AS2266" s="65" t="str">
        <f>IFERROR(VLOOKUP(#REF!,[1]Lookup!$B$2:$E$115,4,FALSE),"")</f>
        <v/>
      </c>
      <c r="AT2266" s="65" t="str">
        <f>IFERROR(VLOOKUP(#REF!,[1]Lookup!$B$2:$E$115,2,FALSE),"")</f>
        <v/>
      </c>
      <c r="AU2266" s="65" t="str">
        <f>IFERROR(VLOOKUP(#REF!,[1]Lookup!$B$2:$E$115,3,FALSE),"")</f>
        <v/>
      </c>
    </row>
    <row r="2267" spans="31:47" x14ac:dyDescent="0.3">
      <c r="AE2267" s="204" t="s">
        <v>398</v>
      </c>
      <c r="AF2267" s="204" t="s">
        <v>398</v>
      </c>
      <c r="AG2267" s="204" t="s">
        <v>398</v>
      </c>
      <c r="AS2267" s="65" t="str">
        <f>IFERROR(VLOOKUP(#REF!,[1]Lookup!$B$2:$E$115,4,FALSE),"")</f>
        <v/>
      </c>
      <c r="AT2267" s="65" t="str">
        <f>IFERROR(VLOOKUP(#REF!,[1]Lookup!$B$2:$E$115,2,FALSE),"")</f>
        <v/>
      </c>
      <c r="AU2267" s="65" t="str">
        <f>IFERROR(VLOOKUP(#REF!,[1]Lookup!$B$2:$E$115,3,FALSE),"")</f>
        <v/>
      </c>
    </row>
    <row r="2268" spans="31:47" x14ac:dyDescent="0.3">
      <c r="AE2268" s="204" t="s">
        <v>398</v>
      </c>
      <c r="AF2268" s="204" t="s">
        <v>398</v>
      </c>
      <c r="AG2268" s="204" t="s">
        <v>398</v>
      </c>
      <c r="AS2268" s="65" t="str">
        <f>IFERROR(VLOOKUP(#REF!,[1]Lookup!$B$2:$E$115,4,FALSE),"")</f>
        <v/>
      </c>
      <c r="AT2268" s="65" t="str">
        <f>IFERROR(VLOOKUP(#REF!,[1]Lookup!$B$2:$E$115,2,FALSE),"")</f>
        <v/>
      </c>
      <c r="AU2268" s="65" t="str">
        <f>IFERROR(VLOOKUP(#REF!,[1]Lookup!$B$2:$E$115,3,FALSE),"")</f>
        <v/>
      </c>
    </row>
    <row r="2269" spans="31:47" x14ac:dyDescent="0.3">
      <c r="AE2269" s="204" t="s">
        <v>398</v>
      </c>
      <c r="AF2269" s="204" t="s">
        <v>398</v>
      </c>
      <c r="AG2269" s="204" t="s">
        <v>398</v>
      </c>
      <c r="AS2269" s="65" t="str">
        <f>IFERROR(VLOOKUP(#REF!,[1]Lookup!$B$2:$E$115,4,FALSE),"")</f>
        <v/>
      </c>
      <c r="AT2269" s="65" t="str">
        <f>IFERROR(VLOOKUP(#REF!,[1]Lookup!$B$2:$E$115,2,FALSE),"")</f>
        <v/>
      </c>
      <c r="AU2269" s="65" t="str">
        <f>IFERROR(VLOOKUP(#REF!,[1]Lookup!$B$2:$E$115,3,FALSE),"")</f>
        <v/>
      </c>
    </row>
    <row r="2270" spans="31:47" x14ac:dyDescent="0.3">
      <c r="AE2270" s="204" t="s">
        <v>398</v>
      </c>
      <c r="AF2270" s="204" t="s">
        <v>398</v>
      </c>
      <c r="AG2270" s="204" t="s">
        <v>398</v>
      </c>
      <c r="AS2270" s="65" t="str">
        <f>IFERROR(VLOOKUP(#REF!,[1]Lookup!$B$2:$E$115,4,FALSE),"")</f>
        <v/>
      </c>
      <c r="AT2270" s="65" t="str">
        <f>IFERROR(VLOOKUP(#REF!,[1]Lookup!$B$2:$E$115,2,FALSE),"")</f>
        <v/>
      </c>
      <c r="AU2270" s="65" t="str">
        <f>IFERROR(VLOOKUP(#REF!,[1]Lookup!$B$2:$E$115,3,FALSE),"")</f>
        <v/>
      </c>
    </row>
    <row r="2271" spans="31:47" x14ac:dyDescent="0.3">
      <c r="AE2271" s="204" t="s">
        <v>398</v>
      </c>
      <c r="AF2271" s="204" t="s">
        <v>398</v>
      </c>
      <c r="AG2271" s="204" t="s">
        <v>398</v>
      </c>
      <c r="AS2271" s="65" t="str">
        <f>IFERROR(VLOOKUP(#REF!,[1]Lookup!$B$2:$E$115,4,FALSE),"")</f>
        <v/>
      </c>
      <c r="AT2271" s="65" t="str">
        <f>IFERROR(VLOOKUP(#REF!,[1]Lookup!$B$2:$E$115,2,FALSE),"")</f>
        <v/>
      </c>
      <c r="AU2271" s="65" t="str">
        <f>IFERROR(VLOOKUP(#REF!,[1]Lookup!$B$2:$E$115,3,FALSE),"")</f>
        <v/>
      </c>
    </row>
    <row r="2272" spans="31:47" x14ac:dyDescent="0.3">
      <c r="AE2272" s="204" t="s">
        <v>398</v>
      </c>
      <c r="AF2272" s="204" t="s">
        <v>398</v>
      </c>
      <c r="AG2272" s="204" t="s">
        <v>398</v>
      </c>
      <c r="AS2272" s="65" t="str">
        <f>IFERROR(VLOOKUP(#REF!,[1]Lookup!$B$2:$E$115,4,FALSE),"")</f>
        <v/>
      </c>
      <c r="AT2272" s="65" t="str">
        <f>IFERROR(VLOOKUP(#REF!,[1]Lookup!$B$2:$E$115,2,FALSE),"")</f>
        <v/>
      </c>
      <c r="AU2272" s="65" t="str">
        <f>IFERROR(VLOOKUP(#REF!,[1]Lookup!$B$2:$E$115,3,FALSE),"")</f>
        <v/>
      </c>
    </row>
    <row r="2273" spans="31:47" x14ac:dyDescent="0.3">
      <c r="AE2273" s="204" t="s">
        <v>398</v>
      </c>
      <c r="AF2273" s="204" t="s">
        <v>398</v>
      </c>
      <c r="AG2273" s="204" t="s">
        <v>398</v>
      </c>
      <c r="AS2273" s="65" t="str">
        <f>IFERROR(VLOOKUP(#REF!,[1]Lookup!$B$2:$E$115,4,FALSE),"")</f>
        <v/>
      </c>
      <c r="AT2273" s="65" t="str">
        <f>IFERROR(VLOOKUP(#REF!,[1]Lookup!$B$2:$E$115,2,FALSE),"")</f>
        <v/>
      </c>
      <c r="AU2273" s="65" t="str">
        <f>IFERROR(VLOOKUP(#REF!,[1]Lookup!$B$2:$E$115,3,FALSE),"")</f>
        <v/>
      </c>
    </row>
    <row r="2274" spans="31:47" x14ac:dyDescent="0.3">
      <c r="AE2274" s="204" t="s">
        <v>398</v>
      </c>
      <c r="AF2274" s="204" t="s">
        <v>398</v>
      </c>
      <c r="AG2274" s="204" t="s">
        <v>398</v>
      </c>
      <c r="AS2274" s="65" t="str">
        <f>IFERROR(VLOOKUP(#REF!,[1]Lookup!$B$2:$E$115,4,FALSE),"")</f>
        <v/>
      </c>
      <c r="AT2274" s="65" t="str">
        <f>IFERROR(VLOOKUP(#REF!,[1]Lookup!$B$2:$E$115,2,FALSE),"")</f>
        <v/>
      </c>
      <c r="AU2274" s="65" t="str">
        <f>IFERROR(VLOOKUP(#REF!,[1]Lookup!$B$2:$E$115,3,FALSE),"")</f>
        <v/>
      </c>
    </row>
    <row r="2275" spans="31:47" x14ac:dyDescent="0.3">
      <c r="AE2275" s="204" t="s">
        <v>398</v>
      </c>
      <c r="AF2275" s="204" t="s">
        <v>398</v>
      </c>
      <c r="AG2275" s="204" t="s">
        <v>398</v>
      </c>
      <c r="AS2275" s="65" t="str">
        <f>IFERROR(VLOOKUP(#REF!,[1]Lookup!$B$2:$E$115,4,FALSE),"")</f>
        <v/>
      </c>
      <c r="AT2275" s="65" t="str">
        <f>IFERROR(VLOOKUP(#REF!,[1]Lookup!$B$2:$E$115,2,FALSE),"")</f>
        <v/>
      </c>
      <c r="AU2275" s="65" t="str">
        <f>IFERROR(VLOOKUP(#REF!,[1]Lookup!$B$2:$E$115,3,FALSE),"")</f>
        <v/>
      </c>
    </row>
    <row r="2276" spans="31:47" x14ac:dyDescent="0.3">
      <c r="AE2276" s="204" t="s">
        <v>398</v>
      </c>
      <c r="AF2276" s="204" t="s">
        <v>398</v>
      </c>
      <c r="AG2276" s="204" t="s">
        <v>398</v>
      </c>
      <c r="AS2276" s="65" t="str">
        <f>IFERROR(VLOOKUP(#REF!,[1]Lookup!$B$2:$E$115,4,FALSE),"")</f>
        <v/>
      </c>
      <c r="AT2276" s="65" t="str">
        <f>IFERROR(VLOOKUP(#REF!,[1]Lookup!$B$2:$E$115,2,FALSE),"")</f>
        <v/>
      </c>
      <c r="AU2276" s="65" t="str">
        <f>IFERROR(VLOOKUP(#REF!,[1]Lookup!$B$2:$E$115,3,FALSE),"")</f>
        <v/>
      </c>
    </row>
    <row r="2277" spans="31:47" x14ac:dyDescent="0.3">
      <c r="AE2277" s="204" t="s">
        <v>398</v>
      </c>
      <c r="AF2277" s="204" t="s">
        <v>398</v>
      </c>
      <c r="AG2277" s="204" t="s">
        <v>398</v>
      </c>
      <c r="AS2277" s="65" t="str">
        <f>IFERROR(VLOOKUP(#REF!,[1]Lookup!$B$2:$E$115,4,FALSE),"")</f>
        <v/>
      </c>
      <c r="AT2277" s="65" t="str">
        <f>IFERROR(VLOOKUP(#REF!,[1]Lookup!$B$2:$E$115,2,FALSE),"")</f>
        <v/>
      </c>
      <c r="AU2277" s="65" t="str">
        <f>IFERROR(VLOOKUP(#REF!,[1]Lookup!$B$2:$E$115,3,FALSE),"")</f>
        <v/>
      </c>
    </row>
    <row r="2278" spans="31:47" x14ac:dyDescent="0.3">
      <c r="AE2278" s="204" t="s">
        <v>398</v>
      </c>
      <c r="AF2278" s="204" t="s">
        <v>398</v>
      </c>
      <c r="AG2278" s="204" t="s">
        <v>398</v>
      </c>
      <c r="AS2278" s="65" t="str">
        <f>IFERROR(VLOOKUP(#REF!,[1]Lookup!$B$2:$E$115,4,FALSE),"")</f>
        <v/>
      </c>
      <c r="AT2278" s="65" t="str">
        <f>IFERROR(VLOOKUP(#REF!,[1]Lookup!$B$2:$E$115,2,FALSE),"")</f>
        <v/>
      </c>
      <c r="AU2278" s="65" t="str">
        <f>IFERROR(VLOOKUP(#REF!,[1]Lookup!$B$2:$E$115,3,FALSE),"")</f>
        <v/>
      </c>
    </row>
    <row r="2279" spans="31:47" x14ac:dyDescent="0.3">
      <c r="AE2279" s="204" t="s">
        <v>398</v>
      </c>
      <c r="AF2279" s="204" t="s">
        <v>398</v>
      </c>
      <c r="AG2279" s="204" t="s">
        <v>398</v>
      </c>
      <c r="AS2279" s="65" t="str">
        <f>IFERROR(VLOOKUP(#REF!,[1]Lookup!$B$2:$E$115,4,FALSE),"")</f>
        <v/>
      </c>
      <c r="AT2279" s="65" t="str">
        <f>IFERROR(VLOOKUP(#REF!,[1]Lookup!$B$2:$E$115,2,FALSE),"")</f>
        <v/>
      </c>
      <c r="AU2279" s="65" t="str">
        <f>IFERROR(VLOOKUP(#REF!,[1]Lookup!$B$2:$E$115,3,FALSE),"")</f>
        <v/>
      </c>
    </row>
    <row r="2280" spans="31:47" x14ac:dyDescent="0.3">
      <c r="AE2280" s="204" t="s">
        <v>398</v>
      </c>
      <c r="AF2280" s="204" t="s">
        <v>398</v>
      </c>
      <c r="AG2280" s="204" t="s">
        <v>398</v>
      </c>
      <c r="AS2280" s="65" t="str">
        <f>IFERROR(VLOOKUP(#REF!,[1]Lookup!$B$2:$E$115,4,FALSE),"")</f>
        <v/>
      </c>
      <c r="AT2280" s="65" t="str">
        <f>IFERROR(VLOOKUP(#REF!,[1]Lookup!$B$2:$E$115,2,FALSE),"")</f>
        <v/>
      </c>
      <c r="AU2280" s="65" t="str">
        <f>IFERROR(VLOOKUP(#REF!,[1]Lookup!$B$2:$E$115,3,FALSE),"")</f>
        <v/>
      </c>
    </row>
    <row r="2281" spans="31:47" x14ac:dyDescent="0.3">
      <c r="AE2281" s="204" t="s">
        <v>398</v>
      </c>
      <c r="AF2281" s="204" t="s">
        <v>398</v>
      </c>
      <c r="AG2281" s="204" t="s">
        <v>398</v>
      </c>
      <c r="AS2281" s="65" t="str">
        <f>IFERROR(VLOOKUP(#REF!,[1]Lookup!$B$2:$E$115,4,FALSE),"")</f>
        <v/>
      </c>
      <c r="AT2281" s="65" t="str">
        <f>IFERROR(VLOOKUP(#REF!,[1]Lookup!$B$2:$E$115,2,FALSE),"")</f>
        <v/>
      </c>
      <c r="AU2281" s="65" t="str">
        <f>IFERROR(VLOOKUP(#REF!,[1]Lookup!$B$2:$E$115,3,FALSE),"")</f>
        <v/>
      </c>
    </row>
    <row r="2282" spans="31:47" x14ac:dyDescent="0.3">
      <c r="AE2282" s="204" t="s">
        <v>398</v>
      </c>
      <c r="AF2282" s="204" t="s">
        <v>398</v>
      </c>
      <c r="AG2282" s="204" t="s">
        <v>398</v>
      </c>
      <c r="AS2282" s="65" t="str">
        <f>IFERROR(VLOOKUP(#REF!,[1]Lookup!$B$2:$E$115,4,FALSE),"")</f>
        <v/>
      </c>
      <c r="AT2282" s="65" t="str">
        <f>IFERROR(VLOOKUP(#REF!,[1]Lookup!$B$2:$E$115,2,FALSE),"")</f>
        <v/>
      </c>
      <c r="AU2282" s="65" t="str">
        <f>IFERROR(VLOOKUP(#REF!,[1]Lookup!$B$2:$E$115,3,FALSE),"")</f>
        <v/>
      </c>
    </row>
    <row r="2283" spans="31:47" x14ac:dyDescent="0.3">
      <c r="AE2283" s="204" t="s">
        <v>398</v>
      </c>
      <c r="AF2283" s="204" t="s">
        <v>398</v>
      </c>
      <c r="AG2283" s="204" t="s">
        <v>398</v>
      </c>
      <c r="AS2283" s="65" t="str">
        <f>IFERROR(VLOOKUP(#REF!,[1]Lookup!$B$2:$E$115,4,FALSE),"")</f>
        <v/>
      </c>
      <c r="AT2283" s="65" t="str">
        <f>IFERROR(VLOOKUP(#REF!,[1]Lookup!$B$2:$E$115,2,FALSE),"")</f>
        <v/>
      </c>
      <c r="AU2283" s="65" t="str">
        <f>IFERROR(VLOOKUP(#REF!,[1]Lookup!$B$2:$E$115,3,FALSE),"")</f>
        <v/>
      </c>
    </row>
    <row r="2284" spans="31:47" x14ac:dyDescent="0.3">
      <c r="AE2284" s="204" t="s">
        <v>398</v>
      </c>
      <c r="AF2284" s="204" t="s">
        <v>398</v>
      </c>
      <c r="AG2284" s="204" t="s">
        <v>398</v>
      </c>
      <c r="AS2284" s="65" t="str">
        <f>IFERROR(VLOOKUP(#REF!,[1]Lookup!$B$2:$E$115,4,FALSE),"")</f>
        <v/>
      </c>
      <c r="AT2284" s="65" t="str">
        <f>IFERROR(VLOOKUP(#REF!,[1]Lookup!$B$2:$E$115,2,FALSE),"")</f>
        <v/>
      </c>
      <c r="AU2284" s="65" t="str">
        <f>IFERROR(VLOOKUP(#REF!,[1]Lookup!$B$2:$E$115,3,FALSE),"")</f>
        <v/>
      </c>
    </row>
    <row r="2285" spans="31:47" x14ac:dyDescent="0.3">
      <c r="AE2285" s="204" t="s">
        <v>398</v>
      </c>
      <c r="AF2285" s="204" t="s">
        <v>398</v>
      </c>
      <c r="AG2285" s="204" t="s">
        <v>398</v>
      </c>
      <c r="AS2285" s="65" t="str">
        <f>IFERROR(VLOOKUP(#REF!,[1]Lookup!$B$2:$E$115,4,FALSE),"")</f>
        <v/>
      </c>
      <c r="AT2285" s="65" t="str">
        <f>IFERROR(VLOOKUP(#REF!,[1]Lookup!$B$2:$E$115,2,FALSE),"")</f>
        <v/>
      </c>
      <c r="AU2285" s="65" t="str">
        <f>IFERROR(VLOOKUP(#REF!,[1]Lookup!$B$2:$E$115,3,FALSE),"")</f>
        <v/>
      </c>
    </row>
    <row r="2286" spans="31:47" x14ac:dyDescent="0.3">
      <c r="AE2286" s="204" t="s">
        <v>398</v>
      </c>
      <c r="AF2286" s="204" t="s">
        <v>398</v>
      </c>
      <c r="AG2286" s="204" t="s">
        <v>398</v>
      </c>
      <c r="AS2286" s="65" t="str">
        <f>IFERROR(VLOOKUP(#REF!,[1]Lookup!$B$2:$E$115,4,FALSE),"")</f>
        <v/>
      </c>
      <c r="AT2286" s="65" t="str">
        <f>IFERROR(VLOOKUP(#REF!,[1]Lookup!$B$2:$E$115,2,FALSE),"")</f>
        <v/>
      </c>
      <c r="AU2286" s="65" t="str">
        <f>IFERROR(VLOOKUP(#REF!,[1]Lookup!$B$2:$E$115,3,FALSE),"")</f>
        <v/>
      </c>
    </row>
    <row r="2287" spans="31:47" x14ac:dyDescent="0.3">
      <c r="AE2287" s="204" t="s">
        <v>398</v>
      </c>
      <c r="AF2287" s="204" t="s">
        <v>398</v>
      </c>
      <c r="AG2287" s="204" t="s">
        <v>398</v>
      </c>
      <c r="AS2287" s="65" t="str">
        <f>IFERROR(VLOOKUP(#REF!,[1]Lookup!$B$2:$E$115,4,FALSE),"")</f>
        <v/>
      </c>
      <c r="AT2287" s="65" t="str">
        <f>IFERROR(VLOOKUP(#REF!,[1]Lookup!$B$2:$E$115,2,FALSE),"")</f>
        <v/>
      </c>
      <c r="AU2287" s="65" t="str">
        <f>IFERROR(VLOOKUP(#REF!,[1]Lookup!$B$2:$E$115,3,FALSE),"")</f>
        <v/>
      </c>
    </row>
    <row r="2288" spans="31:47" x14ac:dyDescent="0.3">
      <c r="AE2288" s="204" t="s">
        <v>398</v>
      </c>
      <c r="AF2288" s="204" t="s">
        <v>398</v>
      </c>
      <c r="AG2288" s="204" t="s">
        <v>398</v>
      </c>
      <c r="AS2288" s="65" t="str">
        <f>IFERROR(VLOOKUP(#REF!,[1]Lookup!$B$2:$E$115,4,FALSE),"")</f>
        <v/>
      </c>
      <c r="AT2288" s="65" t="str">
        <f>IFERROR(VLOOKUP(#REF!,[1]Lookup!$B$2:$E$115,2,FALSE),"")</f>
        <v/>
      </c>
      <c r="AU2288" s="65" t="str">
        <f>IFERROR(VLOOKUP(#REF!,[1]Lookup!$B$2:$E$115,3,FALSE),"")</f>
        <v/>
      </c>
    </row>
    <row r="2289" spans="31:47" x14ac:dyDescent="0.3">
      <c r="AE2289" s="204" t="s">
        <v>398</v>
      </c>
      <c r="AF2289" s="204" t="s">
        <v>398</v>
      </c>
      <c r="AG2289" s="204" t="s">
        <v>398</v>
      </c>
      <c r="AS2289" s="65" t="str">
        <f>IFERROR(VLOOKUP(#REF!,[1]Lookup!$B$2:$E$115,4,FALSE),"")</f>
        <v/>
      </c>
      <c r="AT2289" s="65" t="str">
        <f>IFERROR(VLOOKUP(#REF!,[1]Lookup!$B$2:$E$115,2,FALSE),"")</f>
        <v/>
      </c>
      <c r="AU2289" s="65" t="str">
        <f>IFERROR(VLOOKUP(#REF!,[1]Lookup!$B$2:$E$115,3,FALSE),"")</f>
        <v/>
      </c>
    </row>
    <row r="2290" spans="31:47" x14ac:dyDescent="0.3">
      <c r="AE2290" s="204" t="s">
        <v>398</v>
      </c>
      <c r="AF2290" s="204" t="s">
        <v>398</v>
      </c>
      <c r="AG2290" s="204" t="s">
        <v>398</v>
      </c>
      <c r="AS2290" s="65" t="str">
        <f>IFERROR(VLOOKUP(#REF!,[1]Lookup!$B$2:$E$115,4,FALSE),"")</f>
        <v/>
      </c>
      <c r="AT2290" s="65" t="str">
        <f>IFERROR(VLOOKUP(#REF!,[1]Lookup!$B$2:$E$115,2,FALSE),"")</f>
        <v/>
      </c>
      <c r="AU2290" s="65" t="str">
        <f>IFERROR(VLOOKUP(#REF!,[1]Lookup!$B$2:$E$115,3,FALSE),"")</f>
        <v/>
      </c>
    </row>
    <row r="2291" spans="31:47" x14ac:dyDescent="0.3">
      <c r="AE2291" s="204" t="s">
        <v>398</v>
      </c>
      <c r="AF2291" s="204" t="s">
        <v>398</v>
      </c>
      <c r="AG2291" s="204" t="s">
        <v>398</v>
      </c>
      <c r="AS2291" s="65" t="str">
        <f>IFERROR(VLOOKUP(#REF!,[1]Lookup!$B$2:$E$115,4,FALSE),"")</f>
        <v/>
      </c>
      <c r="AT2291" s="65" t="str">
        <f>IFERROR(VLOOKUP(#REF!,[1]Lookup!$B$2:$E$115,2,FALSE),"")</f>
        <v/>
      </c>
      <c r="AU2291" s="65" t="str">
        <f>IFERROR(VLOOKUP(#REF!,[1]Lookup!$B$2:$E$115,3,FALSE),"")</f>
        <v/>
      </c>
    </row>
    <row r="2292" spans="31:47" x14ac:dyDescent="0.3">
      <c r="AE2292" s="204" t="s">
        <v>398</v>
      </c>
      <c r="AF2292" s="204" t="s">
        <v>398</v>
      </c>
      <c r="AG2292" s="204" t="s">
        <v>398</v>
      </c>
      <c r="AS2292" s="65" t="str">
        <f>IFERROR(VLOOKUP(#REF!,[1]Lookup!$B$2:$E$115,4,FALSE),"")</f>
        <v/>
      </c>
      <c r="AT2292" s="65" t="str">
        <f>IFERROR(VLOOKUP(#REF!,[1]Lookup!$B$2:$E$115,2,FALSE),"")</f>
        <v/>
      </c>
      <c r="AU2292" s="65" t="str">
        <f>IFERROR(VLOOKUP(#REF!,[1]Lookup!$B$2:$E$115,3,FALSE),"")</f>
        <v/>
      </c>
    </row>
    <row r="2293" spans="31:47" x14ac:dyDescent="0.3">
      <c r="AE2293" s="204" t="s">
        <v>398</v>
      </c>
      <c r="AF2293" s="204" t="s">
        <v>398</v>
      </c>
      <c r="AG2293" s="204" t="s">
        <v>398</v>
      </c>
      <c r="AS2293" s="65" t="str">
        <f>IFERROR(VLOOKUP(#REF!,[1]Lookup!$B$2:$E$115,4,FALSE),"")</f>
        <v/>
      </c>
      <c r="AT2293" s="65" t="str">
        <f>IFERROR(VLOOKUP(#REF!,[1]Lookup!$B$2:$E$115,2,FALSE),"")</f>
        <v/>
      </c>
      <c r="AU2293" s="65" t="str">
        <f>IFERROR(VLOOKUP(#REF!,[1]Lookup!$B$2:$E$115,3,FALSE),"")</f>
        <v/>
      </c>
    </row>
    <row r="2294" spans="31:47" x14ac:dyDescent="0.3">
      <c r="AE2294" s="204" t="s">
        <v>398</v>
      </c>
      <c r="AF2294" s="204" t="s">
        <v>398</v>
      </c>
      <c r="AG2294" s="204" t="s">
        <v>398</v>
      </c>
      <c r="AS2294" s="65" t="str">
        <f>IFERROR(VLOOKUP(#REF!,[1]Lookup!$B$2:$E$115,4,FALSE),"")</f>
        <v/>
      </c>
      <c r="AT2294" s="65" t="str">
        <f>IFERROR(VLOOKUP(#REF!,[1]Lookup!$B$2:$E$115,2,FALSE),"")</f>
        <v/>
      </c>
      <c r="AU2294" s="65" t="str">
        <f>IFERROR(VLOOKUP(#REF!,[1]Lookup!$B$2:$E$115,3,FALSE),"")</f>
        <v/>
      </c>
    </row>
    <row r="2295" spans="31:47" x14ac:dyDescent="0.3">
      <c r="AE2295" s="204" t="s">
        <v>398</v>
      </c>
      <c r="AF2295" s="204" t="s">
        <v>398</v>
      </c>
      <c r="AG2295" s="204" t="s">
        <v>398</v>
      </c>
      <c r="AS2295" s="65" t="str">
        <f>IFERROR(VLOOKUP(#REF!,[1]Lookup!$B$2:$E$115,4,FALSE),"")</f>
        <v/>
      </c>
      <c r="AT2295" s="65" t="str">
        <f>IFERROR(VLOOKUP(#REF!,[1]Lookup!$B$2:$E$115,2,FALSE),"")</f>
        <v/>
      </c>
      <c r="AU2295" s="65" t="str">
        <f>IFERROR(VLOOKUP(#REF!,[1]Lookup!$B$2:$E$115,3,FALSE),"")</f>
        <v/>
      </c>
    </row>
    <row r="2296" spans="31:47" x14ac:dyDescent="0.3">
      <c r="AE2296" s="204" t="s">
        <v>398</v>
      </c>
      <c r="AF2296" s="204" t="s">
        <v>398</v>
      </c>
      <c r="AG2296" s="204" t="s">
        <v>398</v>
      </c>
      <c r="AS2296" s="65" t="str">
        <f>IFERROR(VLOOKUP(#REF!,[1]Lookup!$B$2:$E$115,4,FALSE),"")</f>
        <v/>
      </c>
      <c r="AT2296" s="65" t="str">
        <f>IFERROR(VLOOKUP(#REF!,[1]Lookup!$B$2:$E$115,2,FALSE),"")</f>
        <v/>
      </c>
      <c r="AU2296" s="65" t="str">
        <f>IFERROR(VLOOKUP(#REF!,[1]Lookup!$B$2:$E$115,3,FALSE),"")</f>
        <v/>
      </c>
    </row>
    <row r="2297" spans="31:47" x14ac:dyDescent="0.3">
      <c r="AE2297" s="204" t="s">
        <v>398</v>
      </c>
      <c r="AF2297" s="204" t="s">
        <v>398</v>
      </c>
      <c r="AG2297" s="204" t="s">
        <v>398</v>
      </c>
      <c r="AS2297" s="65" t="str">
        <f>IFERROR(VLOOKUP(#REF!,[1]Lookup!$B$2:$E$115,4,FALSE),"")</f>
        <v/>
      </c>
      <c r="AT2297" s="65" t="str">
        <f>IFERROR(VLOOKUP(#REF!,[1]Lookup!$B$2:$E$115,2,FALSE),"")</f>
        <v/>
      </c>
      <c r="AU2297" s="65" t="str">
        <f>IFERROR(VLOOKUP(#REF!,[1]Lookup!$B$2:$E$115,3,FALSE),"")</f>
        <v/>
      </c>
    </row>
    <row r="2298" spans="31:47" x14ac:dyDescent="0.3">
      <c r="AE2298" s="204" t="s">
        <v>398</v>
      </c>
      <c r="AF2298" s="204" t="s">
        <v>398</v>
      </c>
      <c r="AG2298" s="204" t="s">
        <v>398</v>
      </c>
      <c r="AS2298" s="65" t="str">
        <f>IFERROR(VLOOKUP(#REF!,[1]Lookup!$B$2:$E$115,4,FALSE),"")</f>
        <v/>
      </c>
      <c r="AT2298" s="65" t="str">
        <f>IFERROR(VLOOKUP(#REF!,[1]Lookup!$B$2:$E$115,2,FALSE),"")</f>
        <v/>
      </c>
      <c r="AU2298" s="65" t="str">
        <f>IFERROR(VLOOKUP(#REF!,[1]Lookup!$B$2:$E$115,3,FALSE),"")</f>
        <v/>
      </c>
    </row>
    <row r="2299" spans="31:47" x14ac:dyDescent="0.3">
      <c r="AE2299" s="204" t="s">
        <v>398</v>
      </c>
      <c r="AF2299" s="204" t="s">
        <v>398</v>
      </c>
      <c r="AG2299" s="204" t="s">
        <v>398</v>
      </c>
      <c r="AS2299" s="65" t="str">
        <f>IFERROR(VLOOKUP(#REF!,[1]Lookup!$B$2:$E$115,4,FALSE),"")</f>
        <v/>
      </c>
      <c r="AT2299" s="65" t="str">
        <f>IFERROR(VLOOKUP(#REF!,[1]Lookup!$B$2:$E$115,2,FALSE),"")</f>
        <v/>
      </c>
      <c r="AU2299" s="65" t="str">
        <f>IFERROR(VLOOKUP(#REF!,[1]Lookup!$B$2:$E$115,3,FALSE),"")</f>
        <v/>
      </c>
    </row>
    <row r="2300" spans="31:47" x14ac:dyDescent="0.3">
      <c r="AE2300" s="204" t="s">
        <v>398</v>
      </c>
      <c r="AF2300" s="204" t="s">
        <v>398</v>
      </c>
      <c r="AG2300" s="204" t="s">
        <v>398</v>
      </c>
      <c r="AS2300" s="65" t="str">
        <f>IFERROR(VLOOKUP(#REF!,[1]Lookup!$B$2:$E$115,4,FALSE),"")</f>
        <v/>
      </c>
      <c r="AT2300" s="65" t="str">
        <f>IFERROR(VLOOKUP(#REF!,[1]Lookup!$B$2:$E$115,2,FALSE),"")</f>
        <v/>
      </c>
      <c r="AU2300" s="65" t="str">
        <f>IFERROR(VLOOKUP(#REF!,[1]Lookup!$B$2:$E$115,3,FALSE),"")</f>
        <v/>
      </c>
    </row>
    <row r="2301" spans="31:47" x14ac:dyDescent="0.3">
      <c r="AE2301" s="204" t="s">
        <v>398</v>
      </c>
      <c r="AF2301" s="204" t="s">
        <v>398</v>
      </c>
      <c r="AG2301" s="204" t="s">
        <v>398</v>
      </c>
      <c r="AS2301" s="65" t="str">
        <f>IFERROR(VLOOKUP(#REF!,[1]Lookup!$B$2:$E$115,4,FALSE),"")</f>
        <v/>
      </c>
      <c r="AT2301" s="65" t="str">
        <f>IFERROR(VLOOKUP(#REF!,[1]Lookup!$B$2:$E$115,2,FALSE),"")</f>
        <v/>
      </c>
      <c r="AU2301" s="65" t="str">
        <f>IFERROR(VLOOKUP(#REF!,[1]Lookup!$B$2:$E$115,3,FALSE),"")</f>
        <v/>
      </c>
    </row>
    <row r="2302" spans="31:47" x14ac:dyDescent="0.3">
      <c r="AE2302" s="204" t="s">
        <v>398</v>
      </c>
      <c r="AF2302" s="204" t="s">
        <v>398</v>
      </c>
      <c r="AG2302" s="204" t="s">
        <v>398</v>
      </c>
      <c r="AS2302" s="65" t="str">
        <f>IFERROR(VLOOKUP(#REF!,[1]Lookup!$B$2:$E$115,4,FALSE),"")</f>
        <v/>
      </c>
      <c r="AT2302" s="65" t="str">
        <f>IFERROR(VLOOKUP(#REF!,[1]Lookup!$B$2:$E$115,2,FALSE),"")</f>
        <v/>
      </c>
      <c r="AU2302" s="65" t="str">
        <f>IFERROR(VLOOKUP(#REF!,[1]Lookup!$B$2:$E$115,3,FALSE),"")</f>
        <v/>
      </c>
    </row>
    <row r="2303" spans="31:47" x14ac:dyDescent="0.3">
      <c r="AE2303" s="204" t="s">
        <v>398</v>
      </c>
      <c r="AF2303" s="204" t="s">
        <v>398</v>
      </c>
      <c r="AG2303" s="204" t="s">
        <v>398</v>
      </c>
      <c r="AS2303" s="65" t="str">
        <f>IFERROR(VLOOKUP(#REF!,[1]Lookup!$B$2:$E$115,4,FALSE),"")</f>
        <v/>
      </c>
      <c r="AT2303" s="65" t="str">
        <f>IFERROR(VLOOKUP(#REF!,[1]Lookup!$B$2:$E$115,2,FALSE),"")</f>
        <v/>
      </c>
      <c r="AU2303" s="65" t="str">
        <f>IFERROR(VLOOKUP(#REF!,[1]Lookup!$B$2:$E$115,3,FALSE),"")</f>
        <v/>
      </c>
    </row>
    <row r="2304" spans="31:47" x14ac:dyDescent="0.3">
      <c r="AE2304" s="204" t="s">
        <v>398</v>
      </c>
      <c r="AF2304" s="204" t="s">
        <v>398</v>
      </c>
      <c r="AG2304" s="204" t="s">
        <v>398</v>
      </c>
      <c r="AS2304" s="65" t="str">
        <f>IFERROR(VLOOKUP(#REF!,[1]Lookup!$B$2:$E$115,4,FALSE),"")</f>
        <v/>
      </c>
      <c r="AT2304" s="65" t="str">
        <f>IFERROR(VLOOKUP(#REF!,[1]Lookup!$B$2:$E$115,2,FALSE),"")</f>
        <v/>
      </c>
      <c r="AU2304" s="65" t="str">
        <f>IFERROR(VLOOKUP(#REF!,[1]Lookup!$B$2:$E$115,3,FALSE),"")</f>
        <v/>
      </c>
    </row>
    <row r="2305" spans="31:47" x14ac:dyDescent="0.3">
      <c r="AE2305" s="204" t="s">
        <v>398</v>
      </c>
      <c r="AF2305" s="204" t="s">
        <v>398</v>
      </c>
      <c r="AG2305" s="204" t="s">
        <v>398</v>
      </c>
      <c r="AS2305" s="65" t="str">
        <f>IFERROR(VLOOKUP(#REF!,[1]Lookup!$B$2:$E$115,4,FALSE),"")</f>
        <v/>
      </c>
      <c r="AT2305" s="65" t="str">
        <f>IFERROR(VLOOKUP(#REF!,[1]Lookup!$B$2:$E$115,2,FALSE),"")</f>
        <v/>
      </c>
      <c r="AU2305" s="65" t="str">
        <f>IFERROR(VLOOKUP(#REF!,[1]Lookup!$B$2:$E$115,3,FALSE),"")</f>
        <v/>
      </c>
    </row>
    <row r="2306" spans="31:47" x14ac:dyDescent="0.3">
      <c r="AE2306" s="204" t="s">
        <v>398</v>
      </c>
      <c r="AF2306" s="204" t="s">
        <v>398</v>
      </c>
      <c r="AG2306" s="204" t="s">
        <v>398</v>
      </c>
      <c r="AS2306" s="65" t="str">
        <f>IFERROR(VLOOKUP(#REF!,[1]Lookup!$B$2:$E$115,4,FALSE),"")</f>
        <v/>
      </c>
      <c r="AT2306" s="65" t="str">
        <f>IFERROR(VLOOKUP(#REF!,[1]Lookup!$B$2:$E$115,2,FALSE),"")</f>
        <v/>
      </c>
      <c r="AU2306" s="65" t="str">
        <f>IFERROR(VLOOKUP(#REF!,[1]Lookup!$B$2:$E$115,3,FALSE),"")</f>
        <v/>
      </c>
    </row>
    <row r="2307" spans="31:47" x14ac:dyDescent="0.3">
      <c r="AE2307" s="204" t="s">
        <v>398</v>
      </c>
      <c r="AF2307" s="204" t="s">
        <v>398</v>
      </c>
      <c r="AG2307" s="204" t="s">
        <v>398</v>
      </c>
      <c r="AS2307" s="65" t="str">
        <f>IFERROR(VLOOKUP(#REF!,[1]Lookup!$B$2:$E$115,4,FALSE),"")</f>
        <v/>
      </c>
      <c r="AT2307" s="65" t="str">
        <f>IFERROR(VLOOKUP(#REF!,[1]Lookup!$B$2:$E$115,2,FALSE),"")</f>
        <v/>
      </c>
      <c r="AU2307" s="65" t="str">
        <f>IFERROR(VLOOKUP(#REF!,[1]Lookup!$B$2:$E$115,3,FALSE),"")</f>
        <v/>
      </c>
    </row>
    <row r="2308" spans="31:47" x14ac:dyDescent="0.3">
      <c r="AE2308" s="204" t="s">
        <v>398</v>
      </c>
      <c r="AF2308" s="204" t="s">
        <v>398</v>
      </c>
      <c r="AG2308" s="204" t="s">
        <v>398</v>
      </c>
      <c r="AS2308" s="65" t="str">
        <f>IFERROR(VLOOKUP(#REF!,[1]Lookup!$B$2:$E$115,4,FALSE),"")</f>
        <v/>
      </c>
      <c r="AT2308" s="65" t="str">
        <f>IFERROR(VLOOKUP(#REF!,[1]Lookup!$B$2:$E$115,2,FALSE),"")</f>
        <v/>
      </c>
      <c r="AU2308" s="65" t="str">
        <f>IFERROR(VLOOKUP(#REF!,[1]Lookup!$B$2:$E$115,3,FALSE),"")</f>
        <v/>
      </c>
    </row>
    <row r="2309" spans="31:47" x14ac:dyDescent="0.3">
      <c r="AE2309" s="204" t="s">
        <v>398</v>
      </c>
      <c r="AF2309" s="204" t="s">
        <v>398</v>
      </c>
      <c r="AG2309" s="204" t="s">
        <v>398</v>
      </c>
      <c r="AS2309" s="65" t="str">
        <f>IFERROR(VLOOKUP(#REF!,[1]Lookup!$B$2:$E$115,4,FALSE),"")</f>
        <v/>
      </c>
      <c r="AT2309" s="65" t="str">
        <f>IFERROR(VLOOKUP(#REF!,[1]Lookup!$B$2:$E$115,2,FALSE),"")</f>
        <v/>
      </c>
      <c r="AU2309" s="65" t="str">
        <f>IFERROR(VLOOKUP(#REF!,[1]Lookup!$B$2:$E$115,3,FALSE),"")</f>
        <v/>
      </c>
    </row>
    <row r="2310" spans="31:47" x14ac:dyDescent="0.3">
      <c r="AE2310" s="204" t="s">
        <v>398</v>
      </c>
      <c r="AF2310" s="204" t="s">
        <v>398</v>
      </c>
      <c r="AG2310" s="204" t="s">
        <v>398</v>
      </c>
      <c r="AS2310" s="65" t="str">
        <f>IFERROR(VLOOKUP(#REF!,[1]Lookup!$B$2:$E$115,4,FALSE),"")</f>
        <v/>
      </c>
      <c r="AT2310" s="65" t="str">
        <f>IFERROR(VLOOKUP(#REF!,[1]Lookup!$B$2:$E$115,2,FALSE),"")</f>
        <v/>
      </c>
      <c r="AU2310" s="65" t="str">
        <f>IFERROR(VLOOKUP(#REF!,[1]Lookup!$B$2:$E$115,3,FALSE),"")</f>
        <v/>
      </c>
    </row>
    <row r="2311" spans="31:47" x14ac:dyDescent="0.3">
      <c r="AE2311" s="204" t="s">
        <v>398</v>
      </c>
      <c r="AF2311" s="204" t="s">
        <v>398</v>
      </c>
      <c r="AG2311" s="204" t="s">
        <v>398</v>
      </c>
      <c r="AS2311" s="65" t="str">
        <f>IFERROR(VLOOKUP(#REF!,[1]Lookup!$B$2:$E$115,4,FALSE),"")</f>
        <v/>
      </c>
      <c r="AT2311" s="65" t="str">
        <f>IFERROR(VLOOKUP(#REF!,[1]Lookup!$B$2:$E$115,2,FALSE),"")</f>
        <v/>
      </c>
      <c r="AU2311" s="65" t="str">
        <f>IFERROR(VLOOKUP(#REF!,[1]Lookup!$B$2:$E$115,3,FALSE),"")</f>
        <v/>
      </c>
    </row>
    <row r="2312" spans="31:47" x14ac:dyDescent="0.3">
      <c r="AE2312" s="204" t="s">
        <v>398</v>
      </c>
      <c r="AF2312" s="204" t="s">
        <v>398</v>
      </c>
      <c r="AG2312" s="204" t="s">
        <v>398</v>
      </c>
      <c r="AS2312" s="65" t="str">
        <f>IFERROR(VLOOKUP(#REF!,[1]Lookup!$B$2:$E$115,4,FALSE),"")</f>
        <v/>
      </c>
      <c r="AT2312" s="65" t="str">
        <f>IFERROR(VLOOKUP(#REF!,[1]Lookup!$B$2:$E$115,2,FALSE),"")</f>
        <v/>
      </c>
      <c r="AU2312" s="65" t="str">
        <f>IFERROR(VLOOKUP(#REF!,[1]Lookup!$B$2:$E$115,3,FALSE),"")</f>
        <v/>
      </c>
    </row>
    <row r="2313" spans="31:47" x14ac:dyDescent="0.3">
      <c r="AE2313" s="204" t="s">
        <v>398</v>
      </c>
      <c r="AF2313" s="204" t="s">
        <v>398</v>
      </c>
      <c r="AG2313" s="204" t="s">
        <v>398</v>
      </c>
      <c r="AS2313" s="65" t="str">
        <f>IFERROR(VLOOKUP(#REF!,[1]Lookup!$B$2:$E$115,4,FALSE),"")</f>
        <v/>
      </c>
      <c r="AT2313" s="65" t="str">
        <f>IFERROR(VLOOKUP(#REF!,[1]Lookup!$B$2:$E$115,2,FALSE),"")</f>
        <v/>
      </c>
      <c r="AU2313" s="65" t="str">
        <f>IFERROR(VLOOKUP(#REF!,[1]Lookup!$B$2:$E$115,3,FALSE),"")</f>
        <v/>
      </c>
    </row>
    <row r="2314" spans="31:47" x14ac:dyDescent="0.3">
      <c r="AE2314" s="204" t="s">
        <v>398</v>
      </c>
      <c r="AF2314" s="204" t="s">
        <v>398</v>
      </c>
      <c r="AG2314" s="204" t="s">
        <v>398</v>
      </c>
      <c r="AS2314" s="65" t="str">
        <f>IFERROR(VLOOKUP(#REF!,[1]Lookup!$B$2:$E$115,4,FALSE),"")</f>
        <v/>
      </c>
      <c r="AT2314" s="65" t="str">
        <f>IFERROR(VLOOKUP(#REF!,[1]Lookup!$B$2:$E$115,2,FALSE),"")</f>
        <v/>
      </c>
      <c r="AU2314" s="65" t="str">
        <f>IFERROR(VLOOKUP(#REF!,[1]Lookup!$B$2:$E$115,3,FALSE),"")</f>
        <v/>
      </c>
    </row>
    <row r="2315" spans="31:47" x14ac:dyDescent="0.3">
      <c r="AE2315" s="204" t="s">
        <v>398</v>
      </c>
      <c r="AF2315" s="204" t="s">
        <v>398</v>
      </c>
      <c r="AG2315" s="204" t="s">
        <v>398</v>
      </c>
      <c r="AS2315" s="65" t="str">
        <f>IFERROR(VLOOKUP(#REF!,[1]Lookup!$B$2:$E$115,4,FALSE),"")</f>
        <v/>
      </c>
      <c r="AT2315" s="65" t="str">
        <f>IFERROR(VLOOKUP(#REF!,[1]Lookup!$B$2:$E$115,2,FALSE),"")</f>
        <v/>
      </c>
      <c r="AU2315" s="65" t="str">
        <f>IFERROR(VLOOKUP(#REF!,[1]Lookup!$B$2:$E$115,3,FALSE),"")</f>
        <v/>
      </c>
    </row>
    <row r="2316" spans="31:47" x14ac:dyDescent="0.3">
      <c r="AE2316" s="204" t="s">
        <v>398</v>
      </c>
      <c r="AF2316" s="204" t="s">
        <v>398</v>
      </c>
      <c r="AG2316" s="204" t="s">
        <v>398</v>
      </c>
      <c r="AS2316" s="65" t="str">
        <f>IFERROR(VLOOKUP(#REF!,[1]Lookup!$B$2:$E$115,4,FALSE),"")</f>
        <v/>
      </c>
      <c r="AT2316" s="65" t="str">
        <f>IFERROR(VLOOKUP(#REF!,[1]Lookup!$B$2:$E$115,2,FALSE),"")</f>
        <v/>
      </c>
      <c r="AU2316" s="65" t="str">
        <f>IFERROR(VLOOKUP(#REF!,[1]Lookup!$B$2:$E$115,3,FALSE),"")</f>
        <v/>
      </c>
    </row>
    <row r="2317" spans="31:47" x14ac:dyDescent="0.3">
      <c r="AE2317" s="204" t="s">
        <v>398</v>
      </c>
      <c r="AF2317" s="204" t="s">
        <v>398</v>
      </c>
      <c r="AG2317" s="204" t="s">
        <v>398</v>
      </c>
      <c r="AS2317" s="65" t="str">
        <f>IFERROR(VLOOKUP(#REF!,[1]Lookup!$B$2:$E$115,4,FALSE),"")</f>
        <v/>
      </c>
      <c r="AT2317" s="65" t="str">
        <f>IFERROR(VLOOKUP(#REF!,[1]Lookup!$B$2:$E$115,2,FALSE),"")</f>
        <v/>
      </c>
      <c r="AU2317" s="65" t="str">
        <f>IFERROR(VLOOKUP(#REF!,[1]Lookup!$B$2:$E$115,3,FALSE),"")</f>
        <v/>
      </c>
    </row>
    <row r="2318" spans="31:47" x14ac:dyDescent="0.3">
      <c r="AE2318" s="204" t="s">
        <v>398</v>
      </c>
      <c r="AF2318" s="204" t="s">
        <v>398</v>
      </c>
      <c r="AG2318" s="204" t="s">
        <v>398</v>
      </c>
      <c r="AS2318" s="65" t="str">
        <f>IFERROR(VLOOKUP(#REF!,[1]Lookup!$B$2:$E$115,4,FALSE),"")</f>
        <v/>
      </c>
      <c r="AT2318" s="65" t="str">
        <f>IFERROR(VLOOKUP(#REF!,[1]Lookup!$B$2:$E$115,2,FALSE),"")</f>
        <v/>
      </c>
      <c r="AU2318" s="65" t="str">
        <f>IFERROR(VLOOKUP(#REF!,[1]Lookup!$B$2:$E$115,3,FALSE),"")</f>
        <v/>
      </c>
    </row>
    <row r="2319" spans="31:47" x14ac:dyDescent="0.3">
      <c r="AE2319" s="204" t="s">
        <v>398</v>
      </c>
      <c r="AF2319" s="204" t="s">
        <v>398</v>
      </c>
      <c r="AG2319" s="204" t="s">
        <v>398</v>
      </c>
      <c r="AS2319" s="65" t="str">
        <f>IFERROR(VLOOKUP(#REF!,[1]Lookup!$B$2:$E$115,4,FALSE),"")</f>
        <v/>
      </c>
      <c r="AT2319" s="65" t="str">
        <f>IFERROR(VLOOKUP(#REF!,[1]Lookup!$B$2:$E$115,2,FALSE),"")</f>
        <v/>
      </c>
      <c r="AU2319" s="65" t="str">
        <f>IFERROR(VLOOKUP(#REF!,[1]Lookup!$B$2:$E$115,3,FALSE),"")</f>
        <v/>
      </c>
    </row>
    <row r="2320" spans="31:47" x14ac:dyDescent="0.3">
      <c r="AE2320" s="204" t="s">
        <v>398</v>
      </c>
      <c r="AF2320" s="204" t="s">
        <v>398</v>
      </c>
      <c r="AG2320" s="204" t="s">
        <v>398</v>
      </c>
      <c r="AS2320" s="65" t="str">
        <f>IFERROR(VLOOKUP(#REF!,[1]Lookup!$B$2:$E$115,4,FALSE),"")</f>
        <v/>
      </c>
      <c r="AT2320" s="65" t="str">
        <f>IFERROR(VLOOKUP(#REF!,[1]Lookup!$B$2:$E$115,2,FALSE),"")</f>
        <v/>
      </c>
      <c r="AU2320" s="65" t="str">
        <f>IFERROR(VLOOKUP(#REF!,[1]Lookup!$B$2:$E$115,3,FALSE),"")</f>
        <v/>
      </c>
    </row>
    <row r="2321" spans="31:47" x14ac:dyDescent="0.3">
      <c r="AE2321" s="204" t="s">
        <v>398</v>
      </c>
      <c r="AF2321" s="204" t="s">
        <v>398</v>
      </c>
      <c r="AG2321" s="204" t="s">
        <v>398</v>
      </c>
      <c r="AS2321" s="65" t="str">
        <f>IFERROR(VLOOKUP(#REF!,[1]Lookup!$B$2:$E$115,4,FALSE),"")</f>
        <v/>
      </c>
      <c r="AT2321" s="65" t="str">
        <f>IFERROR(VLOOKUP(#REF!,[1]Lookup!$B$2:$E$115,2,FALSE),"")</f>
        <v/>
      </c>
      <c r="AU2321" s="65" t="str">
        <f>IFERROR(VLOOKUP(#REF!,[1]Lookup!$B$2:$E$115,3,FALSE),"")</f>
        <v/>
      </c>
    </row>
    <row r="2322" spans="31:47" x14ac:dyDescent="0.3">
      <c r="AE2322" s="204" t="s">
        <v>398</v>
      </c>
      <c r="AF2322" s="204" t="s">
        <v>398</v>
      </c>
      <c r="AG2322" s="204" t="s">
        <v>398</v>
      </c>
      <c r="AS2322" s="65" t="str">
        <f>IFERROR(VLOOKUP(#REF!,[1]Lookup!$B$2:$E$115,4,FALSE),"")</f>
        <v/>
      </c>
      <c r="AT2322" s="65" t="str">
        <f>IFERROR(VLOOKUP(#REF!,[1]Lookup!$B$2:$E$115,2,FALSE),"")</f>
        <v/>
      </c>
      <c r="AU2322" s="65" t="str">
        <f>IFERROR(VLOOKUP(#REF!,[1]Lookup!$B$2:$E$115,3,FALSE),"")</f>
        <v/>
      </c>
    </row>
    <row r="2323" spans="31:47" x14ac:dyDescent="0.3">
      <c r="AE2323" s="204" t="s">
        <v>398</v>
      </c>
      <c r="AF2323" s="204" t="s">
        <v>398</v>
      </c>
      <c r="AG2323" s="204" t="s">
        <v>398</v>
      </c>
      <c r="AS2323" s="65" t="str">
        <f>IFERROR(VLOOKUP(#REF!,[1]Lookup!$B$2:$E$115,4,FALSE),"")</f>
        <v/>
      </c>
      <c r="AT2323" s="65" t="str">
        <f>IFERROR(VLOOKUP(#REF!,[1]Lookup!$B$2:$E$115,2,FALSE),"")</f>
        <v/>
      </c>
      <c r="AU2323" s="65" t="str">
        <f>IFERROR(VLOOKUP(#REF!,[1]Lookup!$B$2:$E$115,3,FALSE),"")</f>
        <v/>
      </c>
    </row>
    <row r="2324" spans="31:47" x14ac:dyDescent="0.3">
      <c r="AE2324" s="204" t="s">
        <v>398</v>
      </c>
      <c r="AF2324" s="204" t="s">
        <v>398</v>
      </c>
      <c r="AG2324" s="204" t="s">
        <v>398</v>
      </c>
      <c r="AS2324" s="65" t="str">
        <f>IFERROR(VLOOKUP(#REF!,[1]Lookup!$B$2:$E$115,4,FALSE),"")</f>
        <v/>
      </c>
      <c r="AT2324" s="65" t="str">
        <f>IFERROR(VLOOKUP(#REF!,[1]Lookup!$B$2:$E$115,2,FALSE),"")</f>
        <v/>
      </c>
      <c r="AU2324" s="65" t="str">
        <f>IFERROR(VLOOKUP(#REF!,[1]Lookup!$B$2:$E$115,3,FALSE),"")</f>
        <v/>
      </c>
    </row>
    <row r="2325" spans="31:47" x14ac:dyDescent="0.3">
      <c r="AE2325" s="204" t="s">
        <v>398</v>
      </c>
      <c r="AF2325" s="204" t="s">
        <v>398</v>
      </c>
      <c r="AG2325" s="204" t="s">
        <v>398</v>
      </c>
      <c r="AS2325" s="65" t="str">
        <f>IFERROR(VLOOKUP(#REF!,[1]Lookup!$B$2:$E$115,4,FALSE),"")</f>
        <v/>
      </c>
      <c r="AT2325" s="65" t="str">
        <f>IFERROR(VLOOKUP(#REF!,[1]Lookup!$B$2:$E$115,2,FALSE),"")</f>
        <v/>
      </c>
      <c r="AU2325" s="65" t="str">
        <f>IFERROR(VLOOKUP(#REF!,[1]Lookup!$B$2:$E$115,3,FALSE),"")</f>
        <v/>
      </c>
    </row>
    <row r="2326" spans="31:47" x14ac:dyDescent="0.3">
      <c r="AE2326" s="204" t="s">
        <v>398</v>
      </c>
      <c r="AF2326" s="204" t="s">
        <v>398</v>
      </c>
      <c r="AG2326" s="204" t="s">
        <v>398</v>
      </c>
      <c r="AS2326" s="65" t="str">
        <f>IFERROR(VLOOKUP(#REF!,[1]Lookup!$B$2:$E$115,4,FALSE),"")</f>
        <v/>
      </c>
      <c r="AT2326" s="65" t="str">
        <f>IFERROR(VLOOKUP(#REF!,[1]Lookup!$B$2:$E$115,2,FALSE),"")</f>
        <v/>
      </c>
      <c r="AU2326" s="65" t="str">
        <f>IFERROR(VLOOKUP(#REF!,[1]Lookup!$B$2:$E$115,3,FALSE),"")</f>
        <v/>
      </c>
    </row>
    <row r="2327" spans="31:47" x14ac:dyDescent="0.3">
      <c r="AE2327" s="204" t="s">
        <v>398</v>
      </c>
      <c r="AF2327" s="204" t="s">
        <v>398</v>
      </c>
      <c r="AG2327" s="204" t="s">
        <v>398</v>
      </c>
      <c r="AS2327" s="65" t="str">
        <f>IFERROR(VLOOKUP(#REF!,[1]Lookup!$B$2:$E$115,4,FALSE),"")</f>
        <v/>
      </c>
      <c r="AT2327" s="65" t="str">
        <f>IFERROR(VLOOKUP(#REF!,[1]Lookup!$B$2:$E$115,2,FALSE),"")</f>
        <v/>
      </c>
      <c r="AU2327" s="65" t="str">
        <f>IFERROR(VLOOKUP(#REF!,[1]Lookup!$B$2:$E$115,3,FALSE),"")</f>
        <v/>
      </c>
    </row>
    <row r="2328" spans="31:47" x14ac:dyDescent="0.3">
      <c r="AE2328" s="204" t="s">
        <v>398</v>
      </c>
      <c r="AF2328" s="204" t="s">
        <v>398</v>
      </c>
      <c r="AG2328" s="204" t="s">
        <v>398</v>
      </c>
      <c r="AS2328" s="65" t="str">
        <f>IFERROR(VLOOKUP(#REF!,[1]Lookup!$B$2:$E$115,4,FALSE),"")</f>
        <v/>
      </c>
      <c r="AT2328" s="65" t="str">
        <f>IFERROR(VLOOKUP(#REF!,[1]Lookup!$B$2:$E$115,2,FALSE),"")</f>
        <v/>
      </c>
      <c r="AU2328" s="65" t="str">
        <f>IFERROR(VLOOKUP(#REF!,[1]Lookup!$B$2:$E$115,3,FALSE),"")</f>
        <v/>
      </c>
    </row>
    <row r="2329" spans="31:47" x14ac:dyDescent="0.3">
      <c r="AE2329" s="204" t="s">
        <v>398</v>
      </c>
      <c r="AF2329" s="204" t="s">
        <v>398</v>
      </c>
      <c r="AG2329" s="204" t="s">
        <v>398</v>
      </c>
      <c r="AS2329" s="65" t="str">
        <f>IFERROR(VLOOKUP(#REF!,[1]Lookup!$B$2:$E$115,4,FALSE),"")</f>
        <v/>
      </c>
      <c r="AT2329" s="65" t="str">
        <f>IFERROR(VLOOKUP(#REF!,[1]Lookup!$B$2:$E$115,2,FALSE),"")</f>
        <v/>
      </c>
      <c r="AU2329" s="65" t="str">
        <f>IFERROR(VLOOKUP(#REF!,[1]Lookup!$B$2:$E$115,3,FALSE),"")</f>
        <v/>
      </c>
    </row>
    <row r="2330" spans="31:47" x14ac:dyDescent="0.3">
      <c r="AE2330" s="204" t="s">
        <v>398</v>
      </c>
      <c r="AF2330" s="204" t="s">
        <v>398</v>
      </c>
      <c r="AG2330" s="204" t="s">
        <v>398</v>
      </c>
      <c r="AS2330" s="65" t="str">
        <f>IFERROR(VLOOKUP(#REF!,[1]Lookup!$B$2:$E$115,4,FALSE),"")</f>
        <v/>
      </c>
      <c r="AT2330" s="65" t="str">
        <f>IFERROR(VLOOKUP(#REF!,[1]Lookup!$B$2:$E$115,2,FALSE),"")</f>
        <v/>
      </c>
      <c r="AU2330" s="65" t="str">
        <f>IFERROR(VLOOKUP(#REF!,[1]Lookup!$B$2:$E$115,3,FALSE),"")</f>
        <v/>
      </c>
    </row>
    <row r="2331" spans="31:47" x14ac:dyDescent="0.3">
      <c r="AE2331" s="204" t="s">
        <v>398</v>
      </c>
      <c r="AF2331" s="204" t="s">
        <v>398</v>
      </c>
      <c r="AG2331" s="204" t="s">
        <v>398</v>
      </c>
      <c r="AS2331" s="65" t="str">
        <f>IFERROR(VLOOKUP(#REF!,[1]Lookup!$B$2:$E$115,4,FALSE),"")</f>
        <v/>
      </c>
      <c r="AT2331" s="65" t="str">
        <f>IFERROR(VLOOKUP(#REF!,[1]Lookup!$B$2:$E$115,2,FALSE),"")</f>
        <v/>
      </c>
      <c r="AU2331" s="65" t="str">
        <f>IFERROR(VLOOKUP(#REF!,[1]Lookup!$B$2:$E$115,3,FALSE),"")</f>
        <v/>
      </c>
    </row>
    <row r="2332" spans="31:47" x14ac:dyDescent="0.3">
      <c r="AE2332" s="204" t="s">
        <v>398</v>
      </c>
      <c r="AF2332" s="204" t="s">
        <v>398</v>
      </c>
      <c r="AG2332" s="204" t="s">
        <v>398</v>
      </c>
      <c r="AS2332" s="65" t="str">
        <f>IFERROR(VLOOKUP(#REF!,[1]Lookup!$B$2:$E$115,4,FALSE),"")</f>
        <v/>
      </c>
      <c r="AT2332" s="65" t="str">
        <f>IFERROR(VLOOKUP(#REF!,[1]Lookup!$B$2:$E$115,2,FALSE),"")</f>
        <v/>
      </c>
      <c r="AU2332" s="65" t="str">
        <f>IFERROR(VLOOKUP(#REF!,[1]Lookup!$B$2:$E$115,3,FALSE),"")</f>
        <v/>
      </c>
    </row>
    <row r="2333" spans="31:47" x14ac:dyDescent="0.3">
      <c r="AE2333" s="204" t="s">
        <v>398</v>
      </c>
      <c r="AF2333" s="204" t="s">
        <v>398</v>
      </c>
      <c r="AG2333" s="204" t="s">
        <v>398</v>
      </c>
      <c r="AS2333" s="65" t="str">
        <f>IFERROR(VLOOKUP(#REF!,[1]Lookup!$B$2:$E$115,4,FALSE),"")</f>
        <v/>
      </c>
      <c r="AT2333" s="65" t="str">
        <f>IFERROR(VLOOKUP(#REF!,[1]Lookup!$B$2:$E$115,2,FALSE),"")</f>
        <v/>
      </c>
      <c r="AU2333" s="65" t="str">
        <f>IFERROR(VLOOKUP(#REF!,[1]Lookup!$B$2:$E$115,3,FALSE),"")</f>
        <v/>
      </c>
    </row>
    <row r="2334" spans="31:47" x14ac:dyDescent="0.3">
      <c r="AE2334" s="204" t="s">
        <v>398</v>
      </c>
      <c r="AF2334" s="204" t="s">
        <v>398</v>
      </c>
      <c r="AG2334" s="204" t="s">
        <v>398</v>
      </c>
      <c r="AS2334" s="65" t="str">
        <f>IFERROR(VLOOKUP(#REF!,[1]Lookup!$B$2:$E$115,4,FALSE),"")</f>
        <v/>
      </c>
      <c r="AT2334" s="65" t="str">
        <f>IFERROR(VLOOKUP(#REF!,[1]Lookup!$B$2:$E$115,2,FALSE),"")</f>
        <v/>
      </c>
      <c r="AU2334" s="65" t="str">
        <f>IFERROR(VLOOKUP(#REF!,[1]Lookup!$B$2:$E$115,3,FALSE),"")</f>
        <v/>
      </c>
    </row>
    <row r="2335" spans="31:47" x14ac:dyDescent="0.3">
      <c r="AE2335" s="204" t="s">
        <v>398</v>
      </c>
      <c r="AF2335" s="204" t="s">
        <v>398</v>
      </c>
      <c r="AG2335" s="204" t="s">
        <v>398</v>
      </c>
      <c r="AS2335" s="65" t="str">
        <f>IFERROR(VLOOKUP(#REF!,[1]Lookup!$B$2:$E$115,4,FALSE),"")</f>
        <v/>
      </c>
      <c r="AT2335" s="65" t="str">
        <f>IFERROR(VLOOKUP(#REF!,[1]Lookup!$B$2:$E$115,2,FALSE),"")</f>
        <v/>
      </c>
      <c r="AU2335" s="65" t="str">
        <f>IFERROR(VLOOKUP(#REF!,[1]Lookup!$B$2:$E$115,3,FALSE),"")</f>
        <v/>
      </c>
    </row>
    <row r="2336" spans="31:47" x14ac:dyDescent="0.3">
      <c r="AE2336" s="204" t="s">
        <v>398</v>
      </c>
      <c r="AF2336" s="204" t="s">
        <v>398</v>
      </c>
      <c r="AG2336" s="204" t="s">
        <v>398</v>
      </c>
      <c r="AS2336" s="65" t="str">
        <f>IFERROR(VLOOKUP(#REF!,[1]Lookup!$B$2:$E$115,4,FALSE),"")</f>
        <v/>
      </c>
      <c r="AT2336" s="65" t="str">
        <f>IFERROR(VLOOKUP(#REF!,[1]Lookup!$B$2:$E$115,2,FALSE),"")</f>
        <v/>
      </c>
      <c r="AU2336" s="65" t="str">
        <f>IFERROR(VLOOKUP(#REF!,[1]Lookup!$B$2:$E$115,3,FALSE),"")</f>
        <v/>
      </c>
    </row>
    <row r="2337" spans="31:47" x14ac:dyDescent="0.3">
      <c r="AE2337" s="204" t="s">
        <v>398</v>
      </c>
      <c r="AF2337" s="204" t="s">
        <v>398</v>
      </c>
      <c r="AG2337" s="204" t="s">
        <v>398</v>
      </c>
      <c r="AS2337" s="65" t="str">
        <f>IFERROR(VLOOKUP(#REF!,[1]Lookup!$B$2:$E$115,4,FALSE),"")</f>
        <v/>
      </c>
      <c r="AT2337" s="65" t="str">
        <f>IFERROR(VLOOKUP(#REF!,[1]Lookup!$B$2:$E$115,2,FALSE),"")</f>
        <v/>
      </c>
      <c r="AU2337" s="65" t="str">
        <f>IFERROR(VLOOKUP(#REF!,[1]Lookup!$B$2:$E$115,3,FALSE),"")</f>
        <v/>
      </c>
    </row>
    <row r="2338" spans="31:47" x14ac:dyDescent="0.3">
      <c r="AE2338" s="204" t="s">
        <v>398</v>
      </c>
      <c r="AF2338" s="204" t="s">
        <v>398</v>
      </c>
      <c r="AG2338" s="204" t="s">
        <v>398</v>
      </c>
      <c r="AS2338" s="65" t="str">
        <f>IFERROR(VLOOKUP(#REF!,[1]Lookup!$B$2:$E$115,4,FALSE),"")</f>
        <v/>
      </c>
      <c r="AT2338" s="65" t="str">
        <f>IFERROR(VLOOKUP(#REF!,[1]Lookup!$B$2:$E$115,2,FALSE),"")</f>
        <v/>
      </c>
      <c r="AU2338" s="65" t="str">
        <f>IFERROR(VLOOKUP(#REF!,[1]Lookup!$B$2:$E$115,3,FALSE),"")</f>
        <v/>
      </c>
    </row>
    <row r="2339" spans="31:47" x14ac:dyDescent="0.3">
      <c r="AE2339" s="204" t="s">
        <v>398</v>
      </c>
      <c r="AF2339" s="204" t="s">
        <v>398</v>
      </c>
      <c r="AG2339" s="204" t="s">
        <v>398</v>
      </c>
      <c r="AS2339" s="65" t="str">
        <f>IFERROR(VLOOKUP(#REF!,[1]Lookup!$B$2:$E$115,4,FALSE),"")</f>
        <v/>
      </c>
      <c r="AT2339" s="65" t="str">
        <f>IFERROR(VLOOKUP(#REF!,[1]Lookup!$B$2:$E$115,2,FALSE),"")</f>
        <v/>
      </c>
      <c r="AU2339" s="65" t="str">
        <f>IFERROR(VLOOKUP(#REF!,[1]Lookup!$B$2:$E$115,3,FALSE),"")</f>
        <v/>
      </c>
    </row>
    <row r="2340" spans="31:47" x14ac:dyDescent="0.3">
      <c r="AE2340" s="204" t="s">
        <v>398</v>
      </c>
      <c r="AF2340" s="204" t="s">
        <v>398</v>
      </c>
      <c r="AG2340" s="204" t="s">
        <v>398</v>
      </c>
      <c r="AS2340" s="65" t="str">
        <f>IFERROR(VLOOKUP(#REF!,[1]Lookup!$B$2:$E$115,4,FALSE),"")</f>
        <v/>
      </c>
      <c r="AT2340" s="65" t="str">
        <f>IFERROR(VLOOKUP(#REF!,[1]Lookup!$B$2:$E$115,2,FALSE),"")</f>
        <v/>
      </c>
      <c r="AU2340" s="65" t="str">
        <f>IFERROR(VLOOKUP(#REF!,[1]Lookup!$B$2:$E$115,3,FALSE),"")</f>
        <v/>
      </c>
    </row>
    <row r="2341" spans="31:47" x14ac:dyDescent="0.3">
      <c r="AE2341" s="204" t="s">
        <v>398</v>
      </c>
      <c r="AF2341" s="204" t="s">
        <v>398</v>
      </c>
      <c r="AG2341" s="204" t="s">
        <v>398</v>
      </c>
      <c r="AS2341" s="65" t="str">
        <f>IFERROR(VLOOKUP(#REF!,[1]Lookup!$B$2:$E$115,4,FALSE),"")</f>
        <v/>
      </c>
      <c r="AT2341" s="65" t="str">
        <f>IFERROR(VLOOKUP(#REF!,[1]Lookup!$B$2:$E$115,2,FALSE),"")</f>
        <v/>
      </c>
      <c r="AU2341" s="65" t="str">
        <f>IFERROR(VLOOKUP(#REF!,[1]Lookup!$B$2:$E$115,3,FALSE),"")</f>
        <v/>
      </c>
    </row>
    <row r="2342" spans="31:47" x14ac:dyDescent="0.3">
      <c r="AE2342" s="204" t="s">
        <v>398</v>
      </c>
      <c r="AF2342" s="204" t="s">
        <v>398</v>
      </c>
      <c r="AG2342" s="204" t="s">
        <v>398</v>
      </c>
      <c r="AS2342" s="65" t="str">
        <f>IFERROR(VLOOKUP(#REF!,[1]Lookup!$B$2:$E$115,4,FALSE),"")</f>
        <v/>
      </c>
      <c r="AT2342" s="65" t="str">
        <f>IFERROR(VLOOKUP(#REF!,[1]Lookup!$B$2:$E$115,2,FALSE),"")</f>
        <v/>
      </c>
      <c r="AU2342" s="65" t="str">
        <f>IFERROR(VLOOKUP(#REF!,[1]Lookup!$B$2:$E$115,3,FALSE),"")</f>
        <v/>
      </c>
    </row>
    <row r="2343" spans="31:47" x14ac:dyDescent="0.3">
      <c r="AE2343" s="204" t="s">
        <v>398</v>
      </c>
      <c r="AF2343" s="204" t="s">
        <v>398</v>
      </c>
      <c r="AG2343" s="204" t="s">
        <v>398</v>
      </c>
      <c r="AS2343" s="65" t="str">
        <f>IFERROR(VLOOKUP(#REF!,[1]Lookup!$B$2:$E$115,4,FALSE),"")</f>
        <v/>
      </c>
      <c r="AT2343" s="65" t="str">
        <f>IFERROR(VLOOKUP(#REF!,[1]Lookup!$B$2:$E$115,2,FALSE),"")</f>
        <v/>
      </c>
      <c r="AU2343" s="65" t="str">
        <f>IFERROR(VLOOKUP(#REF!,[1]Lookup!$B$2:$E$115,3,FALSE),"")</f>
        <v/>
      </c>
    </row>
    <row r="2344" spans="31:47" x14ac:dyDescent="0.3">
      <c r="AE2344" s="204" t="s">
        <v>398</v>
      </c>
      <c r="AF2344" s="204" t="s">
        <v>398</v>
      </c>
      <c r="AG2344" s="204" t="s">
        <v>398</v>
      </c>
      <c r="AS2344" s="65" t="str">
        <f>IFERROR(VLOOKUP(#REF!,[1]Lookup!$B$2:$E$115,4,FALSE),"")</f>
        <v/>
      </c>
      <c r="AT2344" s="65" t="str">
        <f>IFERROR(VLOOKUP(#REF!,[1]Lookup!$B$2:$E$115,2,FALSE),"")</f>
        <v/>
      </c>
      <c r="AU2344" s="65" t="str">
        <f>IFERROR(VLOOKUP(#REF!,[1]Lookup!$B$2:$E$115,3,FALSE),"")</f>
        <v/>
      </c>
    </row>
    <row r="2345" spans="31:47" x14ac:dyDescent="0.3">
      <c r="AE2345" s="204" t="s">
        <v>398</v>
      </c>
      <c r="AF2345" s="204" t="s">
        <v>398</v>
      </c>
      <c r="AG2345" s="204" t="s">
        <v>398</v>
      </c>
      <c r="AS2345" s="65" t="str">
        <f>IFERROR(VLOOKUP(#REF!,[1]Lookup!$B$2:$E$115,4,FALSE),"")</f>
        <v/>
      </c>
      <c r="AT2345" s="65" t="str">
        <f>IFERROR(VLOOKUP(#REF!,[1]Lookup!$B$2:$E$115,2,FALSE),"")</f>
        <v/>
      </c>
      <c r="AU2345" s="65" t="str">
        <f>IFERROR(VLOOKUP(#REF!,[1]Lookup!$B$2:$E$115,3,FALSE),"")</f>
        <v/>
      </c>
    </row>
    <row r="2346" spans="31:47" x14ac:dyDescent="0.3">
      <c r="AE2346" s="204" t="s">
        <v>398</v>
      </c>
      <c r="AF2346" s="204" t="s">
        <v>398</v>
      </c>
      <c r="AG2346" s="204" t="s">
        <v>398</v>
      </c>
      <c r="AS2346" s="65" t="str">
        <f>IFERROR(VLOOKUP(#REF!,[1]Lookup!$B$2:$E$115,4,FALSE),"")</f>
        <v/>
      </c>
      <c r="AT2346" s="65" t="str">
        <f>IFERROR(VLOOKUP(#REF!,[1]Lookup!$B$2:$E$115,2,FALSE),"")</f>
        <v/>
      </c>
      <c r="AU2346" s="65" t="str">
        <f>IFERROR(VLOOKUP(#REF!,[1]Lookup!$B$2:$E$115,3,FALSE),"")</f>
        <v/>
      </c>
    </row>
    <row r="2347" spans="31:47" x14ac:dyDescent="0.3">
      <c r="AE2347" s="204" t="s">
        <v>398</v>
      </c>
      <c r="AF2347" s="204" t="s">
        <v>398</v>
      </c>
      <c r="AG2347" s="204" t="s">
        <v>398</v>
      </c>
      <c r="AS2347" s="65" t="str">
        <f>IFERROR(VLOOKUP(#REF!,[1]Lookup!$B$2:$E$115,4,FALSE),"")</f>
        <v/>
      </c>
      <c r="AT2347" s="65" t="str">
        <f>IFERROR(VLOOKUP(#REF!,[1]Lookup!$B$2:$E$115,2,FALSE),"")</f>
        <v/>
      </c>
      <c r="AU2347" s="65" t="str">
        <f>IFERROR(VLOOKUP(#REF!,[1]Lookup!$B$2:$E$115,3,FALSE),"")</f>
        <v/>
      </c>
    </row>
    <row r="2348" spans="31:47" x14ac:dyDescent="0.3">
      <c r="AE2348" s="204" t="s">
        <v>398</v>
      </c>
      <c r="AF2348" s="204" t="s">
        <v>398</v>
      </c>
      <c r="AG2348" s="204" t="s">
        <v>398</v>
      </c>
      <c r="AS2348" s="65" t="str">
        <f>IFERROR(VLOOKUP(#REF!,[1]Lookup!$B$2:$E$115,4,FALSE),"")</f>
        <v/>
      </c>
      <c r="AT2348" s="65" t="str">
        <f>IFERROR(VLOOKUP(#REF!,[1]Lookup!$B$2:$E$115,2,FALSE),"")</f>
        <v/>
      </c>
      <c r="AU2348" s="65" t="str">
        <f>IFERROR(VLOOKUP(#REF!,[1]Lookup!$B$2:$E$115,3,FALSE),"")</f>
        <v/>
      </c>
    </row>
    <row r="2349" spans="31:47" x14ac:dyDescent="0.3">
      <c r="AE2349" s="204" t="s">
        <v>398</v>
      </c>
      <c r="AF2349" s="204" t="s">
        <v>398</v>
      </c>
      <c r="AG2349" s="204" t="s">
        <v>398</v>
      </c>
      <c r="AS2349" s="65" t="str">
        <f>IFERROR(VLOOKUP(#REF!,[1]Lookup!$B$2:$E$115,4,FALSE),"")</f>
        <v/>
      </c>
      <c r="AT2349" s="65" t="str">
        <f>IFERROR(VLOOKUP(#REF!,[1]Lookup!$B$2:$E$115,2,FALSE),"")</f>
        <v/>
      </c>
      <c r="AU2349" s="65" t="str">
        <f>IFERROR(VLOOKUP(#REF!,[1]Lookup!$B$2:$E$115,3,FALSE),"")</f>
        <v/>
      </c>
    </row>
    <row r="2350" spans="31:47" x14ac:dyDescent="0.3">
      <c r="AE2350" s="204" t="s">
        <v>398</v>
      </c>
      <c r="AF2350" s="204" t="s">
        <v>398</v>
      </c>
      <c r="AG2350" s="204" t="s">
        <v>398</v>
      </c>
      <c r="AS2350" s="65" t="str">
        <f>IFERROR(VLOOKUP(#REF!,[1]Lookup!$B$2:$E$115,4,FALSE),"")</f>
        <v/>
      </c>
      <c r="AT2350" s="65" t="str">
        <f>IFERROR(VLOOKUP(#REF!,[1]Lookup!$B$2:$E$115,2,FALSE),"")</f>
        <v/>
      </c>
      <c r="AU2350" s="65" t="str">
        <f>IFERROR(VLOOKUP(#REF!,[1]Lookup!$B$2:$E$115,3,FALSE),"")</f>
        <v/>
      </c>
    </row>
    <row r="2351" spans="31:47" x14ac:dyDescent="0.3">
      <c r="AE2351" s="204" t="s">
        <v>398</v>
      </c>
      <c r="AF2351" s="204" t="s">
        <v>398</v>
      </c>
      <c r="AG2351" s="204" t="s">
        <v>398</v>
      </c>
      <c r="AS2351" s="65" t="str">
        <f>IFERROR(VLOOKUP(#REF!,[1]Lookup!$B$2:$E$115,4,FALSE),"")</f>
        <v/>
      </c>
      <c r="AT2351" s="65" t="str">
        <f>IFERROR(VLOOKUP(#REF!,[1]Lookup!$B$2:$E$115,2,FALSE),"")</f>
        <v/>
      </c>
      <c r="AU2351" s="65" t="str">
        <f>IFERROR(VLOOKUP(#REF!,[1]Lookup!$B$2:$E$115,3,FALSE),"")</f>
        <v/>
      </c>
    </row>
    <row r="2352" spans="31:47" x14ac:dyDescent="0.3">
      <c r="AE2352" s="204" t="s">
        <v>398</v>
      </c>
      <c r="AF2352" s="204" t="s">
        <v>398</v>
      </c>
      <c r="AG2352" s="204" t="s">
        <v>398</v>
      </c>
      <c r="AS2352" s="65" t="str">
        <f>IFERROR(VLOOKUP(#REF!,[1]Lookup!$B$2:$E$115,4,FALSE),"")</f>
        <v/>
      </c>
      <c r="AT2352" s="65" t="str">
        <f>IFERROR(VLOOKUP(#REF!,[1]Lookup!$B$2:$E$115,2,FALSE),"")</f>
        <v/>
      </c>
      <c r="AU2352" s="65" t="str">
        <f>IFERROR(VLOOKUP(#REF!,[1]Lookup!$B$2:$E$115,3,FALSE),"")</f>
        <v/>
      </c>
    </row>
    <row r="2353" spans="31:47" x14ac:dyDescent="0.3">
      <c r="AE2353" s="204" t="s">
        <v>398</v>
      </c>
      <c r="AF2353" s="204" t="s">
        <v>398</v>
      </c>
      <c r="AG2353" s="204" t="s">
        <v>398</v>
      </c>
      <c r="AS2353" s="65" t="str">
        <f>IFERROR(VLOOKUP(#REF!,[1]Lookup!$B$2:$E$115,4,FALSE),"")</f>
        <v/>
      </c>
      <c r="AT2353" s="65" t="str">
        <f>IFERROR(VLOOKUP(#REF!,[1]Lookup!$B$2:$E$115,2,FALSE),"")</f>
        <v/>
      </c>
      <c r="AU2353" s="65" t="str">
        <f>IFERROR(VLOOKUP(#REF!,[1]Lookup!$B$2:$E$115,3,FALSE),"")</f>
        <v/>
      </c>
    </row>
    <row r="2354" spans="31:47" x14ac:dyDescent="0.3">
      <c r="AE2354" s="204" t="s">
        <v>398</v>
      </c>
      <c r="AF2354" s="204" t="s">
        <v>398</v>
      </c>
      <c r="AG2354" s="204" t="s">
        <v>398</v>
      </c>
      <c r="AS2354" s="65" t="str">
        <f>IFERROR(VLOOKUP(#REF!,[1]Lookup!$B$2:$E$115,4,FALSE),"")</f>
        <v/>
      </c>
      <c r="AT2354" s="65" t="str">
        <f>IFERROR(VLOOKUP(#REF!,[1]Lookup!$B$2:$E$115,2,FALSE),"")</f>
        <v/>
      </c>
      <c r="AU2354" s="65" t="str">
        <f>IFERROR(VLOOKUP(#REF!,[1]Lookup!$B$2:$E$115,3,FALSE),"")</f>
        <v/>
      </c>
    </row>
    <row r="2355" spans="31:47" x14ac:dyDescent="0.3">
      <c r="AE2355" s="204" t="s">
        <v>398</v>
      </c>
      <c r="AF2355" s="204" t="s">
        <v>398</v>
      </c>
      <c r="AG2355" s="204" t="s">
        <v>398</v>
      </c>
      <c r="AS2355" s="65" t="str">
        <f>IFERROR(VLOOKUP(#REF!,[1]Lookup!$B$2:$E$115,4,FALSE),"")</f>
        <v/>
      </c>
      <c r="AT2355" s="65" t="str">
        <f>IFERROR(VLOOKUP(#REF!,[1]Lookup!$B$2:$E$115,2,FALSE),"")</f>
        <v/>
      </c>
      <c r="AU2355" s="65" t="str">
        <f>IFERROR(VLOOKUP(#REF!,[1]Lookup!$B$2:$E$115,3,FALSE),"")</f>
        <v/>
      </c>
    </row>
    <row r="2356" spans="31:47" x14ac:dyDescent="0.3">
      <c r="AE2356" s="204" t="s">
        <v>398</v>
      </c>
      <c r="AF2356" s="204" t="s">
        <v>398</v>
      </c>
      <c r="AG2356" s="204" t="s">
        <v>398</v>
      </c>
      <c r="AS2356" s="65" t="str">
        <f>IFERROR(VLOOKUP(#REF!,[1]Lookup!$B$2:$E$115,4,FALSE),"")</f>
        <v/>
      </c>
      <c r="AT2356" s="65" t="str">
        <f>IFERROR(VLOOKUP(#REF!,[1]Lookup!$B$2:$E$115,2,FALSE),"")</f>
        <v/>
      </c>
      <c r="AU2356" s="65" t="str">
        <f>IFERROR(VLOOKUP(#REF!,[1]Lookup!$B$2:$E$115,3,FALSE),"")</f>
        <v/>
      </c>
    </row>
    <row r="2357" spans="31:47" x14ac:dyDescent="0.3">
      <c r="AE2357" s="204" t="s">
        <v>398</v>
      </c>
      <c r="AF2357" s="204" t="s">
        <v>398</v>
      </c>
      <c r="AG2357" s="204" t="s">
        <v>398</v>
      </c>
      <c r="AS2357" s="65" t="str">
        <f>IFERROR(VLOOKUP(#REF!,[1]Lookup!$B$2:$E$115,4,FALSE),"")</f>
        <v/>
      </c>
      <c r="AT2357" s="65" t="str">
        <f>IFERROR(VLOOKUP(#REF!,[1]Lookup!$B$2:$E$115,2,FALSE),"")</f>
        <v/>
      </c>
      <c r="AU2357" s="65" t="str">
        <f>IFERROR(VLOOKUP(#REF!,[1]Lookup!$B$2:$E$115,3,FALSE),"")</f>
        <v/>
      </c>
    </row>
    <row r="2358" spans="31:47" x14ac:dyDescent="0.3">
      <c r="AE2358" s="204" t="s">
        <v>398</v>
      </c>
      <c r="AF2358" s="204" t="s">
        <v>398</v>
      </c>
      <c r="AG2358" s="204" t="s">
        <v>398</v>
      </c>
      <c r="AS2358" s="65" t="str">
        <f>IFERROR(VLOOKUP(#REF!,[1]Lookup!$B$2:$E$115,4,FALSE),"")</f>
        <v/>
      </c>
      <c r="AT2358" s="65" t="str">
        <f>IFERROR(VLOOKUP(#REF!,[1]Lookup!$B$2:$E$115,2,FALSE),"")</f>
        <v/>
      </c>
      <c r="AU2358" s="65" t="str">
        <f>IFERROR(VLOOKUP(#REF!,[1]Lookup!$B$2:$E$115,3,FALSE),"")</f>
        <v/>
      </c>
    </row>
    <row r="2359" spans="31:47" x14ac:dyDescent="0.3">
      <c r="AE2359" s="204" t="s">
        <v>398</v>
      </c>
      <c r="AF2359" s="204" t="s">
        <v>398</v>
      </c>
      <c r="AG2359" s="204" t="s">
        <v>398</v>
      </c>
      <c r="AS2359" s="65" t="str">
        <f>IFERROR(VLOOKUP(#REF!,[1]Lookup!$B$2:$E$115,4,FALSE),"")</f>
        <v/>
      </c>
      <c r="AT2359" s="65" t="str">
        <f>IFERROR(VLOOKUP(#REF!,[1]Lookup!$B$2:$E$115,2,FALSE),"")</f>
        <v/>
      </c>
      <c r="AU2359" s="65" t="str">
        <f>IFERROR(VLOOKUP(#REF!,[1]Lookup!$B$2:$E$115,3,FALSE),"")</f>
        <v/>
      </c>
    </row>
    <row r="2360" spans="31:47" x14ac:dyDescent="0.3">
      <c r="AE2360" s="204" t="s">
        <v>398</v>
      </c>
      <c r="AF2360" s="204" t="s">
        <v>398</v>
      </c>
      <c r="AG2360" s="204" t="s">
        <v>398</v>
      </c>
      <c r="AS2360" s="65" t="str">
        <f>IFERROR(VLOOKUP(#REF!,[1]Lookup!$B$2:$E$115,4,FALSE),"")</f>
        <v/>
      </c>
      <c r="AT2360" s="65" t="str">
        <f>IFERROR(VLOOKUP(#REF!,[1]Lookup!$B$2:$E$115,2,FALSE),"")</f>
        <v/>
      </c>
      <c r="AU2360" s="65" t="str">
        <f>IFERROR(VLOOKUP(#REF!,[1]Lookup!$B$2:$E$115,3,FALSE),"")</f>
        <v/>
      </c>
    </row>
    <row r="2361" spans="31:47" x14ac:dyDescent="0.3">
      <c r="AE2361" s="204" t="s">
        <v>398</v>
      </c>
      <c r="AF2361" s="204" t="s">
        <v>398</v>
      </c>
      <c r="AG2361" s="204" t="s">
        <v>398</v>
      </c>
      <c r="AS2361" s="65" t="str">
        <f>IFERROR(VLOOKUP(#REF!,[1]Lookup!$B$2:$E$115,4,FALSE),"")</f>
        <v/>
      </c>
      <c r="AT2361" s="65" t="str">
        <f>IFERROR(VLOOKUP(#REF!,[1]Lookup!$B$2:$E$115,2,FALSE),"")</f>
        <v/>
      </c>
      <c r="AU2361" s="65" t="str">
        <f>IFERROR(VLOOKUP(#REF!,[1]Lookup!$B$2:$E$115,3,FALSE),"")</f>
        <v/>
      </c>
    </row>
    <row r="2362" spans="31:47" x14ac:dyDescent="0.3">
      <c r="AE2362" s="204" t="s">
        <v>398</v>
      </c>
      <c r="AF2362" s="204" t="s">
        <v>398</v>
      </c>
      <c r="AG2362" s="204" t="s">
        <v>398</v>
      </c>
      <c r="AS2362" s="65" t="str">
        <f>IFERROR(VLOOKUP(#REF!,[1]Lookup!$B$2:$E$115,4,FALSE),"")</f>
        <v/>
      </c>
      <c r="AT2362" s="65" t="str">
        <f>IFERROR(VLOOKUP(#REF!,[1]Lookup!$B$2:$E$115,2,FALSE),"")</f>
        <v/>
      </c>
      <c r="AU2362" s="65" t="str">
        <f>IFERROR(VLOOKUP(#REF!,[1]Lookup!$B$2:$E$115,3,FALSE),"")</f>
        <v/>
      </c>
    </row>
    <row r="2363" spans="31:47" x14ac:dyDescent="0.3">
      <c r="AE2363" s="204" t="s">
        <v>398</v>
      </c>
      <c r="AF2363" s="204" t="s">
        <v>398</v>
      </c>
      <c r="AG2363" s="204" t="s">
        <v>398</v>
      </c>
      <c r="AS2363" s="65" t="str">
        <f>IFERROR(VLOOKUP(#REF!,[1]Lookup!$B$2:$E$115,4,FALSE),"")</f>
        <v/>
      </c>
      <c r="AT2363" s="65" t="str">
        <f>IFERROR(VLOOKUP(#REF!,[1]Lookup!$B$2:$E$115,2,FALSE),"")</f>
        <v/>
      </c>
      <c r="AU2363" s="65" t="str">
        <f>IFERROR(VLOOKUP(#REF!,[1]Lookup!$B$2:$E$115,3,FALSE),"")</f>
        <v/>
      </c>
    </row>
    <row r="2364" spans="31:47" x14ac:dyDescent="0.3">
      <c r="AE2364" s="204" t="s">
        <v>398</v>
      </c>
      <c r="AF2364" s="204" t="s">
        <v>398</v>
      </c>
      <c r="AG2364" s="204" t="s">
        <v>398</v>
      </c>
      <c r="AS2364" s="65" t="str">
        <f>IFERROR(VLOOKUP(#REF!,[1]Lookup!$B$2:$E$115,4,FALSE),"")</f>
        <v/>
      </c>
      <c r="AT2364" s="65" t="str">
        <f>IFERROR(VLOOKUP(#REF!,[1]Lookup!$B$2:$E$115,2,FALSE),"")</f>
        <v/>
      </c>
      <c r="AU2364" s="65" t="str">
        <f>IFERROR(VLOOKUP(#REF!,[1]Lookup!$B$2:$E$115,3,FALSE),"")</f>
        <v/>
      </c>
    </row>
    <row r="2365" spans="31:47" x14ac:dyDescent="0.3">
      <c r="AE2365" s="204" t="s">
        <v>398</v>
      </c>
      <c r="AF2365" s="204" t="s">
        <v>398</v>
      </c>
      <c r="AG2365" s="204" t="s">
        <v>398</v>
      </c>
      <c r="AS2365" s="65" t="str">
        <f>IFERROR(VLOOKUP(#REF!,[1]Lookup!$B$2:$E$115,4,FALSE),"")</f>
        <v/>
      </c>
      <c r="AT2365" s="65" t="str">
        <f>IFERROR(VLOOKUP(#REF!,[1]Lookup!$B$2:$E$115,2,FALSE),"")</f>
        <v/>
      </c>
      <c r="AU2365" s="65" t="str">
        <f>IFERROR(VLOOKUP(#REF!,[1]Lookup!$B$2:$E$115,3,FALSE),"")</f>
        <v/>
      </c>
    </row>
    <row r="2366" spans="31:47" x14ac:dyDescent="0.3">
      <c r="AE2366" s="204" t="s">
        <v>398</v>
      </c>
      <c r="AF2366" s="204" t="s">
        <v>398</v>
      </c>
      <c r="AG2366" s="204" t="s">
        <v>398</v>
      </c>
      <c r="AS2366" s="65" t="str">
        <f>IFERROR(VLOOKUP(#REF!,[1]Lookup!$B$2:$E$115,4,FALSE),"")</f>
        <v/>
      </c>
      <c r="AT2366" s="65" t="str">
        <f>IFERROR(VLOOKUP(#REF!,[1]Lookup!$B$2:$E$115,2,FALSE),"")</f>
        <v/>
      </c>
      <c r="AU2366" s="65" t="str">
        <f>IFERROR(VLOOKUP(#REF!,[1]Lookup!$B$2:$E$115,3,FALSE),"")</f>
        <v/>
      </c>
    </row>
    <row r="2367" spans="31:47" x14ac:dyDescent="0.3">
      <c r="AE2367" s="204" t="s">
        <v>398</v>
      </c>
      <c r="AF2367" s="204" t="s">
        <v>398</v>
      </c>
      <c r="AG2367" s="204" t="s">
        <v>398</v>
      </c>
      <c r="AS2367" s="65" t="str">
        <f>IFERROR(VLOOKUP(#REF!,[1]Lookup!$B$2:$E$115,4,FALSE),"")</f>
        <v/>
      </c>
      <c r="AT2367" s="65" t="str">
        <f>IFERROR(VLOOKUP(#REF!,[1]Lookup!$B$2:$E$115,2,FALSE),"")</f>
        <v/>
      </c>
      <c r="AU2367" s="65" t="str">
        <f>IFERROR(VLOOKUP(#REF!,[1]Lookup!$B$2:$E$115,3,FALSE),"")</f>
        <v/>
      </c>
    </row>
    <row r="2368" spans="31:47" x14ac:dyDescent="0.3">
      <c r="AE2368" s="204" t="s">
        <v>398</v>
      </c>
      <c r="AF2368" s="204" t="s">
        <v>398</v>
      </c>
      <c r="AG2368" s="204" t="s">
        <v>398</v>
      </c>
      <c r="AS2368" s="65" t="str">
        <f>IFERROR(VLOOKUP(#REF!,[1]Lookup!$B$2:$E$115,4,FALSE),"")</f>
        <v/>
      </c>
      <c r="AT2368" s="65" t="str">
        <f>IFERROR(VLOOKUP(#REF!,[1]Lookup!$B$2:$E$115,2,FALSE),"")</f>
        <v/>
      </c>
      <c r="AU2368" s="65" t="str">
        <f>IFERROR(VLOOKUP(#REF!,[1]Lookup!$B$2:$E$115,3,FALSE),"")</f>
        <v/>
      </c>
    </row>
    <row r="2369" spans="31:47" x14ac:dyDescent="0.3">
      <c r="AE2369" s="204" t="s">
        <v>398</v>
      </c>
      <c r="AF2369" s="204" t="s">
        <v>398</v>
      </c>
      <c r="AG2369" s="204" t="s">
        <v>398</v>
      </c>
      <c r="AS2369" s="65" t="str">
        <f>IFERROR(VLOOKUP(#REF!,[1]Lookup!$B$2:$E$115,4,FALSE),"")</f>
        <v/>
      </c>
      <c r="AT2369" s="65" t="str">
        <f>IFERROR(VLOOKUP(#REF!,[1]Lookup!$B$2:$E$115,2,FALSE),"")</f>
        <v/>
      </c>
      <c r="AU2369" s="65" t="str">
        <f>IFERROR(VLOOKUP(#REF!,[1]Lookup!$B$2:$E$115,3,FALSE),"")</f>
        <v/>
      </c>
    </row>
    <row r="2370" spans="31:47" x14ac:dyDescent="0.3">
      <c r="AE2370" s="204" t="s">
        <v>398</v>
      </c>
      <c r="AF2370" s="204" t="s">
        <v>398</v>
      </c>
      <c r="AG2370" s="204" t="s">
        <v>398</v>
      </c>
      <c r="AS2370" s="65" t="str">
        <f>IFERROR(VLOOKUP(#REF!,[1]Lookup!$B$2:$E$115,4,FALSE),"")</f>
        <v/>
      </c>
      <c r="AT2370" s="65" t="str">
        <f>IFERROR(VLOOKUP(#REF!,[1]Lookup!$B$2:$E$115,2,FALSE),"")</f>
        <v/>
      </c>
      <c r="AU2370" s="65" t="str">
        <f>IFERROR(VLOOKUP(#REF!,[1]Lookup!$B$2:$E$115,3,FALSE),"")</f>
        <v/>
      </c>
    </row>
    <row r="2371" spans="31:47" x14ac:dyDescent="0.3">
      <c r="AE2371" s="204" t="s">
        <v>398</v>
      </c>
      <c r="AF2371" s="204" t="s">
        <v>398</v>
      </c>
      <c r="AG2371" s="204" t="s">
        <v>398</v>
      </c>
      <c r="AS2371" s="65" t="str">
        <f>IFERROR(VLOOKUP(#REF!,[1]Lookup!$B$2:$E$115,4,FALSE),"")</f>
        <v/>
      </c>
      <c r="AT2371" s="65" t="str">
        <f>IFERROR(VLOOKUP(#REF!,[1]Lookup!$B$2:$E$115,2,FALSE),"")</f>
        <v/>
      </c>
      <c r="AU2371" s="65" t="str">
        <f>IFERROR(VLOOKUP(#REF!,[1]Lookup!$B$2:$E$115,3,FALSE),"")</f>
        <v/>
      </c>
    </row>
    <row r="2372" spans="31:47" x14ac:dyDescent="0.3">
      <c r="AE2372" s="204" t="s">
        <v>398</v>
      </c>
      <c r="AF2372" s="204" t="s">
        <v>398</v>
      </c>
      <c r="AG2372" s="204" t="s">
        <v>398</v>
      </c>
      <c r="AS2372" s="65" t="str">
        <f>IFERROR(VLOOKUP(#REF!,[1]Lookup!$B$2:$E$115,4,FALSE),"")</f>
        <v/>
      </c>
      <c r="AT2372" s="65" t="str">
        <f>IFERROR(VLOOKUP(#REF!,[1]Lookup!$B$2:$E$115,2,FALSE),"")</f>
        <v/>
      </c>
      <c r="AU2372" s="65" t="str">
        <f>IFERROR(VLOOKUP(#REF!,[1]Lookup!$B$2:$E$115,3,FALSE),"")</f>
        <v/>
      </c>
    </row>
    <row r="2373" spans="31:47" x14ac:dyDescent="0.3">
      <c r="AE2373" s="204" t="s">
        <v>398</v>
      </c>
      <c r="AF2373" s="204" t="s">
        <v>398</v>
      </c>
      <c r="AG2373" s="204" t="s">
        <v>398</v>
      </c>
      <c r="AS2373" s="65" t="str">
        <f>IFERROR(VLOOKUP(#REF!,[1]Lookup!$B$2:$E$115,4,FALSE),"")</f>
        <v/>
      </c>
      <c r="AT2373" s="65" t="str">
        <f>IFERROR(VLOOKUP(#REF!,[1]Lookup!$B$2:$E$115,2,FALSE),"")</f>
        <v/>
      </c>
      <c r="AU2373" s="65" t="str">
        <f>IFERROR(VLOOKUP(#REF!,[1]Lookup!$B$2:$E$115,3,FALSE),"")</f>
        <v/>
      </c>
    </row>
    <row r="2374" spans="31:47" x14ac:dyDescent="0.3">
      <c r="AE2374" s="204" t="s">
        <v>398</v>
      </c>
      <c r="AF2374" s="204" t="s">
        <v>398</v>
      </c>
      <c r="AG2374" s="204" t="s">
        <v>398</v>
      </c>
      <c r="AS2374" s="65" t="str">
        <f>IFERROR(VLOOKUP(#REF!,[1]Lookup!$B$2:$E$115,4,FALSE),"")</f>
        <v/>
      </c>
      <c r="AT2374" s="65" t="str">
        <f>IFERROR(VLOOKUP(#REF!,[1]Lookup!$B$2:$E$115,2,FALSE),"")</f>
        <v/>
      </c>
      <c r="AU2374" s="65" t="str">
        <f>IFERROR(VLOOKUP(#REF!,[1]Lookup!$B$2:$E$115,3,FALSE),"")</f>
        <v/>
      </c>
    </row>
    <row r="2375" spans="31:47" x14ac:dyDescent="0.3">
      <c r="AE2375" s="204" t="s">
        <v>398</v>
      </c>
      <c r="AF2375" s="204" t="s">
        <v>398</v>
      </c>
      <c r="AG2375" s="204" t="s">
        <v>398</v>
      </c>
      <c r="AS2375" s="65" t="str">
        <f>IFERROR(VLOOKUP(#REF!,[1]Lookup!$B$2:$E$115,4,FALSE),"")</f>
        <v/>
      </c>
      <c r="AT2375" s="65" t="str">
        <f>IFERROR(VLOOKUP(#REF!,[1]Lookup!$B$2:$E$115,2,FALSE),"")</f>
        <v/>
      </c>
      <c r="AU2375" s="65" t="str">
        <f>IFERROR(VLOOKUP(#REF!,[1]Lookup!$B$2:$E$115,3,FALSE),"")</f>
        <v/>
      </c>
    </row>
    <row r="2376" spans="31:47" x14ac:dyDescent="0.3">
      <c r="AE2376" s="204" t="s">
        <v>398</v>
      </c>
      <c r="AF2376" s="204" t="s">
        <v>398</v>
      </c>
      <c r="AG2376" s="204" t="s">
        <v>398</v>
      </c>
      <c r="AS2376" s="65" t="str">
        <f>IFERROR(VLOOKUP(#REF!,[1]Lookup!$B$2:$E$115,4,FALSE),"")</f>
        <v/>
      </c>
      <c r="AT2376" s="65" t="str">
        <f>IFERROR(VLOOKUP(#REF!,[1]Lookup!$B$2:$E$115,2,FALSE),"")</f>
        <v/>
      </c>
      <c r="AU2376" s="65" t="str">
        <f>IFERROR(VLOOKUP(#REF!,[1]Lookup!$B$2:$E$115,3,FALSE),"")</f>
        <v/>
      </c>
    </row>
    <row r="2377" spans="31:47" x14ac:dyDescent="0.3">
      <c r="AE2377" s="204" t="s">
        <v>398</v>
      </c>
      <c r="AF2377" s="204" t="s">
        <v>398</v>
      </c>
      <c r="AG2377" s="204" t="s">
        <v>398</v>
      </c>
      <c r="AS2377" s="65" t="str">
        <f>IFERROR(VLOOKUP(#REF!,[1]Lookup!$B$2:$E$115,4,FALSE),"")</f>
        <v/>
      </c>
      <c r="AT2377" s="65" t="str">
        <f>IFERROR(VLOOKUP(#REF!,[1]Lookup!$B$2:$E$115,2,FALSE),"")</f>
        <v/>
      </c>
      <c r="AU2377" s="65" t="str">
        <f>IFERROR(VLOOKUP(#REF!,[1]Lookup!$B$2:$E$115,3,FALSE),"")</f>
        <v/>
      </c>
    </row>
    <row r="2378" spans="31:47" x14ac:dyDescent="0.3">
      <c r="AE2378" s="204" t="s">
        <v>398</v>
      </c>
      <c r="AF2378" s="204" t="s">
        <v>398</v>
      </c>
      <c r="AG2378" s="204" t="s">
        <v>398</v>
      </c>
      <c r="AS2378" s="65" t="str">
        <f>IFERROR(VLOOKUP(#REF!,[1]Lookup!$B$2:$E$115,4,FALSE),"")</f>
        <v/>
      </c>
      <c r="AT2378" s="65" t="str">
        <f>IFERROR(VLOOKUP(#REF!,[1]Lookup!$B$2:$E$115,2,FALSE),"")</f>
        <v/>
      </c>
      <c r="AU2378" s="65" t="str">
        <f>IFERROR(VLOOKUP(#REF!,[1]Lookup!$B$2:$E$115,3,FALSE),"")</f>
        <v/>
      </c>
    </row>
    <row r="2379" spans="31:47" x14ac:dyDescent="0.3">
      <c r="AE2379" s="204" t="s">
        <v>398</v>
      </c>
      <c r="AF2379" s="204" t="s">
        <v>398</v>
      </c>
      <c r="AG2379" s="204" t="s">
        <v>398</v>
      </c>
      <c r="AS2379" s="65" t="str">
        <f>IFERROR(VLOOKUP(#REF!,[1]Lookup!$B$2:$E$115,4,FALSE),"")</f>
        <v/>
      </c>
      <c r="AT2379" s="65" t="str">
        <f>IFERROR(VLOOKUP(#REF!,[1]Lookup!$B$2:$E$115,2,FALSE),"")</f>
        <v/>
      </c>
      <c r="AU2379" s="65" t="str">
        <f>IFERROR(VLOOKUP(#REF!,[1]Lookup!$B$2:$E$115,3,FALSE),"")</f>
        <v/>
      </c>
    </row>
    <row r="2380" spans="31:47" x14ac:dyDescent="0.3">
      <c r="AE2380" s="204" t="s">
        <v>398</v>
      </c>
      <c r="AF2380" s="204" t="s">
        <v>398</v>
      </c>
      <c r="AG2380" s="204" t="s">
        <v>398</v>
      </c>
      <c r="AS2380" s="65" t="str">
        <f>IFERROR(VLOOKUP(#REF!,[1]Lookup!$B$2:$E$115,4,FALSE),"")</f>
        <v/>
      </c>
      <c r="AT2380" s="65" t="str">
        <f>IFERROR(VLOOKUP(#REF!,[1]Lookup!$B$2:$E$115,2,FALSE),"")</f>
        <v/>
      </c>
      <c r="AU2380" s="65" t="str">
        <f>IFERROR(VLOOKUP(#REF!,[1]Lookup!$B$2:$E$115,3,FALSE),"")</f>
        <v/>
      </c>
    </row>
    <row r="2381" spans="31:47" x14ac:dyDescent="0.3">
      <c r="AE2381" s="204" t="s">
        <v>398</v>
      </c>
      <c r="AF2381" s="204" t="s">
        <v>398</v>
      </c>
      <c r="AG2381" s="204" t="s">
        <v>398</v>
      </c>
      <c r="AS2381" s="65" t="str">
        <f>IFERROR(VLOOKUP(#REF!,[1]Lookup!$B$2:$E$115,4,FALSE),"")</f>
        <v/>
      </c>
      <c r="AT2381" s="65" t="str">
        <f>IFERROR(VLOOKUP(#REF!,[1]Lookup!$B$2:$E$115,2,FALSE),"")</f>
        <v/>
      </c>
      <c r="AU2381" s="65" t="str">
        <f>IFERROR(VLOOKUP(#REF!,[1]Lookup!$B$2:$E$115,3,FALSE),"")</f>
        <v/>
      </c>
    </row>
    <row r="2382" spans="31:47" x14ac:dyDescent="0.3">
      <c r="AE2382" s="204" t="s">
        <v>398</v>
      </c>
      <c r="AF2382" s="204" t="s">
        <v>398</v>
      </c>
      <c r="AG2382" s="204" t="s">
        <v>398</v>
      </c>
      <c r="AS2382" s="65" t="str">
        <f>IFERROR(VLOOKUP(#REF!,[1]Lookup!$B$2:$E$115,4,FALSE),"")</f>
        <v/>
      </c>
      <c r="AT2382" s="65" t="str">
        <f>IFERROR(VLOOKUP(#REF!,[1]Lookup!$B$2:$E$115,2,FALSE),"")</f>
        <v/>
      </c>
      <c r="AU2382" s="65" t="str">
        <f>IFERROR(VLOOKUP(#REF!,[1]Lookup!$B$2:$E$115,3,FALSE),"")</f>
        <v/>
      </c>
    </row>
    <row r="2383" spans="31:47" x14ac:dyDescent="0.3">
      <c r="AE2383" s="204" t="s">
        <v>398</v>
      </c>
      <c r="AF2383" s="204" t="s">
        <v>398</v>
      </c>
      <c r="AG2383" s="204" t="s">
        <v>398</v>
      </c>
      <c r="AS2383" s="65" t="str">
        <f>IFERROR(VLOOKUP(#REF!,[1]Lookup!$B$2:$E$115,4,FALSE),"")</f>
        <v/>
      </c>
      <c r="AT2383" s="65" t="str">
        <f>IFERROR(VLOOKUP(#REF!,[1]Lookup!$B$2:$E$115,2,FALSE),"")</f>
        <v/>
      </c>
      <c r="AU2383" s="65" t="str">
        <f>IFERROR(VLOOKUP(#REF!,[1]Lookup!$B$2:$E$115,3,FALSE),"")</f>
        <v/>
      </c>
    </row>
    <row r="2384" spans="31:47" x14ac:dyDescent="0.3">
      <c r="AE2384" s="204" t="s">
        <v>398</v>
      </c>
      <c r="AF2384" s="204" t="s">
        <v>398</v>
      </c>
      <c r="AG2384" s="204" t="s">
        <v>398</v>
      </c>
      <c r="AS2384" s="65" t="str">
        <f>IFERROR(VLOOKUP(#REF!,[1]Lookup!$B$2:$E$115,4,FALSE),"")</f>
        <v/>
      </c>
      <c r="AT2384" s="65" t="str">
        <f>IFERROR(VLOOKUP(#REF!,[1]Lookup!$B$2:$E$115,2,FALSE),"")</f>
        <v/>
      </c>
      <c r="AU2384" s="65" t="str">
        <f>IFERROR(VLOOKUP(#REF!,[1]Lookup!$B$2:$E$115,3,FALSE),"")</f>
        <v/>
      </c>
    </row>
    <row r="2385" spans="31:47" x14ac:dyDescent="0.3">
      <c r="AE2385" s="204" t="s">
        <v>398</v>
      </c>
      <c r="AF2385" s="204" t="s">
        <v>398</v>
      </c>
      <c r="AG2385" s="204" t="s">
        <v>398</v>
      </c>
      <c r="AS2385" s="65" t="str">
        <f>IFERROR(VLOOKUP(#REF!,[1]Lookup!$B$2:$E$115,4,FALSE),"")</f>
        <v/>
      </c>
      <c r="AT2385" s="65" t="str">
        <f>IFERROR(VLOOKUP(#REF!,[1]Lookup!$B$2:$E$115,2,FALSE),"")</f>
        <v/>
      </c>
      <c r="AU2385" s="65" t="str">
        <f>IFERROR(VLOOKUP(#REF!,[1]Lookup!$B$2:$E$115,3,FALSE),"")</f>
        <v/>
      </c>
    </row>
    <row r="2386" spans="31:47" x14ac:dyDescent="0.3">
      <c r="AE2386" s="204" t="s">
        <v>398</v>
      </c>
      <c r="AF2386" s="204" t="s">
        <v>398</v>
      </c>
      <c r="AG2386" s="204" t="s">
        <v>398</v>
      </c>
      <c r="AS2386" s="65" t="str">
        <f>IFERROR(VLOOKUP(#REF!,[1]Lookup!$B$2:$E$115,4,FALSE),"")</f>
        <v/>
      </c>
      <c r="AT2386" s="65" t="str">
        <f>IFERROR(VLOOKUP(#REF!,[1]Lookup!$B$2:$E$115,2,FALSE),"")</f>
        <v/>
      </c>
      <c r="AU2386" s="65" t="str">
        <f>IFERROR(VLOOKUP(#REF!,[1]Lookup!$B$2:$E$115,3,FALSE),"")</f>
        <v/>
      </c>
    </row>
    <row r="2387" spans="31:47" x14ac:dyDescent="0.3">
      <c r="AE2387" s="204" t="s">
        <v>398</v>
      </c>
      <c r="AF2387" s="204" t="s">
        <v>398</v>
      </c>
      <c r="AG2387" s="204" t="s">
        <v>398</v>
      </c>
      <c r="AS2387" s="65" t="str">
        <f>IFERROR(VLOOKUP(#REF!,[1]Lookup!$B$2:$E$115,4,FALSE),"")</f>
        <v/>
      </c>
      <c r="AT2387" s="65" t="str">
        <f>IFERROR(VLOOKUP(#REF!,[1]Lookup!$B$2:$E$115,2,FALSE),"")</f>
        <v/>
      </c>
      <c r="AU2387" s="65" t="str">
        <f>IFERROR(VLOOKUP(#REF!,[1]Lookup!$B$2:$E$115,3,FALSE),"")</f>
        <v/>
      </c>
    </row>
    <row r="2388" spans="31:47" x14ac:dyDescent="0.3">
      <c r="AE2388" s="204" t="s">
        <v>398</v>
      </c>
      <c r="AF2388" s="204" t="s">
        <v>398</v>
      </c>
      <c r="AG2388" s="204" t="s">
        <v>398</v>
      </c>
      <c r="AS2388" s="65" t="str">
        <f>IFERROR(VLOOKUP(#REF!,[1]Lookup!$B$2:$E$115,4,FALSE),"")</f>
        <v/>
      </c>
      <c r="AT2388" s="65" t="str">
        <f>IFERROR(VLOOKUP(#REF!,[1]Lookup!$B$2:$E$115,2,FALSE),"")</f>
        <v/>
      </c>
      <c r="AU2388" s="65" t="str">
        <f>IFERROR(VLOOKUP(#REF!,[1]Lookup!$B$2:$E$115,3,FALSE),"")</f>
        <v/>
      </c>
    </row>
    <row r="2389" spans="31:47" x14ac:dyDescent="0.3">
      <c r="AE2389" s="204" t="s">
        <v>398</v>
      </c>
      <c r="AF2389" s="204" t="s">
        <v>398</v>
      </c>
      <c r="AG2389" s="204" t="s">
        <v>398</v>
      </c>
      <c r="AS2389" s="65" t="str">
        <f>IFERROR(VLOOKUP(#REF!,[1]Lookup!$B$2:$E$115,4,FALSE),"")</f>
        <v/>
      </c>
      <c r="AT2389" s="65" t="str">
        <f>IFERROR(VLOOKUP(#REF!,[1]Lookup!$B$2:$E$115,2,FALSE),"")</f>
        <v/>
      </c>
      <c r="AU2389" s="65" t="str">
        <f>IFERROR(VLOOKUP(#REF!,[1]Lookup!$B$2:$E$115,3,FALSE),"")</f>
        <v/>
      </c>
    </row>
    <row r="2390" spans="31:47" x14ac:dyDescent="0.3">
      <c r="AE2390" s="204" t="s">
        <v>398</v>
      </c>
      <c r="AF2390" s="204" t="s">
        <v>398</v>
      </c>
      <c r="AG2390" s="204" t="s">
        <v>398</v>
      </c>
      <c r="AS2390" s="65" t="str">
        <f>IFERROR(VLOOKUP(#REF!,[1]Lookup!$B$2:$E$115,4,FALSE),"")</f>
        <v/>
      </c>
      <c r="AT2390" s="65" t="str">
        <f>IFERROR(VLOOKUP(#REF!,[1]Lookup!$B$2:$E$115,2,FALSE),"")</f>
        <v/>
      </c>
      <c r="AU2390" s="65" t="str">
        <f>IFERROR(VLOOKUP(#REF!,[1]Lookup!$B$2:$E$115,3,FALSE),"")</f>
        <v/>
      </c>
    </row>
    <row r="2391" spans="31:47" x14ac:dyDescent="0.3">
      <c r="AE2391" s="204" t="s">
        <v>398</v>
      </c>
      <c r="AF2391" s="204" t="s">
        <v>398</v>
      </c>
      <c r="AG2391" s="204" t="s">
        <v>398</v>
      </c>
      <c r="AS2391" s="65" t="str">
        <f>IFERROR(VLOOKUP(#REF!,[1]Lookup!$B$2:$E$115,4,FALSE),"")</f>
        <v/>
      </c>
      <c r="AT2391" s="65" t="str">
        <f>IFERROR(VLOOKUP(#REF!,[1]Lookup!$B$2:$E$115,2,FALSE),"")</f>
        <v/>
      </c>
      <c r="AU2391" s="65" t="str">
        <f>IFERROR(VLOOKUP(#REF!,[1]Lookup!$B$2:$E$115,3,FALSE),"")</f>
        <v/>
      </c>
    </row>
    <row r="2392" spans="31:47" x14ac:dyDescent="0.3">
      <c r="AE2392" s="204" t="s">
        <v>398</v>
      </c>
      <c r="AF2392" s="204" t="s">
        <v>398</v>
      </c>
      <c r="AG2392" s="204" t="s">
        <v>398</v>
      </c>
      <c r="AS2392" s="65" t="str">
        <f>IFERROR(VLOOKUP(#REF!,[1]Lookup!$B$2:$E$115,4,FALSE),"")</f>
        <v/>
      </c>
      <c r="AT2392" s="65" t="str">
        <f>IFERROR(VLOOKUP(#REF!,[1]Lookup!$B$2:$E$115,2,FALSE),"")</f>
        <v/>
      </c>
      <c r="AU2392" s="65" t="str">
        <f>IFERROR(VLOOKUP(#REF!,[1]Lookup!$B$2:$E$115,3,FALSE),"")</f>
        <v/>
      </c>
    </row>
    <row r="2393" spans="31:47" x14ac:dyDescent="0.3">
      <c r="AE2393" s="204" t="s">
        <v>398</v>
      </c>
      <c r="AF2393" s="204" t="s">
        <v>398</v>
      </c>
      <c r="AG2393" s="204" t="s">
        <v>398</v>
      </c>
      <c r="AS2393" s="65" t="str">
        <f>IFERROR(VLOOKUP(#REF!,[1]Lookup!$B$2:$E$115,4,FALSE),"")</f>
        <v/>
      </c>
      <c r="AT2393" s="65" t="str">
        <f>IFERROR(VLOOKUP(#REF!,[1]Lookup!$B$2:$E$115,2,FALSE),"")</f>
        <v/>
      </c>
      <c r="AU2393" s="65" t="str">
        <f>IFERROR(VLOOKUP(#REF!,[1]Lookup!$B$2:$E$115,3,FALSE),"")</f>
        <v/>
      </c>
    </row>
    <row r="2394" spans="31:47" x14ac:dyDescent="0.3">
      <c r="AE2394" s="204" t="s">
        <v>398</v>
      </c>
      <c r="AF2394" s="204" t="s">
        <v>398</v>
      </c>
      <c r="AG2394" s="204" t="s">
        <v>398</v>
      </c>
      <c r="AS2394" s="65" t="str">
        <f>IFERROR(VLOOKUP(#REF!,[1]Lookup!$B$2:$E$115,4,FALSE),"")</f>
        <v/>
      </c>
      <c r="AT2394" s="65" t="str">
        <f>IFERROR(VLOOKUP(#REF!,[1]Lookup!$B$2:$E$115,2,FALSE),"")</f>
        <v/>
      </c>
      <c r="AU2394" s="65" t="str">
        <f>IFERROR(VLOOKUP(#REF!,[1]Lookup!$B$2:$E$115,3,FALSE),"")</f>
        <v/>
      </c>
    </row>
    <row r="2395" spans="31:47" x14ac:dyDescent="0.3">
      <c r="AE2395" s="204" t="s">
        <v>398</v>
      </c>
      <c r="AF2395" s="204" t="s">
        <v>398</v>
      </c>
      <c r="AG2395" s="204" t="s">
        <v>398</v>
      </c>
      <c r="AS2395" s="65" t="str">
        <f>IFERROR(VLOOKUP(#REF!,[1]Lookup!$B$2:$E$115,4,FALSE),"")</f>
        <v/>
      </c>
      <c r="AT2395" s="65" t="str">
        <f>IFERROR(VLOOKUP(#REF!,[1]Lookup!$B$2:$E$115,2,FALSE),"")</f>
        <v/>
      </c>
      <c r="AU2395" s="65" t="str">
        <f>IFERROR(VLOOKUP(#REF!,[1]Lookup!$B$2:$E$115,3,FALSE),"")</f>
        <v/>
      </c>
    </row>
    <row r="2396" spans="31:47" x14ac:dyDescent="0.3">
      <c r="AE2396" s="204" t="s">
        <v>398</v>
      </c>
      <c r="AF2396" s="204" t="s">
        <v>398</v>
      </c>
      <c r="AG2396" s="204" t="s">
        <v>398</v>
      </c>
      <c r="AS2396" s="65" t="str">
        <f>IFERROR(VLOOKUP(#REF!,[1]Lookup!$B$2:$E$115,4,FALSE),"")</f>
        <v/>
      </c>
      <c r="AT2396" s="65" t="str">
        <f>IFERROR(VLOOKUP(#REF!,[1]Lookup!$B$2:$E$115,2,FALSE),"")</f>
        <v/>
      </c>
      <c r="AU2396" s="65" t="str">
        <f>IFERROR(VLOOKUP(#REF!,[1]Lookup!$B$2:$E$115,3,FALSE),"")</f>
        <v/>
      </c>
    </row>
    <row r="2397" spans="31:47" x14ac:dyDescent="0.3">
      <c r="AE2397" s="204" t="s">
        <v>398</v>
      </c>
      <c r="AF2397" s="204" t="s">
        <v>398</v>
      </c>
      <c r="AG2397" s="204" t="s">
        <v>398</v>
      </c>
      <c r="AS2397" s="65" t="str">
        <f>IFERROR(VLOOKUP(#REF!,[1]Lookup!$B$2:$E$115,4,FALSE),"")</f>
        <v/>
      </c>
      <c r="AT2397" s="65" t="str">
        <f>IFERROR(VLOOKUP(#REF!,[1]Lookup!$B$2:$E$115,2,FALSE),"")</f>
        <v/>
      </c>
      <c r="AU2397" s="65" t="str">
        <f>IFERROR(VLOOKUP(#REF!,[1]Lookup!$B$2:$E$115,3,FALSE),"")</f>
        <v/>
      </c>
    </row>
    <row r="2398" spans="31:47" x14ac:dyDescent="0.3">
      <c r="AE2398" s="204" t="s">
        <v>398</v>
      </c>
      <c r="AF2398" s="204" t="s">
        <v>398</v>
      </c>
      <c r="AG2398" s="204" t="s">
        <v>398</v>
      </c>
      <c r="AS2398" s="65" t="str">
        <f>IFERROR(VLOOKUP(#REF!,[1]Lookup!$B$2:$E$115,4,FALSE),"")</f>
        <v/>
      </c>
      <c r="AT2398" s="65" t="str">
        <f>IFERROR(VLOOKUP(#REF!,[1]Lookup!$B$2:$E$115,2,FALSE),"")</f>
        <v/>
      </c>
      <c r="AU2398" s="65" t="str">
        <f>IFERROR(VLOOKUP(#REF!,[1]Lookup!$B$2:$E$115,3,FALSE),"")</f>
        <v/>
      </c>
    </row>
    <row r="2399" spans="31:47" x14ac:dyDescent="0.3">
      <c r="AE2399" s="204" t="s">
        <v>398</v>
      </c>
      <c r="AF2399" s="204" t="s">
        <v>398</v>
      </c>
      <c r="AG2399" s="204" t="s">
        <v>398</v>
      </c>
      <c r="AS2399" s="65" t="str">
        <f>IFERROR(VLOOKUP(#REF!,[1]Lookup!$B$2:$E$115,4,FALSE),"")</f>
        <v/>
      </c>
      <c r="AT2399" s="65" t="str">
        <f>IFERROR(VLOOKUP(#REF!,[1]Lookup!$B$2:$E$115,2,FALSE),"")</f>
        <v/>
      </c>
      <c r="AU2399" s="65" t="str">
        <f>IFERROR(VLOOKUP(#REF!,[1]Lookup!$B$2:$E$115,3,FALSE),"")</f>
        <v/>
      </c>
    </row>
    <row r="2400" spans="31:47" x14ac:dyDescent="0.3">
      <c r="AE2400" s="204" t="s">
        <v>398</v>
      </c>
      <c r="AF2400" s="204" t="s">
        <v>398</v>
      </c>
      <c r="AG2400" s="204" t="s">
        <v>398</v>
      </c>
      <c r="AS2400" s="65" t="str">
        <f>IFERROR(VLOOKUP(#REF!,[1]Lookup!$B$2:$E$115,4,FALSE),"")</f>
        <v/>
      </c>
      <c r="AT2400" s="65" t="str">
        <f>IFERROR(VLOOKUP(#REF!,[1]Lookup!$B$2:$E$115,2,FALSE),"")</f>
        <v/>
      </c>
      <c r="AU2400" s="65" t="str">
        <f>IFERROR(VLOOKUP(#REF!,[1]Lookup!$B$2:$E$115,3,FALSE),"")</f>
        <v/>
      </c>
    </row>
    <row r="2401" spans="31:47" x14ac:dyDescent="0.3">
      <c r="AE2401" s="204" t="s">
        <v>398</v>
      </c>
      <c r="AF2401" s="204" t="s">
        <v>398</v>
      </c>
      <c r="AG2401" s="204" t="s">
        <v>398</v>
      </c>
      <c r="AS2401" s="65" t="str">
        <f>IFERROR(VLOOKUP(#REF!,[1]Lookup!$B$2:$E$115,4,FALSE),"")</f>
        <v/>
      </c>
      <c r="AT2401" s="65" t="str">
        <f>IFERROR(VLOOKUP(#REF!,[1]Lookup!$B$2:$E$115,2,FALSE),"")</f>
        <v/>
      </c>
      <c r="AU2401" s="65" t="str">
        <f>IFERROR(VLOOKUP(#REF!,[1]Lookup!$B$2:$E$115,3,FALSE),"")</f>
        <v/>
      </c>
    </row>
    <row r="2402" spans="31:47" x14ac:dyDescent="0.3">
      <c r="AE2402" s="204" t="s">
        <v>398</v>
      </c>
      <c r="AF2402" s="204" t="s">
        <v>398</v>
      </c>
      <c r="AG2402" s="204" t="s">
        <v>398</v>
      </c>
      <c r="AS2402" s="65" t="str">
        <f>IFERROR(VLOOKUP(#REF!,[1]Lookup!$B$2:$E$115,4,FALSE),"")</f>
        <v/>
      </c>
      <c r="AT2402" s="65" t="str">
        <f>IFERROR(VLOOKUP(#REF!,[1]Lookup!$B$2:$E$115,2,FALSE),"")</f>
        <v/>
      </c>
      <c r="AU2402" s="65" t="str">
        <f>IFERROR(VLOOKUP(#REF!,[1]Lookup!$B$2:$E$115,3,FALSE),"")</f>
        <v/>
      </c>
    </row>
    <row r="2403" spans="31:47" x14ac:dyDescent="0.3">
      <c r="AE2403" s="204" t="s">
        <v>398</v>
      </c>
      <c r="AF2403" s="204" t="s">
        <v>398</v>
      </c>
      <c r="AG2403" s="204" t="s">
        <v>398</v>
      </c>
      <c r="AS2403" s="65" t="str">
        <f>IFERROR(VLOOKUP(#REF!,[1]Lookup!$B$2:$E$115,4,FALSE),"")</f>
        <v/>
      </c>
      <c r="AT2403" s="65" t="str">
        <f>IFERROR(VLOOKUP(#REF!,[1]Lookup!$B$2:$E$115,2,FALSE),"")</f>
        <v/>
      </c>
      <c r="AU2403" s="65" t="str">
        <f>IFERROR(VLOOKUP(#REF!,[1]Lookup!$B$2:$E$115,3,FALSE),"")</f>
        <v/>
      </c>
    </row>
    <row r="2404" spans="31:47" x14ac:dyDescent="0.3">
      <c r="AE2404" s="204" t="s">
        <v>398</v>
      </c>
      <c r="AF2404" s="204" t="s">
        <v>398</v>
      </c>
      <c r="AG2404" s="204" t="s">
        <v>398</v>
      </c>
      <c r="AS2404" s="65" t="str">
        <f>IFERROR(VLOOKUP(#REF!,[1]Lookup!$B$2:$E$115,4,FALSE),"")</f>
        <v/>
      </c>
      <c r="AT2404" s="65" t="str">
        <f>IFERROR(VLOOKUP(#REF!,[1]Lookup!$B$2:$E$115,2,FALSE),"")</f>
        <v/>
      </c>
      <c r="AU2404" s="65" t="str">
        <f>IFERROR(VLOOKUP(#REF!,[1]Lookup!$B$2:$E$115,3,FALSE),"")</f>
        <v/>
      </c>
    </row>
    <row r="2405" spans="31:47" x14ac:dyDescent="0.3">
      <c r="AE2405" s="204" t="s">
        <v>398</v>
      </c>
      <c r="AF2405" s="204" t="s">
        <v>398</v>
      </c>
      <c r="AG2405" s="204" t="s">
        <v>398</v>
      </c>
      <c r="AS2405" s="65" t="str">
        <f>IFERROR(VLOOKUP(#REF!,[1]Lookup!$B$2:$E$115,4,FALSE),"")</f>
        <v/>
      </c>
      <c r="AT2405" s="65" t="str">
        <f>IFERROR(VLOOKUP(#REF!,[1]Lookup!$B$2:$E$115,2,FALSE),"")</f>
        <v/>
      </c>
      <c r="AU2405" s="65" t="str">
        <f>IFERROR(VLOOKUP(#REF!,[1]Lookup!$B$2:$E$115,3,FALSE),"")</f>
        <v/>
      </c>
    </row>
    <row r="2406" spans="31:47" x14ac:dyDescent="0.3">
      <c r="AE2406" s="204" t="s">
        <v>398</v>
      </c>
      <c r="AF2406" s="204" t="s">
        <v>398</v>
      </c>
      <c r="AG2406" s="204" t="s">
        <v>398</v>
      </c>
      <c r="AS2406" s="65" t="str">
        <f>IFERROR(VLOOKUP(#REF!,[1]Lookup!$B$2:$E$115,4,FALSE),"")</f>
        <v/>
      </c>
      <c r="AT2406" s="65" t="str">
        <f>IFERROR(VLOOKUP(#REF!,[1]Lookup!$B$2:$E$115,2,FALSE),"")</f>
        <v/>
      </c>
      <c r="AU2406" s="65" t="str">
        <f>IFERROR(VLOOKUP(#REF!,[1]Lookup!$B$2:$E$115,3,FALSE),"")</f>
        <v/>
      </c>
    </row>
    <row r="2407" spans="31:47" x14ac:dyDescent="0.3">
      <c r="AE2407" s="204" t="s">
        <v>398</v>
      </c>
      <c r="AF2407" s="204" t="s">
        <v>398</v>
      </c>
      <c r="AG2407" s="204" t="s">
        <v>398</v>
      </c>
      <c r="AS2407" s="65" t="str">
        <f>IFERROR(VLOOKUP(#REF!,[1]Lookup!$B$2:$E$115,4,FALSE),"")</f>
        <v/>
      </c>
      <c r="AT2407" s="65" t="str">
        <f>IFERROR(VLOOKUP(#REF!,[1]Lookup!$B$2:$E$115,2,FALSE),"")</f>
        <v/>
      </c>
      <c r="AU2407" s="65" t="str">
        <f>IFERROR(VLOOKUP(#REF!,[1]Lookup!$B$2:$E$115,3,FALSE),"")</f>
        <v/>
      </c>
    </row>
    <row r="2408" spans="31:47" x14ac:dyDescent="0.3">
      <c r="AE2408" s="204" t="s">
        <v>398</v>
      </c>
      <c r="AF2408" s="204" t="s">
        <v>398</v>
      </c>
      <c r="AG2408" s="204" t="s">
        <v>398</v>
      </c>
      <c r="AS2408" s="65" t="str">
        <f>IFERROR(VLOOKUP(#REF!,[1]Lookup!$B$2:$E$115,4,FALSE),"")</f>
        <v/>
      </c>
      <c r="AT2408" s="65" t="str">
        <f>IFERROR(VLOOKUP(#REF!,[1]Lookup!$B$2:$E$115,2,FALSE),"")</f>
        <v/>
      </c>
      <c r="AU2408" s="65" t="str">
        <f>IFERROR(VLOOKUP(#REF!,[1]Lookup!$B$2:$E$115,3,FALSE),"")</f>
        <v/>
      </c>
    </row>
    <row r="2409" spans="31:47" x14ac:dyDescent="0.3">
      <c r="AE2409" s="204" t="s">
        <v>398</v>
      </c>
      <c r="AF2409" s="204" t="s">
        <v>398</v>
      </c>
      <c r="AG2409" s="204" t="s">
        <v>398</v>
      </c>
      <c r="AS2409" s="65" t="str">
        <f>IFERROR(VLOOKUP(#REF!,[1]Lookup!$B$2:$E$115,4,FALSE),"")</f>
        <v/>
      </c>
      <c r="AT2409" s="65" t="str">
        <f>IFERROR(VLOOKUP(#REF!,[1]Lookup!$B$2:$E$115,2,FALSE),"")</f>
        <v/>
      </c>
      <c r="AU2409" s="65" t="str">
        <f>IFERROR(VLOOKUP(#REF!,[1]Lookup!$B$2:$E$115,3,FALSE),"")</f>
        <v/>
      </c>
    </row>
    <row r="2410" spans="31:47" x14ac:dyDescent="0.3">
      <c r="AE2410" s="204" t="s">
        <v>398</v>
      </c>
      <c r="AF2410" s="204" t="s">
        <v>398</v>
      </c>
      <c r="AG2410" s="204" t="s">
        <v>398</v>
      </c>
      <c r="AS2410" s="65" t="str">
        <f>IFERROR(VLOOKUP(#REF!,[1]Lookup!$B$2:$E$115,4,FALSE),"")</f>
        <v/>
      </c>
      <c r="AT2410" s="65" t="str">
        <f>IFERROR(VLOOKUP(#REF!,[1]Lookup!$B$2:$E$115,2,FALSE),"")</f>
        <v/>
      </c>
      <c r="AU2410" s="65" t="str">
        <f>IFERROR(VLOOKUP(#REF!,[1]Lookup!$B$2:$E$115,3,FALSE),"")</f>
        <v/>
      </c>
    </row>
    <row r="2411" spans="31:47" x14ac:dyDescent="0.3">
      <c r="AE2411" s="204" t="s">
        <v>398</v>
      </c>
      <c r="AF2411" s="204" t="s">
        <v>398</v>
      </c>
      <c r="AG2411" s="204" t="s">
        <v>398</v>
      </c>
      <c r="AS2411" s="65" t="str">
        <f>IFERROR(VLOOKUP(#REF!,[1]Lookup!$B$2:$E$115,4,FALSE),"")</f>
        <v/>
      </c>
      <c r="AT2411" s="65" t="str">
        <f>IFERROR(VLOOKUP(#REF!,[1]Lookup!$B$2:$E$115,2,FALSE),"")</f>
        <v/>
      </c>
      <c r="AU2411" s="65" t="str">
        <f>IFERROR(VLOOKUP(#REF!,[1]Lookup!$B$2:$E$115,3,FALSE),"")</f>
        <v/>
      </c>
    </row>
    <row r="2412" spans="31:47" x14ac:dyDescent="0.3">
      <c r="AE2412" s="204" t="s">
        <v>398</v>
      </c>
      <c r="AF2412" s="204" t="s">
        <v>398</v>
      </c>
      <c r="AG2412" s="204" t="s">
        <v>398</v>
      </c>
      <c r="AS2412" s="65" t="str">
        <f>IFERROR(VLOOKUP(#REF!,[1]Lookup!$B$2:$E$115,4,FALSE),"")</f>
        <v/>
      </c>
      <c r="AT2412" s="65" t="str">
        <f>IFERROR(VLOOKUP(#REF!,[1]Lookup!$B$2:$E$115,2,FALSE),"")</f>
        <v/>
      </c>
      <c r="AU2412" s="65" t="str">
        <f>IFERROR(VLOOKUP(#REF!,[1]Lookup!$B$2:$E$115,3,FALSE),"")</f>
        <v/>
      </c>
    </row>
    <row r="2413" spans="31:47" x14ac:dyDescent="0.3">
      <c r="AE2413" s="204" t="s">
        <v>398</v>
      </c>
      <c r="AF2413" s="204" t="s">
        <v>398</v>
      </c>
      <c r="AG2413" s="204" t="s">
        <v>398</v>
      </c>
      <c r="AS2413" s="65" t="str">
        <f>IFERROR(VLOOKUP(#REF!,[1]Lookup!$B$2:$E$115,4,FALSE),"")</f>
        <v/>
      </c>
      <c r="AT2413" s="65" t="str">
        <f>IFERROR(VLOOKUP(#REF!,[1]Lookup!$B$2:$E$115,2,FALSE),"")</f>
        <v/>
      </c>
      <c r="AU2413" s="65" t="str">
        <f>IFERROR(VLOOKUP(#REF!,[1]Lookup!$B$2:$E$115,3,FALSE),"")</f>
        <v/>
      </c>
    </row>
    <row r="2414" spans="31:47" x14ac:dyDescent="0.3">
      <c r="AE2414" s="204" t="s">
        <v>398</v>
      </c>
      <c r="AF2414" s="204" t="s">
        <v>398</v>
      </c>
      <c r="AG2414" s="204" t="s">
        <v>398</v>
      </c>
      <c r="AS2414" s="65" t="str">
        <f>IFERROR(VLOOKUP(#REF!,[1]Lookup!$B$2:$E$115,4,FALSE),"")</f>
        <v/>
      </c>
      <c r="AT2414" s="65" t="str">
        <f>IFERROR(VLOOKUP(#REF!,[1]Lookup!$B$2:$E$115,2,FALSE),"")</f>
        <v/>
      </c>
      <c r="AU2414" s="65" t="str">
        <f>IFERROR(VLOOKUP(#REF!,[1]Lookup!$B$2:$E$115,3,FALSE),"")</f>
        <v/>
      </c>
    </row>
    <row r="2415" spans="31:47" x14ac:dyDescent="0.3">
      <c r="AE2415" s="204" t="s">
        <v>398</v>
      </c>
      <c r="AF2415" s="204" t="s">
        <v>398</v>
      </c>
      <c r="AG2415" s="204" t="s">
        <v>398</v>
      </c>
      <c r="AS2415" s="65" t="str">
        <f>IFERROR(VLOOKUP(#REF!,[1]Lookup!$B$2:$E$115,4,FALSE),"")</f>
        <v/>
      </c>
      <c r="AT2415" s="65" t="str">
        <f>IFERROR(VLOOKUP(#REF!,[1]Lookup!$B$2:$E$115,2,FALSE),"")</f>
        <v/>
      </c>
      <c r="AU2415" s="65" t="str">
        <f>IFERROR(VLOOKUP(#REF!,[1]Lookup!$B$2:$E$115,3,FALSE),"")</f>
        <v/>
      </c>
    </row>
    <row r="2416" spans="31:47" x14ac:dyDescent="0.3">
      <c r="AE2416" s="204" t="s">
        <v>398</v>
      </c>
      <c r="AF2416" s="204" t="s">
        <v>398</v>
      </c>
      <c r="AG2416" s="204" t="s">
        <v>398</v>
      </c>
      <c r="AS2416" s="65" t="str">
        <f>IFERROR(VLOOKUP(#REF!,[1]Lookup!$B$2:$E$115,4,FALSE),"")</f>
        <v/>
      </c>
      <c r="AT2416" s="65" t="str">
        <f>IFERROR(VLOOKUP(#REF!,[1]Lookup!$B$2:$E$115,2,FALSE),"")</f>
        <v/>
      </c>
      <c r="AU2416" s="65" t="str">
        <f>IFERROR(VLOOKUP(#REF!,[1]Lookup!$B$2:$E$115,3,FALSE),"")</f>
        <v/>
      </c>
    </row>
    <row r="2417" spans="31:47" x14ac:dyDescent="0.3">
      <c r="AE2417" s="204" t="s">
        <v>398</v>
      </c>
      <c r="AF2417" s="204" t="s">
        <v>398</v>
      </c>
      <c r="AG2417" s="204" t="s">
        <v>398</v>
      </c>
      <c r="AS2417" s="65" t="str">
        <f>IFERROR(VLOOKUP(#REF!,[1]Lookup!$B$2:$E$115,4,FALSE),"")</f>
        <v/>
      </c>
      <c r="AT2417" s="65" t="str">
        <f>IFERROR(VLOOKUP(#REF!,[1]Lookup!$B$2:$E$115,2,FALSE),"")</f>
        <v/>
      </c>
      <c r="AU2417" s="65" t="str">
        <f>IFERROR(VLOOKUP(#REF!,[1]Lookup!$B$2:$E$115,3,FALSE),"")</f>
        <v/>
      </c>
    </row>
    <row r="2418" spans="31:47" x14ac:dyDescent="0.3">
      <c r="AE2418" s="204" t="s">
        <v>398</v>
      </c>
      <c r="AF2418" s="204" t="s">
        <v>398</v>
      </c>
      <c r="AG2418" s="204" t="s">
        <v>398</v>
      </c>
      <c r="AS2418" s="65" t="str">
        <f>IFERROR(VLOOKUP(#REF!,[1]Lookup!$B$2:$E$115,4,FALSE),"")</f>
        <v/>
      </c>
      <c r="AT2418" s="65" t="str">
        <f>IFERROR(VLOOKUP(#REF!,[1]Lookup!$B$2:$E$115,2,FALSE),"")</f>
        <v/>
      </c>
      <c r="AU2418" s="65" t="str">
        <f>IFERROR(VLOOKUP(#REF!,[1]Lookup!$B$2:$E$115,3,FALSE),"")</f>
        <v/>
      </c>
    </row>
    <row r="2419" spans="31:47" x14ac:dyDescent="0.3">
      <c r="AE2419" s="204" t="s">
        <v>398</v>
      </c>
      <c r="AF2419" s="204" t="s">
        <v>398</v>
      </c>
      <c r="AG2419" s="204" t="s">
        <v>398</v>
      </c>
      <c r="AS2419" s="65" t="str">
        <f>IFERROR(VLOOKUP(#REF!,[1]Lookup!$B$2:$E$115,4,FALSE),"")</f>
        <v/>
      </c>
      <c r="AT2419" s="65" t="str">
        <f>IFERROR(VLOOKUP(#REF!,[1]Lookup!$B$2:$E$115,2,FALSE),"")</f>
        <v/>
      </c>
      <c r="AU2419" s="65" t="str">
        <f>IFERROR(VLOOKUP(#REF!,[1]Lookup!$B$2:$E$115,3,FALSE),"")</f>
        <v/>
      </c>
    </row>
    <row r="2420" spans="31:47" x14ac:dyDescent="0.3">
      <c r="AE2420" s="204" t="s">
        <v>398</v>
      </c>
      <c r="AF2420" s="204" t="s">
        <v>398</v>
      </c>
      <c r="AG2420" s="204" t="s">
        <v>398</v>
      </c>
      <c r="AS2420" s="65" t="str">
        <f>IFERROR(VLOOKUP(#REF!,[1]Lookup!$B$2:$E$115,4,FALSE),"")</f>
        <v/>
      </c>
      <c r="AT2420" s="65" t="str">
        <f>IFERROR(VLOOKUP(#REF!,[1]Lookup!$B$2:$E$115,2,FALSE),"")</f>
        <v/>
      </c>
      <c r="AU2420" s="65" t="str">
        <f>IFERROR(VLOOKUP(#REF!,[1]Lookup!$B$2:$E$115,3,FALSE),"")</f>
        <v/>
      </c>
    </row>
    <row r="2421" spans="31:47" x14ac:dyDescent="0.3">
      <c r="AE2421" s="204" t="s">
        <v>398</v>
      </c>
      <c r="AF2421" s="204" t="s">
        <v>398</v>
      </c>
      <c r="AG2421" s="204" t="s">
        <v>398</v>
      </c>
      <c r="AS2421" s="65" t="str">
        <f>IFERROR(VLOOKUP(#REF!,[1]Lookup!$B$2:$E$115,4,FALSE),"")</f>
        <v/>
      </c>
      <c r="AT2421" s="65" t="str">
        <f>IFERROR(VLOOKUP(#REF!,[1]Lookup!$B$2:$E$115,2,FALSE),"")</f>
        <v/>
      </c>
      <c r="AU2421" s="65" t="str">
        <f>IFERROR(VLOOKUP(#REF!,[1]Lookup!$B$2:$E$115,3,FALSE),"")</f>
        <v/>
      </c>
    </row>
    <row r="2422" spans="31:47" x14ac:dyDescent="0.3">
      <c r="AE2422" s="204" t="s">
        <v>398</v>
      </c>
      <c r="AF2422" s="204" t="s">
        <v>398</v>
      </c>
      <c r="AG2422" s="204" t="s">
        <v>398</v>
      </c>
      <c r="AS2422" s="65" t="str">
        <f>IFERROR(VLOOKUP(#REF!,[1]Lookup!$B$2:$E$115,4,FALSE),"")</f>
        <v/>
      </c>
      <c r="AT2422" s="65" t="str">
        <f>IFERROR(VLOOKUP(#REF!,[1]Lookup!$B$2:$E$115,2,FALSE),"")</f>
        <v/>
      </c>
      <c r="AU2422" s="65" t="str">
        <f>IFERROR(VLOOKUP(#REF!,[1]Lookup!$B$2:$E$115,3,FALSE),"")</f>
        <v/>
      </c>
    </row>
    <row r="2423" spans="31:47" x14ac:dyDescent="0.3">
      <c r="AE2423" s="204" t="s">
        <v>398</v>
      </c>
      <c r="AF2423" s="204" t="s">
        <v>398</v>
      </c>
      <c r="AG2423" s="204" t="s">
        <v>398</v>
      </c>
      <c r="AS2423" s="65" t="str">
        <f>IFERROR(VLOOKUP(#REF!,[1]Lookup!$B$2:$E$115,4,FALSE),"")</f>
        <v/>
      </c>
      <c r="AT2423" s="65" t="str">
        <f>IFERROR(VLOOKUP(#REF!,[1]Lookup!$B$2:$E$115,2,FALSE),"")</f>
        <v/>
      </c>
      <c r="AU2423" s="65" t="str">
        <f>IFERROR(VLOOKUP(#REF!,[1]Lookup!$B$2:$E$115,3,FALSE),"")</f>
        <v/>
      </c>
    </row>
    <row r="2424" spans="31:47" x14ac:dyDescent="0.3">
      <c r="AE2424" s="204" t="s">
        <v>398</v>
      </c>
      <c r="AF2424" s="204" t="s">
        <v>398</v>
      </c>
      <c r="AG2424" s="204" t="s">
        <v>398</v>
      </c>
      <c r="AS2424" s="65" t="str">
        <f>IFERROR(VLOOKUP(#REF!,[1]Lookup!$B$2:$E$115,4,FALSE),"")</f>
        <v/>
      </c>
      <c r="AT2424" s="65" t="str">
        <f>IFERROR(VLOOKUP(#REF!,[1]Lookup!$B$2:$E$115,2,FALSE),"")</f>
        <v/>
      </c>
      <c r="AU2424" s="65" t="str">
        <f>IFERROR(VLOOKUP(#REF!,[1]Lookup!$B$2:$E$115,3,FALSE),"")</f>
        <v/>
      </c>
    </row>
    <row r="2425" spans="31:47" x14ac:dyDescent="0.3">
      <c r="AE2425" s="204" t="s">
        <v>398</v>
      </c>
      <c r="AF2425" s="204" t="s">
        <v>398</v>
      </c>
      <c r="AG2425" s="204" t="s">
        <v>398</v>
      </c>
      <c r="AS2425" s="65" t="str">
        <f>IFERROR(VLOOKUP(#REF!,[1]Lookup!$B$2:$E$115,4,FALSE),"")</f>
        <v/>
      </c>
      <c r="AT2425" s="65" t="str">
        <f>IFERROR(VLOOKUP(#REF!,[1]Lookup!$B$2:$E$115,2,FALSE),"")</f>
        <v/>
      </c>
      <c r="AU2425" s="65" t="str">
        <f>IFERROR(VLOOKUP(#REF!,[1]Lookup!$B$2:$E$115,3,FALSE),"")</f>
        <v/>
      </c>
    </row>
    <row r="2426" spans="31:47" x14ac:dyDescent="0.3">
      <c r="AE2426" s="204" t="s">
        <v>398</v>
      </c>
      <c r="AF2426" s="204" t="s">
        <v>398</v>
      </c>
      <c r="AG2426" s="204" t="s">
        <v>398</v>
      </c>
      <c r="AS2426" s="65" t="str">
        <f>IFERROR(VLOOKUP(#REF!,[1]Lookup!$B$2:$E$115,4,FALSE),"")</f>
        <v/>
      </c>
      <c r="AT2426" s="65" t="str">
        <f>IFERROR(VLOOKUP(#REF!,[1]Lookup!$B$2:$E$115,2,FALSE),"")</f>
        <v/>
      </c>
      <c r="AU2426" s="65" t="str">
        <f>IFERROR(VLOOKUP(#REF!,[1]Lookup!$B$2:$E$115,3,FALSE),"")</f>
        <v/>
      </c>
    </row>
    <row r="2427" spans="31:47" x14ac:dyDescent="0.3">
      <c r="AE2427" s="204" t="s">
        <v>398</v>
      </c>
      <c r="AF2427" s="204" t="s">
        <v>398</v>
      </c>
      <c r="AG2427" s="204" t="s">
        <v>398</v>
      </c>
      <c r="AS2427" s="65" t="str">
        <f>IFERROR(VLOOKUP(#REF!,[1]Lookup!$B$2:$E$115,4,FALSE),"")</f>
        <v/>
      </c>
      <c r="AT2427" s="65" t="str">
        <f>IFERROR(VLOOKUP(#REF!,[1]Lookup!$B$2:$E$115,2,FALSE),"")</f>
        <v/>
      </c>
      <c r="AU2427" s="65" t="str">
        <f>IFERROR(VLOOKUP(#REF!,[1]Lookup!$B$2:$E$115,3,FALSE),"")</f>
        <v/>
      </c>
    </row>
    <row r="2428" spans="31:47" x14ac:dyDescent="0.3">
      <c r="AE2428" s="204" t="s">
        <v>398</v>
      </c>
      <c r="AF2428" s="204" t="s">
        <v>398</v>
      </c>
      <c r="AG2428" s="204" t="s">
        <v>398</v>
      </c>
      <c r="AS2428" s="65" t="str">
        <f>IFERROR(VLOOKUP(#REF!,[1]Lookup!$B$2:$E$115,4,FALSE),"")</f>
        <v/>
      </c>
      <c r="AT2428" s="65" t="str">
        <f>IFERROR(VLOOKUP(#REF!,[1]Lookup!$B$2:$E$115,2,FALSE),"")</f>
        <v/>
      </c>
      <c r="AU2428" s="65" t="str">
        <f>IFERROR(VLOOKUP(#REF!,[1]Lookup!$B$2:$E$115,3,FALSE),"")</f>
        <v/>
      </c>
    </row>
    <row r="2429" spans="31:47" x14ac:dyDescent="0.3">
      <c r="AE2429" s="204" t="s">
        <v>398</v>
      </c>
      <c r="AF2429" s="204" t="s">
        <v>398</v>
      </c>
      <c r="AG2429" s="204" t="s">
        <v>398</v>
      </c>
      <c r="AS2429" s="65" t="str">
        <f>IFERROR(VLOOKUP(#REF!,[1]Lookup!$B$2:$E$115,4,FALSE),"")</f>
        <v/>
      </c>
      <c r="AT2429" s="65" t="str">
        <f>IFERROR(VLOOKUP(#REF!,[1]Lookup!$B$2:$E$115,2,FALSE),"")</f>
        <v/>
      </c>
      <c r="AU2429" s="65" t="str">
        <f>IFERROR(VLOOKUP(#REF!,[1]Lookup!$B$2:$E$115,3,FALSE),"")</f>
        <v/>
      </c>
    </row>
    <row r="2430" spans="31:47" x14ac:dyDescent="0.3">
      <c r="AE2430" s="204" t="s">
        <v>398</v>
      </c>
      <c r="AF2430" s="204" t="s">
        <v>398</v>
      </c>
      <c r="AG2430" s="204" t="s">
        <v>398</v>
      </c>
      <c r="AS2430" s="65" t="str">
        <f>IFERROR(VLOOKUP(#REF!,[1]Lookup!$B$2:$E$115,4,FALSE),"")</f>
        <v/>
      </c>
      <c r="AT2430" s="65" t="str">
        <f>IFERROR(VLOOKUP(#REF!,[1]Lookup!$B$2:$E$115,2,FALSE),"")</f>
        <v/>
      </c>
      <c r="AU2430" s="65" t="str">
        <f>IFERROR(VLOOKUP(#REF!,[1]Lookup!$B$2:$E$115,3,FALSE),"")</f>
        <v/>
      </c>
    </row>
    <row r="2431" spans="31:47" x14ac:dyDescent="0.3">
      <c r="AE2431" s="204" t="s">
        <v>398</v>
      </c>
      <c r="AF2431" s="204" t="s">
        <v>398</v>
      </c>
      <c r="AG2431" s="204" t="s">
        <v>398</v>
      </c>
      <c r="AS2431" s="65" t="str">
        <f>IFERROR(VLOOKUP(#REF!,[1]Lookup!$B$2:$E$115,4,FALSE),"")</f>
        <v/>
      </c>
      <c r="AT2431" s="65" t="str">
        <f>IFERROR(VLOOKUP(#REF!,[1]Lookup!$B$2:$E$115,2,FALSE),"")</f>
        <v/>
      </c>
      <c r="AU2431" s="65" t="str">
        <f>IFERROR(VLOOKUP(#REF!,[1]Lookup!$B$2:$E$115,3,FALSE),"")</f>
        <v/>
      </c>
    </row>
    <row r="2432" spans="31:47" x14ac:dyDescent="0.3">
      <c r="AE2432" s="204" t="s">
        <v>398</v>
      </c>
      <c r="AF2432" s="204" t="s">
        <v>398</v>
      </c>
      <c r="AG2432" s="204" t="s">
        <v>398</v>
      </c>
      <c r="AS2432" s="65" t="str">
        <f>IFERROR(VLOOKUP(#REF!,[1]Lookup!$B$2:$E$115,4,FALSE),"")</f>
        <v/>
      </c>
      <c r="AT2432" s="65" t="str">
        <f>IFERROR(VLOOKUP(#REF!,[1]Lookup!$B$2:$E$115,2,FALSE),"")</f>
        <v/>
      </c>
      <c r="AU2432" s="65" t="str">
        <f>IFERROR(VLOOKUP(#REF!,[1]Lookup!$B$2:$E$115,3,FALSE),"")</f>
        <v/>
      </c>
    </row>
    <row r="2433" spans="31:47" x14ac:dyDescent="0.3">
      <c r="AE2433" s="204" t="s">
        <v>398</v>
      </c>
      <c r="AF2433" s="204" t="s">
        <v>398</v>
      </c>
      <c r="AG2433" s="204" t="s">
        <v>398</v>
      </c>
      <c r="AS2433" s="65" t="str">
        <f>IFERROR(VLOOKUP(#REF!,[1]Lookup!$B$2:$E$115,4,FALSE),"")</f>
        <v/>
      </c>
      <c r="AT2433" s="65" t="str">
        <f>IFERROR(VLOOKUP(#REF!,[1]Lookup!$B$2:$E$115,2,FALSE),"")</f>
        <v/>
      </c>
      <c r="AU2433" s="65" t="str">
        <f>IFERROR(VLOOKUP(#REF!,[1]Lookup!$B$2:$E$115,3,FALSE),"")</f>
        <v/>
      </c>
    </row>
    <row r="2434" spans="31:47" x14ac:dyDescent="0.3">
      <c r="AE2434" s="204" t="s">
        <v>398</v>
      </c>
      <c r="AF2434" s="204" t="s">
        <v>398</v>
      </c>
      <c r="AG2434" s="204" t="s">
        <v>398</v>
      </c>
      <c r="AS2434" s="65" t="str">
        <f>IFERROR(VLOOKUP(#REF!,[1]Lookup!$B$2:$E$115,4,FALSE),"")</f>
        <v/>
      </c>
      <c r="AT2434" s="65" t="str">
        <f>IFERROR(VLOOKUP(#REF!,[1]Lookup!$B$2:$E$115,2,FALSE),"")</f>
        <v/>
      </c>
      <c r="AU2434" s="65" t="str">
        <f>IFERROR(VLOOKUP(#REF!,[1]Lookup!$B$2:$E$115,3,FALSE),"")</f>
        <v/>
      </c>
    </row>
    <row r="2435" spans="31:47" x14ac:dyDescent="0.3">
      <c r="AE2435" s="204" t="s">
        <v>398</v>
      </c>
      <c r="AF2435" s="204" t="s">
        <v>398</v>
      </c>
      <c r="AG2435" s="204" t="s">
        <v>398</v>
      </c>
      <c r="AS2435" s="65" t="str">
        <f>IFERROR(VLOOKUP(#REF!,[1]Lookup!$B$2:$E$115,4,FALSE),"")</f>
        <v/>
      </c>
      <c r="AT2435" s="65" t="str">
        <f>IFERROR(VLOOKUP(#REF!,[1]Lookup!$B$2:$E$115,2,FALSE),"")</f>
        <v/>
      </c>
      <c r="AU2435" s="65" t="str">
        <f>IFERROR(VLOOKUP(#REF!,[1]Lookup!$B$2:$E$115,3,FALSE),"")</f>
        <v/>
      </c>
    </row>
    <row r="2436" spans="31:47" x14ac:dyDescent="0.3">
      <c r="AE2436" s="204" t="s">
        <v>398</v>
      </c>
      <c r="AF2436" s="204" t="s">
        <v>398</v>
      </c>
      <c r="AG2436" s="204" t="s">
        <v>398</v>
      </c>
      <c r="AS2436" s="65" t="str">
        <f>IFERROR(VLOOKUP(#REF!,[1]Lookup!$B$2:$E$115,4,FALSE),"")</f>
        <v/>
      </c>
      <c r="AT2436" s="65" t="str">
        <f>IFERROR(VLOOKUP(#REF!,[1]Lookup!$B$2:$E$115,2,FALSE),"")</f>
        <v/>
      </c>
      <c r="AU2436" s="65" t="str">
        <f>IFERROR(VLOOKUP(#REF!,[1]Lookup!$B$2:$E$115,3,FALSE),"")</f>
        <v/>
      </c>
    </row>
    <row r="2437" spans="31:47" x14ac:dyDescent="0.3">
      <c r="AE2437" s="204" t="s">
        <v>398</v>
      </c>
      <c r="AF2437" s="204" t="s">
        <v>398</v>
      </c>
      <c r="AG2437" s="204" t="s">
        <v>398</v>
      </c>
      <c r="AS2437" s="65" t="str">
        <f>IFERROR(VLOOKUP(#REF!,[1]Lookup!$B$2:$E$115,4,FALSE),"")</f>
        <v/>
      </c>
      <c r="AT2437" s="65" t="str">
        <f>IFERROR(VLOOKUP(#REF!,[1]Lookup!$B$2:$E$115,2,FALSE),"")</f>
        <v/>
      </c>
      <c r="AU2437" s="65" t="str">
        <f>IFERROR(VLOOKUP(#REF!,[1]Lookup!$B$2:$E$115,3,FALSE),"")</f>
        <v/>
      </c>
    </row>
    <row r="2438" spans="31:47" x14ac:dyDescent="0.3">
      <c r="AE2438" s="204" t="s">
        <v>398</v>
      </c>
      <c r="AF2438" s="204" t="s">
        <v>398</v>
      </c>
      <c r="AG2438" s="204" t="s">
        <v>398</v>
      </c>
      <c r="AS2438" s="65" t="str">
        <f>IFERROR(VLOOKUP(#REF!,[1]Lookup!$B$2:$E$115,4,FALSE),"")</f>
        <v/>
      </c>
      <c r="AT2438" s="65" t="str">
        <f>IFERROR(VLOOKUP(#REF!,[1]Lookup!$B$2:$E$115,2,FALSE),"")</f>
        <v/>
      </c>
      <c r="AU2438" s="65" t="str">
        <f>IFERROR(VLOOKUP(#REF!,[1]Lookup!$B$2:$E$115,3,FALSE),"")</f>
        <v/>
      </c>
    </row>
    <row r="2439" spans="31:47" x14ac:dyDescent="0.3">
      <c r="AE2439" s="204" t="s">
        <v>398</v>
      </c>
      <c r="AF2439" s="204" t="s">
        <v>398</v>
      </c>
      <c r="AG2439" s="204" t="s">
        <v>398</v>
      </c>
      <c r="AS2439" s="65" t="str">
        <f>IFERROR(VLOOKUP(#REF!,[1]Lookup!$B$2:$E$115,4,FALSE),"")</f>
        <v/>
      </c>
      <c r="AT2439" s="65" t="str">
        <f>IFERROR(VLOOKUP(#REF!,[1]Lookup!$B$2:$E$115,2,FALSE),"")</f>
        <v/>
      </c>
      <c r="AU2439" s="65" t="str">
        <f>IFERROR(VLOOKUP(#REF!,[1]Lookup!$B$2:$E$115,3,FALSE),"")</f>
        <v/>
      </c>
    </row>
    <row r="2440" spans="31:47" x14ac:dyDescent="0.3">
      <c r="AE2440" s="204" t="s">
        <v>398</v>
      </c>
      <c r="AF2440" s="204" t="s">
        <v>398</v>
      </c>
      <c r="AG2440" s="204" t="s">
        <v>398</v>
      </c>
      <c r="AS2440" s="65" t="str">
        <f>IFERROR(VLOOKUP(#REF!,[1]Lookup!$B$2:$E$115,4,FALSE),"")</f>
        <v/>
      </c>
      <c r="AT2440" s="65" t="str">
        <f>IFERROR(VLOOKUP(#REF!,[1]Lookup!$B$2:$E$115,2,FALSE),"")</f>
        <v/>
      </c>
      <c r="AU2440" s="65" t="str">
        <f>IFERROR(VLOOKUP(#REF!,[1]Lookup!$B$2:$E$115,3,FALSE),"")</f>
        <v/>
      </c>
    </row>
    <row r="2441" spans="31:47" x14ac:dyDescent="0.3">
      <c r="AE2441" s="204" t="s">
        <v>398</v>
      </c>
      <c r="AF2441" s="204" t="s">
        <v>398</v>
      </c>
      <c r="AG2441" s="204" t="s">
        <v>398</v>
      </c>
      <c r="AS2441" s="65" t="str">
        <f>IFERROR(VLOOKUP(#REF!,[1]Lookup!$B$2:$E$115,4,FALSE),"")</f>
        <v/>
      </c>
      <c r="AT2441" s="65" t="str">
        <f>IFERROR(VLOOKUP(#REF!,[1]Lookup!$B$2:$E$115,2,FALSE),"")</f>
        <v/>
      </c>
      <c r="AU2441" s="65" t="str">
        <f>IFERROR(VLOOKUP(#REF!,[1]Lookup!$B$2:$E$115,3,FALSE),"")</f>
        <v/>
      </c>
    </row>
    <row r="2442" spans="31:47" x14ac:dyDescent="0.3">
      <c r="AE2442" s="204" t="s">
        <v>398</v>
      </c>
      <c r="AF2442" s="204" t="s">
        <v>398</v>
      </c>
      <c r="AG2442" s="204" t="s">
        <v>398</v>
      </c>
      <c r="AS2442" s="65" t="str">
        <f>IFERROR(VLOOKUP(#REF!,[1]Lookup!$B$2:$E$115,4,FALSE),"")</f>
        <v/>
      </c>
      <c r="AT2442" s="65" t="str">
        <f>IFERROR(VLOOKUP(#REF!,[1]Lookup!$B$2:$E$115,2,FALSE),"")</f>
        <v/>
      </c>
      <c r="AU2442" s="65" t="str">
        <f>IFERROR(VLOOKUP(#REF!,[1]Lookup!$B$2:$E$115,3,FALSE),"")</f>
        <v/>
      </c>
    </row>
    <row r="2443" spans="31:47" x14ac:dyDescent="0.3">
      <c r="AE2443" s="204" t="s">
        <v>398</v>
      </c>
      <c r="AF2443" s="204" t="s">
        <v>398</v>
      </c>
      <c r="AG2443" s="204" t="s">
        <v>398</v>
      </c>
      <c r="AS2443" s="65" t="str">
        <f>IFERROR(VLOOKUP(#REF!,[1]Lookup!$B$2:$E$115,4,FALSE),"")</f>
        <v/>
      </c>
      <c r="AT2443" s="65" t="str">
        <f>IFERROR(VLOOKUP(#REF!,[1]Lookup!$B$2:$E$115,2,FALSE),"")</f>
        <v/>
      </c>
      <c r="AU2443" s="65" t="str">
        <f>IFERROR(VLOOKUP(#REF!,[1]Lookup!$B$2:$E$115,3,FALSE),"")</f>
        <v/>
      </c>
    </row>
    <row r="2444" spans="31:47" x14ac:dyDescent="0.3">
      <c r="AE2444" s="204" t="s">
        <v>398</v>
      </c>
      <c r="AF2444" s="204" t="s">
        <v>398</v>
      </c>
      <c r="AG2444" s="204" t="s">
        <v>398</v>
      </c>
      <c r="AS2444" s="65" t="str">
        <f>IFERROR(VLOOKUP(#REF!,[1]Lookup!$B$2:$E$115,4,FALSE),"")</f>
        <v/>
      </c>
      <c r="AT2444" s="65" t="str">
        <f>IFERROR(VLOOKUP(#REF!,[1]Lookup!$B$2:$E$115,2,FALSE),"")</f>
        <v/>
      </c>
      <c r="AU2444" s="65" t="str">
        <f>IFERROR(VLOOKUP(#REF!,[1]Lookup!$B$2:$E$115,3,FALSE),"")</f>
        <v/>
      </c>
    </row>
    <row r="2445" spans="31:47" x14ac:dyDescent="0.3">
      <c r="AE2445" s="204" t="s">
        <v>398</v>
      </c>
      <c r="AF2445" s="204" t="s">
        <v>398</v>
      </c>
      <c r="AG2445" s="204" t="s">
        <v>398</v>
      </c>
      <c r="AS2445" s="65" t="str">
        <f>IFERROR(VLOOKUP(#REF!,[1]Lookup!$B$2:$E$115,4,FALSE),"")</f>
        <v/>
      </c>
      <c r="AT2445" s="65" t="str">
        <f>IFERROR(VLOOKUP(#REF!,[1]Lookup!$B$2:$E$115,2,FALSE),"")</f>
        <v/>
      </c>
      <c r="AU2445" s="65" t="str">
        <f>IFERROR(VLOOKUP(#REF!,[1]Lookup!$B$2:$E$115,3,FALSE),"")</f>
        <v/>
      </c>
    </row>
    <row r="2446" spans="31:47" x14ac:dyDescent="0.3">
      <c r="AE2446" s="204" t="s">
        <v>398</v>
      </c>
      <c r="AF2446" s="204" t="s">
        <v>398</v>
      </c>
      <c r="AG2446" s="204" t="s">
        <v>398</v>
      </c>
      <c r="AS2446" s="65" t="str">
        <f>IFERROR(VLOOKUP(#REF!,[1]Lookup!$B$2:$E$115,4,FALSE),"")</f>
        <v/>
      </c>
      <c r="AT2446" s="65" t="str">
        <f>IFERROR(VLOOKUP(#REF!,[1]Lookup!$B$2:$E$115,2,FALSE),"")</f>
        <v/>
      </c>
      <c r="AU2446" s="65" t="str">
        <f>IFERROR(VLOOKUP(#REF!,[1]Lookup!$B$2:$E$115,3,FALSE),"")</f>
        <v/>
      </c>
    </row>
    <row r="2447" spans="31:47" x14ac:dyDescent="0.3">
      <c r="AE2447" s="204" t="s">
        <v>398</v>
      </c>
      <c r="AF2447" s="204" t="s">
        <v>398</v>
      </c>
      <c r="AG2447" s="204" t="s">
        <v>398</v>
      </c>
      <c r="AS2447" s="65" t="str">
        <f>IFERROR(VLOOKUP(#REF!,[1]Lookup!$B$2:$E$115,4,FALSE),"")</f>
        <v/>
      </c>
      <c r="AT2447" s="65" t="str">
        <f>IFERROR(VLOOKUP(#REF!,[1]Lookup!$B$2:$E$115,2,FALSE),"")</f>
        <v/>
      </c>
      <c r="AU2447" s="65" t="str">
        <f>IFERROR(VLOOKUP(#REF!,[1]Lookup!$B$2:$E$115,3,FALSE),"")</f>
        <v/>
      </c>
    </row>
    <row r="2448" spans="31:47" x14ac:dyDescent="0.3">
      <c r="AE2448" s="204" t="s">
        <v>398</v>
      </c>
      <c r="AF2448" s="204" t="s">
        <v>398</v>
      </c>
      <c r="AG2448" s="204" t="s">
        <v>398</v>
      </c>
      <c r="AS2448" s="65" t="str">
        <f>IFERROR(VLOOKUP(#REF!,[1]Lookup!$B$2:$E$115,4,FALSE),"")</f>
        <v/>
      </c>
      <c r="AT2448" s="65" t="str">
        <f>IFERROR(VLOOKUP(#REF!,[1]Lookup!$B$2:$E$115,2,FALSE),"")</f>
        <v/>
      </c>
      <c r="AU2448" s="65" t="str">
        <f>IFERROR(VLOOKUP(#REF!,[1]Lookup!$B$2:$E$115,3,FALSE),"")</f>
        <v/>
      </c>
    </row>
    <row r="2449" spans="31:47" x14ac:dyDescent="0.3">
      <c r="AE2449" s="204" t="s">
        <v>398</v>
      </c>
      <c r="AF2449" s="204" t="s">
        <v>398</v>
      </c>
      <c r="AG2449" s="204" t="s">
        <v>398</v>
      </c>
      <c r="AS2449" s="65" t="str">
        <f>IFERROR(VLOOKUP(#REF!,[1]Lookup!$B$2:$E$115,4,FALSE),"")</f>
        <v/>
      </c>
      <c r="AT2449" s="65" t="str">
        <f>IFERROR(VLOOKUP(#REF!,[1]Lookup!$B$2:$E$115,2,FALSE),"")</f>
        <v/>
      </c>
      <c r="AU2449" s="65" t="str">
        <f>IFERROR(VLOOKUP(#REF!,[1]Lookup!$B$2:$E$115,3,FALSE),"")</f>
        <v/>
      </c>
    </row>
    <row r="2450" spans="31:47" x14ac:dyDescent="0.3">
      <c r="AE2450" s="204" t="s">
        <v>398</v>
      </c>
      <c r="AF2450" s="204" t="s">
        <v>398</v>
      </c>
      <c r="AG2450" s="204" t="s">
        <v>398</v>
      </c>
      <c r="AS2450" s="65" t="str">
        <f>IFERROR(VLOOKUP(#REF!,[1]Lookup!$B$2:$E$115,4,FALSE),"")</f>
        <v/>
      </c>
      <c r="AT2450" s="65" t="str">
        <f>IFERROR(VLOOKUP(#REF!,[1]Lookup!$B$2:$E$115,2,FALSE),"")</f>
        <v/>
      </c>
      <c r="AU2450" s="65" t="str">
        <f>IFERROR(VLOOKUP(#REF!,[1]Lookup!$B$2:$E$115,3,FALSE),"")</f>
        <v/>
      </c>
    </row>
    <row r="2451" spans="31:47" x14ac:dyDescent="0.3">
      <c r="AE2451" s="204" t="s">
        <v>398</v>
      </c>
      <c r="AF2451" s="204" t="s">
        <v>398</v>
      </c>
      <c r="AG2451" s="204" t="s">
        <v>398</v>
      </c>
      <c r="AS2451" s="65" t="str">
        <f>IFERROR(VLOOKUP(#REF!,[1]Lookup!$B$2:$E$115,4,FALSE),"")</f>
        <v/>
      </c>
      <c r="AT2451" s="65" t="str">
        <f>IFERROR(VLOOKUP(#REF!,[1]Lookup!$B$2:$E$115,2,FALSE),"")</f>
        <v/>
      </c>
      <c r="AU2451" s="65" t="str">
        <f>IFERROR(VLOOKUP(#REF!,[1]Lookup!$B$2:$E$115,3,FALSE),"")</f>
        <v/>
      </c>
    </row>
    <row r="2452" spans="31:47" x14ac:dyDescent="0.3">
      <c r="AE2452" s="204" t="s">
        <v>398</v>
      </c>
      <c r="AF2452" s="204" t="s">
        <v>398</v>
      </c>
      <c r="AG2452" s="204" t="s">
        <v>398</v>
      </c>
      <c r="AS2452" s="65" t="str">
        <f>IFERROR(VLOOKUP(#REF!,[1]Lookup!$B$2:$E$115,4,FALSE),"")</f>
        <v/>
      </c>
      <c r="AT2452" s="65" t="str">
        <f>IFERROR(VLOOKUP(#REF!,[1]Lookup!$B$2:$E$115,2,FALSE),"")</f>
        <v/>
      </c>
      <c r="AU2452" s="65" t="str">
        <f>IFERROR(VLOOKUP(#REF!,[1]Lookup!$B$2:$E$115,3,FALSE),"")</f>
        <v/>
      </c>
    </row>
    <row r="2453" spans="31:47" x14ac:dyDescent="0.3">
      <c r="AE2453" s="204" t="s">
        <v>398</v>
      </c>
      <c r="AF2453" s="204" t="s">
        <v>398</v>
      </c>
      <c r="AG2453" s="204" t="s">
        <v>398</v>
      </c>
      <c r="AS2453" s="65" t="str">
        <f>IFERROR(VLOOKUP(#REF!,[1]Lookup!$B$2:$E$115,4,FALSE),"")</f>
        <v/>
      </c>
      <c r="AT2453" s="65" t="str">
        <f>IFERROR(VLOOKUP(#REF!,[1]Lookup!$B$2:$E$115,2,FALSE),"")</f>
        <v/>
      </c>
      <c r="AU2453" s="65" t="str">
        <f>IFERROR(VLOOKUP(#REF!,[1]Lookup!$B$2:$E$115,3,FALSE),"")</f>
        <v/>
      </c>
    </row>
    <row r="2454" spans="31:47" x14ac:dyDescent="0.3">
      <c r="AE2454" s="204" t="s">
        <v>398</v>
      </c>
      <c r="AF2454" s="204" t="s">
        <v>398</v>
      </c>
      <c r="AG2454" s="204" t="s">
        <v>398</v>
      </c>
      <c r="AS2454" s="65" t="str">
        <f>IFERROR(VLOOKUP(#REF!,[1]Lookup!$B$2:$E$115,4,FALSE),"")</f>
        <v/>
      </c>
      <c r="AT2454" s="65" t="str">
        <f>IFERROR(VLOOKUP(#REF!,[1]Lookup!$B$2:$E$115,2,FALSE),"")</f>
        <v/>
      </c>
      <c r="AU2454" s="65" t="str">
        <f>IFERROR(VLOOKUP(#REF!,[1]Lookup!$B$2:$E$115,3,FALSE),"")</f>
        <v/>
      </c>
    </row>
    <row r="2455" spans="31:47" x14ac:dyDescent="0.3">
      <c r="AE2455" s="204" t="s">
        <v>398</v>
      </c>
      <c r="AF2455" s="204" t="s">
        <v>398</v>
      </c>
      <c r="AG2455" s="204" t="s">
        <v>398</v>
      </c>
      <c r="AS2455" s="65" t="str">
        <f>IFERROR(VLOOKUP(#REF!,[1]Lookup!$B$2:$E$115,4,FALSE),"")</f>
        <v/>
      </c>
      <c r="AT2455" s="65" t="str">
        <f>IFERROR(VLOOKUP(#REF!,[1]Lookup!$B$2:$E$115,2,FALSE),"")</f>
        <v/>
      </c>
      <c r="AU2455" s="65" t="str">
        <f>IFERROR(VLOOKUP(#REF!,[1]Lookup!$B$2:$E$115,3,FALSE),"")</f>
        <v/>
      </c>
    </row>
    <row r="2456" spans="31:47" x14ac:dyDescent="0.3">
      <c r="AE2456" s="204" t="s">
        <v>398</v>
      </c>
      <c r="AF2456" s="204" t="s">
        <v>398</v>
      </c>
      <c r="AG2456" s="204" t="s">
        <v>398</v>
      </c>
      <c r="AS2456" s="65" t="str">
        <f>IFERROR(VLOOKUP(#REF!,[1]Lookup!$B$2:$E$115,4,FALSE),"")</f>
        <v/>
      </c>
      <c r="AT2456" s="65" t="str">
        <f>IFERROR(VLOOKUP(#REF!,[1]Lookup!$B$2:$E$115,2,FALSE),"")</f>
        <v/>
      </c>
      <c r="AU2456" s="65" t="str">
        <f>IFERROR(VLOOKUP(#REF!,[1]Lookup!$B$2:$E$115,3,FALSE),"")</f>
        <v/>
      </c>
    </row>
    <row r="2457" spans="31:47" x14ac:dyDescent="0.3">
      <c r="AE2457" s="204" t="s">
        <v>398</v>
      </c>
      <c r="AF2457" s="204" t="s">
        <v>398</v>
      </c>
      <c r="AG2457" s="204" t="s">
        <v>398</v>
      </c>
      <c r="AS2457" s="65" t="str">
        <f>IFERROR(VLOOKUP(#REF!,[1]Lookup!$B$2:$E$115,4,FALSE),"")</f>
        <v/>
      </c>
      <c r="AT2457" s="65" t="str">
        <f>IFERROR(VLOOKUP(#REF!,[1]Lookup!$B$2:$E$115,2,FALSE),"")</f>
        <v/>
      </c>
      <c r="AU2457" s="65" t="str">
        <f>IFERROR(VLOOKUP(#REF!,[1]Lookup!$B$2:$E$115,3,FALSE),"")</f>
        <v/>
      </c>
    </row>
    <row r="2458" spans="31:47" x14ac:dyDescent="0.3">
      <c r="AE2458" s="204" t="s">
        <v>398</v>
      </c>
      <c r="AF2458" s="204" t="s">
        <v>398</v>
      </c>
      <c r="AG2458" s="204" t="s">
        <v>398</v>
      </c>
      <c r="AS2458" s="65" t="str">
        <f>IFERROR(VLOOKUP(#REF!,[1]Lookup!$B$2:$E$115,4,FALSE),"")</f>
        <v/>
      </c>
      <c r="AT2458" s="65" t="str">
        <f>IFERROR(VLOOKUP(#REF!,[1]Lookup!$B$2:$E$115,2,FALSE),"")</f>
        <v/>
      </c>
      <c r="AU2458" s="65" t="str">
        <f>IFERROR(VLOOKUP(#REF!,[1]Lookup!$B$2:$E$115,3,FALSE),"")</f>
        <v/>
      </c>
    </row>
    <row r="2459" spans="31:47" x14ac:dyDescent="0.3">
      <c r="AE2459" s="204" t="s">
        <v>398</v>
      </c>
      <c r="AF2459" s="204" t="s">
        <v>398</v>
      </c>
      <c r="AG2459" s="204" t="s">
        <v>398</v>
      </c>
      <c r="AS2459" s="65" t="str">
        <f>IFERROR(VLOOKUP(#REF!,[1]Lookup!$B$2:$E$115,4,FALSE),"")</f>
        <v/>
      </c>
      <c r="AT2459" s="65" t="str">
        <f>IFERROR(VLOOKUP(#REF!,[1]Lookup!$B$2:$E$115,2,FALSE),"")</f>
        <v/>
      </c>
      <c r="AU2459" s="65" t="str">
        <f>IFERROR(VLOOKUP(#REF!,[1]Lookup!$B$2:$E$115,3,FALSE),"")</f>
        <v/>
      </c>
    </row>
    <row r="2460" spans="31:47" x14ac:dyDescent="0.3">
      <c r="AE2460" s="204" t="s">
        <v>398</v>
      </c>
      <c r="AF2460" s="204" t="s">
        <v>398</v>
      </c>
      <c r="AG2460" s="204" t="s">
        <v>398</v>
      </c>
      <c r="AS2460" s="65" t="str">
        <f>IFERROR(VLOOKUP(#REF!,[1]Lookup!$B$2:$E$115,4,FALSE),"")</f>
        <v/>
      </c>
      <c r="AT2460" s="65" t="str">
        <f>IFERROR(VLOOKUP(#REF!,[1]Lookup!$B$2:$E$115,2,FALSE),"")</f>
        <v/>
      </c>
      <c r="AU2460" s="65" t="str">
        <f>IFERROR(VLOOKUP(#REF!,[1]Lookup!$B$2:$E$115,3,FALSE),"")</f>
        <v/>
      </c>
    </row>
    <row r="2461" spans="31:47" x14ac:dyDescent="0.3">
      <c r="AE2461" s="204" t="s">
        <v>398</v>
      </c>
      <c r="AF2461" s="204" t="s">
        <v>398</v>
      </c>
      <c r="AG2461" s="204" t="s">
        <v>398</v>
      </c>
      <c r="AS2461" s="65" t="str">
        <f>IFERROR(VLOOKUP(#REF!,[1]Lookup!$B$2:$E$115,4,FALSE),"")</f>
        <v/>
      </c>
      <c r="AT2461" s="65" t="str">
        <f>IFERROR(VLOOKUP(#REF!,[1]Lookup!$B$2:$E$115,2,FALSE),"")</f>
        <v/>
      </c>
      <c r="AU2461" s="65" t="str">
        <f>IFERROR(VLOOKUP(#REF!,[1]Lookup!$B$2:$E$115,3,FALSE),"")</f>
        <v/>
      </c>
    </row>
    <row r="2462" spans="31:47" x14ac:dyDescent="0.3">
      <c r="AE2462" s="204" t="s">
        <v>398</v>
      </c>
      <c r="AF2462" s="204" t="s">
        <v>398</v>
      </c>
      <c r="AG2462" s="204" t="s">
        <v>398</v>
      </c>
      <c r="AS2462" s="65" t="str">
        <f>IFERROR(VLOOKUP(#REF!,[1]Lookup!$B$2:$E$115,4,FALSE),"")</f>
        <v/>
      </c>
      <c r="AT2462" s="65" t="str">
        <f>IFERROR(VLOOKUP(#REF!,[1]Lookup!$B$2:$E$115,2,FALSE),"")</f>
        <v/>
      </c>
      <c r="AU2462" s="65" t="str">
        <f>IFERROR(VLOOKUP(#REF!,[1]Lookup!$B$2:$E$115,3,FALSE),"")</f>
        <v/>
      </c>
    </row>
    <row r="2463" spans="31:47" x14ac:dyDescent="0.3">
      <c r="AE2463" s="204" t="s">
        <v>398</v>
      </c>
      <c r="AF2463" s="204" t="s">
        <v>398</v>
      </c>
      <c r="AG2463" s="204" t="s">
        <v>398</v>
      </c>
      <c r="AS2463" s="65" t="str">
        <f>IFERROR(VLOOKUP(#REF!,[1]Lookup!$B$2:$E$115,4,FALSE),"")</f>
        <v/>
      </c>
      <c r="AT2463" s="65" t="str">
        <f>IFERROR(VLOOKUP(#REF!,[1]Lookup!$B$2:$E$115,2,FALSE),"")</f>
        <v/>
      </c>
      <c r="AU2463" s="65" t="str">
        <f>IFERROR(VLOOKUP(#REF!,[1]Lookup!$B$2:$E$115,3,FALSE),"")</f>
        <v/>
      </c>
    </row>
    <row r="2464" spans="31:47" x14ac:dyDescent="0.3">
      <c r="AE2464" s="204" t="s">
        <v>398</v>
      </c>
      <c r="AF2464" s="204" t="s">
        <v>398</v>
      </c>
      <c r="AG2464" s="204" t="s">
        <v>398</v>
      </c>
      <c r="AS2464" s="65" t="str">
        <f>IFERROR(VLOOKUP(#REF!,[1]Lookup!$B$2:$E$115,4,FALSE),"")</f>
        <v/>
      </c>
      <c r="AT2464" s="65" t="str">
        <f>IFERROR(VLOOKUP(#REF!,[1]Lookup!$B$2:$E$115,2,FALSE),"")</f>
        <v/>
      </c>
      <c r="AU2464" s="65" t="str">
        <f>IFERROR(VLOOKUP(#REF!,[1]Lookup!$B$2:$E$115,3,FALSE),"")</f>
        <v/>
      </c>
    </row>
    <row r="2465" spans="31:47" x14ac:dyDescent="0.3">
      <c r="AE2465" s="204" t="s">
        <v>398</v>
      </c>
      <c r="AF2465" s="204" t="s">
        <v>398</v>
      </c>
      <c r="AG2465" s="204" t="s">
        <v>398</v>
      </c>
      <c r="AS2465" s="65" t="str">
        <f>IFERROR(VLOOKUP(#REF!,[1]Lookup!$B$2:$E$115,4,FALSE),"")</f>
        <v/>
      </c>
      <c r="AT2465" s="65" t="str">
        <f>IFERROR(VLOOKUP(#REF!,[1]Lookup!$B$2:$E$115,2,FALSE),"")</f>
        <v/>
      </c>
      <c r="AU2465" s="65" t="str">
        <f>IFERROR(VLOOKUP(#REF!,[1]Lookup!$B$2:$E$115,3,FALSE),"")</f>
        <v/>
      </c>
    </row>
    <row r="2466" spans="31:47" x14ac:dyDescent="0.3">
      <c r="AE2466" s="204" t="s">
        <v>398</v>
      </c>
      <c r="AF2466" s="204" t="s">
        <v>398</v>
      </c>
      <c r="AG2466" s="204" t="s">
        <v>398</v>
      </c>
      <c r="AS2466" s="65" t="str">
        <f>IFERROR(VLOOKUP(#REF!,[1]Lookup!$B$2:$E$115,4,FALSE),"")</f>
        <v/>
      </c>
      <c r="AT2466" s="65" t="str">
        <f>IFERROR(VLOOKUP(#REF!,[1]Lookup!$B$2:$E$115,2,FALSE),"")</f>
        <v/>
      </c>
      <c r="AU2466" s="65" t="str">
        <f>IFERROR(VLOOKUP(#REF!,[1]Lookup!$B$2:$E$115,3,FALSE),"")</f>
        <v/>
      </c>
    </row>
    <row r="2467" spans="31:47" x14ac:dyDescent="0.3">
      <c r="AE2467" s="204" t="s">
        <v>398</v>
      </c>
      <c r="AF2467" s="204" t="s">
        <v>398</v>
      </c>
      <c r="AG2467" s="204" t="s">
        <v>398</v>
      </c>
      <c r="AS2467" s="65" t="str">
        <f>IFERROR(VLOOKUP(#REF!,[1]Lookup!$B$2:$E$115,4,FALSE),"")</f>
        <v/>
      </c>
      <c r="AT2467" s="65" t="str">
        <f>IFERROR(VLOOKUP(#REF!,[1]Lookup!$B$2:$E$115,2,FALSE),"")</f>
        <v/>
      </c>
      <c r="AU2467" s="65" t="str">
        <f>IFERROR(VLOOKUP(#REF!,[1]Lookup!$B$2:$E$115,3,FALSE),"")</f>
        <v/>
      </c>
    </row>
    <row r="2468" spans="31:47" x14ac:dyDescent="0.3">
      <c r="AE2468" s="204" t="s">
        <v>398</v>
      </c>
      <c r="AF2468" s="204" t="s">
        <v>398</v>
      </c>
      <c r="AG2468" s="204" t="s">
        <v>398</v>
      </c>
      <c r="AS2468" s="65" t="str">
        <f>IFERROR(VLOOKUP(#REF!,[1]Lookup!$B$2:$E$115,4,FALSE),"")</f>
        <v/>
      </c>
      <c r="AT2468" s="65" t="str">
        <f>IFERROR(VLOOKUP(#REF!,[1]Lookup!$B$2:$E$115,2,FALSE),"")</f>
        <v/>
      </c>
      <c r="AU2468" s="65" t="str">
        <f>IFERROR(VLOOKUP(#REF!,[1]Lookup!$B$2:$E$115,3,FALSE),"")</f>
        <v/>
      </c>
    </row>
    <row r="2469" spans="31:47" x14ac:dyDescent="0.3">
      <c r="AE2469" s="204" t="s">
        <v>398</v>
      </c>
      <c r="AF2469" s="204" t="s">
        <v>398</v>
      </c>
      <c r="AG2469" s="204" t="s">
        <v>398</v>
      </c>
      <c r="AS2469" s="65" t="str">
        <f>IFERROR(VLOOKUP(#REF!,[1]Lookup!$B$2:$E$115,4,FALSE),"")</f>
        <v/>
      </c>
      <c r="AT2469" s="65" t="str">
        <f>IFERROR(VLOOKUP(#REF!,[1]Lookup!$B$2:$E$115,2,FALSE),"")</f>
        <v/>
      </c>
      <c r="AU2469" s="65" t="str">
        <f>IFERROR(VLOOKUP(#REF!,[1]Lookup!$B$2:$E$115,3,FALSE),"")</f>
        <v/>
      </c>
    </row>
    <row r="2470" spans="31:47" x14ac:dyDescent="0.3">
      <c r="AE2470" s="204" t="s">
        <v>398</v>
      </c>
      <c r="AF2470" s="204" t="s">
        <v>398</v>
      </c>
      <c r="AG2470" s="204" t="s">
        <v>398</v>
      </c>
      <c r="AS2470" s="65" t="str">
        <f>IFERROR(VLOOKUP(#REF!,[1]Lookup!$B$2:$E$115,4,FALSE),"")</f>
        <v/>
      </c>
      <c r="AT2470" s="65" t="str">
        <f>IFERROR(VLOOKUP(#REF!,[1]Lookup!$B$2:$E$115,2,FALSE),"")</f>
        <v/>
      </c>
      <c r="AU2470" s="65" t="str">
        <f>IFERROR(VLOOKUP(#REF!,[1]Lookup!$B$2:$E$115,3,FALSE),"")</f>
        <v/>
      </c>
    </row>
    <row r="2471" spans="31:47" x14ac:dyDescent="0.3">
      <c r="AE2471" s="204" t="s">
        <v>398</v>
      </c>
      <c r="AF2471" s="204" t="s">
        <v>398</v>
      </c>
      <c r="AG2471" s="204" t="s">
        <v>398</v>
      </c>
      <c r="AS2471" s="65" t="str">
        <f>IFERROR(VLOOKUP(#REF!,[1]Lookup!$B$2:$E$115,4,FALSE),"")</f>
        <v/>
      </c>
      <c r="AT2471" s="65" t="str">
        <f>IFERROR(VLOOKUP(#REF!,[1]Lookup!$B$2:$E$115,2,FALSE),"")</f>
        <v/>
      </c>
      <c r="AU2471" s="65" t="str">
        <f>IFERROR(VLOOKUP(#REF!,[1]Lookup!$B$2:$E$115,3,FALSE),"")</f>
        <v/>
      </c>
    </row>
    <row r="2472" spans="31:47" x14ac:dyDescent="0.3">
      <c r="AE2472" s="204" t="s">
        <v>398</v>
      </c>
      <c r="AF2472" s="204" t="s">
        <v>398</v>
      </c>
      <c r="AG2472" s="204" t="s">
        <v>398</v>
      </c>
      <c r="AS2472" s="65" t="str">
        <f>IFERROR(VLOOKUP(#REF!,[1]Lookup!$B$2:$E$115,4,FALSE),"")</f>
        <v/>
      </c>
      <c r="AT2472" s="65" t="str">
        <f>IFERROR(VLOOKUP(#REF!,[1]Lookup!$B$2:$E$115,2,FALSE),"")</f>
        <v/>
      </c>
      <c r="AU2472" s="65" t="str">
        <f>IFERROR(VLOOKUP(#REF!,[1]Lookup!$B$2:$E$115,3,FALSE),"")</f>
        <v/>
      </c>
    </row>
    <row r="2473" spans="31:47" x14ac:dyDescent="0.3">
      <c r="AE2473" s="204" t="s">
        <v>398</v>
      </c>
      <c r="AF2473" s="204" t="s">
        <v>398</v>
      </c>
      <c r="AG2473" s="204" t="s">
        <v>398</v>
      </c>
      <c r="AS2473" s="65" t="str">
        <f>IFERROR(VLOOKUP(#REF!,[1]Lookup!$B$2:$E$115,4,FALSE),"")</f>
        <v/>
      </c>
      <c r="AT2473" s="65" t="str">
        <f>IFERROR(VLOOKUP(#REF!,[1]Lookup!$B$2:$E$115,2,FALSE),"")</f>
        <v/>
      </c>
      <c r="AU2473" s="65" t="str">
        <f>IFERROR(VLOOKUP(#REF!,[1]Lookup!$B$2:$E$115,3,FALSE),"")</f>
        <v/>
      </c>
    </row>
    <row r="2474" spans="31:47" x14ac:dyDescent="0.3">
      <c r="AE2474" s="204" t="s">
        <v>398</v>
      </c>
      <c r="AF2474" s="204" t="s">
        <v>398</v>
      </c>
      <c r="AG2474" s="204" t="s">
        <v>398</v>
      </c>
      <c r="AS2474" s="65" t="str">
        <f>IFERROR(VLOOKUP(#REF!,[1]Lookup!$B$2:$E$115,4,FALSE),"")</f>
        <v/>
      </c>
      <c r="AT2474" s="65" t="str">
        <f>IFERROR(VLOOKUP(#REF!,[1]Lookup!$B$2:$E$115,2,FALSE),"")</f>
        <v/>
      </c>
      <c r="AU2474" s="65" t="str">
        <f>IFERROR(VLOOKUP(#REF!,[1]Lookup!$B$2:$E$115,3,FALSE),"")</f>
        <v/>
      </c>
    </row>
    <row r="2475" spans="31:47" x14ac:dyDescent="0.3">
      <c r="AE2475" s="204" t="s">
        <v>398</v>
      </c>
      <c r="AF2475" s="204" t="s">
        <v>398</v>
      </c>
      <c r="AG2475" s="204" t="s">
        <v>398</v>
      </c>
      <c r="AS2475" s="65" t="str">
        <f>IFERROR(VLOOKUP(#REF!,[1]Lookup!$B$2:$E$115,4,FALSE),"")</f>
        <v/>
      </c>
      <c r="AT2475" s="65" t="str">
        <f>IFERROR(VLOOKUP(#REF!,[1]Lookup!$B$2:$E$115,2,FALSE),"")</f>
        <v/>
      </c>
      <c r="AU2475" s="65" t="str">
        <f>IFERROR(VLOOKUP(#REF!,[1]Lookup!$B$2:$E$115,3,FALSE),"")</f>
        <v/>
      </c>
    </row>
    <row r="2476" spans="31:47" x14ac:dyDescent="0.3">
      <c r="AE2476" s="204" t="s">
        <v>398</v>
      </c>
      <c r="AF2476" s="204" t="s">
        <v>398</v>
      </c>
      <c r="AG2476" s="204" t="s">
        <v>398</v>
      </c>
      <c r="AS2476" s="65" t="str">
        <f>IFERROR(VLOOKUP(#REF!,[1]Lookup!$B$2:$E$115,4,FALSE),"")</f>
        <v/>
      </c>
      <c r="AT2476" s="65" t="str">
        <f>IFERROR(VLOOKUP(#REF!,[1]Lookup!$B$2:$E$115,2,FALSE),"")</f>
        <v/>
      </c>
      <c r="AU2476" s="65" t="str">
        <f>IFERROR(VLOOKUP(#REF!,[1]Lookup!$B$2:$E$115,3,FALSE),"")</f>
        <v/>
      </c>
    </row>
    <row r="2477" spans="31:47" x14ac:dyDescent="0.3">
      <c r="AE2477" s="204" t="s">
        <v>398</v>
      </c>
      <c r="AF2477" s="204" t="s">
        <v>398</v>
      </c>
      <c r="AG2477" s="204" t="s">
        <v>398</v>
      </c>
      <c r="AS2477" s="65" t="str">
        <f>IFERROR(VLOOKUP(#REF!,[1]Lookup!$B$2:$E$115,4,FALSE),"")</f>
        <v/>
      </c>
      <c r="AT2477" s="65" t="str">
        <f>IFERROR(VLOOKUP(#REF!,[1]Lookup!$B$2:$E$115,2,FALSE),"")</f>
        <v/>
      </c>
      <c r="AU2477" s="65" t="str">
        <f>IFERROR(VLOOKUP(#REF!,[1]Lookup!$B$2:$E$115,3,FALSE),"")</f>
        <v/>
      </c>
    </row>
    <row r="2478" spans="31:47" x14ac:dyDescent="0.3">
      <c r="AE2478" s="204" t="s">
        <v>398</v>
      </c>
      <c r="AF2478" s="204" t="s">
        <v>398</v>
      </c>
      <c r="AG2478" s="204" t="s">
        <v>398</v>
      </c>
      <c r="AS2478" s="65" t="str">
        <f>IFERROR(VLOOKUP(#REF!,[1]Lookup!$B$2:$E$115,4,FALSE),"")</f>
        <v/>
      </c>
      <c r="AT2478" s="65" t="str">
        <f>IFERROR(VLOOKUP(#REF!,[1]Lookup!$B$2:$E$115,2,FALSE),"")</f>
        <v/>
      </c>
      <c r="AU2478" s="65" t="str">
        <f>IFERROR(VLOOKUP(#REF!,[1]Lookup!$B$2:$E$115,3,FALSE),"")</f>
        <v/>
      </c>
    </row>
    <row r="2479" spans="31:47" x14ac:dyDescent="0.3">
      <c r="AE2479" s="204" t="s">
        <v>398</v>
      </c>
      <c r="AF2479" s="204" t="s">
        <v>398</v>
      </c>
      <c r="AG2479" s="204" t="s">
        <v>398</v>
      </c>
      <c r="AS2479" s="65" t="str">
        <f>IFERROR(VLOOKUP(#REF!,[1]Lookup!$B$2:$E$115,4,FALSE),"")</f>
        <v/>
      </c>
      <c r="AT2479" s="65" t="str">
        <f>IFERROR(VLOOKUP(#REF!,[1]Lookup!$B$2:$E$115,2,FALSE),"")</f>
        <v/>
      </c>
      <c r="AU2479" s="65" t="str">
        <f>IFERROR(VLOOKUP(#REF!,[1]Lookup!$B$2:$E$115,3,FALSE),"")</f>
        <v/>
      </c>
    </row>
    <row r="2480" spans="31:47" x14ac:dyDescent="0.3">
      <c r="AE2480" s="204" t="s">
        <v>398</v>
      </c>
      <c r="AF2480" s="204" t="s">
        <v>398</v>
      </c>
      <c r="AG2480" s="204" t="s">
        <v>398</v>
      </c>
      <c r="AS2480" s="65" t="str">
        <f>IFERROR(VLOOKUP(#REF!,[1]Lookup!$B$2:$E$115,4,FALSE),"")</f>
        <v/>
      </c>
      <c r="AT2480" s="65" t="str">
        <f>IFERROR(VLOOKUP(#REF!,[1]Lookup!$B$2:$E$115,2,FALSE),"")</f>
        <v/>
      </c>
      <c r="AU2480" s="65" t="str">
        <f>IFERROR(VLOOKUP(#REF!,[1]Lookup!$B$2:$E$115,3,FALSE),"")</f>
        <v/>
      </c>
    </row>
    <row r="2481" spans="31:47" x14ac:dyDescent="0.3">
      <c r="AE2481" s="204" t="s">
        <v>398</v>
      </c>
      <c r="AF2481" s="204" t="s">
        <v>398</v>
      </c>
      <c r="AG2481" s="204" t="s">
        <v>398</v>
      </c>
      <c r="AS2481" s="65" t="str">
        <f>IFERROR(VLOOKUP(#REF!,[1]Lookup!$B$2:$E$115,4,FALSE),"")</f>
        <v/>
      </c>
      <c r="AT2481" s="65" t="str">
        <f>IFERROR(VLOOKUP(#REF!,[1]Lookup!$B$2:$E$115,2,FALSE),"")</f>
        <v/>
      </c>
      <c r="AU2481" s="65" t="str">
        <f>IFERROR(VLOOKUP(#REF!,[1]Lookup!$B$2:$E$115,3,FALSE),"")</f>
        <v/>
      </c>
    </row>
    <row r="2482" spans="31:47" x14ac:dyDescent="0.3">
      <c r="AE2482" s="204" t="s">
        <v>398</v>
      </c>
      <c r="AF2482" s="204" t="s">
        <v>398</v>
      </c>
      <c r="AG2482" s="204" t="s">
        <v>398</v>
      </c>
      <c r="AS2482" s="65" t="str">
        <f>IFERROR(VLOOKUP(#REF!,[1]Lookup!$B$2:$E$115,4,FALSE),"")</f>
        <v/>
      </c>
      <c r="AT2482" s="65" t="str">
        <f>IFERROR(VLOOKUP(#REF!,[1]Lookup!$B$2:$E$115,2,FALSE),"")</f>
        <v/>
      </c>
      <c r="AU2482" s="65" t="str">
        <f>IFERROR(VLOOKUP(#REF!,[1]Lookup!$B$2:$E$115,3,FALSE),"")</f>
        <v/>
      </c>
    </row>
    <row r="2483" spans="31:47" x14ac:dyDescent="0.3">
      <c r="AE2483" s="204" t="s">
        <v>398</v>
      </c>
      <c r="AF2483" s="204" t="s">
        <v>398</v>
      </c>
      <c r="AG2483" s="204" t="s">
        <v>398</v>
      </c>
      <c r="AS2483" s="65" t="str">
        <f>IFERROR(VLOOKUP(#REF!,[1]Lookup!$B$2:$E$115,4,FALSE),"")</f>
        <v/>
      </c>
      <c r="AT2483" s="65" t="str">
        <f>IFERROR(VLOOKUP(#REF!,[1]Lookup!$B$2:$E$115,2,FALSE),"")</f>
        <v/>
      </c>
      <c r="AU2483" s="65" t="str">
        <f>IFERROR(VLOOKUP(#REF!,[1]Lookup!$B$2:$E$115,3,FALSE),"")</f>
        <v/>
      </c>
    </row>
    <row r="2484" spans="31:47" x14ac:dyDescent="0.3">
      <c r="AE2484" s="204" t="s">
        <v>398</v>
      </c>
      <c r="AF2484" s="204" t="s">
        <v>398</v>
      </c>
      <c r="AG2484" s="204" t="s">
        <v>398</v>
      </c>
      <c r="AS2484" s="65" t="str">
        <f>IFERROR(VLOOKUP(#REF!,[1]Lookup!$B$2:$E$115,4,FALSE),"")</f>
        <v/>
      </c>
      <c r="AT2484" s="65" t="str">
        <f>IFERROR(VLOOKUP(#REF!,[1]Lookup!$B$2:$E$115,2,FALSE),"")</f>
        <v/>
      </c>
      <c r="AU2484" s="65" t="str">
        <f>IFERROR(VLOOKUP(#REF!,[1]Lookup!$B$2:$E$115,3,FALSE),"")</f>
        <v/>
      </c>
    </row>
    <row r="2485" spans="31:47" x14ac:dyDescent="0.3">
      <c r="AE2485" s="204" t="s">
        <v>398</v>
      </c>
      <c r="AF2485" s="204" t="s">
        <v>398</v>
      </c>
      <c r="AG2485" s="204" t="s">
        <v>398</v>
      </c>
      <c r="AS2485" s="65" t="str">
        <f>IFERROR(VLOOKUP(#REF!,[1]Lookup!$B$2:$E$115,4,FALSE),"")</f>
        <v/>
      </c>
      <c r="AT2485" s="65" t="str">
        <f>IFERROR(VLOOKUP(#REF!,[1]Lookup!$B$2:$E$115,2,FALSE),"")</f>
        <v/>
      </c>
      <c r="AU2485" s="65" t="str">
        <f>IFERROR(VLOOKUP(#REF!,[1]Lookup!$B$2:$E$115,3,FALSE),"")</f>
        <v/>
      </c>
    </row>
    <row r="2486" spans="31:47" x14ac:dyDescent="0.3">
      <c r="AE2486" s="204" t="s">
        <v>398</v>
      </c>
      <c r="AF2486" s="204" t="s">
        <v>398</v>
      </c>
      <c r="AG2486" s="204" t="s">
        <v>398</v>
      </c>
      <c r="AS2486" s="65" t="str">
        <f>IFERROR(VLOOKUP(#REF!,[1]Lookup!$B$2:$E$115,4,FALSE),"")</f>
        <v/>
      </c>
      <c r="AT2486" s="65" t="str">
        <f>IFERROR(VLOOKUP(#REF!,[1]Lookup!$B$2:$E$115,2,FALSE),"")</f>
        <v/>
      </c>
      <c r="AU2486" s="65" t="str">
        <f>IFERROR(VLOOKUP(#REF!,[1]Lookup!$B$2:$E$115,3,FALSE),"")</f>
        <v/>
      </c>
    </row>
    <row r="2487" spans="31:47" x14ac:dyDescent="0.3">
      <c r="AE2487" s="204" t="s">
        <v>398</v>
      </c>
      <c r="AF2487" s="204" t="s">
        <v>398</v>
      </c>
      <c r="AG2487" s="204" t="s">
        <v>398</v>
      </c>
      <c r="AS2487" s="65" t="str">
        <f>IFERROR(VLOOKUP(#REF!,[1]Lookup!$B$2:$E$115,4,FALSE),"")</f>
        <v/>
      </c>
      <c r="AT2487" s="65" t="str">
        <f>IFERROR(VLOOKUP(#REF!,[1]Lookup!$B$2:$E$115,2,FALSE),"")</f>
        <v/>
      </c>
      <c r="AU2487" s="65" t="str">
        <f>IFERROR(VLOOKUP(#REF!,[1]Lookup!$B$2:$E$115,3,FALSE),"")</f>
        <v/>
      </c>
    </row>
    <row r="2488" spans="31:47" x14ac:dyDescent="0.3">
      <c r="AE2488" s="204" t="s">
        <v>398</v>
      </c>
      <c r="AF2488" s="204" t="s">
        <v>398</v>
      </c>
      <c r="AG2488" s="204" t="s">
        <v>398</v>
      </c>
      <c r="AS2488" s="65" t="str">
        <f>IFERROR(VLOOKUP(#REF!,[1]Lookup!$B$2:$E$115,4,FALSE),"")</f>
        <v/>
      </c>
      <c r="AT2488" s="65" t="str">
        <f>IFERROR(VLOOKUP(#REF!,[1]Lookup!$B$2:$E$115,2,FALSE),"")</f>
        <v/>
      </c>
      <c r="AU2488" s="65" t="str">
        <f>IFERROR(VLOOKUP(#REF!,[1]Lookup!$B$2:$E$115,3,FALSE),"")</f>
        <v/>
      </c>
    </row>
    <row r="2489" spans="31:47" x14ac:dyDescent="0.3">
      <c r="AE2489" s="204" t="s">
        <v>398</v>
      </c>
      <c r="AF2489" s="204" t="s">
        <v>398</v>
      </c>
      <c r="AG2489" s="204" t="s">
        <v>398</v>
      </c>
      <c r="AS2489" s="65" t="str">
        <f>IFERROR(VLOOKUP(#REF!,[1]Lookup!$B$2:$E$115,4,FALSE),"")</f>
        <v/>
      </c>
      <c r="AT2489" s="65" t="str">
        <f>IFERROR(VLOOKUP(#REF!,[1]Lookup!$B$2:$E$115,2,FALSE),"")</f>
        <v/>
      </c>
      <c r="AU2489" s="65" t="str">
        <f>IFERROR(VLOOKUP(#REF!,[1]Lookup!$B$2:$E$115,3,FALSE),"")</f>
        <v/>
      </c>
    </row>
    <row r="2490" spans="31:47" x14ac:dyDescent="0.3">
      <c r="AE2490" s="204" t="s">
        <v>398</v>
      </c>
      <c r="AF2490" s="204" t="s">
        <v>398</v>
      </c>
      <c r="AG2490" s="204" t="s">
        <v>398</v>
      </c>
      <c r="AS2490" s="65" t="str">
        <f>IFERROR(VLOOKUP(#REF!,[1]Lookup!$B$2:$E$115,4,FALSE),"")</f>
        <v/>
      </c>
      <c r="AT2490" s="65" t="str">
        <f>IFERROR(VLOOKUP(#REF!,[1]Lookup!$B$2:$E$115,2,FALSE),"")</f>
        <v/>
      </c>
      <c r="AU2490" s="65" t="str">
        <f>IFERROR(VLOOKUP(#REF!,[1]Lookup!$B$2:$E$115,3,FALSE),"")</f>
        <v/>
      </c>
    </row>
    <row r="2491" spans="31:47" x14ac:dyDescent="0.3">
      <c r="AE2491" s="204" t="s">
        <v>398</v>
      </c>
      <c r="AF2491" s="204" t="s">
        <v>398</v>
      </c>
      <c r="AG2491" s="204" t="s">
        <v>398</v>
      </c>
      <c r="AS2491" s="65" t="str">
        <f>IFERROR(VLOOKUP(#REF!,[1]Lookup!$B$2:$E$115,4,FALSE),"")</f>
        <v/>
      </c>
      <c r="AT2491" s="65" t="str">
        <f>IFERROR(VLOOKUP(#REF!,[1]Lookup!$B$2:$E$115,2,FALSE),"")</f>
        <v/>
      </c>
      <c r="AU2491" s="65" t="str">
        <f>IFERROR(VLOOKUP(#REF!,[1]Lookup!$B$2:$E$115,3,FALSE),"")</f>
        <v/>
      </c>
    </row>
    <row r="2492" spans="31:47" x14ac:dyDescent="0.3">
      <c r="AE2492" s="204" t="s">
        <v>398</v>
      </c>
      <c r="AF2492" s="204" t="s">
        <v>398</v>
      </c>
      <c r="AG2492" s="204" t="s">
        <v>398</v>
      </c>
      <c r="AS2492" s="65" t="str">
        <f>IFERROR(VLOOKUP(#REF!,[1]Lookup!$B$2:$E$115,4,FALSE),"")</f>
        <v/>
      </c>
      <c r="AT2492" s="65" t="str">
        <f>IFERROR(VLOOKUP(#REF!,[1]Lookup!$B$2:$E$115,2,FALSE),"")</f>
        <v/>
      </c>
      <c r="AU2492" s="65" t="str">
        <f>IFERROR(VLOOKUP(#REF!,[1]Lookup!$B$2:$E$115,3,FALSE),"")</f>
        <v/>
      </c>
    </row>
    <row r="2493" spans="31:47" x14ac:dyDescent="0.3">
      <c r="AE2493" s="204" t="s">
        <v>398</v>
      </c>
      <c r="AF2493" s="204" t="s">
        <v>398</v>
      </c>
      <c r="AG2493" s="204" t="s">
        <v>398</v>
      </c>
      <c r="AS2493" s="65" t="str">
        <f>IFERROR(VLOOKUP(#REF!,[1]Lookup!$B$2:$E$115,4,FALSE),"")</f>
        <v/>
      </c>
      <c r="AT2493" s="65" t="str">
        <f>IFERROR(VLOOKUP(#REF!,[1]Lookup!$B$2:$E$115,2,FALSE),"")</f>
        <v/>
      </c>
      <c r="AU2493" s="65" t="str">
        <f>IFERROR(VLOOKUP(#REF!,[1]Lookup!$B$2:$E$115,3,FALSE),"")</f>
        <v/>
      </c>
    </row>
    <row r="2494" spans="31:47" x14ac:dyDescent="0.3">
      <c r="AE2494" s="204" t="s">
        <v>398</v>
      </c>
      <c r="AF2494" s="204" t="s">
        <v>398</v>
      </c>
      <c r="AG2494" s="204" t="s">
        <v>398</v>
      </c>
      <c r="AS2494" s="65" t="str">
        <f>IFERROR(VLOOKUP(#REF!,[1]Lookup!$B$2:$E$115,4,FALSE),"")</f>
        <v/>
      </c>
      <c r="AT2494" s="65" t="str">
        <f>IFERROR(VLOOKUP(#REF!,[1]Lookup!$B$2:$E$115,2,FALSE),"")</f>
        <v/>
      </c>
      <c r="AU2494" s="65" t="str">
        <f>IFERROR(VLOOKUP(#REF!,[1]Lookup!$B$2:$E$115,3,FALSE),"")</f>
        <v/>
      </c>
    </row>
    <row r="2495" spans="31:47" x14ac:dyDescent="0.3">
      <c r="AE2495" s="204" t="s">
        <v>398</v>
      </c>
      <c r="AF2495" s="204" t="s">
        <v>398</v>
      </c>
      <c r="AG2495" s="204" t="s">
        <v>398</v>
      </c>
      <c r="AS2495" s="65" t="str">
        <f>IFERROR(VLOOKUP(#REF!,[1]Lookup!$B$2:$E$115,4,FALSE),"")</f>
        <v/>
      </c>
      <c r="AT2495" s="65" t="str">
        <f>IFERROR(VLOOKUP(#REF!,[1]Lookup!$B$2:$E$115,2,FALSE),"")</f>
        <v/>
      </c>
      <c r="AU2495" s="65" t="str">
        <f>IFERROR(VLOOKUP(#REF!,[1]Lookup!$B$2:$E$115,3,FALSE),"")</f>
        <v/>
      </c>
    </row>
    <row r="2496" spans="31:47" x14ac:dyDescent="0.3">
      <c r="AE2496" s="204" t="s">
        <v>398</v>
      </c>
      <c r="AF2496" s="204" t="s">
        <v>398</v>
      </c>
      <c r="AG2496" s="204" t="s">
        <v>398</v>
      </c>
      <c r="AS2496" s="65" t="str">
        <f>IFERROR(VLOOKUP(#REF!,[1]Lookup!$B$2:$E$115,4,FALSE),"")</f>
        <v/>
      </c>
      <c r="AT2496" s="65" t="str">
        <f>IFERROR(VLOOKUP(#REF!,[1]Lookup!$B$2:$E$115,2,FALSE),"")</f>
        <v/>
      </c>
      <c r="AU2496" s="65" t="str">
        <f>IFERROR(VLOOKUP(#REF!,[1]Lookup!$B$2:$E$115,3,FALSE),"")</f>
        <v/>
      </c>
    </row>
    <row r="2497" spans="31:47" x14ac:dyDescent="0.3">
      <c r="AE2497" s="204" t="s">
        <v>398</v>
      </c>
      <c r="AF2497" s="204" t="s">
        <v>398</v>
      </c>
      <c r="AG2497" s="204" t="s">
        <v>398</v>
      </c>
      <c r="AS2497" s="65" t="str">
        <f>IFERROR(VLOOKUP(#REF!,[1]Lookup!$B$2:$E$115,4,FALSE),"")</f>
        <v/>
      </c>
      <c r="AT2497" s="65" t="str">
        <f>IFERROR(VLOOKUP(#REF!,[1]Lookup!$B$2:$E$115,2,FALSE),"")</f>
        <v/>
      </c>
      <c r="AU2497" s="65" t="str">
        <f>IFERROR(VLOOKUP(#REF!,[1]Lookup!$B$2:$E$115,3,FALSE),"")</f>
        <v/>
      </c>
    </row>
    <row r="2498" spans="31:47" x14ac:dyDescent="0.3">
      <c r="AE2498" s="204" t="s">
        <v>398</v>
      </c>
      <c r="AF2498" s="204" t="s">
        <v>398</v>
      </c>
      <c r="AG2498" s="204" t="s">
        <v>398</v>
      </c>
      <c r="AS2498" s="65" t="str">
        <f>IFERROR(VLOOKUP(#REF!,[1]Lookup!$B$2:$E$115,4,FALSE),"")</f>
        <v/>
      </c>
      <c r="AT2498" s="65" t="str">
        <f>IFERROR(VLOOKUP(#REF!,[1]Lookup!$B$2:$E$115,2,FALSE),"")</f>
        <v/>
      </c>
      <c r="AU2498" s="65" t="str">
        <f>IFERROR(VLOOKUP(#REF!,[1]Lookup!$B$2:$E$115,3,FALSE),"")</f>
        <v/>
      </c>
    </row>
    <row r="2499" spans="31:47" x14ac:dyDescent="0.3">
      <c r="AE2499" s="204" t="s">
        <v>398</v>
      </c>
      <c r="AF2499" s="204" t="s">
        <v>398</v>
      </c>
      <c r="AG2499" s="204" t="s">
        <v>398</v>
      </c>
      <c r="AS2499" s="65" t="str">
        <f>IFERROR(VLOOKUP(#REF!,[1]Lookup!$B$2:$E$115,4,FALSE),"")</f>
        <v/>
      </c>
      <c r="AT2499" s="65" t="str">
        <f>IFERROR(VLOOKUP(#REF!,[1]Lookup!$B$2:$E$115,2,FALSE),"")</f>
        <v/>
      </c>
      <c r="AU2499" s="65" t="str">
        <f>IFERROR(VLOOKUP(#REF!,[1]Lookup!$B$2:$E$115,3,FALSE),"")</f>
        <v/>
      </c>
    </row>
    <row r="2500" spans="31:47" x14ac:dyDescent="0.3">
      <c r="AE2500" s="204" t="s">
        <v>398</v>
      </c>
      <c r="AF2500" s="204" t="s">
        <v>398</v>
      </c>
      <c r="AG2500" s="204" t="s">
        <v>398</v>
      </c>
      <c r="AS2500" s="65" t="str">
        <f>IFERROR(VLOOKUP(#REF!,[1]Lookup!$B$2:$E$115,4,FALSE),"")</f>
        <v/>
      </c>
      <c r="AT2500" s="65" t="str">
        <f>IFERROR(VLOOKUP(#REF!,[1]Lookup!$B$2:$E$115,2,FALSE),"")</f>
        <v/>
      </c>
      <c r="AU2500" s="65" t="str">
        <f>IFERROR(VLOOKUP(#REF!,[1]Lookup!$B$2:$E$115,3,FALSE),"")</f>
        <v/>
      </c>
    </row>
    <row r="2501" spans="31:47" x14ac:dyDescent="0.3">
      <c r="AE2501" s="204" t="s">
        <v>398</v>
      </c>
      <c r="AF2501" s="204" t="s">
        <v>398</v>
      </c>
      <c r="AG2501" s="204" t="s">
        <v>398</v>
      </c>
      <c r="AS2501" s="65" t="str">
        <f>IFERROR(VLOOKUP(#REF!,[1]Lookup!$B$2:$E$115,4,FALSE),"")</f>
        <v/>
      </c>
      <c r="AT2501" s="65" t="str">
        <f>IFERROR(VLOOKUP(#REF!,[1]Lookup!$B$2:$E$115,2,FALSE),"")</f>
        <v/>
      </c>
      <c r="AU2501" s="65" t="str">
        <f>IFERROR(VLOOKUP(#REF!,[1]Lookup!$B$2:$E$115,3,FALSE),"")</f>
        <v/>
      </c>
    </row>
    <row r="2502" spans="31:47" x14ac:dyDescent="0.3">
      <c r="AE2502" s="204" t="s">
        <v>398</v>
      </c>
      <c r="AF2502" s="204" t="s">
        <v>398</v>
      </c>
      <c r="AG2502" s="204" t="s">
        <v>398</v>
      </c>
      <c r="AS2502" s="65" t="str">
        <f>IFERROR(VLOOKUP(#REF!,[1]Lookup!$B$2:$E$115,4,FALSE),"")</f>
        <v/>
      </c>
      <c r="AT2502" s="65" t="str">
        <f>IFERROR(VLOOKUP(#REF!,[1]Lookup!$B$2:$E$115,2,FALSE),"")</f>
        <v/>
      </c>
      <c r="AU2502" s="65" t="str">
        <f>IFERROR(VLOOKUP(#REF!,[1]Lookup!$B$2:$E$115,3,FALSE),"")</f>
        <v/>
      </c>
    </row>
    <row r="2503" spans="31:47" x14ac:dyDescent="0.3">
      <c r="AE2503" s="204" t="s">
        <v>398</v>
      </c>
      <c r="AF2503" s="204" t="s">
        <v>398</v>
      </c>
      <c r="AG2503" s="204" t="s">
        <v>398</v>
      </c>
      <c r="AS2503" s="65" t="str">
        <f>IFERROR(VLOOKUP(#REF!,[1]Lookup!$B$2:$E$115,4,FALSE),"")</f>
        <v/>
      </c>
      <c r="AT2503" s="65" t="str">
        <f>IFERROR(VLOOKUP(#REF!,[1]Lookup!$B$2:$E$115,2,FALSE),"")</f>
        <v/>
      </c>
      <c r="AU2503" s="65" t="str">
        <f>IFERROR(VLOOKUP(#REF!,[1]Lookup!$B$2:$E$115,3,FALSE),"")</f>
        <v/>
      </c>
    </row>
    <row r="2504" spans="31:47" x14ac:dyDescent="0.3">
      <c r="AE2504" s="204" t="s">
        <v>398</v>
      </c>
      <c r="AF2504" s="204" t="s">
        <v>398</v>
      </c>
      <c r="AG2504" s="204" t="s">
        <v>398</v>
      </c>
      <c r="AS2504" s="65" t="str">
        <f>IFERROR(VLOOKUP(#REF!,[1]Lookup!$B$2:$E$115,4,FALSE),"")</f>
        <v/>
      </c>
      <c r="AT2504" s="65" t="str">
        <f>IFERROR(VLOOKUP(#REF!,[1]Lookup!$B$2:$E$115,2,FALSE),"")</f>
        <v/>
      </c>
      <c r="AU2504" s="65" t="str">
        <f>IFERROR(VLOOKUP(#REF!,[1]Lookup!$B$2:$E$115,3,FALSE),"")</f>
        <v/>
      </c>
    </row>
    <row r="2505" spans="31:47" x14ac:dyDescent="0.3">
      <c r="AE2505" s="204" t="s">
        <v>398</v>
      </c>
      <c r="AF2505" s="204" t="s">
        <v>398</v>
      </c>
      <c r="AG2505" s="204" t="s">
        <v>398</v>
      </c>
      <c r="AS2505" s="65" t="str">
        <f>IFERROR(VLOOKUP(#REF!,[1]Lookup!$B$2:$E$115,4,FALSE),"")</f>
        <v/>
      </c>
      <c r="AT2505" s="65" t="str">
        <f>IFERROR(VLOOKUP(#REF!,[1]Lookup!$B$2:$E$115,2,FALSE),"")</f>
        <v/>
      </c>
      <c r="AU2505" s="65" t="str">
        <f>IFERROR(VLOOKUP(#REF!,[1]Lookup!$B$2:$E$115,3,FALSE),"")</f>
        <v/>
      </c>
    </row>
    <row r="2506" spans="31:47" x14ac:dyDescent="0.3">
      <c r="AE2506" s="204" t="s">
        <v>398</v>
      </c>
      <c r="AF2506" s="204" t="s">
        <v>398</v>
      </c>
      <c r="AG2506" s="204" t="s">
        <v>398</v>
      </c>
      <c r="AS2506" s="65" t="str">
        <f>IFERROR(VLOOKUP(#REF!,[1]Lookup!$B$2:$E$115,4,FALSE),"")</f>
        <v/>
      </c>
      <c r="AT2506" s="65" t="str">
        <f>IFERROR(VLOOKUP(#REF!,[1]Lookup!$B$2:$E$115,2,FALSE),"")</f>
        <v/>
      </c>
      <c r="AU2506" s="65" t="str">
        <f>IFERROR(VLOOKUP(#REF!,[1]Lookup!$B$2:$E$115,3,FALSE),"")</f>
        <v/>
      </c>
    </row>
    <row r="2507" spans="31:47" x14ac:dyDescent="0.3">
      <c r="AE2507" s="204" t="s">
        <v>398</v>
      </c>
      <c r="AF2507" s="204" t="s">
        <v>398</v>
      </c>
      <c r="AG2507" s="204" t="s">
        <v>398</v>
      </c>
      <c r="AS2507" s="65" t="str">
        <f>IFERROR(VLOOKUP(#REF!,[1]Lookup!$B$2:$E$115,4,FALSE),"")</f>
        <v/>
      </c>
      <c r="AT2507" s="65" t="str">
        <f>IFERROR(VLOOKUP(#REF!,[1]Lookup!$B$2:$E$115,2,FALSE),"")</f>
        <v/>
      </c>
      <c r="AU2507" s="65" t="str">
        <f>IFERROR(VLOOKUP(#REF!,[1]Lookup!$B$2:$E$115,3,FALSE),"")</f>
        <v/>
      </c>
    </row>
    <row r="2508" spans="31:47" x14ac:dyDescent="0.3">
      <c r="AE2508" s="204" t="s">
        <v>398</v>
      </c>
      <c r="AF2508" s="204" t="s">
        <v>398</v>
      </c>
      <c r="AG2508" s="204" t="s">
        <v>398</v>
      </c>
      <c r="AS2508" s="65" t="str">
        <f>IFERROR(VLOOKUP(#REF!,[1]Lookup!$B$2:$E$115,4,FALSE),"")</f>
        <v/>
      </c>
      <c r="AT2508" s="65" t="str">
        <f>IFERROR(VLOOKUP(#REF!,[1]Lookup!$B$2:$E$115,2,FALSE),"")</f>
        <v/>
      </c>
      <c r="AU2508" s="65" t="str">
        <f>IFERROR(VLOOKUP(#REF!,[1]Lookup!$B$2:$E$115,3,FALSE),"")</f>
        <v/>
      </c>
    </row>
    <row r="2509" spans="31:47" x14ac:dyDescent="0.3">
      <c r="AE2509" s="204" t="s">
        <v>398</v>
      </c>
      <c r="AF2509" s="204" t="s">
        <v>398</v>
      </c>
      <c r="AG2509" s="204" t="s">
        <v>398</v>
      </c>
      <c r="AS2509" s="65" t="str">
        <f>IFERROR(VLOOKUP(#REF!,[1]Lookup!$B$2:$E$115,4,FALSE),"")</f>
        <v/>
      </c>
      <c r="AT2509" s="65" t="str">
        <f>IFERROR(VLOOKUP(#REF!,[1]Lookup!$B$2:$E$115,2,FALSE),"")</f>
        <v/>
      </c>
      <c r="AU2509" s="65" t="str">
        <f>IFERROR(VLOOKUP(#REF!,[1]Lookup!$B$2:$E$115,3,FALSE),"")</f>
        <v/>
      </c>
    </row>
    <row r="2510" spans="31:47" x14ac:dyDescent="0.3">
      <c r="AE2510" s="204" t="s">
        <v>398</v>
      </c>
      <c r="AF2510" s="204" t="s">
        <v>398</v>
      </c>
      <c r="AG2510" s="204" t="s">
        <v>398</v>
      </c>
      <c r="AS2510" s="65" t="str">
        <f>IFERROR(VLOOKUP(#REF!,[1]Lookup!$B$2:$E$115,4,FALSE),"")</f>
        <v/>
      </c>
      <c r="AT2510" s="65" t="str">
        <f>IFERROR(VLOOKUP(#REF!,[1]Lookup!$B$2:$E$115,2,FALSE),"")</f>
        <v/>
      </c>
      <c r="AU2510" s="65" t="str">
        <f>IFERROR(VLOOKUP(#REF!,[1]Lookup!$B$2:$E$115,3,FALSE),"")</f>
        <v/>
      </c>
    </row>
    <row r="2511" spans="31:47" x14ac:dyDescent="0.3">
      <c r="AE2511" s="204" t="s">
        <v>398</v>
      </c>
      <c r="AF2511" s="204" t="s">
        <v>398</v>
      </c>
      <c r="AG2511" s="204" t="s">
        <v>398</v>
      </c>
      <c r="AS2511" s="65" t="str">
        <f>IFERROR(VLOOKUP(#REF!,[1]Lookup!$B$2:$E$115,4,FALSE),"")</f>
        <v/>
      </c>
      <c r="AT2511" s="65" t="str">
        <f>IFERROR(VLOOKUP(#REF!,[1]Lookup!$B$2:$E$115,2,FALSE),"")</f>
        <v/>
      </c>
      <c r="AU2511" s="65" t="str">
        <f>IFERROR(VLOOKUP(#REF!,[1]Lookup!$B$2:$E$115,3,FALSE),"")</f>
        <v/>
      </c>
    </row>
    <row r="2512" spans="31:47" x14ac:dyDescent="0.3">
      <c r="AE2512" s="204" t="s">
        <v>398</v>
      </c>
      <c r="AF2512" s="204" t="s">
        <v>398</v>
      </c>
      <c r="AG2512" s="204" t="s">
        <v>398</v>
      </c>
      <c r="AS2512" s="65" t="str">
        <f>IFERROR(VLOOKUP(#REF!,[1]Lookup!$B$2:$E$115,4,FALSE),"")</f>
        <v/>
      </c>
      <c r="AT2512" s="65" t="str">
        <f>IFERROR(VLOOKUP(#REF!,[1]Lookup!$B$2:$E$115,2,FALSE),"")</f>
        <v/>
      </c>
      <c r="AU2512" s="65" t="str">
        <f>IFERROR(VLOOKUP(#REF!,[1]Lookup!$B$2:$E$115,3,FALSE),"")</f>
        <v/>
      </c>
    </row>
    <row r="2513" spans="31:47" x14ac:dyDescent="0.3">
      <c r="AE2513" s="204" t="s">
        <v>398</v>
      </c>
      <c r="AF2513" s="204" t="s">
        <v>398</v>
      </c>
      <c r="AG2513" s="204" t="s">
        <v>398</v>
      </c>
      <c r="AS2513" s="65" t="str">
        <f>IFERROR(VLOOKUP(#REF!,[1]Lookup!$B$2:$E$115,4,FALSE),"")</f>
        <v/>
      </c>
      <c r="AT2513" s="65" t="str">
        <f>IFERROR(VLOOKUP(#REF!,[1]Lookup!$B$2:$E$115,2,FALSE),"")</f>
        <v/>
      </c>
      <c r="AU2513" s="65" t="str">
        <f>IFERROR(VLOOKUP(#REF!,[1]Lookup!$B$2:$E$115,3,FALSE),"")</f>
        <v/>
      </c>
    </row>
    <row r="2514" spans="31:47" x14ac:dyDescent="0.3">
      <c r="AE2514" s="204" t="s">
        <v>398</v>
      </c>
      <c r="AF2514" s="204" t="s">
        <v>398</v>
      </c>
      <c r="AG2514" s="204" t="s">
        <v>398</v>
      </c>
      <c r="AS2514" s="65" t="str">
        <f>IFERROR(VLOOKUP(#REF!,[1]Lookup!$B$2:$E$115,4,FALSE),"")</f>
        <v/>
      </c>
      <c r="AT2514" s="65" t="str">
        <f>IFERROR(VLOOKUP(#REF!,[1]Lookup!$B$2:$E$115,2,FALSE),"")</f>
        <v/>
      </c>
      <c r="AU2514" s="65" t="str">
        <f>IFERROR(VLOOKUP(#REF!,[1]Lookup!$B$2:$E$115,3,FALSE),"")</f>
        <v/>
      </c>
    </row>
    <row r="2515" spans="31:47" x14ac:dyDescent="0.3">
      <c r="AE2515" s="204" t="s">
        <v>398</v>
      </c>
      <c r="AF2515" s="204" t="s">
        <v>398</v>
      </c>
      <c r="AG2515" s="204" t="s">
        <v>398</v>
      </c>
      <c r="AS2515" s="65" t="str">
        <f>IFERROR(VLOOKUP(#REF!,[1]Lookup!$B$2:$E$115,4,FALSE),"")</f>
        <v/>
      </c>
      <c r="AT2515" s="65" t="str">
        <f>IFERROR(VLOOKUP(#REF!,[1]Lookup!$B$2:$E$115,2,FALSE),"")</f>
        <v/>
      </c>
      <c r="AU2515" s="65" t="str">
        <f>IFERROR(VLOOKUP(#REF!,[1]Lookup!$B$2:$E$115,3,FALSE),"")</f>
        <v/>
      </c>
    </row>
    <row r="2516" spans="31:47" x14ac:dyDescent="0.3">
      <c r="AE2516" s="204" t="s">
        <v>398</v>
      </c>
      <c r="AF2516" s="204" t="s">
        <v>398</v>
      </c>
      <c r="AG2516" s="204" t="s">
        <v>398</v>
      </c>
      <c r="AS2516" s="65" t="str">
        <f>IFERROR(VLOOKUP(#REF!,[1]Lookup!$B$2:$E$115,4,FALSE),"")</f>
        <v/>
      </c>
      <c r="AT2516" s="65" t="str">
        <f>IFERROR(VLOOKUP(#REF!,[1]Lookup!$B$2:$E$115,2,FALSE),"")</f>
        <v/>
      </c>
      <c r="AU2516" s="65" t="str">
        <f>IFERROR(VLOOKUP(#REF!,[1]Lookup!$B$2:$E$115,3,FALSE),"")</f>
        <v/>
      </c>
    </row>
    <row r="2517" spans="31:47" x14ac:dyDescent="0.3">
      <c r="AE2517" s="204" t="s">
        <v>398</v>
      </c>
      <c r="AF2517" s="204" t="s">
        <v>398</v>
      </c>
      <c r="AG2517" s="204" t="s">
        <v>398</v>
      </c>
      <c r="AS2517" s="65" t="str">
        <f>IFERROR(VLOOKUP(#REF!,[1]Lookup!$B$2:$E$115,4,FALSE),"")</f>
        <v/>
      </c>
      <c r="AT2517" s="65" t="str">
        <f>IFERROR(VLOOKUP(#REF!,[1]Lookup!$B$2:$E$115,2,FALSE),"")</f>
        <v/>
      </c>
      <c r="AU2517" s="65" t="str">
        <f>IFERROR(VLOOKUP(#REF!,[1]Lookup!$B$2:$E$115,3,FALSE),"")</f>
        <v/>
      </c>
    </row>
    <row r="2518" spans="31:47" x14ac:dyDescent="0.3">
      <c r="AE2518" s="204" t="s">
        <v>398</v>
      </c>
      <c r="AF2518" s="204" t="s">
        <v>398</v>
      </c>
      <c r="AG2518" s="204" t="s">
        <v>398</v>
      </c>
      <c r="AS2518" s="65" t="str">
        <f>IFERROR(VLOOKUP(#REF!,[1]Lookup!$B$2:$E$115,4,FALSE),"")</f>
        <v/>
      </c>
      <c r="AT2518" s="65" t="str">
        <f>IFERROR(VLOOKUP(#REF!,[1]Lookup!$B$2:$E$115,2,FALSE),"")</f>
        <v/>
      </c>
      <c r="AU2518" s="65" t="str">
        <f>IFERROR(VLOOKUP(#REF!,[1]Lookup!$B$2:$E$115,3,FALSE),"")</f>
        <v/>
      </c>
    </row>
    <row r="2519" spans="31:47" x14ac:dyDescent="0.3">
      <c r="AE2519" s="204" t="s">
        <v>398</v>
      </c>
      <c r="AF2519" s="204" t="s">
        <v>398</v>
      </c>
      <c r="AG2519" s="204" t="s">
        <v>398</v>
      </c>
      <c r="AS2519" s="65" t="str">
        <f>IFERROR(VLOOKUP(#REF!,[1]Lookup!$B$2:$E$115,4,FALSE),"")</f>
        <v/>
      </c>
      <c r="AT2519" s="65" t="str">
        <f>IFERROR(VLOOKUP(#REF!,[1]Lookup!$B$2:$E$115,2,FALSE),"")</f>
        <v/>
      </c>
      <c r="AU2519" s="65" t="str">
        <f>IFERROR(VLOOKUP(#REF!,[1]Lookup!$B$2:$E$115,3,FALSE),"")</f>
        <v/>
      </c>
    </row>
    <row r="2520" spans="31:47" x14ac:dyDescent="0.3">
      <c r="AE2520" s="204" t="s">
        <v>398</v>
      </c>
      <c r="AF2520" s="204" t="s">
        <v>398</v>
      </c>
      <c r="AG2520" s="204" t="s">
        <v>398</v>
      </c>
      <c r="AS2520" s="65" t="str">
        <f>IFERROR(VLOOKUP(#REF!,[1]Lookup!$B$2:$E$115,4,FALSE),"")</f>
        <v/>
      </c>
      <c r="AT2520" s="65" t="str">
        <f>IFERROR(VLOOKUP(#REF!,[1]Lookup!$B$2:$E$115,2,FALSE),"")</f>
        <v/>
      </c>
      <c r="AU2520" s="65" t="str">
        <f>IFERROR(VLOOKUP(#REF!,[1]Lookup!$B$2:$E$115,3,FALSE),"")</f>
        <v/>
      </c>
    </row>
    <row r="2521" spans="31:47" x14ac:dyDescent="0.3">
      <c r="AE2521" s="204" t="s">
        <v>398</v>
      </c>
      <c r="AF2521" s="204" t="s">
        <v>398</v>
      </c>
      <c r="AG2521" s="204" t="s">
        <v>398</v>
      </c>
      <c r="AS2521" s="65" t="str">
        <f>IFERROR(VLOOKUP(#REF!,[1]Lookup!$B$2:$E$115,4,FALSE),"")</f>
        <v/>
      </c>
      <c r="AT2521" s="65" t="str">
        <f>IFERROR(VLOOKUP(#REF!,[1]Lookup!$B$2:$E$115,2,FALSE),"")</f>
        <v/>
      </c>
      <c r="AU2521" s="65" t="str">
        <f>IFERROR(VLOOKUP(#REF!,[1]Lookup!$B$2:$E$115,3,FALSE),"")</f>
        <v/>
      </c>
    </row>
    <row r="2522" spans="31:47" x14ac:dyDescent="0.3">
      <c r="AE2522" s="204" t="s">
        <v>398</v>
      </c>
      <c r="AF2522" s="204" t="s">
        <v>398</v>
      </c>
      <c r="AG2522" s="204" t="s">
        <v>398</v>
      </c>
      <c r="AS2522" s="65" t="str">
        <f>IFERROR(VLOOKUP(#REF!,[1]Lookup!$B$2:$E$115,4,FALSE),"")</f>
        <v/>
      </c>
      <c r="AT2522" s="65" t="str">
        <f>IFERROR(VLOOKUP(#REF!,[1]Lookup!$B$2:$E$115,2,FALSE),"")</f>
        <v/>
      </c>
      <c r="AU2522" s="65" t="str">
        <f>IFERROR(VLOOKUP(#REF!,[1]Lookup!$B$2:$E$115,3,FALSE),"")</f>
        <v/>
      </c>
    </row>
    <row r="2523" spans="31:47" x14ac:dyDescent="0.3">
      <c r="AE2523" s="204" t="s">
        <v>398</v>
      </c>
      <c r="AF2523" s="204" t="s">
        <v>398</v>
      </c>
      <c r="AG2523" s="204" t="s">
        <v>398</v>
      </c>
      <c r="AS2523" s="65" t="str">
        <f>IFERROR(VLOOKUP(#REF!,[1]Lookup!$B$2:$E$115,4,FALSE),"")</f>
        <v/>
      </c>
      <c r="AT2523" s="65" t="str">
        <f>IFERROR(VLOOKUP(#REF!,[1]Lookup!$B$2:$E$115,2,FALSE),"")</f>
        <v/>
      </c>
      <c r="AU2523" s="65" t="str">
        <f>IFERROR(VLOOKUP(#REF!,[1]Lookup!$B$2:$E$115,3,FALSE),"")</f>
        <v/>
      </c>
    </row>
    <row r="2524" spans="31:47" x14ac:dyDescent="0.3">
      <c r="AE2524" s="204" t="s">
        <v>398</v>
      </c>
      <c r="AF2524" s="204" t="s">
        <v>398</v>
      </c>
      <c r="AG2524" s="204" t="s">
        <v>398</v>
      </c>
      <c r="AS2524" s="65" t="str">
        <f>IFERROR(VLOOKUP(#REF!,[1]Lookup!$B$2:$E$115,4,FALSE),"")</f>
        <v/>
      </c>
      <c r="AT2524" s="65" t="str">
        <f>IFERROR(VLOOKUP(#REF!,[1]Lookup!$B$2:$E$115,2,FALSE),"")</f>
        <v/>
      </c>
      <c r="AU2524" s="65" t="str">
        <f>IFERROR(VLOOKUP(#REF!,[1]Lookup!$B$2:$E$115,3,FALSE),"")</f>
        <v/>
      </c>
    </row>
    <row r="2525" spans="31:47" x14ac:dyDescent="0.3">
      <c r="AE2525" s="204" t="s">
        <v>398</v>
      </c>
      <c r="AF2525" s="204" t="s">
        <v>398</v>
      </c>
      <c r="AG2525" s="204" t="s">
        <v>398</v>
      </c>
      <c r="AS2525" s="65" t="str">
        <f>IFERROR(VLOOKUP(#REF!,[1]Lookup!$B$2:$E$115,4,FALSE),"")</f>
        <v/>
      </c>
      <c r="AT2525" s="65" t="str">
        <f>IFERROR(VLOOKUP(#REF!,[1]Lookup!$B$2:$E$115,2,FALSE),"")</f>
        <v/>
      </c>
      <c r="AU2525" s="65" t="str">
        <f>IFERROR(VLOOKUP(#REF!,[1]Lookup!$B$2:$E$115,3,FALSE),"")</f>
        <v/>
      </c>
    </row>
    <row r="2526" spans="31:47" x14ac:dyDescent="0.3">
      <c r="AE2526" s="204" t="s">
        <v>398</v>
      </c>
      <c r="AF2526" s="204" t="s">
        <v>398</v>
      </c>
      <c r="AG2526" s="204" t="s">
        <v>398</v>
      </c>
      <c r="AS2526" s="65" t="str">
        <f>IFERROR(VLOOKUP(#REF!,[1]Lookup!$B$2:$E$115,4,FALSE),"")</f>
        <v/>
      </c>
      <c r="AT2526" s="65" t="str">
        <f>IFERROR(VLOOKUP(#REF!,[1]Lookup!$B$2:$E$115,2,FALSE),"")</f>
        <v/>
      </c>
      <c r="AU2526" s="65" t="str">
        <f>IFERROR(VLOOKUP(#REF!,[1]Lookup!$B$2:$E$115,3,FALSE),"")</f>
        <v/>
      </c>
    </row>
    <row r="2527" spans="31:47" x14ac:dyDescent="0.3">
      <c r="AE2527" s="204" t="s">
        <v>398</v>
      </c>
      <c r="AF2527" s="204" t="s">
        <v>398</v>
      </c>
      <c r="AG2527" s="204" t="s">
        <v>398</v>
      </c>
      <c r="AS2527" s="65" t="str">
        <f>IFERROR(VLOOKUP(#REF!,[1]Lookup!$B$2:$E$115,4,FALSE),"")</f>
        <v/>
      </c>
      <c r="AT2527" s="65" t="str">
        <f>IFERROR(VLOOKUP(#REF!,[1]Lookup!$B$2:$E$115,2,FALSE),"")</f>
        <v/>
      </c>
      <c r="AU2527" s="65" t="str">
        <f>IFERROR(VLOOKUP(#REF!,[1]Lookup!$B$2:$E$115,3,FALSE),"")</f>
        <v/>
      </c>
    </row>
    <row r="2528" spans="31:47" x14ac:dyDescent="0.3">
      <c r="AE2528" s="204" t="s">
        <v>398</v>
      </c>
      <c r="AF2528" s="204" t="s">
        <v>398</v>
      </c>
      <c r="AG2528" s="204" t="s">
        <v>398</v>
      </c>
      <c r="AS2528" s="65" t="str">
        <f>IFERROR(VLOOKUP(#REF!,[1]Lookup!$B$2:$E$115,4,FALSE),"")</f>
        <v/>
      </c>
      <c r="AT2528" s="65" t="str">
        <f>IFERROR(VLOOKUP(#REF!,[1]Lookup!$B$2:$E$115,2,FALSE),"")</f>
        <v/>
      </c>
      <c r="AU2528" s="65" t="str">
        <f>IFERROR(VLOOKUP(#REF!,[1]Lookup!$B$2:$E$115,3,FALSE),"")</f>
        <v/>
      </c>
    </row>
    <row r="2529" spans="31:47" x14ac:dyDescent="0.3">
      <c r="AE2529" s="204" t="s">
        <v>398</v>
      </c>
      <c r="AF2529" s="204" t="s">
        <v>398</v>
      </c>
      <c r="AG2529" s="204" t="s">
        <v>398</v>
      </c>
      <c r="AS2529" s="65" t="str">
        <f>IFERROR(VLOOKUP(#REF!,[1]Lookup!$B$2:$E$115,4,FALSE),"")</f>
        <v/>
      </c>
      <c r="AT2529" s="65" t="str">
        <f>IFERROR(VLOOKUP(#REF!,[1]Lookup!$B$2:$E$115,2,FALSE),"")</f>
        <v/>
      </c>
      <c r="AU2529" s="65" t="str">
        <f>IFERROR(VLOOKUP(#REF!,[1]Lookup!$B$2:$E$115,3,FALSE),"")</f>
        <v/>
      </c>
    </row>
    <row r="2530" spans="31:47" x14ac:dyDescent="0.3">
      <c r="AE2530" s="204" t="s">
        <v>398</v>
      </c>
      <c r="AF2530" s="204" t="s">
        <v>398</v>
      </c>
      <c r="AG2530" s="204" t="s">
        <v>398</v>
      </c>
      <c r="AS2530" s="65" t="str">
        <f>IFERROR(VLOOKUP(#REF!,[1]Lookup!$B$2:$E$115,4,FALSE),"")</f>
        <v/>
      </c>
      <c r="AT2530" s="65" t="str">
        <f>IFERROR(VLOOKUP(#REF!,[1]Lookup!$B$2:$E$115,2,FALSE),"")</f>
        <v/>
      </c>
      <c r="AU2530" s="65" t="str">
        <f>IFERROR(VLOOKUP(#REF!,[1]Lookup!$B$2:$E$115,3,FALSE),"")</f>
        <v/>
      </c>
    </row>
    <row r="2531" spans="31:47" x14ac:dyDescent="0.3">
      <c r="AE2531" s="204" t="s">
        <v>398</v>
      </c>
      <c r="AF2531" s="204" t="s">
        <v>398</v>
      </c>
      <c r="AG2531" s="204" t="s">
        <v>398</v>
      </c>
      <c r="AS2531" s="65" t="str">
        <f>IFERROR(VLOOKUP(#REF!,[1]Lookup!$B$2:$E$115,4,FALSE),"")</f>
        <v/>
      </c>
      <c r="AT2531" s="65" t="str">
        <f>IFERROR(VLOOKUP(#REF!,[1]Lookup!$B$2:$E$115,2,FALSE),"")</f>
        <v/>
      </c>
      <c r="AU2531" s="65" t="str">
        <f>IFERROR(VLOOKUP(#REF!,[1]Lookup!$B$2:$E$115,3,FALSE),"")</f>
        <v/>
      </c>
    </row>
    <row r="2532" spans="31:47" x14ac:dyDescent="0.3">
      <c r="AE2532" s="204" t="s">
        <v>398</v>
      </c>
      <c r="AF2532" s="204" t="s">
        <v>398</v>
      </c>
      <c r="AG2532" s="204" t="s">
        <v>398</v>
      </c>
      <c r="AS2532" s="65" t="str">
        <f>IFERROR(VLOOKUP(#REF!,[1]Lookup!$B$2:$E$115,4,FALSE),"")</f>
        <v/>
      </c>
      <c r="AT2532" s="65" t="str">
        <f>IFERROR(VLOOKUP(#REF!,[1]Lookup!$B$2:$E$115,2,FALSE),"")</f>
        <v/>
      </c>
      <c r="AU2532" s="65" t="str">
        <f>IFERROR(VLOOKUP(#REF!,[1]Lookup!$B$2:$E$115,3,FALSE),"")</f>
        <v/>
      </c>
    </row>
    <row r="2533" spans="31:47" x14ac:dyDescent="0.3">
      <c r="AE2533" s="204" t="s">
        <v>398</v>
      </c>
      <c r="AF2533" s="204" t="s">
        <v>398</v>
      </c>
      <c r="AG2533" s="204" t="s">
        <v>398</v>
      </c>
      <c r="AS2533" s="65" t="str">
        <f>IFERROR(VLOOKUP(#REF!,[1]Lookup!$B$2:$E$115,4,FALSE),"")</f>
        <v/>
      </c>
      <c r="AT2533" s="65" t="str">
        <f>IFERROR(VLOOKUP(#REF!,[1]Lookup!$B$2:$E$115,2,FALSE),"")</f>
        <v/>
      </c>
      <c r="AU2533" s="65" t="str">
        <f>IFERROR(VLOOKUP(#REF!,[1]Lookup!$B$2:$E$115,3,FALSE),"")</f>
        <v/>
      </c>
    </row>
    <row r="2534" spans="31:47" x14ac:dyDescent="0.3">
      <c r="AE2534" s="204" t="s">
        <v>398</v>
      </c>
      <c r="AF2534" s="204" t="s">
        <v>398</v>
      </c>
      <c r="AG2534" s="204" t="s">
        <v>398</v>
      </c>
      <c r="AS2534" s="65" t="str">
        <f>IFERROR(VLOOKUP(#REF!,[1]Lookup!$B$2:$E$115,4,FALSE),"")</f>
        <v/>
      </c>
      <c r="AT2534" s="65" t="str">
        <f>IFERROR(VLOOKUP(#REF!,[1]Lookup!$B$2:$E$115,2,FALSE),"")</f>
        <v/>
      </c>
      <c r="AU2534" s="65" t="str">
        <f>IFERROR(VLOOKUP(#REF!,[1]Lookup!$B$2:$E$115,3,FALSE),"")</f>
        <v/>
      </c>
    </row>
    <row r="2535" spans="31:47" x14ac:dyDescent="0.3">
      <c r="AE2535" s="204" t="s">
        <v>398</v>
      </c>
      <c r="AF2535" s="204" t="s">
        <v>398</v>
      </c>
      <c r="AG2535" s="204" t="s">
        <v>398</v>
      </c>
      <c r="AS2535" s="65" t="str">
        <f>IFERROR(VLOOKUP(#REF!,[1]Lookup!$B$2:$E$115,4,FALSE),"")</f>
        <v/>
      </c>
      <c r="AT2535" s="65" t="str">
        <f>IFERROR(VLOOKUP(#REF!,[1]Lookup!$B$2:$E$115,2,FALSE),"")</f>
        <v/>
      </c>
      <c r="AU2535" s="65" t="str">
        <f>IFERROR(VLOOKUP(#REF!,[1]Lookup!$B$2:$E$115,3,FALSE),"")</f>
        <v/>
      </c>
    </row>
    <row r="2536" spans="31:47" x14ac:dyDescent="0.3">
      <c r="AE2536" s="204" t="s">
        <v>398</v>
      </c>
      <c r="AF2536" s="204" t="s">
        <v>398</v>
      </c>
      <c r="AG2536" s="204" t="s">
        <v>398</v>
      </c>
      <c r="AS2536" s="65" t="str">
        <f>IFERROR(VLOOKUP(#REF!,[1]Lookup!$B$2:$E$115,4,FALSE),"")</f>
        <v/>
      </c>
      <c r="AT2536" s="65" t="str">
        <f>IFERROR(VLOOKUP(#REF!,[1]Lookup!$B$2:$E$115,2,FALSE),"")</f>
        <v/>
      </c>
      <c r="AU2536" s="65" t="str">
        <f>IFERROR(VLOOKUP(#REF!,[1]Lookup!$B$2:$E$115,3,FALSE),"")</f>
        <v/>
      </c>
    </row>
    <row r="2537" spans="31:47" x14ac:dyDescent="0.3">
      <c r="AE2537" s="204" t="s">
        <v>398</v>
      </c>
      <c r="AF2537" s="204" t="s">
        <v>398</v>
      </c>
      <c r="AG2537" s="204" t="s">
        <v>398</v>
      </c>
      <c r="AS2537" s="65" t="str">
        <f>IFERROR(VLOOKUP(#REF!,[1]Lookup!$B$2:$E$115,4,FALSE),"")</f>
        <v/>
      </c>
      <c r="AT2537" s="65" t="str">
        <f>IFERROR(VLOOKUP(#REF!,[1]Lookup!$B$2:$E$115,2,FALSE),"")</f>
        <v/>
      </c>
      <c r="AU2537" s="65" t="str">
        <f>IFERROR(VLOOKUP(#REF!,[1]Lookup!$B$2:$E$115,3,FALSE),"")</f>
        <v/>
      </c>
    </row>
    <row r="2538" spans="31:47" x14ac:dyDescent="0.3">
      <c r="AE2538" s="204" t="s">
        <v>398</v>
      </c>
      <c r="AF2538" s="204" t="s">
        <v>398</v>
      </c>
      <c r="AG2538" s="204" t="s">
        <v>398</v>
      </c>
      <c r="AS2538" s="65" t="str">
        <f>IFERROR(VLOOKUP(#REF!,[1]Lookup!$B$2:$E$115,4,FALSE),"")</f>
        <v/>
      </c>
      <c r="AT2538" s="65" t="str">
        <f>IFERROR(VLOOKUP(#REF!,[1]Lookup!$B$2:$E$115,2,FALSE),"")</f>
        <v/>
      </c>
      <c r="AU2538" s="65" t="str">
        <f>IFERROR(VLOOKUP(#REF!,[1]Lookup!$B$2:$E$115,3,FALSE),"")</f>
        <v/>
      </c>
    </row>
    <row r="2539" spans="31:47" x14ac:dyDescent="0.3">
      <c r="AE2539" s="204" t="s">
        <v>398</v>
      </c>
      <c r="AF2539" s="204" t="s">
        <v>398</v>
      </c>
      <c r="AG2539" s="204" t="s">
        <v>398</v>
      </c>
      <c r="AS2539" s="65" t="str">
        <f>IFERROR(VLOOKUP(#REF!,[1]Lookup!$B$2:$E$115,4,FALSE),"")</f>
        <v/>
      </c>
      <c r="AT2539" s="65" t="str">
        <f>IFERROR(VLOOKUP(#REF!,[1]Lookup!$B$2:$E$115,2,FALSE),"")</f>
        <v/>
      </c>
      <c r="AU2539" s="65" t="str">
        <f>IFERROR(VLOOKUP(#REF!,[1]Lookup!$B$2:$E$115,3,FALSE),"")</f>
        <v/>
      </c>
    </row>
    <row r="2540" spans="31:47" x14ac:dyDescent="0.3">
      <c r="AE2540" s="204" t="s">
        <v>398</v>
      </c>
      <c r="AF2540" s="204" t="s">
        <v>398</v>
      </c>
      <c r="AG2540" s="204" t="s">
        <v>398</v>
      </c>
      <c r="AS2540" s="65" t="str">
        <f>IFERROR(VLOOKUP(#REF!,[1]Lookup!$B$2:$E$115,4,FALSE),"")</f>
        <v/>
      </c>
      <c r="AT2540" s="65" t="str">
        <f>IFERROR(VLOOKUP(#REF!,[1]Lookup!$B$2:$E$115,2,FALSE),"")</f>
        <v/>
      </c>
      <c r="AU2540" s="65" t="str">
        <f>IFERROR(VLOOKUP(#REF!,[1]Lookup!$B$2:$E$115,3,FALSE),"")</f>
        <v/>
      </c>
    </row>
    <row r="2541" spans="31:47" x14ac:dyDescent="0.3">
      <c r="AE2541" s="204" t="s">
        <v>398</v>
      </c>
      <c r="AF2541" s="204" t="s">
        <v>398</v>
      </c>
      <c r="AG2541" s="204" t="s">
        <v>398</v>
      </c>
      <c r="AS2541" s="65" t="str">
        <f>IFERROR(VLOOKUP(#REF!,[1]Lookup!$B$2:$E$115,4,FALSE),"")</f>
        <v/>
      </c>
      <c r="AT2541" s="65" t="str">
        <f>IFERROR(VLOOKUP(#REF!,[1]Lookup!$B$2:$E$115,2,FALSE),"")</f>
        <v/>
      </c>
      <c r="AU2541" s="65" t="str">
        <f>IFERROR(VLOOKUP(#REF!,[1]Lookup!$B$2:$E$115,3,FALSE),"")</f>
        <v/>
      </c>
    </row>
    <row r="2542" spans="31:47" x14ac:dyDescent="0.3">
      <c r="AE2542" s="204" t="s">
        <v>398</v>
      </c>
      <c r="AF2542" s="204" t="s">
        <v>398</v>
      </c>
      <c r="AG2542" s="204" t="s">
        <v>398</v>
      </c>
      <c r="AS2542" s="65" t="str">
        <f>IFERROR(VLOOKUP(#REF!,[1]Lookup!$B$2:$E$115,4,FALSE),"")</f>
        <v/>
      </c>
      <c r="AT2542" s="65" t="str">
        <f>IFERROR(VLOOKUP(#REF!,[1]Lookup!$B$2:$E$115,2,FALSE),"")</f>
        <v/>
      </c>
      <c r="AU2542" s="65" t="str">
        <f>IFERROR(VLOOKUP(#REF!,[1]Lookup!$B$2:$E$115,3,FALSE),"")</f>
        <v/>
      </c>
    </row>
    <row r="2543" spans="31:47" x14ac:dyDescent="0.3">
      <c r="AE2543" s="204" t="s">
        <v>398</v>
      </c>
      <c r="AF2543" s="204" t="s">
        <v>398</v>
      </c>
      <c r="AG2543" s="204" t="s">
        <v>398</v>
      </c>
      <c r="AS2543" s="65" t="str">
        <f>IFERROR(VLOOKUP(#REF!,[1]Lookup!$B$2:$E$115,4,FALSE),"")</f>
        <v/>
      </c>
      <c r="AT2543" s="65" t="str">
        <f>IFERROR(VLOOKUP(#REF!,[1]Lookup!$B$2:$E$115,2,FALSE),"")</f>
        <v/>
      </c>
      <c r="AU2543" s="65" t="str">
        <f>IFERROR(VLOOKUP(#REF!,[1]Lookup!$B$2:$E$115,3,FALSE),"")</f>
        <v/>
      </c>
    </row>
    <row r="2544" spans="31:47" x14ac:dyDescent="0.3">
      <c r="AE2544" s="204" t="s">
        <v>398</v>
      </c>
      <c r="AF2544" s="204" t="s">
        <v>398</v>
      </c>
      <c r="AG2544" s="204" t="s">
        <v>398</v>
      </c>
      <c r="AS2544" s="65" t="str">
        <f>IFERROR(VLOOKUP(#REF!,[1]Lookup!$B$2:$E$115,4,FALSE),"")</f>
        <v/>
      </c>
      <c r="AT2544" s="65" t="str">
        <f>IFERROR(VLOOKUP(#REF!,[1]Lookup!$B$2:$E$115,2,FALSE),"")</f>
        <v/>
      </c>
      <c r="AU2544" s="65" t="str">
        <f>IFERROR(VLOOKUP(#REF!,[1]Lookup!$B$2:$E$115,3,FALSE),"")</f>
        <v/>
      </c>
    </row>
    <row r="2545" spans="31:47" x14ac:dyDescent="0.3">
      <c r="AE2545" s="204" t="s">
        <v>398</v>
      </c>
      <c r="AF2545" s="204" t="s">
        <v>398</v>
      </c>
      <c r="AG2545" s="204" t="s">
        <v>398</v>
      </c>
      <c r="AS2545" s="65" t="str">
        <f>IFERROR(VLOOKUP(#REF!,[1]Lookup!$B$2:$E$115,4,FALSE),"")</f>
        <v/>
      </c>
      <c r="AT2545" s="65" t="str">
        <f>IFERROR(VLOOKUP(#REF!,[1]Lookup!$B$2:$E$115,2,FALSE),"")</f>
        <v/>
      </c>
      <c r="AU2545" s="65" t="str">
        <f>IFERROR(VLOOKUP(#REF!,[1]Lookup!$B$2:$E$115,3,FALSE),"")</f>
        <v/>
      </c>
    </row>
    <row r="2546" spans="31:47" x14ac:dyDescent="0.3">
      <c r="AE2546" s="204" t="s">
        <v>398</v>
      </c>
      <c r="AF2546" s="204" t="s">
        <v>398</v>
      </c>
      <c r="AG2546" s="204" t="s">
        <v>398</v>
      </c>
      <c r="AS2546" s="65" t="str">
        <f>IFERROR(VLOOKUP(#REF!,[1]Lookup!$B$2:$E$115,4,FALSE),"")</f>
        <v/>
      </c>
      <c r="AT2546" s="65" t="str">
        <f>IFERROR(VLOOKUP(#REF!,[1]Lookup!$B$2:$E$115,2,FALSE),"")</f>
        <v/>
      </c>
      <c r="AU2546" s="65" t="str">
        <f>IFERROR(VLOOKUP(#REF!,[1]Lookup!$B$2:$E$115,3,FALSE),"")</f>
        <v/>
      </c>
    </row>
    <row r="2547" spans="31:47" x14ac:dyDescent="0.3">
      <c r="AE2547" s="204" t="s">
        <v>398</v>
      </c>
      <c r="AF2547" s="204" t="s">
        <v>398</v>
      </c>
      <c r="AG2547" s="204" t="s">
        <v>398</v>
      </c>
      <c r="AS2547" s="65" t="str">
        <f>IFERROR(VLOOKUP(#REF!,[1]Lookup!$B$2:$E$115,4,FALSE),"")</f>
        <v/>
      </c>
      <c r="AT2547" s="65" t="str">
        <f>IFERROR(VLOOKUP(#REF!,[1]Lookup!$B$2:$E$115,2,FALSE),"")</f>
        <v/>
      </c>
      <c r="AU2547" s="65" t="str">
        <f>IFERROR(VLOOKUP(#REF!,[1]Lookup!$B$2:$E$115,3,FALSE),"")</f>
        <v/>
      </c>
    </row>
    <row r="2548" spans="31:47" x14ac:dyDescent="0.3">
      <c r="AE2548" s="204" t="s">
        <v>398</v>
      </c>
      <c r="AF2548" s="204" t="s">
        <v>398</v>
      </c>
      <c r="AG2548" s="204" t="s">
        <v>398</v>
      </c>
      <c r="AS2548" s="65" t="str">
        <f>IFERROR(VLOOKUP(#REF!,[1]Lookup!$B$2:$E$115,4,FALSE),"")</f>
        <v/>
      </c>
      <c r="AT2548" s="65" t="str">
        <f>IFERROR(VLOOKUP(#REF!,[1]Lookup!$B$2:$E$115,2,FALSE),"")</f>
        <v/>
      </c>
      <c r="AU2548" s="65" t="str">
        <f>IFERROR(VLOOKUP(#REF!,[1]Lookup!$B$2:$E$115,3,FALSE),"")</f>
        <v/>
      </c>
    </row>
    <row r="2549" spans="31:47" x14ac:dyDescent="0.3">
      <c r="AE2549" s="204" t="s">
        <v>398</v>
      </c>
      <c r="AF2549" s="204" t="s">
        <v>398</v>
      </c>
      <c r="AG2549" s="204" t="s">
        <v>398</v>
      </c>
      <c r="AS2549" s="65" t="str">
        <f>IFERROR(VLOOKUP(#REF!,[1]Lookup!$B$2:$E$115,4,FALSE),"")</f>
        <v/>
      </c>
      <c r="AT2549" s="65" t="str">
        <f>IFERROR(VLOOKUP(#REF!,[1]Lookup!$B$2:$E$115,2,FALSE),"")</f>
        <v/>
      </c>
      <c r="AU2549" s="65" t="str">
        <f>IFERROR(VLOOKUP(#REF!,[1]Lookup!$B$2:$E$115,3,FALSE),"")</f>
        <v/>
      </c>
    </row>
    <row r="2550" spans="31:47" x14ac:dyDescent="0.3">
      <c r="AE2550" s="204" t="s">
        <v>398</v>
      </c>
      <c r="AF2550" s="204" t="s">
        <v>398</v>
      </c>
      <c r="AG2550" s="204" t="s">
        <v>398</v>
      </c>
      <c r="AS2550" s="65" t="str">
        <f>IFERROR(VLOOKUP(#REF!,[1]Lookup!$B$2:$E$115,4,FALSE),"")</f>
        <v/>
      </c>
      <c r="AT2550" s="65" t="str">
        <f>IFERROR(VLOOKUP(#REF!,[1]Lookup!$B$2:$E$115,2,FALSE),"")</f>
        <v/>
      </c>
      <c r="AU2550" s="65" t="str">
        <f>IFERROR(VLOOKUP(#REF!,[1]Lookup!$B$2:$E$115,3,FALSE),"")</f>
        <v/>
      </c>
    </row>
    <row r="2551" spans="31:47" x14ac:dyDescent="0.3">
      <c r="AE2551" s="204" t="s">
        <v>398</v>
      </c>
      <c r="AF2551" s="204" t="s">
        <v>398</v>
      </c>
      <c r="AG2551" s="204" t="s">
        <v>398</v>
      </c>
      <c r="AS2551" s="65" t="str">
        <f>IFERROR(VLOOKUP(#REF!,[1]Lookup!$B$2:$E$115,4,FALSE),"")</f>
        <v/>
      </c>
      <c r="AT2551" s="65" t="str">
        <f>IFERROR(VLOOKUP(#REF!,[1]Lookup!$B$2:$E$115,2,FALSE),"")</f>
        <v/>
      </c>
      <c r="AU2551" s="65" t="str">
        <f>IFERROR(VLOOKUP(#REF!,[1]Lookup!$B$2:$E$115,3,FALSE),"")</f>
        <v/>
      </c>
    </row>
    <row r="2552" spans="31:47" x14ac:dyDescent="0.3">
      <c r="AE2552" s="204" t="s">
        <v>398</v>
      </c>
      <c r="AF2552" s="204" t="s">
        <v>398</v>
      </c>
      <c r="AG2552" s="204" t="s">
        <v>398</v>
      </c>
      <c r="AS2552" s="65" t="str">
        <f>IFERROR(VLOOKUP(#REF!,[1]Lookup!$B$2:$E$115,4,FALSE),"")</f>
        <v/>
      </c>
      <c r="AT2552" s="65" t="str">
        <f>IFERROR(VLOOKUP(#REF!,[1]Lookup!$B$2:$E$115,2,FALSE),"")</f>
        <v/>
      </c>
      <c r="AU2552" s="65" t="str">
        <f>IFERROR(VLOOKUP(#REF!,[1]Lookup!$B$2:$E$115,3,FALSE),"")</f>
        <v/>
      </c>
    </row>
    <row r="2553" spans="31:47" x14ac:dyDescent="0.3">
      <c r="AE2553" s="204" t="s">
        <v>398</v>
      </c>
      <c r="AF2553" s="204" t="s">
        <v>398</v>
      </c>
      <c r="AG2553" s="204" t="s">
        <v>398</v>
      </c>
      <c r="AS2553" s="65" t="str">
        <f>IFERROR(VLOOKUP(#REF!,[1]Lookup!$B$2:$E$115,4,FALSE),"")</f>
        <v/>
      </c>
      <c r="AT2553" s="65" t="str">
        <f>IFERROR(VLOOKUP(#REF!,[1]Lookup!$B$2:$E$115,2,FALSE),"")</f>
        <v/>
      </c>
      <c r="AU2553" s="65" t="str">
        <f>IFERROR(VLOOKUP(#REF!,[1]Lookup!$B$2:$E$115,3,FALSE),"")</f>
        <v/>
      </c>
    </row>
    <row r="2554" spans="31:47" x14ac:dyDescent="0.3">
      <c r="AE2554" s="204" t="s">
        <v>398</v>
      </c>
      <c r="AF2554" s="204" t="s">
        <v>398</v>
      </c>
      <c r="AG2554" s="204" t="s">
        <v>398</v>
      </c>
      <c r="AS2554" s="65" t="str">
        <f>IFERROR(VLOOKUP(#REF!,[1]Lookup!$B$2:$E$115,4,FALSE),"")</f>
        <v/>
      </c>
      <c r="AT2554" s="65" t="str">
        <f>IFERROR(VLOOKUP(#REF!,[1]Lookup!$B$2:$E$115,2,FALSE),"")</f>
        <v/>
      </c>
      <c r="AU2554" s="65" t="str">
        <f>IFERROR(VLOOKUP(#REF!,[1]Lookup!$B$2:$E$115,3,FALSE),"")</f>
        <v/>
      </c>
    </row>
    <row r="2555" spans="31:47" x14ac:dyDescent="0.3">
      <c r="AE2555" s="204" t="s">
        <v>398</v>
      </c>
      <c r="AF2555" s="204" t="s">
        <v>398</v>
      </c>
      <c r="AG2555" s="204" t="s">
        <v>398</v>
      </c>
      <c r="AS2555" s="65" t="str">
        <f>IFERROR(VLOOKUP(#REF!,[1]Lookup!$B$2:$E$115,4,FALSE),"")</f>
        <v/>
      </c>
      <c r="AT2555" s="65" t="str">
        <f>IFERROR(VLOOKUP(#REF!,[1]Lookup!$B$2:$E$115,2,FALSE),"")</f>
        <v/>
      </c>
      <c r="AU2555" s="65" t="str">
        <f>IFERROR(VLOOKUP(#REF!,[1]Lookup!$B$2:$E$115,3,FALSE),"")</f>
        <v/>
      </c>
    </row>
    <row r="2556" spans="31:47" x14ac:dyDescent="0.3">
      <c r="AE2556" s="204" t="s">
        <v>398</v>
      </c>
      <c r="AF2556" s="204" t="s">
        <v>398</v>
      </c>
      <c r="AG2556" s="204" t="s">
        <v>398</v>
      </c>
      <c r="AS2556" s="65" t="str">
        <f>IFERROR(VLOOKUP(#REF!,[1]Lookup!$B$2:$E$115,4,FALSE),"")</f>
        <v/>
      </c>
      <c r="AT2556" s="65" t="str">
        <f>IFERROR(VLOOKUP(#REF!,[1]Lookup!$B$2:$E$115,2,FALSE),"")</f>
        <v/>
      </c>
      <c r="AU2556" s="65" t="str">
        <f>IFERROR(VLOOKUP(#REF!,[1]Lookup!$B$2:$E$115,3,FALSE),"")</f>
        <v/>
      </c>
    </row>
    <row r="2557" spans="31:47" x14ac:dyDescent="0.3">
      <c r="AE2557" s="204" t="s">
        <v>398</v>
      </c>
      <c r="AF2557" s="204" t="s">
        <v>398</v>
      </c>
      <c r="AG2557" s="204" t="s">
        <v>398</v>
      </c>
      <c r="AS2557" s="65" t="str">
        <f>IFERROR(VLOOKUP(#REF!,[1]Lookup!$B$2:$E$115,4,FALSE),"")</f>
        <v/>
      </c>
      <c r="AT2557" s="65" t="str">
        <f>IFERROR(VLOOKUP(#REF!,[1]Lookup!$B$2:$E$115,2,FALSE),"")</f>
        <v/>
      </c>
      <c r="AU2557" s="65" t="str">
        <f>IFERROR(VLOOKUP(#REF!,[1]Lookup!$B$2:$E$115,3,FALSE),"")</f>
        <v/>
      </c>
    </row>
    <row r="2558" spans="31:47" x14ac:dyDescent="0.3">
      <c r="AE2558" s="204" t="s">
        <v>398</v>
      </c>
      <c r="AF2558" s="204" t="s">
        <v>398</v>
      </c>
      <c r="AG2558" s="204" t="s">
        <v>398</v>
      </c>
      <c r="AS2558" s="65" t="str">
        <f>IFERROR(VLOOKUP(#REF!,[1]Lookup!$B$2:$E$115,4,FALSE),"")</f>
        <v/>
      </c>
      <c r="AT2558" s="65" t="str">
        <f>IFERROR(VLOOKUP(#REF!,[1]Lookup!$B$2:$E$115,2,FALSE),"")</f>
        <v/>
      </c>
      <c r="AU2558" s="65" t="str">
        <f>IFERROR(VLOOKUP(#REF!,[1]Lookup!$B$2:$E$115,3,FALSE),"")</f>
        <v/>
      </c>
    </row>
    <row r="2559" spans="31:47" x14ac:dyDescent="0.3">
      <c r="AE2559" s="204" t="s">
        <v>398</v>
      </c>
      <c r="AF2559" s="204" t="s">
        <v>398</v>
      </c>
      <c r="AG2559" s="204" t="s">
        <v>398</v>
      </c>
      <c r="AS2559" s="65" t="str">
        <f>IFERROR(VLOOKUP(#REF!,[1]Lookup!$B$2:$E$115,4,FALSE),"")</f>
        <v/>
      </c>
      <c r="AT2559" s="65" t="str">
        <f>IFERROR(VLOOKUP(#REF!,[1]Lookup!$B$2:$E$115,2,FALSE),"")</f>
        <v/>
      </c>
      <c r="AU2559" s="65" t="str">
        <f>IFERROR(VLOOKUP(#REF!,[1]Lookup!$B$2:$E$115,3,FALSE),"")</f>
        <v/>
      </c>
    </row>
    <row r="2560" spans="31:47" x14ac:dyDescent="0.3">
      <c r="AE2560" s="204" t="s">
        <v>398</v>
      </c>
      <c r="AF2560" s="204" t="s">
        <v>398</v>
      </c>
      <c r="AG2560" s="204" t="s">
        <v>398</v>
      </c>
      <c r="AS2560" s="65" t="str">
        <f>IFERROR(VLOOKUP(#REF!,[1]Lookup!$B$2:$E$115,4,FALSE),"")</f>
        <v/>
      </c>
      <c r="AT2560" s="65" t="str">
        <f>IFERROR(VLOOKUP(#REF!,[1]Lookup!$B$2:$E$115,2,FALSE),"")</f>
        <v/>
      </c>
      <c r="AU2560" s="65" t="str">
        <f>IFERROR(VLOOKUP(#REF!,[1]Lookup!$B$2:$E$115,3,FALSE),"")</f>
        <v/>
      </c>
    </row>
    <row r="2561" spans="31:47" x14ac:dyDescent="0.3">
      <c r="AE2561" s="204" t="s">
        <v>398</v>
      </c>
      <c r="AF2561" s="204" t="s">
        <v>398</v>
      </c>
      <c r="AG2561" s="204" t="s">
        <v>398</v>
      </c>
      <c r="AS2561" s="65" t="str">
        <f>IFERROR(VLOOKUP(#REF!,[1]Lookup!$B$2:$E$115,4,FALSE),"")</f>
        <v/>
      </c>
      <c r="AT2561" s="65" t="str">
        <f>IFERROR(VLOOKUP(#REF!,[1]Lookup!$B$2:$E$115,2,FALSE),"")</f>
        <v/>
      </c>
      <c r="AU2561" s="65" t="str">
        <f>IFERROR(VLOOKUP(#REF!,[1]Lookup!$B$2:$E$115,3,FALSE),"")</f>
        <v/>
      </c>
    </row>
    <row r="2562" spans="31:47" x14ac:dyDescent="0.3">
      <c r="AE2562" s="204" t="s">
        <v>398</v>
      </c>
      <c r="AF2562" s="204" t="s">
        <v>398</v>
      </c>
      <c r="AG2562" s="204" t="s">
        <v>398</v>
      </c>
      <c r="AS2562" s="65" t="str">
        <f>IFERROR(VLOOKUP(#REF!,[1]Lookup!$B$2:$E$115,4,FALSE),"")</f>
        <v/>
      </c>
      <c r="AT2562" s="65" t="str">
        <f>IFERROR(VLOOKUP(#REF!,[1]Lookup!$B$2:$E$115,2,FALSE),"")</f>
        <v/>
      </c>
      <c r="AU2562" s="65" t="str">
        <f>IFERROR(VLOOKUP(#REF!,[1]Lookup!$B$2:$E$115,3,FALSE),"")</f>
        <v/>
      </c>
    </row>
    <row r="2563" spans="31:47" x14ac:dyDescent="0.3">
      <c r="AE2563" s="204" t="s">
        <v>398</v>
      </c>
      <c r="AF2563" s="204" t="s">
        <v>398</v>
      </c>
      <c r="AG2563" s="204" t="s">
        <v>398</v>
      </c>
      <c r="AS2563" s="65" t="str">
        <f>IFERROR(VLOOKUP(#REF!,[1]Lookup!$B$2:$E$115,4,FALSE),"")</f>
        <v/>
      </c>
      <c r="AT2563" s="65" t="str">
        <f>IFERROR(VLOOKUP(#REF!,[1]Lookup!$B$2:$E$115,2,FALSE),"")</f>
        <v/>
      </c>
      <c r="AU2563" s="65" t="str">
        <f>IFERROR(VLOOKUP(#REF!,[1]Lookup!$B$2:$E$115,3,FALSE),"")</f>
        <v/>
      </c>
    </row>
    <row r="2564" spans="31:47" x14ac:dyDescent="0.3">
      <c r="AE2564" s="204" t="s">
        <v>398</v>
      </c>
      <c r="AF2564" s="204" t="s">
        <v>398</v>
      </c>
      <c r="AG2564" s="204" t="s">
        <v>398</v>
      </c>
      <c r="AS2564" s="65" t="str">
        <f>IFERROR(VLOOKUP(#REF!,[1]Lookup!$B$2:$E$115,4,FALSE),"")</f>
        <v/>
      </c>
      <c r="AT2564" s="65" t="str">
        <f>IFERROR(VLOOKUP(#REF!,[1]Lookup!$B$2:$E$115,2,FALSE),"")</f>
        <v/>
      </c>
      <c r="AU2564" s="65" t="str">
        <f>IFERROR(VLOOKUP(#REF!,[1]Lookup!$B$2:$E$115,3,FALSE),"")</f>
        <v/>
      </c>
    </row>
    <row r="2565" spans="31:47" x14ac:dyDescent="0.3">
      <c r="AE2565" s="204" t="s">
        <v>398</v>
      </c>
      <c r="AF2565" s="204" t="s">
        <v>398</v>
      </c>
      <c r="AG2565" s="204" t="s">
        <v>398</v>
      </c>
      <c r="AS2565" s="65" t="str">
        <f>IFERROR(VLOOKUP(#REF!,[1]Lookup!$B$2:$E$115,4,FALSE),"")</f>
        <v/>
      </c>
      <c r="AT2565" s="65" t="str">
        <f>IFERROR(VLOOKUP(#REF!,[1]Lookup!$B$2:$E$115,2,FALSE),"")</f>
        <v/>
      </c>
      <c r="AU2565" s="65" t="str">
        <f>IFERROR(VLOOKUP(#REF!,[1]Lookup!$B$2:$E$115,3,FALSE),"")</f>
        <v/>
      </c>
    </row>
    <row r="2566" spans="31:47" x14ac:dyDescent="0.3">
      <c r="AE2566" s="204" t="s">
        <v>398</v>
      </c>
      <c r="AF2566" s="204" t="s">
        <v>398</v>
      </c>
      <c r="AG2566" s="204" t="s">
        <v>398</v>
      </c>
      <c r="AS2566" s="65" t="str">
        <f>IFERROR(VLOOKUP(#REF!,[1]Lookup!$B$2:$E$115,4,FALSE),"")</f>
        <v/>
      </c>
      <c r="AT2566" s="65" t="str">
        <f>IFERROR(VLOOKUP(#REF!,[1]Lookup!$B$2:$E$115,2,FALSE),"")</f>
        <v/>
      </c>
      <c r="AU2566" s="65" t="str">
        <f>IFERROR(VLOOKUP(#REF!,[1]Lookup!$B$2:$E$115,3,FALSE),"")</f>
        <v/>
      </c>
    </row>
    <row r="2567" spans="31:47" x14ac:dyDescent="0.3">
      <c r="AE2567" s="204" t="s">
        <v>398</v>
      </c>
      <c r="AF2567" s="204" t="s">
        <v>398</v>
      </c>
      <c r="AG2567" s="204" t="s">
        <v>398</v>
      </c>
      <c r="AS2567" s="65" t="str">
        <f>IFERROR(VLOOKUP(#REF!,[1]Lookup!$B$2:$E$115,4,FALSE),"")</f>
        <v/>
      </c>
      <c r="AT2567" s="65" t="str">
        <f>IFERROR(VLOOKUP(#REF!,[1]Lookup!$B$2:$E$115,2,FALSE),"")</f>
        <v/>
      </c>
      <c r="AU2567" s="65" t="str">
        <f>IFERROR(VLOOKUP(#REF!,[1]Lookup!$B$2:$E$115,3,FALSE),"")</f>
        <v/>
      </c>
    </row>
    <row r="2568" spans="31:47" x14ac:dyDescent="0.3">
      <c r="AE2568" s="204" t="s">
        <v>398</v>
      </c>
      <c r="AF2568" s="204" t="s">
        <v>398</v>
      </c>
      <c r="AG2568" s="204" t="s">
        <v>398</v>
      </c>
      <c r="AS2568" s="65" t="str">
        <f>IFERROR(VLOOKUP(#REF!,[1]Lookup!$B$2:$E$115,4,FALSE),"")</f>
        <v/>
      </c>
      <c r="AT2568" s="65" t="str">
        <f>IFERROR(VLOOKUP(#REF!,[1]Lookup!$B$2:$E$115,2,FALSE),"")</f>
        <v/>
      </c>
      <c r="AU2568" s="65" t="str">
        <f>IFERROR(VLOOKUP(#REF!,[1]Lookup!$B$2:$E$115,3,FALSE),"")</f>
        <v/>
      </c>
    </row>
    <row r="2569" spans="31:47" x14ac:dyDescent="0.3">
      <c r="AE2569" s="204" t="s">
        <v>398</v>
      </c>
      <c r="AF2569" s="204" t="s">
        <v>398</v>
      </c>
      <c r="AG2569" s="204" t="s">
        <v>398</v>
      </c>
      <c r="AS2569" s="65" t="str">
        <f>IFERROR(VLOOKUP(#REF!,[1]Lookup!$B$2:$E$115,4,FALSE),"")</f>
        <v/>
      </c>
      <c r="AT2569" s="65" t="str">
        <f>IFERROR(VLOOKUP(#REF!,[1]Lookup!$B$2:$E$115,2,FALSE),"")</f>
        <v/>
      </c>
      <c r="AU2569" s="65" t="str">
        <f>IFERROR(VLOOKUP(#REF!,[1]Lookup!$B$2:$E$115,3,FALSE),"")</f>
        <v/>
      </c>
    </row>
    <row r="2570" spans="31:47" x14ac:dyDescent="0.3">
      <c r="AE2570" s="204" t="s">
        <v>398</v>
      </c>
      <c r="AF2570" s="204" t="s">
        <v>398</v>
      </c>
      <c r="AG2570" s="204" t="s">
        <v>398</v>
      </c>
      <c r="AS2570" s="65" t="str">
        <f>IFERROR(VLOOKUP(#REF!,[1]Lookup!$B$2:$E$115,4,FALSE),"")</f>
        <v/>
      </c>
      <c r="AT2570" s="65" t="str">
        <f>IFERROR(VLOOKUP(#REF!,[1]Lookup!$B$2:$E$115,2,FALSE),"")</f>
        <v/>
      </c>
      <c r="AU2570" s="65" t="str">
        <f>IFERROR(VLOOKUP(#REF!,[1]Lookup!$B$2:$E$115,3,FALSE),"")</f>
        <v/>
      </c>
    </row>
    <row r="2571" spans="31:47" x14ac:dyDescent="0.3">
      <c r="AE2571" s="204" t="s">
        <v>398</v>
      </c>
      <c r="AF2571" s="204" t="s">
        <v>398</v>
      </c>
      <c r="AG2571" s="204" t="s">
        <v>398</v>
      </c>
      <c r="AS2571" s="65" t="str">
        <f>IFERROR(VLOOKUP(#REF!,[1]Lookup!$B$2:$E$115,4,FALSE),"")</f>
        <v/>
      </c>
      <c r="AT2571" s="65" t="str">
        <f>IFERROR(VLOOKUP(#REF!,[1]Lookup!$B$2:$E$115,2,FALSE),"")</f>
        <v/>
      </c>
      <c r="AU2571" s="65" t="str">
        <f>IFERROR(VLOOKUP(#REF!,[1]Lookup!$B$2:$E$115,3,FALSE),"")</f>
        <v/>
      </c>
    </row>
    <row r="2572" spans="31:47" x14ac:dyDescent="0.3">
      <c r="AE2572" s="204" t="s">
        <v>398</v>
      </c>
      <c r="AF2572" s="204" t="s">
        <v>398</v>
      </c>
      <c r="AG2572" s="204" t="s">
        <v>398</v>
      </c>
      <c r="AS2572" s="65" t="str">
        <f>IFERROR(VLOOKUP(#REF!,[1]Lookup!$B$2:$E$115,4,FALSE),"")</f>
        <v/>
      </c>
      <c r="AT2572" s="65" t="str">
        <f>IFERROR(VLOOKUP(#REF!,[1]Lookup!$B$2:$E$115,2,FALSE),"")</f>
        <v/>
      </c>
      <c r="AU2572" s="65" t="str">
        <f>IFERROR(VLOOKUP(#REF!,[1]Lookup!$B$2:$E$115,3,FALSE),"")</f>
        <v/>
      </c>
    </row>
    <row r="2573" spans="31:47" x14ac:dyDescent="0.3">
      <c r="AE2573" s="204" t="s">
        <v>398</v>
      </c>
      <c r="AF2573" s="204" t="s">
        <v>398</v>
      </c>
      <c r="AG2573" s="204" t="s">
        <v>398</v>
      </c>
      <c r="AS2573" s="65" t="str">
        <f>IFERROR(VLOOKUP(#REF!,[1]Lookup!$B$2:$E$115,4,FALSE),"")</f>
        <v/>
      </c>
      <c r="AT2573" s="65" t="str">
        <f>IFERROR(VLOOKUP(#REF!,[1]Lookup!$B$2:$E$115,2,FALSE),"")</f>
        <v/>
      </c>
      <c r="AU2573" s="65" t="str">
        <f>IFERROR(VLOOKUP(#REF!,[1]Lookup!$B$2:$E$115,3,FALSE),"")</f>
        <v/>
      </c>
    </row>
    <row r="2574" spans="31:47" x14ac:dyDescent="0.3">
      <c r="AE2574" s="204" t="s">
        <v>398</v>
      </c>
      <c r="AF2574" s="204" t="s">
        <v>398</v>
      </c>
      <c r="AG2574" s="204" t="s">
        <v>398</v>
      </c>
      <c r="AS2574" s="65" t="str">
        <f>IFERROR(VLOOKUP(#REF!,[1]Lookup!$B$2:$E$115,4,FALSE),"")</f>
        <v/>
      </c>
      <c r="AT2574" s="65" t="str">
        <f>IFERROR(VLOOKUP(#REF!,[1]Lookup!$B$2:$E$115,2,FALSE),"")</f>
        <v/>
      </c>
      <c r="AU2574" s="65" t="str">
        <f>IFERROR(VLOOKUP(#REF!,[1]Lookup!$B$2:$E$115,3,FALSE),"")</f>
        <v/>
      </c>
    </row>
    <row r="2575" spans="31:47" x14ac:dyDescent="0.3">
      <c r="AE2575" s="204" t="s">
        <v>398</v>
      </c>
      <c r="AF2575" s="204" t="s">
        <v>398</v>
      </c>
      <c r="AG2575" s="204" t="s">
        <v>398</v>
      </c>
      <c r="AS2575" s="65" t="str">
        <f>IFERROR(VLOOKUP(#REF!,[1]Lookup!$B$2:$E$115,4,FALSE),"")</f>
        <v/>
      </c>
      <c r="AT2575" s="65" t="str">
        <f>IFERROR(VLOOKUP(#REF!,[1]Lookup!$B$2:$E$115,2,FALSE),"")</f>
        <v/>
      </c>
      <c r="AU2575" s="65" t="str">
        <f>IFERROR(VLOOKUP(#REF!,[1]Lookup!$B$2:$E$115,3,FALSE),"")</f>
        <v/>
      </c>
    </row>
    <row r="2576" spans="31:47" x14ac:dyDescent="0.3">
      <c r="AE2576" s="204" t="s">
        <v>398</v>
      </c>
      <c r="AF2576" s="204" t="s">
        <v>398</v>
      </c>
      <c r="AG2576" s="204" t="s">
        <v>398</v>
      </c>
      <c r="AS2576" s="65" t="str">
        <f>IFERROR(VLOOKUP(#REF!,[1]Lookup!$B$2:$E$115,4,FALSE),"")</f>
        <v/>
      </c>
      <c r="AT2576" s="65" t="str">
        <f>IFERROR(VLOOKUP(#REF!,[1]Lookup!$B$2:$E$115,2,FALSE),"")</f>
        <v/>
      </c>
      <c r="AU2576" s="65" t="str">
        <f>IFERROR(VLOOKUP(#REF!,[1]Lookup!$B$2:$E$115,3,FALSE),"")</f>
        <v/>
      </c>
    </row>
    <row r="2577" spans="31:47" x14ac:dyDescent="0.3">
      <c r="AE2577" s="204" t="s">
        <v>398</v>
      </c>
      <c r="AF2577" s="204" t="s">
        <v>398</v>
      </c>
      <c r="AG2577" s="204" t="s">
        <v>398</v>
      </c>
      <c r="AS2577" s="65" t="str">
        <f>IFERROR(VLOOKUP(#REF!,[1]Lookup!$B$2:$E$115,4,FALSE),"")</f>
        <v/>
      </c>
      <c r="AT2577" s="65" t="str">
        <f>IFERROR(VLOOKUP(#REF!,[1]Lookup!$B$2:$E$115,2,FALSE),"")</f>
        <v/>
      </c>
      <c r="AU2577" s="65" t="str">
        <f>IFERROR(VLOOKUP(#REF!,[1]Lookup!$B$2:$E$115,3,FALSE),"")</f>
        <v/>
      </c>
    </row>
    <row r="2578" spans="31:47" x14ac:dyDescent="0.3">
      <c r="AE2578" s="204" t="s">
        <v>398</v>
      </c>
      <c r="AF2578" s="204" t="s">
        <v>398</v>
      </c>
      <c r="AG2578" s="204" t="s">
        <v>398</v>
      </c>
      <c r="AS2578" s="65" t="str">
        <f>IFERROR(VLOOKUP(#REF!,[1]Lookup!$B$2:$E$115,4,FALSE),"")</f>
        <v/>
      </c>
      <c r="AT2578" s="65" t="str">
        <f>IFERROR(VLOOKUP(#REF!,[1]Lookup!$B$2:$E$115,2,FALSE),"")</f>
        <v/>
      </c>
      <c r="AU2578" s="65" t="str">
        <f>IFERROR(VLOOKUP(#REF!,[1]Lookup!$B$2:$E$115,3,FALSE),"")</f>
        <v/>
      </c>
    </row>
    <row r="2579" spans="31:47" x14ac:dyDescent="0.3">
      <c r="AE2579" s="204" t="s">
        <v>398</v>
      </c>
      <c r="AF2579" s="204" t="s">
        <v>398</v>
      </c>
      <c r="AG2579" s="204" t="s">
        <v>398</v>
      </c>
      <c r="AS2579" s="65" t="str">
        <f>IFERROR(VLOOKUP(#REF!,[1]Lookup!$B$2:$E$115,4,FALSE),"")</f>
        <v/>
      </c>
      <c r="AT2579" s="65" t="str">
        <f>IFERROR(VLOOKUP(#REF!,[1]Lookup!$B$2:$E$115,2,FALSE),"")</f>
        <v/>
      </c>
      <c r="AU2579" s="65" t="str">
        <f>IFERROR(VLOOKUP(#REF!,[1]Lookup!$B$2:$E$115,3,FALSE),"")</f>
        <v/>
      </c>
    </row>
    <row r="2580" spans="31:47" x14ac:dyDescent="0.3">
      <c r="AE2580" s="204" t="s">
        <v>398</v>
      </c>
      <c r="AF2580" s="204" t="s">
        <v>398</v>
      </c>
      <c r="AG2580" s="204" t="s">
        <v>398</v>
      </c>
      <c r="AS2580" s="65" t="str">
        <f>IFERROR(VLOOKUP(#REF!,[1]Lookup!$B$2:$E$115,4,FALSE),"")</f>
        <v/>
      </c>
      <c r="AT2580" s="65" t="str">
        <f>IFERROR(VLOOKUP(#REF!,[1]Lookup!$B$2:$E$115,2,FALSE),"")</f>
        <v/>
      </c>
      <c r="AU2580" s="65" t="str">
        <f>IFERROR(VLOOKUP(#REF!,[1]Lookup!$B$2:$E$115,3,FALSE),"")</f>
        <v/>
      </c>
    </row>
    <row r="2581" spans="31:47" x14ac:dyDescent="0.3">
      <c r="AE2581" s="204" t="s">
        <v>398</v>
      </c>
      <c r="AF2581" s="204" t="s">
        <v>398</v>
      </c>
      <c r="AG2581" s="204" t="s">
        <v>398</v>
      </c>
      <c r="AS2581" s="65" t="str">
        <f>IFERROR(VLOOKUP(#REF!,[1]Lookup!$B$2:$E$115,4,FALSE),"")</f>
        <v/>
      </c>
      <c r="AT2581" s="65" t="str">
        <f>IFERROR(VLOOKUP(#REF!,[1]Lookup!$B$2:$E$115,2,FALSE),"")</f>
        <v/>
      </c>
      <c r="AU2581" s="65" t="str">
        <f>IFERROR(VLOOKUP(#REF!,[1]Lookup!$B$2:$E$115,3,FALSE),"")</f>
        <v/>
      </c>
    </row>
    <row r="2582" spans="31:47" x14ac:dyDescent="0.3">
      <c r="AE2582" s="204" t="s">
        <v>398</v>
      </c>
      <c r="AF2582" s="204" t="s">
        <v>398</v>
      </c>
      <c r="AG2582" s="204" t="s">
        <v>398</v>
      </c>
      <c r="AS2582" s="65" t="str">
        <f>IFERROR(VLOOKUP(#REF!,[1]Lookup!$B$2:$E$115,4,FALSE),"")</f>
        <v/>
      </c>
      <c r="AT2582" s="65" t="str">
        <f>IFERROR(VLOOKUP(#REF!,[1]Lookup!$B$2:$E$115,2,FALSE),"")</f>
        <v/>
      </c>
      <c r="AU2582" s="65" t="str">
        <f>IFERROR(VLOOKUP(#REF!,[1]Lookup!$B$2:$E$115,3,FALSE),"")</f>
        <v/>
      </c>
    </row>
    <row r="2583" spans="31:47" x14ac:dyDescent="0.3">
      <c r="AE2583" s="204" t="s">
        <v>398</v>
      </c>
      <c r="AF2583" s="204" t="s">
        <v>398</v>
      </c>
      <c r="AG2583" s="204" t="s">
        <v>398</v>
      </c>
      <c r="AS2583" s="65" t="str">
        <f>IFERROR(VLOOKUP(#REF!,[1]Lookup!$B$2:$E$115,4,FALSE),"")</f>
        <v/>
      </c>
      <c r="AT2583" s="65" t="str">
        <f>IFERROR(VLOOKUP(#REF!,[1]Lookup!$B$2:$E$115,2,FALSE),"")</f>
        <v/>
      </c>
      <c r="AU2583" s="65" t="str">
        <f>IFERROR(VLOOKUP(#REF!,[1]Lookup!$B$2:$E$115,3,FALSE),"")</f>
        <v/>
      </c>
    </row>
    <row r="2584" spans="31:47" x14ac:dyDescent="0.3">
      <c r="AE2584" s="204" t="s">
        <v>398</v>
      </c>
      <c r="AF2584" s="204" t="s">
        <v>398</v>
      </c>
      <c r="AG2584" s="204" t="s">
        <v>398</v>
      </c>
      <c r="AS2584" s="65" t="str">
        <f>IFERROR(VLOOKUP(#REF!,[1]Lookup!$B$2:$E$115,4,FALSE),"")</f>
        <v/>
      </c>
      <c r="AT2584" s="65" t="str">
        <f>IFERROR(VLOOKUP(#REF!,[1]Lookup!$B$2:$E$115,2,FALSE),"")</f>
        <v/>
      </c>
      <c r="AU2584" s="65" t="str">
        <f>IFERROR(VLOOKUP(#REF!,[1]Lookup!$B$2:$E$115,3,FALSE),"")</f>
        <v/>
      </c>
    </row>
    <row r="2585" spans="31:47" x14ac:dyDescent="0.3">
      <c r="AE2585" s="204" t="s">
        <v>398</v>
      </c>
      <c r="AF2585" s="204" t="s">
        <v>398</v>
      </c>
      <c r="AG2585" s="204" t="s">
        <v>398</v>
      </c>
      <c r="AS2585" s="65" t="str">
        <f>IFERROR(VLOOKUP(#REF!,[1]Lookup!$B$2:$E$115,4,FALSE),"")</f>
        <v/>
      </c>
      <c r="AT2585" s="65" t="str">
        <f>IFERROR(VLOOKUP(#REF!,[1]Lookup!$B$2:$E$115,2,FALSE),"")</f>
        <v/>
      </c>
      <c r="AU2585" s="65" t="str">
        <f>IFERROR(VLOOKUP(#REF!,[1]Lookup!$B$2:$E$115,3,FALSE),"")</f>
        <v/>
      </c>
    </row>
    <row r="2586" spans="31:47" x14ac:dyDescent="0.3">
      <c r="AE2586" s="204" t="s">
        <v>398</v>
      </c>
      <c r="AF2586" s="204" t="s">
        <v>398</v>
      </c>
      <c r="AG2586" s="204" t="s">
        <v>398</v>
      </c>
      <c r="AS2586" s="65" t="str">
        <f>IFERROR(VLOOKUP(#REF!,[1]Lookup!$B$2:$E$115,4,FALSE),"")</f>
        <v/>
      </c>
      <c r="AT2586" s="65" t="str">
        <f>IFERROR(VLOOKUP(#REF!,[1]Lookup!$B$2:$E$115,2,FALSE),"")</f>
        <v/>
      </c>
      <c r="AU2586" s="65" t="str">
        <f>IFERROR(VLOOKUP(#REF!,[1]Lookup!$B$2:$E$115,3,FALSE),"")</f>
        <v/>
      </c>
    </row>
    <row r="2587" spans="31:47" x14ac:dyDescent="0.3">
      <c r="AE2587" s="204" t="s">
        <v>398</v>
      </c>
      <c r="AF2587" s="204" t="s">
        <v>398</v>
      </c>
      <c r="AG2587" s="204" t="s">
        <v>398</v>
      </c>
      <c r="AS2587" s="65" t="str">
        <f>IFERROR(VLOOKUP(#REF!,[1]Lookup!$B$2:$E$115,4,FALSE),"")</f>
        <v/>
      </c>
      <c r="AT2587" s="65" t="str">
        <f>IFERROR(VLOOKUP(#REF!,[1]Lookup!$B$2:$E$115,2,FALSE),"")</f>
        <v/>
      </c>
      <c r="AU2587" s="65" t="str">
        <f>IFERROR(VLOOKUP(#REF!,[1]Lookup!$B$2:$E$115,3,FALSE),"")</f>
        <v/>
      </c>
    </row>
    <row r="2588" spans="31:47" x14ac:dyDescent="0.3">
      <c r="AE2588" s="204" t="s">
        <v>398</v>
      </c>
      <c r="AF2588" s="204" t="s">
        <v>398</v>
      </c>
      <c r="AG2588" s="204" t="s">
        <v>398</v>
      </c>
      <c r="AS2588" s="65" t="str">
        <f>IFERROR(VLOOKUP(#REF!,[1]Lookup!$B$2:$E$115,4,FALSE),"")</f>
        <v/>
      </c>
      <c r="AT2588" s="65" t="str">
        <f>IFERROR(VLOOKUP(#REF!,[1]Lookup!$B$2:$E$115,2,FALSE),"")</f>
        <v/>
      </c>
      <c r="AU2588" s="65" t="str">
        <f>IFERROR(VLOOKUP(#REF!,[1]Lookup!$B$2:$E$115,3,FALSE),"")</f>
        <v/>
      </c>
    </row>
    <row r="2589" spans="31:47" x14ac:dyDescent="0.3">
      <c r="AE2589" s="204" t="s">
        <v>398</v>
      </c>
      <c r="AF2589" s="204" t="s">
        <v>398</v>
      </c>
      <c r="AG2589" s="204" t="s">
        <v>398</v>
      </c>
      <c r="AS2589" s="65" t="str">
        <f>IFERROR(VLOOKUP(#REF!,[1]Lookup!$B$2:$E$115,4,FALSE),"")</f>
        <v/>
      </c>
      <c r="AT2589" s="65" t="str">
        <f>IFERROR(VLOOKUP(#REF!,[1]Lookup!$B$2:$E$115,2,FALSE),"")</f>
        <v/>
      </c>
      <c r="AU2589" s="65" t="str">
        <f>IFERROR(VLOOKUP(#REF!,[1]Lookup!$B$2:$E$115,3,FALSE),"")</f>
        <v/>
      </c>
    </row>
    <row r="2590" spans="31:47" x14ac:dyDescent="0.3">
      <c r="AE2590" s="204" t="s">
        <v>398</v>
      </c>
      <c r="AF2590" s="204" t="s">
        <v>398</v>
      </c>
      <c r="AG2590" s="204" t="s">
        <v>398</v>
      </c>
      <c r="AS2590" s="65" t="str">
        <f>IFERROR(VLOOKUP(#REF!,[1]Lookup!$B$2:$E$115,4,FALSE),"")</f>
        <v/>
      </c>
      <c r="AT2590" s="65" t="str">
        <f>IFERROR(VLOOKUP(#REF!,[1]Lookup!$B$2:$E$115,2,FALSE),"")</f>
        <v/>
      </c>
      <c r="AU2590" s="65" t="str">
        <f>IFERROR(VLOOKUP(#REF!,[1]Lookup!$B$2:$E$115,3,FALSE),"")</f>
        <v/>
      </c>
    </row>
    <row r="2591" spans="31:47" x14ac:dyDescent="0.3">
      <c r="AE2591" s="204" t="s">
        <v>398</v>
      </c>
      <c r="AF2591" s="204" t="s">
        <v>398</v>
      </c>
      <c r="AG2591" s="204" t="s">
        <v>398</v>
      </c>
      <c r="AS2591" s="65" t="str">
        <f>IFERROR(VLOOKUP(#REF!,[1]Lookup!$B$2:$E$115,4,FALSE),"")</f>
        <v/>
      </c>
      <c r="AT2591" s="65" t="str">
        <f>IFERROR(VLOOKUP(#REF!,[1]Lookup!$B$2:$E$115,2,FALSE),"")</f>
        <v/>
      </c>
      <c r="AU2591" s="65" t="str">
        <f>IFERROR(VLOOKUP(#REF!,[1]Lookup!$B$2:$E$115,3,FALSE),"")</f>
        <v/>
      </c>
    </row>
    <row r="2592" spans="31:47" x14ac:dyDescent="0.3">
      <c r="AE2592" s="204" t="s">
        <v>398</v>
      </c>
      <c r="AF2592" s="204" t="s">
        <v>398</v>
      </c>
      <c r="AG2592" s="204" t="s">
        <v>398</v>
      </c>
      <c r="AS2592" s="65" t="str">
        <f>IFERROR(VLOOKUP(#REF!,[1]Lookup!$B$2:$E$115,4,FALSE),"")</f>
        <v/>
      </c>
      <c r="AT2592" s="65" t="str">
        <f>IFERROR(VLOOKUP(#REF!,[1]Lookup!$B$2:$E$115,2,FALSE),"")</f>
        <v/>
      </c>
      <c r="AU2592" s="65" t="str">
        <f>IFERROR(VLOOKUP(#REF!,[1]Lookup!$B$2:$E$115,3,FALSE),"")</f>
        <v/>
      </c>
    </row>
    <row r="2593" spans="31:47" x14ac:dyDescent="0.3">
      <c r="AE2593" s="204" t="s">
        <v>398</v>
      </c>
      <c r="AF2593" s="204" t="s">
        <v>398</v>
      </c>
      <c r="AG2593" s="204" t="s">
        <v>398</v>
      </c>
      <c r="AS2593" s="65" t="str">
        <f>IFERROR(VLOOKUP(#REF!,[1]Lookup!$B$2:$E$115,4,FALSE),"")</f>
        <v/>
      </c>
      <c r="AT2593" s="65" t="str">
        <f>IFERROR(VLOOKUP(#REF!,[1]Lookup!$B$2:$E$115,2,FALSE),"")</f>
        <v/>
      </c>
      <c r="AU2593" s="65" t="str">
        <f>IFERROR(VLOOKUP(#REF!,[1]Lookup!$B$2:$E$115,3,FALSE),"")</f>
        <v/>
      </c>
    </row>
    <row r="2594" spans="31:47" x14ac:dyDescent="0.3">
      <c r="AE2594" s="204" t="s">
        <v>398</v>
      </c>
      <c r="AF2594" s="204" t="s">
        <v>398</v>
      </c>
      <c r="AG2594" s="204" t="s">
        <v>398</v>
      </c>
      <c r="AS2594" s="65" t="str">
        <f>IFERROR(VLOOKUP(#REF!,[1]Lookup!$B$2:$E$115,4,FALSE),"")</f>
        <v/>
      </c>
      <c r="AT2594" s="65" t="str">
        <f>IFERROR(VLOOKUP(#REF!,[1]Lookup!$B$2:$E$115,2,FALSE),"")</f>
        <v/>
      </c>
      <c r="AU2594" s="65" t="str">
        <f>IFERROR(VLOOKUP(#REF!,[1]Lookup!$B$2:$E$115,3,FALSE),"")</f>
        <v/>
      </c>
    </row>
    <row r="2595" spans="31:47" x14ac:dyDescent="0.3">
      <c r="AE2595" s="204" t="s">
        <v>398</v>
      </c>
      <c r="AF2595" s="204" t="s">
        <v>398</v>
      </c>
      <c r="AG2595" s="204" t="s">
        <v>398</v>
      </c>
      <c r="AS2595" s="65" t="str">
        <f>IFERROR(VLOOKUP(#REF!,[1]Lookup!$B$2:$E$115,4,FALSE),"")</f>
        <v/>
      </c>
      <c r="AT2595" s="65" t="str">
        <f>IFERROR(VLOOKUP(#REF!,[1]Lookup!$B$2:$E$115,2,FALSE),"")</f>
        <v/>
      </c>
      <c r="AU2595" s="65" t="str">
        <f>IFERROR(VLOOKUP(#REF!,[1]Lookup!$B$2:$E$115,3,FALSE),"")</f>
        <v/>
      </c>
    </row>
    <row r="2596" spans="31:47" x14ac:dyDescent="0.3">
      <c r="AE2596" s="204" t="s">
        <v>398</v>
      </c>
      <c r="AF2596" s="204" t="s">
        <v>398</v>
      </c>
      <c r="AG2596" s="204" t="s">
        <v>398</v>
      </c>
      <c r="AS2596" s="65" t="str">
        <f>IFERROR(VLOOKUP(#REF!,[1]Lookup!$B$2:$E$115,4,FALSE),"")</f>
        <v/>
      </c>
      <c r="AT2596" s="65" t="str">
        <f>IFERROR(VLOOKUP(#REF!,[1]Lookup!$B$2:$E$115,2,FALSE),"")</f>
        <v/>
      </c>
      <c r="AU2596" s="65" t="str">
        <f>IFERROR(VLOOKUP(#REF!,[1]Lookup!$B$2:$E$115,3,FALSE),"")</f>
        <v/>
      </c>
    </row>
    <row r="2597" spans="31:47" x14ac:dyDescent="0.3">
      <c r="AE2597" s="204" t="s">
        <v>398</v>
      </c>
      <c r="AF2597" s="204" t="s">
        <v>398</v>
      </c>
      <c r="AG2597" s="204" t="s">
        <v>398</v>
      </c>
      <c r="AS2597" s="65" t="str">
        <f>IFERROR(VLOOKUP(#REF!,[1]Lookup!$B$2:$E$115,4,FALSE),"")</f>
        <v/>
      </c>
      <c r="AT2597" s="65" t="str">
        <f>IFERROR(VLOOKUP(#REF!,[1]Lookup!$B$2:$E$115,2,FALSE),"")</f>
        <v/>
      </c>
      <c r="AU2597" s="65" t="str">
        <f>IFERROR(VLOOKUP(#REF!,[1]Lookup!$B$2:$E$115,3,FALSE),"")</f>
        <v/>
      </c>
    </row>
    <row r="2598" spans="31:47" x14ac:dyDescent="0.3">
      <c r="AE2598" s="204" t="s">
        <v>398</v>
      </c>
      <c r="AF2598" s="204" t="s">
        <v>398</v>
      </c>
      <c r="AG2598" s="204" t="s">
        <v>398</v>
      </c>
      <c r="AS2598" s="65" t="str">
        <f>IFERROR(VLOOKUP(#REF!,[1]Lookup!$B$2:$E$115,4,FALSE),"")</f>
        <v/>
      </c>
      <c r="AT2598" s="65" t="str">
        <f>IFERROR(VLOOKUP(#REF!,[1]Lookup!$B$2:$E$115,2,FALSE),"")</f>
        <v/>
      </c>
      <c r="AU2598" s="65" t="str">
        <f>IFERROR(VLOOKUP(#REF!,[1]Lookup!$B$2:$E$115,3,FALSE),"")</f>
        <v/>
      </c>
    </row>
    <row r="2599" spans="31:47" x14ac:dyDescent="0.3">
      <c r="AE2599" s="204" t="s">
        <v>398</v>
      </c>
      <c r="AF2599" s="204" t="s">
        <v>398</v>
      </c>
      <c r="AG2599" s="204" t="s">
        <v>398</v>
      </c>
      <c r="AS2599" s="65" t="str">
        <f>IFERROR(VLOOKUP(#REF!,[1]Lookup!$B$2:$E$115,4,FALSE),"")</f>
        <v/>
      </c>
      <c r="AT2599" s="65" t="str">
        <f>IFERROR(VLOOKUP(#REF!,[1]Lookup!$B$2:$E$115,2,FALSE),"")</f>
        <v/>
      </c>
      <c r="AU2599" s="65" t="str">
        <f>IFERROR(VLOOKUP(#REF!,[1]Lookup!$B$2:$E$115,3,FALSE),"")</f>
        <v/>
      </c>
    </row>
    <row r="2600" spans="31:47" x14ac:dyDescent="0.3">
      <c r="AE2600" s="204" t="s">
        <v>398</v>
      </c>
      <c r="AF2600" s="204" t="s">
        <v>398</v>
      </c>
      <c r="AG2600" s="204" t="s">
        <v>398</v>
      </c>
      <c r="AS2600" s="65" t="str">
        <f>IFERROR(VLOOKUP(#REF!,[1]Lookup!$B$2:$E$115,4,FALSE),"")</f>
        <v/>
      </c>
      <c r="AT2600" s="65" t="str">
        <f>IFERROR(VLOOKUP(#REF!,[1]Lookup!$B$2:$E$115,2,FALSE),"")</f>
        <v/>
      </c>
      <c r="AU2600" s="65" t="str">
        <f>IFERROR(VLOOKUP(#REF!,[1]Lookup!$B$2:$E$115,3,FALSE),"")</f>
        <v/>
      </c>
    </row>
    <row r="2601" spans="31:47" x14ac:dyDescent="0.3">
      <c r="AE2601" s="204" t="s">
        <v>398</v>
      </c>
      <c r="AF2601" s="204" t="s">
        <v>398</v>
      </c>
      <c r="AG2601" s="204" t="s">
        <v>398</v>
      </c>
      <c r="AS2601" s="65" t="str">
        <f>IFERROR(VLOOKUP(#REF!,[1]Lookup!$B$2:$E$115,4,FALSE),"")</f>
        <v/>
      </c>
      <c r="AT2601" s="65" t="str">
        <f>IFERROR(VLOOKUP(#REF!,[1]Lookup!$B$2:$E$115,2,FALSE),"")</f>
        <v/>
      </c>
      <c r="AU2601" s="65" t="str">
        <f>IFERROR(VLOOKUP(#REF!,[1]Lookup!$B$2:$E$115,3,FALSE),"")</f>
        <v/>
      </c>
    </row>
    <row r="2602" spans="31:47" x14ac:dyDescent="0.3">
      <c r="AE2602" s="204" t="s">
        <v>398</v>
      </c>
      <c r="AF2602" s="204" t="s">
        <v>398</v>
      </c>
      <c r="AG2602" s="204" t="s">
        <v>398</v>
      </c>
      <c r="AS2602" s="65" t="str">
        <f>IFERROR(VLOOKUP(#REF!,[1]Lookup!$B$2:$E$115,4,FALSE),"")</f>
        <v/>
      </c>
      <c r="AT2602" s="65" t="str">
        <f>IFERROR(VLOOKUP(#REF!,[1]Lookup!$B$2:$E$115,2,FALSE),"")</f>
        <v/>
      </c>
      <c r="AU2602" s="65" t="str">
        <f>IFERROR(VLOOKUP(#REF!,[1]Lookup!$B$2:$E$115,3,FALSE),"")</f>
        <v/>
      </c>
    </row>
    <row r="2603" spans="31:47" x14ac:dyDescent="0.3">
      <c r="AE2603" s="204" t="s">
        <v>398</v>
      </c>
      <c r="AF2603" s="204" t="s">
        <v>398</v>
      </c>
      <c r="AG2603" s="204" t="s">
        <v>398</v>
      </c>
      <c r="AS2603" s="65" t="str">
        <f>IFERROR(VLOOKUP(#REF!,[1]Lookup!$B$2:$E$115,4,FALSE),"")</f>
        <v/>
      </c>
      <c r="AT2603" s="65" t="str">
        <f>IFERROR(VLOOKUP(#REF!,[1]Lookup!$B$2:$E$115,2,FALSE),"")</f>
        <v/>
      </c>
      <c r="AU2603" s="65" t="str">
        <f>IFERROR(VLOOKUP(#REF!,[1]Lookup!$B$2:$E$115,3,FALSE),"")</f>
        <v/>
      </c>
    </row>
    <row r="2604" spans="31:47" x14ac:dyDescent="0.3">
      <c r="AE2604" s="204" t="s">
        <v>398</v>
      </c>
      <c r="AF2604" s="204" t="s">
        <v>398</v>
      </c>
      <c r="AG2604" s="204" t="s">
        <v>398</v>
      </c>
      <c r="AS2604" s="65" t="str">
        <f>IFERROR(VLOOKUP(#REF!,[1]Lookup!$B$2:$E$115,4,FALSE),"")</f>
        <v/>
      </c>
      <c r="AT2604" s="65" t="str">
        <f>IFERROR(VLOOKUP(#REF!,[1]Lookup!$B$2:$E$115,2,FALSE),"")</f>
        <v/>
      </c>
      <c r="AU2604" s="65" t="str">
        <f>IFERROR(VLOOKUP(#REF!,[1]Lookup!$B$2:$E$115,3,FALSE),"")</f>
        <v/>
      </c>
    </row>
    <row r="2605" spans="31:47" x14ac:dyDescent="0.3">
      <c r="AE2605" s="204" t="s">
        <v>398</v>
      </c>
      <c r="AF2605" s="204" t="s">
        <v>398</v>
      </c>
      <c r="AG2605" s="204" t="s">
        <v>398</v>
      </c>
      <c r="AS2605" s="65" t="str">
        <f>IFERROR(VLOOKUP(#REF!,[1]Lookup!$B$2:$E$115,4,FALSE),"")</f>
        <v/>
      </c>
      <c r="AT2605" s="65" t="str">
        <f>IFERROR(VLOOKUP(#REF!,[1]Lookup!$B$2:$E$115,2,FALSE),"")</f>
        <v/>
      </c>
      <c r="AU2605" s="65" t="str">
        <f>IFERROR(VLOOKUP(#REF!,[1]Lookup!$B$2:$E$115,3,FALSE),"")</f>
        <v/>
      </c>
    </row>
    <row r="2606" spans="31:47" x14ac:dyDescent="0.3">
      <c r="AE2606" s="204" t="s">
        <v>398</v>
      </c>
      <c r="AF2606" s="204" t="s">
        <v>398</v>
      </c>
      <c r="AG2606" s="204" t="s">
        <v>398</v>
      </c>
      <c r="AS2606" s="65" t="str">
        <f>IFERROR(VLOOKUP(#REF!,[1]Lookup!$B$2:$E$115,4,FALSE),"")</f>
        <v/>
      </c>
      <c r="AT2606" s="65" t="str">
        <f>IFERROR(VLOOKUP(#REF!,[1]Lookup!$B$2:$E$115,2,FALSE),"")</f>
        <v/>
      </c>
      <c r="AU2606" s="65" t="str">
        <f>IFERROR(VLOOKUP(#REF!,[1]Lookup!$B$2:$E$115,3,FALSE),"")</f>
        <v/>
      </c>
    </row>
    <row r="2607" spans="31:47" x14ac:dyDescent="0.3">
      <c r="AE2607" s="204" t="s">
        <v>398</v>
      </c>
      <c r="AF2607" s="204" t="s">
        <v>398</v>
      </c>
      <c r="AG2607" s="204" t="s">
        <v>398</v>
      </c>
      <c r="AS2607" s="65" t="str">
        <f>IFERROR(VLOOKUP(#REF!,[1]Lookup!$B$2:$E$115,4,FALSE),"")</f>
        <v/>
      </c>
      <c r="AT2607" s="65" t="str">
        <f>IFERROR(VLOOKUP(#REF!,[1]Lookup!$B$2:$E$115,2,FALSE),"")</f>
        <v/>
      </c>
      <c r="AU2607" s="65" t="str">
        <f>IFERROR(VLOOKUP(#REF!,[1]Lookup!$B$2:$E$115,3,FALSE),"")</f>
        <v/>
      </c>
    </row>
    <row r="2608" spans="31:47" x14ac:dyDescent="0.3">
      <c r="AE2608" s="204" t="s">
        <v>398</v>
      </c>
      <c r="AF2608" s="204" t="s">
        <v>398</v>
      </c>
      <c r="AG2608" s="204" t="s">
        <v>398</v>
      </c>
      <c r="AS2608" s="65" t="str">
        <f>IFERROR(VLOOKUP(#REF!,[1]Lookup!$B$2:$E$115,4,FALSE),"")</f>
        <v/>
      </c>
      <c r="AT2608" s="65" t="str">
        <f>IFERROR(VLOOKUP(#REF!,[1]Lookup!$B$2:$E$115,2,FALSE),"")</f>
        <v/>
      </c>
      <c r="AU2608" s="65" t="str">
        <f>IFERROR(VLOOKUP(#REF!,[1]Lookup!$B$2:$E$115,3,FALSE),"")</f>
        <v/>
      </c>
    </row>
    <row r="2609" spans="31:47" x14ac:dyDescent="0.3">
      <c r="AE2609" s="204" t="s">
        <v>398</v>
      </c>
      <c r="AF2609" s="204" t="s">
        <v>398</v>
      </c>
      <c r="AG2609" s="204" t="s">
        <v>398</v>
      </c>
      <c r="AS2609" s="65" t="str">
        <f>IFERROR(VLOOKUP(#REF!,[1]Lookup!$B$2:$E$115,4,FALSE),"")</f>
        <v/>
      </c>
      <c r="AT2609" s="65" t="str">
        <f>IFERROR(VLOOKUP(#REF!,[1]Lookup!$B$2:$E$115,2,FALSE),"")</f>
        <v/>
      </c>
      <c r="AU2609" s="65" t="str">
        <f>IFERROR(VLOOKUP(#REF!,[1]Lookup!$B$2:$E$115,3,FALSE),"")</f>
        <v/>
      </c>
    </row>
    <row r="2610" spans="31:47" x14ac:dyDescent="0.3">
      <c r="AE2610" s="204" t="s">
        <v>398</v>
      </c>
      <c r="AF2610" s="204" t="s">
        <v>398</v>
      </c>
      <c r="AG2610" s="204" t="s">
        <v>398</v>
      </c>
      <c r="AS2610" s="65" t="str">
        <f>IFERROR(VLOOKUP(#REF!,[1]Lookup!$B$2:$E$115,4,FALSE),"")</f>
        <v/>
      </c>
      <c r="AT2610" s="65" t="str">
        <f>IFERROR(VLOOKUP(#REF!,[1]Lookup!$B$2:$E$115,2,FALSE),"")</f>
        <v/>
      </c>
      <c r="AU2610" s="65" t="str">
        <f>IFERROR(VLOOKUP(#REF!,[1]Lookup!$B$2:$E$115,3,FALSE),"")</f>
        <v/>
      </c>
    </row>
    <row r="2611" spans="31:47" x14ac:dyDescent="0.3">
      <c r="AE2611" s="204" t="s">
        <v>398</v>
      </c>
      <c r="AF2611" s="204" t="s">
        <v>398</v>
      </c>
      <c r="AG2611" s="204" t="s">
        <v>398</v>
      </c>
      <c r="AS2611" s="65" t="str">
        <f>IFERROR(VLOOKUP(#REF!,[1]Lookup!$B$2:$E$115,4,FALSE),"")</f>
        <v/>
      </c>
      <c r="AT2611" s="65" t="str">
        <f>IFERROR(VLOOKUP(#REF!,[1]Lookup!$B$2:$E$115,2,FALSE),"")</f>
        <v/>
      </c>
      <c r="AU2611" s="65" t="str">
        <f>IFERROR(VLOOKUP(#REF!,[1]Lookup!$B$2:$E$115,3,FALSE),"")</f>
        <v/>
      </c>
    </row>
    <row r="2612" spans="31:47" x14ac:dyDescent="0.3">
      <c r="AE2612" s="204" t="s">
        <v>398</v>
      </c>
      <c r="AF2612" s="204" t="s">
        <v>398</v>
      </c>
      <c r="AG2612" s="204" t="s">
        <v>398</v>
      </c>
      <c r="AS2612" s="65" t="str">
        <f>IFERROR(VLOOKUP(#REF!,[1]Lookup!$B$2:$E$115,4,FALSE),"")</f>
        <v/>
      </c>
      <c r="AT2612" s="65" t="str">
        <f>IFERROR(VLOOKUP(#REF!,[1]Lookup!$B$2:$E$115,2,FALSE),"")</f>
        <v/>
      </c>
      <c r="AU2612" s="65" t="str">
        <f>IFERROR(VLOOKUP(#REF!,[1]Lookup!$B$2:$E$115,3,FALSE),"")</f>
        <v/>
      </c>
    </row>
    <row r="2613" spans="31:47" x14ac:dyDescent="0.3">
      <c r="AE2613" s="204" t="s">
        <v>398</v>
      </c>
      <c r="AF2613" s="204" t="s">
        <v>398</v>
      </c>
      <c r="AG2613" s="204" t="s">
        <v>398</v>
      </c>
      <c r="AS2613" s="65" t="str">
        <f>IFERROR(VLOOKUP(#REF!,[1]Lookup!$B$2:$E$115,4,FALSE),"")</f>
        <v/>
      </c>
      <c r="AT2613" s="65" t="str">
        <f>IFERROR(VLOOKUP(#REF!,[1]Lookup!$B$2:$E$115,2,FALSE),"")</f>
        <v/>
      </c>
      <c r="AU2613" s="65" t="str">
        <f>IFERROR(VLOOKUP(#REF!,[1]Lookup!$B$2:$E$115,3,FALSE),"")</f>
        <v/>
      </c>
    </row>
    <row r="2614" spans="31:47" x14ac:dyDescent="0.3">
      <c r="AE2614" s="204" t="s">
        <v>398</v>
      </c>
      <c r="AF2614" s="204" t="s">
        <v>398</v>
      </c>
      <c r="AG2614" s="204" t="s">
        <v>398</v>
      </c>
      <c r="AS2614" s="65" t="str">
        <f>IFERROR(VLOOKUP(#REF!,[1]Lookup!$B$2:$E$115,4,FALSE),"")</f>
        <v/>
      </c>
      <c r="AT2614" s="65" t="str">
        <f>IFERROR(VLOOKUP(#REF!,[1]Lookup!$B$2:$E$115,2,FALSE),"")</f>
        <v/>
      </c>
      <c r="AU2614" s="65" t="str">
        <f>IFERROR(VLOOKUP(#REF!,[1]Lookup!$B$2:$E$115,3,FALSE),"")</f>
        <v/>
      </c>
    </row>
    <row r="2615" spans="31:47" x14ac:dyDescent="0.3">
      <c r="AE2615" s="204" t="s">
        <v>398</v>
      </c>
      <c r="AF2615" s="204" t="s">
        <v>398</v>
      </c>
      <c r="AG2615" s="204" t="s">
        <v>398</v>
      </c>
      <c r="AS2615" s="65" t="str">
        <f>IFERROR(VLOOKUP(#REF!,[1]Lookup!$B$2:$E$115,4,FALSE),"")</f>
        <v/>
      </c>
      <c r="AT2615" s="65" t="str">
        <f>IFERROR(VLOOKUP(#REF!,[1]Lookup!$B$2:$E$115,2,FALSE),"")</f>
        <v/>
      </c>
      <c r="AU2615" s="65" t="str">
        <f>IFERROR(VLOOKUP(#REF!,[1]Lookup!$B$2:$E$115,3,FALSE),"")</f>
        <v/>
      </c>
    </row>
    <row r="2616" spans="31:47" x14ac:dyDescent="0.3">
      <c r="AE2616" s="204" t="s">
        <v>398</v>
      </c>
      <c r="AF2616" s="204" t="s">
        <v>398</v>
      </c>
      <c r="AG2616" s="204" t="s">
        <v>398</v>
      </c>
      <c r="AS2616" s="65" t="str">
        <f>IFERROR(VLOOKUP(#REF!,[1]Lookup!$B$2:$E$115,4,FALSE),"")</f>
        <v/>
      </c>
      <c r="AT2616" s="65" t="str">
        <f>IFERROR(VLOOKUP(#REF!,[1]Lookup!$B$2:$E$115,2,FALSE),"")</f>
        <v/>
      </c>
      <c r="AU2616" s="65" t="str">
        <f>IFERROR(VLOOKUP(#REF!,[1]Lookup!$B$2:$E$115,3,FALSE),"")</f>
        <v/>
      </c>
    </row>
    <row r="2617" spans="31:47" x14ac:dyDescent="0.3">
      <c r="AE2617" s="204" t="s">
        <v>398</v>
      </c>
      <c r="AF2617" s="204" t="s">
        <v>398</v>
      </c>
      <c r="AG2617" s="204" t="s">
        <v>398</v>
      </c>
      <c r="AS2617" s="65" t="str">
        <f>IFERROR(VLOOKUP(#REF!,[1]Lookup!$B$2:$E$115,4,FALSE),"")</f>
        <v/>
      </c>
      <c r="AT2617" s="65" t="str">
        <f>IFERROR(VLOOKUP(#REF!,[1]Lookup!$B$2:$E$115,2,FALSE),"")</f>
        <v/>
      </c>
      <c r="AU2617" s="65" t="str">
        <f>IFERROR(VLOOKUP(#REF!,[1]Lookup!$B$2:$E$115,3,FALSE),"")</f>
        <v/>
      </c>
    </row>
    <row r="2618" spans="31:47" x14ac:dyDescent="0.3">
      <c r="AE2618" s="204" t="s">
        <v>398</v>
      </c>
      <c r="AF2618" s="204" t="s">
        <v>398</v>
      </c>
      <c r="AG2618" s="204" t="s">
        <v>398</v>
      </c>
      <c r="AS2618" s="65" t="str">
        <f>IFERROR(VLOOKUP(#REF!,[1]Lookup!$B$2:$E$115,4,FALSE),"")</f>
        <v/>
      </c>
      <c r="AT2618" s="65" t="str">
        <f>IFERROR(VLOOKUP(#REF!,[1]Lookup!$B$2:$E$115,2,FALSE),"")</f>
        <v/>
      </c>
      <c r="AU2618" s="65" t="str">
        <f>IFERROR(VLOOKUP(#REF!,[1]Lookup!$B$2:$E$115,3,FALSE),"")</f>
        <v/>
      </c>
    </row>
    <row r="2619" spans="31:47" x14ac:dyDescent="0.3">
      <c r="AE2619" s="204" t="s">
        <v>398</v>
      </c>
      <c r="AF2619" s="204" t="s">
        <v>398</v>
      </c>
      <c r="AG2619" s="204" t="s">
        <v>398</v>
      </c>
      <c r="AS2619" s="65" t="str">
        <f>IFERROR(VLOOKUP(#REF!,[1]Lookup!$B$2:$E$115,4,FALSE),"")</f>
        <v/>
      </c>
      <c r="AT2619" s="65" t="str">
        <f>IFERROR(VLOOKUP(#REF!,[1]Lookup!$B$2:$E$115,2,FALSE),"")</f>
        <v/>
      </c>
      <c r="AU2619" s="65" t="str">
        <f>IFERROR(VLOOKUP(#REF!,[1]Lookup!$B$2:$E$115,3,FALSE),"")</f>
        <v/>
      </c>
    </row>
    <row r="2620" spans="31:47" x14ac:dyDescent="0.3">
      <c r="AE2620" s="204" t="s">
        <v>398</v>
      </c>
      <c r="AF2620" s="204" t="s">
        <v>398</v>
      </c>
      <c r="AG2620" s="204" t="s">
        <v>398</v>
      </c>
      <c r="AS2620" s="65" t="str">
        <f>IFERROR(VLOOKUP(#REF!,[1]Lookup!$B$2:$E$115,4,FALSE),"")</f>
        <v/>
      </c>
      <c r="AT2620" s="65" t="str">
        <f>IFERROR(VLOOKUP(#REF!,[1]Lookup!$B$2:$E$115,2,FALSE),"")</f>
        <v/>
      </c>
      <c r="AU2620" s="65" t="str">
        <f>IFERROR(VLOOKUP(#REF!,[1]Lookup!$B$2:$E$115,3,FALSE),"")</f>
        <v/>
      </c>
    </row>
    <row r="2621" spans="31:47" x14ac:dyDescent="0.3">
      <c r="AE2621" s="204" t="s">
        <v>398</v>
      </c>
      <c r="AF2621" s="204" t="s">
        <v>398</v>
      </c>
      <c r="AG2621" s="204" t="s">
        <v>398</v>
      </c>
      <c r="AS2621" s="65" t="str">
        <f>IFERROR(VLOOKUP(#REF!,[1]Lookup!$B$2:$E$115,4,FALSE),"")</f>
        <v/>
      </c>
      <c r="AT2621" s="65" t="str">
        <f>IFERROR(VLOOKUP(#REF!,[1]Lookup!$B$2:$E$115,2,FALSE),"")</f>
        <v/>
      </c>
      <c r="AU2621" s="65" t="str">
        <f>IFERROR(VLOOKUP(#REF!,[1]Lookup!$B$2:$E$115,3,FALSE),"")</f>
        <v/>
      </c>
    </row>
    <row r="2622" spans="31:47" x14ac:dyDescent="0.3">
      <c r="AE2622" s="204" t="s">
        <v>398</v>
      </c>
      <c r="AF2622" s="204" t="s">
        <v>398</v>
      </c>
      <c r="AG2622" s="204" t="s">
        <v>398</v>
      </c>
      <c r="AS2622" s="65" t="str">
        <f>IFERROR(VLOOKUP(#REF!,[1]Lookup!$B$2:$E$115,4,FALSE),"")</f>
        <v/>
      </c>
      <c r="AT2622" s="65" t="str">
        <f>IFERROR(VLOOKUP(#REF!,[1]Lookup!$B$2:$E$115,2,FALSE),"")</f>
        <v/>
      </c>
      <c r="AU2622" s="65" t="str">
        <f>IFERROR(VLOOKUP(#REF!,[1]Lookup!$B$2:$E$115,3,FALSE),"")</f>
        <v/>
      </c>
    </row>
    <row r="2623" spans="31:47" x14ac:dyDescent="0.3">
      <c r="AE2623" s="204" t="s">
        <v>398</v>
      </c>
      <c r="AF2623" s="204" t="s">
        <v>398</v>
      </c>
      <c r="AG2623" s="204" t="s">
        <v>398</v>
      </c>
      <c r="AS2623" s="65" t="str">
        <f>IFERROR(VLOOKUP(#REF!,[1]Lookup!$B$2:$E$115,4,FALSE),"")</f>
        <v/>
      </c>
      <c r="AT2623" s="65" t="str">
        <f>IFERROR(VLOOKUP(#REF!,[1]Lookup!$B$2:$E$115,2,FALSE),"")</f>
        <v/>
      </c>
      <c r="AU2623" s="65" t="str">
        <f>IFERROR(VLOOKUP(#REF!,[1]Lookup!$B$2:$E$115,3,FALSE),"")</f>
        <v/>
      </c>
    </row>
    <row r="2624" spans="31:47" x14ac:dyDescent="0.3">
      <c r="AE2624" s="204" t="s">
        <v>398</v>
      </c>
      <c r="AF2624" s="204" t="s">
        <v>398</v>
      </c>
      <c r="AG2624" s="204" t="s">
        <v>398</v>
      </c>
      <c r="AS2624" s="65" t="str">
        <f>IFERROR(VLOOKUP(#REF!,[1]Lookup!$B$2:$E$115,4,FALSE),"")</f>
        <v/>
      </c>
      <c r="AT2624" s="65" t="str">
        <f>IFERROR(VLOOKUP(#REF!,[1]Lookup!$B$2:$E$115,2,FALSE),"")</f>
        <v/>
      </c>
      <c r="AU2624" s="65" t="str">
        <f>IFERROR(VLOOKUP(#REF!,[1]Lookup!$B$2:$E$115,3,FALSE),"")</f>
        <v/>
      </c>
    </row>
    <row r="2625" spans="31:47" x14ac:dyDescent="0.3">
      <c r="AE2625" s="204" t="s">
        <v>398</v>
      </c>
      <c r="AF2625" s="204" t="s">
        <v>398</v>
      </c>
      <c r="AG2625" s="204" t="s">
        <v>398</v>
      </c>
      <c r="AS2625" s="65" t="str">
        <f>IFERROR(VLOOKUP(#REF!,[1]Lookup!$B$2:$E$115,4,FALSE),"")</f>
        <v/>
      </c>
      <c r="AT2625" s="65" t="str">
        <f>IFERROR(VLOOKUP(#REF!,[1]Lookup!$B$2:$E$115,2,FALSE),"")</f>
        <v/>
      </c>
      <c r="AU2625" s="65" t="str">
        <f>IFERROR(VLOOKUP(#REF!,[1]Lookup!$B$2:$E$115,3,FALSE),"")</f>
        <v/>
      </c>
    </row>
    <row r="2626" spans="31:47" x14ac:dyDescent="0.3">
      <c r="AE2626" s="204" t="s">
        <v>398</v>
      </c>
      <c r="AF2626" s="204" t="s">
        <v>398</v>
      </c>
      <c r="AG2626" s="204" t="s">
        <v>398</v>
      </c>
      <c r="AS2626" s="65" t="str">
        <f>IFERROR(VLOOKUP(#REF!,[1]Lookup!$B$2:$E$115,4,FALSE),"")</f>
        <v/>
      </c>
      <c r="AT2626" s="65" t="str">
        <f>IFERROR(VLOOKUP(#REF!,[1]Lookup!$B$2:$E$115,2,FALSE),"")</f>
        <v/>
      </c>
      <c r="AU2626" s="65" t="str">
        <f>IFERROR(VLOOKUP(#REF!,[1]Lookup!$B$2:$E$115,3,FALSE),"")</f>
        <v/>
      </c>
    </row>
    <row r="2627" spans="31:47" x14ac:dyDescent="0.3">
      <c r="AE2627" s="204" t="s">
        <v>398</v>
      </c>
      <c r="AF2627" s="204" t="s">
        <v>398</v>
      </c>
      <c r="AG2627" s="204" t="s">
        <v>398</v>
      </c>
      <c r="AS2627" s="65" t="str">
        <f>IFERROR(VLOOKUP(#REF!,[1]Lookup!$B$2:$E$115,4,FALSE),"")</f>
        <v/>
      </c>
      <c r="AT2627" s="65" t="str">
        <f>IFERROR(VLOOKUP(#REF!,[1]Lookup!$B$2:$E$115,2,FALSE),"")</f>
        <v/>
      </c>
      <c r="AU2627" s="65" t="str">
        <f>IFERROR(VLOOKUP(#REF!,[1]Lookup!$B$2:$E$115,3,FALSE),"")</f>
        <v/>
      </c>
    </row>
    <row r="2628" spans="31:47" x14ac:dyDescent="0.3">
      <c r="AE2628" s="204" t="s">
        <v>398</v>
      </c>
      <c r="AF2628" s="204" t="s">
        <v>398</v>
      </c>
      <c r="AG2628" s="204" t="s">
        <v>398</v>
      </c>
      <c r="AS2628" s="65" t="str">
        <f>IFERROR(VLOOKUP(#REF!,[1]Lookup!$B$2:$E$115,4,FALSE),"")</f>
        <v/>
      </c>
      <c r="AT2628" s="65" t="str">
        <f>IFERROR(VLOOKUP(#REF!,[1]Lookup!$B$2:$E$115,2,FALSE),"")</f>
        <v/>
      </c>
      <c r="AU2628" s="65" t="str">
        <f>IFERROR(VLOOKUP(#REF!,[1]Lookup!$B$2:$E$115,3,FALSE),"")</f>
        <v/>
      </c>
    </row>
    <row r="2629" spans="31:47" x14ac:dyDescent="0.3">
      <c r="AE2629" s="204" t="s">
        <v>398</v>
      </c>
      <c r="AF2629" s="204" t="s">
        <v>398</v>
      </c>
      <c r="AG2629" s="204" t="s">
        <v>398</v>
      </c>
      <c r="AS2629" s="65" t="str">
        <f>IFERROR(VLOOKUP(#REF!,[1]Lookup!$B$2:$E$115,4,FALSE),"")</f>
        <v/>
      </c>
      <c r="AT2629" s="65" t="str">
        <f>IFERROR(VLOOKUP(#REF!,[1]Lookup!$B$2:$E$115,2,FALSE),"")</f>
        <v/>
      </c>
      <c r="AU2629" s="65" t="str">
        <f>IFERROR(VLOOKUP(#REF!,[1]Lookup!$B$2:$E$115,3,FALSE),"")</f>
        <v/>
      </c>
    </row>
    <row r="2630" spans="31:47" x14ac:dyDescent="0.3">
      <c r="AE2630" s="204" t="s">
        <v>398</v>
      </c>
      <c r="AF2630" s="204" t="s">
        <v>398</v>
      </c>
      <c r="AG2630" s="204" t="s">
        <v>398</v>
      </c>
      <c r="AS2630" s="65" t="str">
        <f>IFERROR(VLOOKUP(#REF!,[1]Lookup!$B$2:$E$115,4,FALSE),"")</f>
        <v/>
      </c>
      <c r="AT2630" s="65" t="str">
        <f>IFERROR(VLOOKUP(#REF!,[1]Lookup!$B$2:$E$115,2,FALSE),"")</f>
        <v/>
      </c>
      <c r="AU2630" s="65" t="str">
        <f>IFERROR(VLOOKUP(#REF!,[1]Lookup!$B$2:$E$115,3,FALSE),"")</f>
        <v/>
      </c>
    </row>
    <row r="2631" spans="31:47" x14ac:dyDescent="0.3">
      <c r="AE2631" s="204" t="s">
        <v>398</v>
      </c>
      <c r="AF2631" s="204" t="s">
        <v>398</v>
      </c>
      <c r="AG2631" s="204" t="s">
        <v>398</v>
      </c>
      <c r="AS2631" s="65" t="str">
        <f>IFERROR(VLOOKUP(#REF!,[1]Lookup!$B$2:$E$115,4,FALSE),"")</f>
        <v/>
      </c>
      <c r="AT2631" s="65" t="str">
        <f>IFERROR(VLOOKUP(#REF!,[1]Lookup!$B$2:$E$115,2,FALSE),"")</f>
        <v/>
      </c>
      <c r="AU2631" s="65" t="str">
        <f>IFERROR(VLOOKUP(#REF!,[1]Lookup!$B$2:$E$115,3,FALSE),"")</f>
        <v/>
      </c>
    </row>
    <row r="2632" spans="31:47" x14ac:dyDescent="0.3">
      <c r="AE2632" s="204" t="s">
        <v>398</v>
      </c>
      <c r="AF2632" s="204" t="s">
        <v>398</v>
      </c>
      <c r="AG2632" s="204" t="s">
        <v>398</v>
      </c>
      <c r="AS2632" s="65" t="str">
        <f>IFERROR(VLOOKUP(#REF!,[1]Lookup!$B$2:$E$115,4,FALSE),"")</f>
        <v/>
      </c>
      <c r="AT2632" s="65" t="str">
        <f>IFERROR(VLOOKUP(#REF!,[1]Lookup!$B$2:$E$115,2,FALSE),"")</f>
        <v/>
      </c>
      <c r="AU2632" s="65" t="str">
        <f>IFERROR(VLOOKUP(#REF!,[1]Lookup!$B$2:$E$115,3,FALSE),"")</f>
        <v/>
      </c>
    </row>
    <row r="2633" spans="31:47" x14ac:dyDescent="0.3">
      <c r="AE2633" s="204" t="s">
        <v>398</v>
      </c>
      <c r="AF2633" s="204" t="s">
        <v>398</v>
      </c>
      <c r="AG2633" s="204" t="s">
        <v>398</v>
      </c>
      <c r="AS2633" s="65" t="str">
        <f>IFERROR(VLOOKUP(#REF!,[1]Lookup!$B$2:$E$115,4,FALSE),"")</f>
        <v/>
      </c>
      <c r="AT2633" s="65" t="str">
        <f>IFERROR(VLOOKUP(#REF!,[1]Lookup!$B$2:$E$115,2,FALSE),"")</f>
        <v/>
      </c>
      <c r="AU2633" s="65" t="str">
        <f>IFERROR(VLOOKUP(#REF!,[1]Lookup!$B$2:$E$115,3,FALSE),"")</f>
        <v/>
      </c>
    </row>
    <row r="2634" spans="31:47" x14ac:dyDescent="0.3">
      <c r="AE2634" s="204" t="s">
        <v>398</v>
      </c>
      <c r="AF2634" s="204" t="s">
        <v>398</v>
      </c>
      <c r="AG2634" s="204" t="s">
        <v>398</v>
      </c>
      <c r="AS2634" s="65" t="str">
        <f>IFERROR(VLOOKUP(#REF!,[1]Lookup!$B$2:$E$115,4,FALSE),"")</f>
        <v/>
      </c>
      <c r="AT2634" s="65" t="str">
        <f>IFERROR(VLOOKUP(#REF!,[1]Lookup!$B$2:$E$115,2,FALSE),"")</f>
        <v/>
      </c>
      <c r="AU2634" s="65" t="str">
        <f>IFERROR(VLOOKUP(#REF!,[1]Lookup!$B$2:$E$115,3,FALSE),"")</f>
        <v/>
      </c>
    </row>
    <row r="2635" spans="31:47" x14ac:dyDescent="0.3">
      <c r="AE2635" s="204" t="s">
        <v>398</v>
      </c>
      <c r="AF2635" s="204" t="s">
        <v>398</v>
      </c>
      <c r="AG2635" s="204" t="s">
        <v>398</v>
      </c>
      <c r="AS2635" s="65" t="str">
        <f>IFERROR(VLOOKUP(#REF!,[1]Lookup!$B$2:$E$115,4,FALSE),"")</f>
        <v/>
      </c>
      <c r="AT2635" s="65" t="str">
        <f>IFERROR(VLOOKUP(#REF!,[1]Lookup!$B$2:$E$115,2,FALSE),"")</f>
        <v/>
      </c>
      <c r="AU2635" s="65" t="str">
        <f>IFERROR(VLOOKUP(#REF!,[1]Lookup!$B$2:$E$115,3,FALSE),"")</f>
        <v/>
      </c>
    </row>
    <row r="2636" spans="31:47" x14ac:dyDescent="0.3">
      <c r="AE2636" s="204" t="s">
        <v>398</v>
      </c>
      <c r="AF2636" s="204" t="s">
        <v>398</v>
      </c>
      <c r="AG2636" s="204" t="s">
        <v>398</v>
      </c>
      <c r="AS2636" s="65" t="str">
        <f>IFERROR(VLOOKUP(#REF!,[1]Lookup!$B$2:$E$115,4,FALSE),"")</f>
        <v/>
      </c>
      <c r="AT2636" s="65" t="str">
        <f>IFERROR(VLOOKUP(#REF!,[1]Lookup!$B$2:$E$115,2,FALSE),"")</f>
        <v/>
      </c>
      <c r="AU2636" s="65" t="str">
        <f>IFERROR(VLOOKUP(#REF!,[1]Lookup!$B$2:$E$115,3,FALSE),"")</f>
        <v/>
      </c>
    </row>
    <row r="2637" spans="31:47" x14ac:dyDescent="0.3">
      <c r="AE2637" s="204" t="s">
        <v>398</v>
      </c>
      <c r="AF2637" s="204" t="s">
        <v>398</v>
      </c>
      <c r="AG2637" s="204" t="s">
        <v>398</v>
      </c>
      <c r="AS2637" s="65" t="str">
        <f>IFERROR(VLOOKUP(#REF!,[1]Lookup!$B$2:$E$115,4,FALSE),"")</f>
        <v/>
      </c>
      <c r="AT2637" s="65" t="str">
        <f>IFERROR(VLOOKUP(#REF!,[1]Lookup!$B$2:$E$115,2,FALSE),"")</f>
        <v/>
      </c>
      <c r="AU2637" s="65" t="str">
        <f>IFERROR(VLOOKUP(#REF!,[1]Lookup!$B$2:$E$115,3,FALSE),"")</f>
        <v/>
      </c>
    </row>
    <row r="2638" spans="31:47" x14ac:dyDescent="0.3">
      <c r="AE2638" s="204" t="s">
        <v>398</v>
      </c>
      <c r="AF2638" s="204" t="s">
        <v>398</v>
      </c>
      <c r="AG2638" s="204" t="s">
        <v>398</v>
      </c>
      <c r="AS2638" s="65" t="str">
        <f>IFERROR(VLOOKUP(#REF!,[1]Lookup!$B$2:$E$115,4,FALSE),"")</f>
        <v/>
      </c>
      <c r="AT2638" s="65" t="str">
        <f>IFERROR(VLOOKUP(#REF!,[1]Lookup!$B$2:$E$115,2,FALSE),"")</f>
        <v/>
      </c>
      <c r="AU2638" s="65" t="str">
        <f>IFERROR(VLOOKUP(#REF!,[1]Lookup!$B$2:$E$115,3,FALSE),"")</f>
        <v/>
      </c>
    </row>
    <row r="2639" spans="31:47" x14ac:dyDescent="0.3">
      <c r="AE2639" s="204" t="s">
        <v>398</v>
      </c>
      <c r="AF2639" s="204" t="s">
        <v>398</v>
      </c>
      <c r="AG2639" s="204" t="s">
        <v>398</v>
      </c>
      <c r="AS2639" s="65" t="str">
        <f>IFERROR(VLOOKUP(#REF!,[1]Lookup!$B$2:$E$115,4,FALSE),"")</f>
        <v/>
      </c>
      <c r="AT2639" s="65" t="str">
        <f>IFERROR(VLOOKUP(#REF!,[1]Lookup!$B$2:$E$115,2,FALSE),"")</f>
        <v/>
      </c>
      <c r="AU2639" s="65" t="str">
        <f>IFERROR(VLOOKUP(#REF!,[1]Lookup!$B$2:$E$115,3,FALSE),"")</f>
        <v/>
      </c>
    </row>
    <row r="2640" spans="31:47" x14ac:dyDescent="0.3">
      <c r="AE2640" s="204" t="s">
        <v>398</v>
      </c>
      <c r="AF2640" s="204" t="s">
        <v>398</v>
      </c>
      <c r="AG2640" s="204" t="s">
        <v>398</v>
      </c>
      <c r="AS2640" s="65" t="str">
        <f>IFERROR(VLOOKUP(#REF!,[1]Lookup!$B$2:$E$115,4,FALSE),"")</f>
        <v/>
      </c>
      <c r="AT2640" s="65" t="str">
        <f>IFERROR(VLOOKUP(#REF!,[1]Lookup!$B$2:$E$115,2,FALSE),"")</f>
        <v/>
      </c>
      <c r="AU2640" s="65" t="str">
        <f>IFERROR(VLOOKUP(#REF!,[1]Lookup!$B$2:$E$115,3,FALSE),"")</f>
        <v/>
      </c>
    </row>
    <row r="2641" spans="31:47" x14ac:dyDescent="0.3">
      <c r="AE2641" s="204" t="s">
        <v>398</v>
      </c>
      <c r="AF2641" s="204" t="s">
        <v>398</v>
      </c>
      <c r="AG2641" s="204" t="s">
        <v>398</v>
      </c>
      <c r="AS2641" s="65" t="str">
        <f>IFERROR(VLOOKUP(#REF!,[1]Lookup!$B$2:$E$115,4,FALSE),"")</f>
        <v/>
      </c>
      <c r="AT2641" s="65" t="str">
        <f>IFERROR(VLOOKUP(#REF!,[1]Lookup!$B$2:$E$115,2,FALSE),"")</f>
        <v/>
      </c>
      <c r="AU2641" s="65" t="str">
        <f>IFERROR(VLOOKUP(#REF!,[1]Lookup!$B$2:$E$115,3,FALSE),"")</f>
        <v/>
      </c>
    </row>
    <row r="2642" spans="31:47" x14ac:dyDescent="0.3">
      <c r="AE2642" s="204" t="s">
        <v>398</v>
      </c>
      <c r="AF2642" s="204" t="s">
        <v>398</v>
      </c>
      <c r="AG2642" s="204" t="s">
        <v>398</v>
      </c>
      <c r="AS2642" s="65" t="str">
        <f>IFERROR(VLOOKUP(#REF!,[1]Lookup!$B$2:$E$115,4,FALSE),"")</f>
        <v/>
      </c>
      <c r="AT2642" s="65" t="str">
        <f>IFERROR(VLOOKUP(#REF!,[1]Lookup!$B$2:$E$115,2,FALSE),"")</f>
        <v/>
      </c>
      <c r="AU2642" s="65" t="str">
        <f>IFERROR(VLOOKUP(#REF!,[1]Lookup!$B$2:$E$115,3,FALSE),"")</f>
        <v/>
      </c>
    </row>
    <row r="2643" spans="31:47" x14ac:dyDescent="0.3">
      <c r="AE2643" s="204" t="s">
        <v>398</v>
      </c>
      <c r="AF2643" s="204" t="s">
        <v>398</v>
      </c>
      <c r="AG2643" s="204" t="s">
        <v>398</v>
      </c>
      <c r="AS2643" s="65" t="str">
        <f>IFERROR(VLOOKUP(#REF!,[1]Lookup!$B$2:$E$115,4,FALSE),"")</f>
        <v/>
      </c>
      <c r="AT2643" s="65" t="str">
        <f>IFERROR(VLOOKUP(#REF!,[1]Lookup!$B$2:$E$115,2,FALSE),"")</f>
        <v/>
      </c>
      <c r="AU2643" s="65" t="str">
        <f>IFERROR(VLOOKUP(#REF!,[1]Lookup!$B$2:$E$115,3,FALSE),"")</f>
        <v/>
      </c>
    </row>
    <row r="2644" spans="31:47" x14ac:dyDescent="0.3">
      <c r="AE2644" s="204" t="s">
        <v>398</v>
      </c>
      <c r="AF2644" s="204" t="s">
        <v>398</v>
      </c>
      <c r="AG2644" s="204" t="s">
        <v>398</v>
      </c>
      <c r="AS2644" s="65" t="str">
        <f>IFERROR(VLOOKUP(#REF!,[1]Lookup!$B$2:$E$115,4,FALSE),"")</f>
        <v/>
      </c>
      <c r="AT2644" s="65" t="str">
        <f>IFERROR(VLOOKUP(#REF!,[1]Lookup!$B$2:$E$115,2,FALSE),"")</f>
        <v/>
      </c>
      <c r="AU2644" s="65" t="str">
        <f>IFERROR(VLOOKUP(#REF!,[1]Lookup!$B$2:$E$115,3,FALSE),"")</f>
        <v/>
      </c>
    </row>
    <row r="2645" spans="31:47" x14ac:dyDescent="0.3">
      <c r="AE2645" s="204" t="s">
        <v>398</v>
      </c>
      <c r="AF2645" s="204" t="s">
        <v>398</v>
      </c>
      <c r="AG2645" s="204" t="s">
        <v>398</v>
      </c>
      <c r="AS2645" s="65" t="str">
        <f>IFERROR(VLOOKUP(#REF!,[1]Lookup!$B$2:$E$115,4,FALSE),"")</f>
        <v/>
      </c>
      <c r="AT2645" s="65" t="str">
        <f>IFERROR(VLOOKUP(#REF!,[1]Lookup!$B$2:$E$115,2,FALSE),"")</f>
        <v/>
      </c>
      <c r="AU2645" s="65" t="str">
        <f>IFERROR(VLOOKUP(#REF!,[1]Lookup!$B$2:$E$115,3,FALSE),"")</f>
        <v/>
      </c>
    </row>
    <row r="2646" spans="31:47" x14ac:dyDescent="0.3">
      <c r="AE2646" s="204" t="s">
        <v>398</v>
      </c>
      <c r="AF2646" s="204" t="s">
        <v>398</v>
      </c>
      <c r="AG2646" s="204" t="s">
        <v>398</v>
      </c>
      <c r="AS2646" s="65" t="str">
        <f>IFERROR(VLOOKUP(#REF!,[1]Lookup!$B$2:$E$115,4,FALSE),"")</f>
        <v/>
      </c>
      <c r="AT2646" s="65" t="str">
        <f>IFERROR(VLOOKUP(#REF!,[1]Lookup!$B$2:$E$115,2,FALSE),"")</f>
        <v/>
      </c>
      <c r="AU2646" s="65" t="str">
        <f>IFERROR(VLOOKUP(#REF!,[1]Lookup!$B$2:$E$115,3,FALSE),"")</f>
        <v/>
      </c>
    </row>
    <row r="2647" spans="31:47" x14ac:dyDescent="0.3">
      <c r="AE2647" s="204" t="s">
        <v>398</v>
      </c>
      <c r="AF2647" s="204" t="s">
        <v>398</v>
      </c>
      <c r="AG2647" s="204" t="s">
        <v>398</v>
      </c>
      <c r="AS2647" s="65" t="str">
        <f>IFERROR(VLOOKUP(#REF!,[1]Lookup!$B$2:$E$115,4,FALSE),"")</f>
        <v/>
      </c>
      <c r="AT2647" s="65" t="str">
        <f>IFERROR(VLOOKUP(#REF!,[1]Lookup!$B$2:$E$115,2,FALSE),"")</f>
        <v/>
      </c>
      <c r="AU2647" s="65" t="str">
        <f>IFERROR(VLOOKUP(#REF!,[1]Lookup!$B$2:$E$115,3,FALSE),"")</f>
        <v/>
      </c>
    </row>
    <row r="2648" spans="31:47" x14ac:dyDescent="0.3">
      <c r="AE2648" s="204" t="s">
        <v>398</v>
      </c>
      <c r="AF2648" s="204" t="s">
        <v>398</v>
      </c>
      <c r="AG2648" s="204" t="s">
        <v>398</v>
      </c>
      <c r="AS2648" s="65" t="str">
        <f>IFERROR(VLOOKUP(#REF!,[1]Lookup!$B$2:$E$115,4,FALSE),"")</f>
        <v/>
      </c>
      <c r="AT2648" s="65" t="str">
        <f>IFERROR(VLOOKUP(#REF!,[1]Lookup!$B$2:$E$115,2,FALSE),"")</f>
        <v/>
      </c>
      <c r="AU2648" s="65" t="str">
        <f>IFERROR(VLOOKUP(#REF!,[1]Lookup!$B$2:$E$115,3,FALSE),"")</f>
        <v/>
      </c>
    </row>
    <row r="2649" spans="31:47" x14ac:dyDescent="0.3">
      <c r="AE2649" s="204" t="s">
        <v>398</v>
      </c>
      <c r="AF2649" s="204" t="s">
        <v>398</v>
      </c>
      <c r="AG2649" s="204" t="s">
        <v>398</v>
      </c>
      <c r="AS2649" s="65" t="str">
        <f>IFERROR(VLOOKUP(#REF!,[1]Lookup!$B$2:$E$115,4,FALSE),"")</f>
        <v/>
      </c>
      <c r="AT2649" s="65" t="str">
        <f>IFERROR(VLOOKUP(#REF!,[1]Lookup!$B$2:$E$115,2,FALSE),"")</f>
        <v/>
      </c>
      <c r="AU2649" s="65" t="str">
        <f>IFERROR(VLOOKUP(#REF!,[1]Lookup!$B$2:$E$115,3,FALSE),"")</f>
        <v/>
      </c>
    </row>
    <row r="2650" spans="31:47" x14ac:dyDescent="0.3">
      <c r="AE2650" s="204" t="s">
        <v>398</v>
      </c>
      <c r="AF2650" s="204" t="s">
        <v>398</v>
      </c>
      <c r="AG2650" s="204" t="s">
        <v>398</v>
      </c>
      <c r="AS2650" s="65" t="str">
        <f>IFERROR(VLOOKUP(#REF!,[1]Lookup!$B$2:$E$115,4,FALSE),"")</f>
        <v/>
      </c>
      <c r="AT2650" s="65" t="str">
        <f>IFERROR(VLOOKUP(#REF!,[1]Lookup!$B$2:$E$115,2,FALSE),"")</f>
        <v/>
      </c>
      <c r="AU2650" s="65" t="str">
        <f>IFERROR(VLOOKUP(#REF!,[1]Lookup!$B$2:$E$115,3,FALSE),"")</f>
        <v/>
      </c>
    </row>
    <row r="2651" spans="31:47" x14ac:dyDescent="0.3">
      <c r="AE2651" s="204" t="s">
        <v>398</v>
      </c>
      <c r="AF2651" s="204" t="s">
        <v>398</v>
      </c>
      <c r="AG2651" s="204" t="s">
        <v>398</v>
      </c>
      <c r="AS2651" s="65" t="str">
        <f>IFERROR(VLOOKUP(#REF!,[1]Lookup!$B$2:$E$115,4,FALSE),"")</f>
        <v/>
      </c>
      <c r="AT2651" s="65" t="str">
        <f>IFERROR(VLOOKUP(#REF!,[1]Lookup!$B$2:$E$115,2,FALSE),"")</f>
        <v/>
      </c>
      <c r="AU2651" s="65" t="str">
        <f>IFERROR(VLOOKUP(#REF!,[1]Lookup!$B$2:$E$115,3,FALSE),"")</f>
        <v/>
      </c>
    </row>
    <row r="2652" spans="31:47" x14ac:dyDescent="0.3">
      <c r="AE2652" s="204" t="s">
        <v>398</v>
      </c>
      <c r="AF2652" s="204" t="s">
        <v>398</v>
      </c>
      <c r="AG2652" s="204" t="s">
        <v>398</v>
      </c>
      <c r="AS2652" s="65" t="str">
        <f>IFERROR(VLOOKUP(#REF!,[1]Lookup!$B$2:$E$115,4,FALSE),"")</f>
        <v/>
      </c>
      <c r="AT2652" s="65" t="str">
        <f>IFERROR(VLOOKUP(#REF!,[1]Lookup!$B$2:$E$115,2,FALSE),"")</f>
        <v/>
      </c>
      <c r="AU2652" s="65" t="str">
        <f>IFERROR(VLOOKUP(#REF!,[1]Lookup!$B$2:$E$115,3,FALSE),"")</f>
        <v/>
      </c>
    </row>
    <row r="2653" spans="31:47" x14ac:dyDescent="0.3">
      <c r="AE2653" s="204" t="s">
        <v>398</v>
      </c>
      <c r="AF2653" s="204" t="s">
        <v>398</v>
      </c>
      <c r="AG2653" s="204" t="s">
        <v>398</v>
      </c>
      <c r="AS2653" s="65" t="str">
        <f>IFERROR(VLOOKUP(#REF!,[1]Lookup!$B$2:$E$115,4,FALSE),"")</f>
        <v/>
      </c>
      <c r="AT2653" s="65" t="str">
        <f>IFERROR(VLOOKUP(#REF!,[1]Lookup!$B$2:$E$115,2,FALSE),"")</f>
        <v/>
      </c>
      <c r="AU2653" s="65" t="str">
        <f>IFERROR(VLOOKUP(#REF!,[1]Lookup!$B$2:$E$115,3,FALSE),"")</f>
        <v/>
      </c>
    </row>
    <row r="2654" spans="31:47" x14ac:dyDescent="0.3">
      <c r="AE2654" s="204" t="s">
        <v>398</v>
      </c>
      <c r="AF2654" s="204" t="s">
        <v>398</v>
      </c>
      <c r="AG2654" s="204" t="s">
        <v>398</v>
      </c>
      <c r="AS2654" s="65" t="str">
        <f>IFERROR(VLOOKUP(#REF!,[1]Lookup!$B$2:$E$115,4,FALSE),"")</f>
        <v/>
      </c>
      <c r="AT2654" s="65" t="str">
        <f>IFERROR(VLOOKUP(#REF!,[1]Lookup!$B$2:$E$115,2,FALSE),"")</f>
        <v/>
      </c>
      <c r="AU2654" s="65" t="str">
        <f>IFERROR(VLOOKUP(#REF!,[1]Lookup!$B$2:$E$115,3,FALSE),"")</f>
        <v/>
      </c>
    </row>
    <row r="2655" spans="31:47" x14ac:dyDescent="0.3">
      <c r="AE2655" s="204" t="s">
        <v>398</v>
      </c>
      <c r="AF2655" s="204" t="s">
        <v>398</v>
      </c>
      <c r="AG2655" s="204" t="s">
        <v>398</v>
      </c>
      <c r="AS2655" s="65" t="str">
        <f>IFERROR(VLOOKUP(#REF!,[1]Lookup!$B$2:$E$115,4,FALSE),"")</f>
        <v/>
      </c>
      <c r="AT2655" s="65" t="str">
        <f>IFERROR(VLOOKUP(#REF!,[1]Lookup!$B$2:$E$115,2,FALSE),"")</f>
        <v/>
      </c>
      <c r="AU2655" s="65" t="str">
        <f>IFERROR(VLOOKUP(#REF!,[1]Lookup!$B$2:$E$115,3,FALSE),"")</f>
        <v/>
      </c>
    </row>
    <row r="2656" spans="31:47" x14ac:dyDescent="0.3">
      <c r="AE2656" s="204" t="s">
        <v>398</v>
      </c>
      <c r="AF2656" s="204" t="s">
        <v>398</v>
      </c>
      <c r="AG2656" s="204" t="s">
        <v>398</v>
      </c>
      <c r="AS2656" s="65" t="str">
        <f>IFERROR(VLOOKUP(#REF!,[1]Lookup!$B$2:$E$115,4,FALSE),"")</f>
        <v/>
      </c>
      <c r="AT2656" s="65" t="str">
        <f>IFERROR(VLOOKUP(#REF!,[1]Lookup!$B$2:$E$115,2,FALSE),"")</f>
        <v/>
      </c>
      <c r="AU2656" s="65" t="str">
        <f>IFERROR(VLOOKUP(#REF!,[1]Lookup!$B$2:$E$115,3,FALSE),"")</f>
        <v/>
      </c>
    </row>
    <row r="2657" spans="31:47" x14ac:dyDescent="0.3">
      <c r="AE2657" s="204" t="s">
        <v>398</v>
      </c>
      <c r="AF2657" s="204" t="s">
        <v>398</v>
      </c>
      <c r="AG2657" s="204" t="s">
        <v>398</v>
      </c>
      <c r="AS2657" s="65" t="str">
        <f>IFERROR(VLOOKUP(#REF!,[1]Lookup!$B$2:$E$115,4,FALSE),"")</f>
        <v/>
      </c>
      <c r="AT2657" s="65" t="str">
        <f>IFERROR(VLOOKUP(#REF!,[1]Lookup!$B$2:$E$115,2,FALSE),"")</f>
        <v/>
      </c>
      <c r="AU2657" s="65" t="str">
        <f>IFERROR(VLOOKUP(#REF!,[1]Lookup!$B$2:$E$115,3,FALSE),"")</f>
        <v/>
      </c>
    </row>
    <row r="2658" spans="31:47" x14ac:dyDescent="0.3">
      <c r="AE2658" s="204" t="s">
        <v>398</v>
      </c>
      <c r="AF2658" s="204" t="s">
        <v>398</v>
      </c>
      <c r="AG2658" s="204" t="s">
        <v>398</v>
      </c>
      <c r="AS2658" s="65" t="str">
        <f>IFERROR(VLOOKUP(#REF!,[1]Lookup!$B$2:$E$115,4,FALSE),"")</f>
        <v/>
      </c>
      <c r="AT2658" s="65" t="str">
        <f>IFERROR(VLOOKUP(#REF!,[1]Lookup!$B$2:$E$115,2,FALSE),"")</f>
        <v/>
      </c>
      <c r="AU2658" s="65" t="str">
        <f>IFERROR(VLOOKUP(#REF!,[1]Lookup!$B$2:$E$115,3,FALSE),"")</f>
        <v/>
      </c>
    </row>
    <row r="2659" spans="31:47" x14ac:dyDescent="0.3">
      <c r="AE2659" s="204" t="s">
        <v>398</v>
      </c>
      <c r="AF2659" s="204" t="s">
        <v>398</v>
      </c>
      <c r="AG2659" s="204" t="s">
        <v>398</v>
      </c>
      <c r="AS2659" s="65" t="str">
        <f>IFERROR(VLOOKUP(#REF!,[1]Lookup!$B$2:$E$115,4,FALSE),"")</f>
        <v/>
      </c>
      <c r="AT2659" s="65" t="str">
        <f>IFERROR(VLOOKUP(#REF!,[1]Lookup!$B$2:$E$115,2,FALSE),"")</f>
        <v/>
      </c>
      <c r="AU2659" s="65" t="str">
        <f>IFERROR(VLOOKUP(#REF!,[1]Lookup!$B$2:$E$115,3,FALSE),"")</f>
        <v/>
      </c>
    </row>
    <row r="2660" spans="31:47" x14ac:dyDescent="0.3">
      <c r="AE2660" s="204" t="s">
        <v>398</v>
      </c>
      <c r="AF2660" s="204" t="s">
        <v>398</v>
      </c>
      <c r="AG2660" s="204" t="s">
        <v>398</v>
      </c>
      <c r="AS2660" s="65" t="str">
        <f>IFERROR(VLOOKUP(#REF!,[1]Lookup!$B$2:$E$115,4,FALSE),"")</f>
        <v/>
      </c>
      <c r="AT2660" s="65" t="str">
        <f>IFERROR(VLOOKUP(#REF!,[1]Lookup!$B$2:$E$115,2,FALSE),"")</f>
        <v/>
      </c>
      <c r="AU2660" s="65" t="str">
        <f>IFERROR(VLOOKUP(#REF!,[1]Lookup!$B$2:$E$115,3,FALSE),"")</f>
        <v/>
      </c>
    </row>
    <row r="2661" spans="31:47" x14ac:dyDescent="0.3">
      <c r="AE2661" s="204" t="s">
        <v>398</v>
      </c>
      <c r="AF2661" s="204" t="s">
        <v>398</v>
      </c>
      <c r="AG2661" s="204" t="s">
        <v>398</v>
      </c>
      <c r="AS2661" s="65" t="str">
        <f>IFERROR(VLOOKUP(#REF!,[1]Lookup!$B$2:$E$115,4,FALSE),"")</f>
        <v/>
      </c>
      <c r="AT2661" s="65" t="str">
        <f>IFERROR(VLOOKUP(#REF!,[1]Lookup!$B$2:$E$115,2,FALSE),"")</f>
        <v/>
      </c>
      <c r="AU2661" s="65" t="str">
        <f>IFERROR(VLOOKUP(#REF!,[1]Lookup!$B$2:$E$115,3,FALSE),"")</f>
        <v/>
      </c>
    </row>
    <row r="2662" spans="31:47" x14ac:dyDescent="0.3">
      <c r="AE2662" s="204" t="s">
        <v>398</v>
      </c>
      <c r="AF2662" s="204" t="s">
        <v>398</v>
      </c>
      <c r="AG2662" s="204" t="s">
        <v>398</v>
      </c>
      <c r="AS2662" s="65" t="str">
        <f>IFERROR(VLOOKUP(#REF!,[1]Lookup!$B$2:$E$115,4,FALSE),"")</f>
        <v/>
      </c>
      <c r="AT2662" s="65" t="str">
        <f>IFERROR(VLOOKUP(#REF!,[1]Lookup!$B$2:$E$115,2,FALSE),"")</f>
        <v/>
      </c>
      <c r="AU2662" s="65" t="str">
        <f>IFERROR(VLOOKUP(#REF!,[1]Lookup!$B$2:$E$115,3,FALSE),"")</f>
        <v/>
      </c>
    </row>
    <row r="2663" spans="31:47" x14ac:dyDescent="0.3">
      <c r="AE2663" s="204" t="s">
        <v>398</v>
      </c>
      <c r="AF2663" s="204" t="s">
        <v>398</v>
      </c>
      <c r="AG2663" s="204" t="s">
        <v>398</v>
      </c>
      <c r="AS2663" s="65" t="str">
        <f>IFERROR(VLOOKUP(#REF!,[1]Lookup!$B$2:$E$115,4,FALSE),"")</f>
        <v/>
      </c>
      <c r="AT2663" s="65" t="str">
        <f>IFERROR(VLOOKUP(#REF!,[1]Lookup!$B$2:$E$115,2,FALSE),"")</f>
        <v/>
      </c>
      <c r="AU2663" s="65" t="str">
        <f>IFERROR(VLOOKUP(#REF!,[1]Lookup!$B$2:$E$115,3,FALSE),"")</f>
        <v/>
      </c>
    </row>
    <row r="2664" spans="31:47" x14ac:dyDescent="0.3">
      <c r="AE2664" s="204" t="s">
        <v>398</v>
      </c>
      <c r="AF2664" s="204" t="s">
        <v>398</v>
      </c>
      <c r="AG2664" s="204" t="s">
        <v>398</v>
      </c>
      <c r="AS2664" s="65" t="str">
        <f>IFERROR(VLOOKUP(#REF!,[1]Lookup!$B$2:$E$115,4,FALSE),"")</f>
        <v/>
      </c>
      <c r="AT2664" s="65" t="str">
        <f>IFERROR(VLOOKUP(#REF!,[1]Lookup!$B$2:$E$115,2,FALSE),"")</f>
        <v/>
      </c>
      <c r="AU2664" s="65" t="str">
        <f>IFERROR(VLOOKUP(#REF!,[1]Lookup!$B$2:$E$115,3,FALSE),"")</f>
        <v/>
      </c>
    </row>
    <row r="2665" spans="31:47" x14ac:dyDescent="0.3">
      <c r="AE2665" s="204" t="s">
        <v>398</v>
      </c>
      <c r="AF2665" s="204" t="s">
        <v>398</v>
      </c>
      <c r="AG2665" s="204" t="s">
        <v>398</v>
      </c>
      <c r="AS2665" s="65" t="str">
        <f>IFERROR(VLOOKUP(#REF!,[1]Lookup!$B$2:$E$115,4,FALSE),"")</f>
        <v/>
      </c>
      <c r="AT2665" s="65" t="str">
        <f>IFERROR(VLOOKUP(#REF!,[1]Lookup!$B$2:$E$115,2,FALSE),"")</f>
        <v/>
      </c>
      <c r="AU2665" s="65" t="str">
        <f>IFERROR(VLOOKUP(#REF!,[1]Lookup!$B$2:$E$115,3,FALSE),"")</f>
        <v/>
      </c>
    </row>
    <row r="2666" spans="31:47" x14ac:dyDescent="0.3">
      <c r="AE2666" s="204" t="s">
        <v>398</v>
      </c>
      <c r="AF2666" s="204" t="s">
        <v>398</v>
      </c>
      <c r="AG2666" s="204" t="s">
        <v>398</v>
      </c>
      <c r="AS2666" s="65" t="str">
        <f>IFERROR(VLOOKUP(#REF!,[1]Lookup!$B$2:$E$115,4,FALSE),"")</f>
        <v/>
      </c>
      <c r="AT2666" s="65" t="str">
        <f>IFERROR(VLOOKUP(#REF!,[1]Lookup!$B$2:$E$115,2,FALSE),"")</f>
        <v/>
      </c>
      <c r="AU2666" s="65" t="str">
        <f>IFERROR(VLOOKUP(#REF!,[1]Lookup!$B$2:$E$115,3,FALSE),"")</f>
        <v/>
      </c>
    </row>
    <row r="2667" spans="31:47" x14ac:dyDescent="0.3">
      <c r="AE2667" s="204" t="s">
        <v>398</v>
      </c>
      <c r="AF2667" s="204" t="s">
        <v>398</v>
      </c>
      <c r="AG2667" s="204" t="s">
        <v>398</v>
      </c>
      <c r="AS2667" s="65" t="str">
        <f>IFERROR(VLOOKUP(#REF!,[1]Lookup!$B$2:$E$115,4,FALSE),"")</f>
        <v/>
      </c>
      <c r="AT2667" s="65" t="str">
        <f>IFERROR(VLOOKUP(#REF!,[1]Lookup!$B$2:$E$115,2,FALSE),"")</f>
        <v/>
      </c>
      <c r="AU2667" s="65" t="str">
        <f>IFERROR(VLOOKUP(#REF!,[1]Lookup!$B$2:$E$115,3,FALSE),"")</f>
        <v/>
      </c>
    </row>
    <row r="2668" spans="31:47" x14ac:dyDescent="0.3">
      <c r="AE2668" s="204" t="s">
        <v>398</v>
      </c>
      <c r="AF2668" s="204" t="s">
        <v>398</v>
      </c>
      <c r="AG2668" s="204" t="s">
        <v>398</v>
      </c>
      <c r="AS2668" s="65" t="str">
        <f>IFERROR(VLOOKUP(#REF!,[1]Lookup!$B$2:$E$115,4,FALSE),"")</f>
        <v/>
      </c>
      <c r="AT2668" s="65" t="str">
        <f>IFERROR(VLOOKUP(#REF!,[1]Lookup!$B$2:$E$115,2,FALSE),"")</f>
        <v/>
      </c>
      <c r="AU2668" s="65" t="str">
        <f>IFERROR(VLOOKUP(#REF!,[1]Lookup!$B$2:$E$115,3,FALSE),"")</f>
        <v/>
      </c>
    </row>
    <row r="2669" spans="31:47" x14ac:dyDescent="0.3">
      <c r="AE2669" s="204" t="s">
        <v>398</v>
      </c>
      <c r="AF2669" s="204" t="s">
        <v>398</v>
      </c>
      <c r="AG2669" s="204" t="s">
        <v>398</v>
      </c>
      <c r="AS2669" s="65" t="str">
        <f>IFERROR(VLOOKUP(#REF!,[1]Lookup!$B$2:$E$115,4,FALSE),"")</f>
        <v/>
      </c>
      <c r="AT2669" s="65" t="str">
        <f>IFERROR(VLOOKUP(#REF!,[1]Lookup!$B$2:$E$115,2,FALSE),"")</f>
        <v/>
      </c>
      <c r="AU2669" s="65" t="str">
        <f>IFERROR(VLOOKUP(#REF!,[1]Lookup!$B$2:$E$115,3,FALSE),"")</f>
        <v/>
      </c>
    </row>
    <row r="2670" spans="31:47" x14ac:dyDescent="0.3">
      <c r="AE2670" s="204" t="s">
        <v>398</v>
      </c>
      <c r="AF2670" s="204" t="s">
        <v>398</v>
      </c>
      <c r="AG2670" s="204" t="s">
        <v>398</v>
      </c>
      <c r="AS2670" s="65" t="str">
        <f>IFERROR(VLOOKUP(#REF!,[1]Lookup!$B$2:$E$115,4,FALSE),"")</f>
        <v/>
      </c>
      <c r="AT2670" s="65" t="str">
        <f>IFERROR(VLOOKUP(#REF!,[1]Lookup!$B$2:$E$115,2,FALSE),"")</f>
        <v/>
      </c>
      <c r="AU2670" s="65" t="str">
        <f>IFERROR(VLOOKUP(#REF!,[1]Lookup!$B$2:$E$115,3,FALSE),"")</f>
        <v/>
      </c>
    </row>
    <row r="2671" spans="31:47" x14ac:dyDescent="0.3">
      <c r="AE2671" s="204" t="s">
        <v>398</v>
      </c>
      <c r="AF2671" s="204" t="s">
        <v>398</v>
      </c>
      <c r="AG2671" s="204" t="s">
        <v>398</v>
      </c>
      <c r="AS2671" s="65" t="str">
        <f>IFERROR(VLOOKUP(#REF!,[1]Lookup!$B$2:$E$115,4,FALSE),"")</f>
        <v/>
      </c>
      <c r="AT2671" s="65" t="str">
        <f>IFERROR(VLOOKUP(#REF!,[1]Lookup!$B$2:$E$115,2,FALSE),"")</f>
        <v/>
      </c>
      <c r="AU2671" s="65" t="str">
        <f>IFERROR(VLOOKUP(#REF!,[1]Lookup!$B$2:$E$115,3,FALSE),"")</f>
        <v/>
      </c>
    </row>
    <row r="2672" spans="31:47" x14ac:dyDescent="0.3">
      <c r="AE2672" s="204" t="s">
        <v>398</v>
      </c>
      <c r="AF2672" s="204" t="s">
        <v>398</v>
      </c>
      <c r="AG2672" s="204" t="s">
        <v>398</v>
      </c>
      <c r="AS2672" s="65" t="str">
        <f>IFERROR(VLOOKUP(#REF!,[1]Lookup!$B$2:$E$115,4,FALSE),"")</f>
        <v/>
      </c>
      <c r="AT2672" s="65" t="str">
        <f>IFERROR(VLOOKUP(#REF!,[1]Lookup!$B$2:$E$115,2,FALSE),"")</f>
        <v/>
      </c>
      <c r="AU2672" s="65" t="str">
        <f>IFERROR(VLOOKUP(#REF!,[1]Lookup!$B$2:$E$115,3,FALSE),"")</f>
        <v/>
      </c>
    </row>
    <row r="2673" spans="31:47" x14ac:dyDescent="0.3">
      <c r="AE2673" s="204" t="s">
        <v>398</v>
      </c>
      <c r="AF2673" s="204" t="s">
        <v>398</v>
      </c>
      <c r="AG2673" s="204" t="s">
        <v>398</v>
      </c>
      <c r="AS2673" s="65" t="str">
        <f>IFERROR(VLOOKUP(#REF!,[1]Lookup!$B$2:$E$115,4,FALSE),"")</f>
        <v/>
      </c>
      <c r="AT2673" s="65" t="str">
        <f>IFERROR(VLOOKUP(#REF!,[1]Lookup!$B$2:$E$115,2,FALSE),"")</f>
        <v/>
      </c>
      <c r="AU2673" s="65" t="str">
        <f>IFERROR(VLOOKUP(#REF!,[1]Lookup!$B$2:$E$115,3,FALSE),"")</f>
        <v/>
      </c>
    </row>
    <row r="2674" spans="31:47" x14ac:dyDescent="0.3">
      <c r="AE2674" s="204" t="s">
        <v>398</v>
      </c>
      <c r="AF2674" s="204" t="s">
        <v>398</v>
      </c>
      <c r="AG2674" s="204" t="s">
        <v>398</v>
      </c>
      <c r="AS2674" s="65" t="str">
        <f>IFERROR(VLOOKUP(#REF!,[1]Lookup!$B$2:$E$115,4,FALSE),"")</f>
        <v/>
      </c>
      <c r="AT2674" s="65" t="str">
        <f>IFERROR(VLOOKUP(#REF!,[1]Lookup!$B$2:$E$115,2,FALSE),"")</f>
        <v/>
      </c>
      <c r="AU2674" s="65" t="str">
        <f>IFERROR(VLOOKUP(#REF!,[1]Lookup!$B$2:$E$115,3,FALSE),"")</f>
        <v/>
      </c>
    </row>
    <row r="2675" spans="31:47" x14ac:dyDescent="0.3">
      <c r="AE2675" s="204" t="s">
        <v>398</v>
      </c>
      <c r="AF2675" s="204" t="s">
        <v>398</v>
      </c>
      <c r="AG2675" s="204" t="s">
        <v>398</v>
      </c>
      <c r="AS2675" s="65" t="str">
        <f>IFERROR(VLOOKUP(#REF!,[1]Lookup!$B$2:$E$115,4,FALSE),"")</f>
        <v/>
      </c>
      <c r="AT2675" s="65" t="str">
        <f>IFERROR(VLOOKUP(#REF!,[1]Lookup!$B$2:$E$115,2,FALSE),"")</f>
        <v/>
      </c>
      <c r="AU2675" s="65" t="str">
        <f>IFERROR(VLOOKUP(#REF!,[1]Lookup!$B$2:$E$115,3,FALSE),"")</f>
        <v/>
      </c>
    </row>
    <row r="2676" spans="31:47" x14ac:dyDescent="0.3">
      <c r="AE2676" s="204" t="s">
        <v>398</v>
      </c>
      <c r="AF2676" s="204" t="s">
        <v>398</v>
      </c>
      <c r="AG2676" s="204" t="s">
        <v>398</v>
      </c>
      <c r="AS2676" s="65" t="str">
        <f>IFERROR(VLOOKUP(#REF!,[1]Lookup!$B$2:$E$115,4,FALSE),"")</f>
        <v/>
      </c>
      <c r="AT2676" s="65" t="str">
        <f>IFERROR(VLOOKUP(#REF!,[1]Lookup!$B$2:$E$115,2,FALSE),"")</f>
        <v/>
      </c>
      <c r="AU2676" s="65" t="str">
        <f>IFERROR(VLOOKUP(#REF!,[1]Lookup!$B$2:$E$115,3,FALSE),"")</f>
        <v/>
      </c>
    </row>
    <row r="2677" spans="31:47" x14ac:dyDescent="0.3">
      <c r="AE2677" s="204" t="s">
        <v>398</v>
      </c>
      <c r="AF2677" s="204" t="s">
        <v>398</v>
      </c>
      <c r="AG2677" s="204" t="s">
        <v>398</v>
      </c>
      <c r="AS2677" s="65" t="str">
        <f>IFERROR(VLOOKUP(#REF!,[1]Lookup!$B$2:$E$115,4,FALSE),"")</f>
        <v/>
      </c>
      <c r="AT2677" s="65" t="str">
        <f>IFERROR(VLOOKUP(#REF!,[1]Lookup!$B$2:$E$115,2,FALSE),"")</f>
        <v/>
      </c>
      <c r="AU2677" s="65" t="str">
        <f>IFERROR(VLOOKUP(#REF!,[1]Lookup!$B$2:$E$115,3,FALSE),"")</f>
        <v/>
      </c>
    </row>
    <row r="2678" spans="31:47" x14ac:dyDescent="0.3">
      <c r="AE2678" s="204" t="s">
        <v>398</v>
      </c>
      <c r="AF2678" s="204" t="s">
        <v>398</v>
      </c>
      <c r="AG2678" s="204" t="s">
        <v>398</v>
      </c>
      <c r="AS2678" s="65" t="str">
        <f>IFERROR(VLOOKUP(#REF!,[1]Lookup!$B$2:$E$115,4,FALSE),"")</f>
        <v/>
      </c>
      <c r="AT2678" s="65" t="str">
        <f>IFERROR(VLOOKUP(#REF!,[1]Lookup!$B$2:$E$115,2,FALSE),"")</f>
        <v/>
      </c>
      <c r="AU2678" s="65" t="str">
        <f>IFERROR(VLOOKUP(#REF!,[1]Lookup!$B$2:$E$115,3,FALSE),"")</f>
        <v/>
      </c>
    </row>
    <row r="2679" spans="31:47" x14ac:dyDescent="0.3">
      <c r="AE2679" s="204" t="s">
        <v>398</v>
      </c>
      <c r="AF2679" s="204" t="s">
        <v>398</v>
      </c>
      <c r="AG2679" s="204" t="s">
        <v>398</v>
      </c>
      <c r="AS2679" s="65" t="str">
        <f>IFERROR(VLOOKUP(#REF!,[1]Lookup!$B$2:$E$115,4,FALSE),"")</f>
        <v/>
      </c>
      <c r="AT2679" s="65" t="str">
        <f>IFERROR(VLOOKUP(#REF!,[1]Lookup!$B$2:$E$115,2,FALSE),"")</f>
        <v/>
      </c>
      <c r="AU2679" s="65" t="str">
        <f>IFERROR(VLOOKUP(#REF!,[1]Lookup!$B$2:$E$115,3,FALSE),"")</f>
        <v/>
      </c>
    </row>
    <row r="2680" spans="31:47" x14ac:dyDescent="0.3">
      <c r="AE2680" s="204" t="s">
        <v>398</v>
      </c>
      <c r="AF2680" s="204" t="s">
        <v>398</v>
      </c>
      <c r="AG2680" s="204" t="s">
        <v>398</v>
      </c>
      <c r="AS2680" s="65" t="str">
        <f>IFERROR(VLOOKUP(#REF!,[1]Lookup!$B$2:$E$115,4,FALSE),"")</f>
        <v/>
      </c>
      <c r="AT2680" s="65" t="str">
        <f>IFERROR(VLOOKUP(#REF!,[1]Lookup!$B$2:$E$115,2,FALSE),"")</f>
        <v/>
      </c>
      <c r="AU2680" s="65" t="str">
        <f>IFERROR(VLOOKUP(#REF!,[1]Lookup!$B$2:$E$115,3,FALSE),"")</f>
        <v/>
      </c>
    </row>
    <row r="2681" spans="31:47" x14ac:dyDescent="0.3">
      <c r="AE2681" s="204" t="s">
        <v>398</v>
      </c>
      <c r="AF2681" s="204" t="s">
        <v>398</v>
      </c>
      <c r="AG2681" s="204" t="s">
        <v>398</v>
      </c>
      <c r="AS2681" s="65" t="str">
        <f>IFERROR(VLOOKUP(#REF!,[1]Lookup!$B$2:$E$115,4,FALSE),"")</f>
        <v/>
      </c>
      <c r="AT2681" s="65" t="str">
        <f>IFERROR(VLOOKUP(#REF!,[1]Lookup!$B$2:$E$115,2,FALSE),"")</f>
        <v/>
      </c>
      <c r="AU2681" s="65" t="str">
        <f>IFERROR(VLOOKUP(#REF!,[1]Lookup!$B$2:$E$115,3,FALSE),"")</f>
        <v/>
      </c>
    </row>
    <row r="2682" spans="31:47" x14ac:dyDescent="0.3">
      <c r="AE2682" s="204" t="s">
        <v>398</v>
      </c>
      <c r="AF2682" s="204" t="s">
        <v>398</v>
      </c>
      <c r="AG2682" s="204" t="s">
        <v>398</v>
      </c>
      <c r="AS2682" s="65" t="str">
        <f>IFERROR(VLOOKUP(#REF!,[1]Lookup!$B$2:$E$115,4,FALSE),"")</f>
        <v/>
      </c>
      <c r="AT2682" s="65" t="str">
        <f>IFERROR(VLOOKUP(#REF!,[1]Lookup!$B$2:$E$115,2,FALSE),"")</f>
        <v/>
      </c>
      <c r="AU2682" s="65" t="str">
        <f>IFERROR(VLOOKUP(#REF!,[1]Lookup!$B$2:$E$115,3,FALSE),"")</f>
        <v/>
      </c>
    </row>
    <row r="2683" spans="31:47" x14ac:dyDescent="0.3">
      <c r="AE2683" s="204" t="s">
        <v>398</v>
      </c>
      <c r="AF2683" s="204" t="s">
        <v>398</v>
      </c>
      <c r="AG2683" s="204" t="s">
        <v>398</v>
      </c>
      <c r="AS2683" s="65" t="str">
        <f>IFERROR(VLOOKUP(#REF!,[1]Lookup!$B$2:$E$115,4,FALSE),"")</f>
        <v/>
      </c>
      <c r="AT2683" s="65" t="str">
        <f>IFERROR(VLOOKUP(#REF!,[1]Lookup!$B$2:$E$115,2,FALSE),"")</f>
        <v/>
      </c>
      <c r="AU2683" s="65" t="str">
        <f>IFERROR(VLOOKUP(#REF!,[1]Lookup!$B$2:$E$115,3,FALSE),"")</f>
        <v/>
      </c>
    </row>
    <row r="2684" spans="31:47" x14ac:dyDescent="0.3">
      <c r="AE2684" s="204" t="s">
        <v>398</v>
      </c>
      <c r="AF2684" s="204" t="s">
        <v>398</v>
      </c>
      <c r="AG2684" s="204" t="s">
        <v>398</v>
      </c>
      <c r="AS2684" s="65" t="str">
        <f>IFERROR(VLOOKUP(#REF!,[1]Lookup!$B$2:$E$115,4,FALSE),"")</f>
        <v/>
      </c>
      <c r="AT2684" s="65" t="str">
        <f>IFERROR(VLOOKUP(#REF!,[1]Lookup!$B$2:$E$115,2,FALSE),"")</f>
        <v/>
      </c>
      <c r="AU2684" s="65" t="str">
        <f>IFERROR(VLOOKUP(#REF!,[1]Lookup!$B$2:$E$115,3,FALSE),"")</f>
        <v/>
      </c>
    </row>
    <row r="2685" spans="31:47" x14ac:dyDescent="0.3">
      <c r="AE2685" s="204" t="s">
        <v>398</v>
      </c>
      <c r="AF2685" s="204" t="s">
        <v>398</v>
      </c>
      <c r="AG2685" s="204" t="s">
        <v>398</v>
      </c>
      <c r="AS2685" s="65" t="str">
        <f>IFERROR(VLOOKUP(#REF!,[1]Lookup!$B$2:$E$115,4,FALSE),"")</f>
        <v/>
      </c>
      <c r="AT2685" s="65" t="str">
        <f>IFERROR(VLOOKUP(#REF!,[1]Lookup!$B$2:$E$115,2,FALSE),"")</f>
        <v/>
      </c>
      <c r="AU2685" s="65" t="str">
        <f>IFERROR(VLOOKUP(#REF!,[1]Lookup!$B$2:$E$115,3,FALSE),"")</f>
        <v/>
      </c>
    </row>
    <row r="2686" spans="31:47" x14ac:dyDescent="0.3">
      <c r="AE2686" s="204" t="s">
        <v>398</v>
      </c>
      <c r="AF2686" s="204" t="s">
        <v>398</v>
      </c>
      <c r="AG2686" s="204" t="s">
        <v>398</v>
      </c>
      <c r="AS2686" s="65" t="str">
        <f>IFERROR(VLOOKUP(#REF!,[1]Lookup!$B$2:$E$115,4,FALSE),"")</f>
        <v/>
      </c>
      <c r="AT2686" s="65" t="str">
        <f>IFERROR(VLOOKUP(#REF!,[1]Lookup!$B$2:$E$115,2,FALSE),"")</f>
        <v/>
      </c>
      <c r="AU2686" s="65" t="str">
        <f>IFERROR(VLOOKUP(#REF!,[1]Lookup!$B$2:$E$115,3,FALSE),"")</f>
        <v/>
      </c>
    </row>
    <row r="2687" spans="31:47" x14ac:dyDescent="0.3">
      <c r="AE2687" s="204" t="s">
        <v>398</v>
      </c>
      <c r="AF2687" s="204" t="s">
        <v>398</v>
      </c>
      <c r="AG2687" s="204" t="s">
        <v>398</v>
      </c>
      <c r="AS2687" s="65" t="str">
        <f>IFERROR(VLOOKUP(#REF!,[1]Lookup!$B$2:$E$115,4,FALSE),"")</f>
        <v/>
      </c>
      <c r="AT2687" s="65" t="str">
        <f>IFERROR(VLOOKUP(#REF!,[1]Lookup!$B$2:$E$115,2,FALSE),"")</f>
        <v/>
      </c>
      <c r="AU2687" s="65" t="str">
        <f>IFERROR(VLOOKUP(#REF!,[1]Lookup!$B$2:$E$115,3,FALSE),"")</f>
        <v/>
      </c>
    </row>
    <row r="2688" spans="31:47" x14ac:dyDescent="0.3">
      <c r="AE2688" s="204" t="s">
        <v>398</v>
      </c>
      <c r="AF2688" s="204" t="s">
        <v>398</v>
      </c>
      <c r="AG2688" s="204" t="s">
        <v>398</v>
      </c>
      <c r="AS2688" s="65" t="str">
        <f>IFERROR(VLOOKUP(#REF!,[1]Lookup!$B$2:$E$115,4,FALSE),"")</f>
        <v/>
      </c>
      <c r="AT2688" s="65" t="str">
        <f>IFERROR(VLOOKUP(#REF!,[1]Lookup!$B$2:$E$115,2,FALSE),"")</f>
        <v/>
      </c>
      <c r="AU2688" s="65" t="str">
        <f>IFERROR(VLOOKUP(#REF!,[1]Lookup!$B$2:$E$115,3,FALSE),"")</f>
        <v/>
      </c>
    </row>
    <row r="2689" spans="31:47" x14ac:dyDescent="0.3">
      <c r="AE2689" s="204" t="s">
        <v>398</v>
      </c>
      <c r="AF2689" s="204" t="s">
        <v>398</v>
      </c>
      <c r="AG2689" s="204" t="s">
        <v>398</v>
      </c>
      <c r="AS2689" s="65" t="str">
        <f>IFERROR(VLOOKUP(#REF!,[1]Lookup!$B$2:$E$115,4,FALSE),"")</f>
        <v/>
      </c>
      <c r="AT2689" s="65" t="str">
        <f>IFERROR(VLOOKUP(#REF!,[1]Lookup!$B$2:$E$115,2,FALSE),"")</f>
        <v/>
      </c>
      <c r="AU2689" s="65" t="str">
        <f>IFERROR(VLOOKUP(#REF!,[1]Lookup!$B$2:$E$115,3,FALSE),"")</f>
        <v/>
      </c>
    </row>
    <row r="2690" spans="31:47" x14ac:dyDescent="0.3">
      <c r="AE2690" s="204" t="s">
        <v>398</v>
      </c>
      <c r="AF2690" s="204" t="s">
        <v>398</v>
      </c>
      <c r="AG2690" s="204" t="s">
        <v>398</v>
      </c>
      <c r="AS2690" s="65" t="str">
        <f>IFERROR(VLOOKUP(#REF!,[1]Lookup!$B$2:$E$115,4,FALSE),"")</f>
        <v/>
      </c>
      <c r="AT2690" s="65" t="str">
        <f>IFERROR(VLOOKUP(#REF!,[1]Lookup!$B$2:$E$115,2,FALSE),"")</f>
        <v/>
      </c>
      <c r="AU2690" s="65" t="str">
        <f>IFERROR(VLOOKUP(#REF!,[1]Lookup!$B$2:$E$115,3,FALSE),"")</f>
        <v/>
      </c>
    </row>
    <row r="2691" spans="31:47" x14ac:dyDescent="0.3">
      <c r="AE2691" s="204" t="s">
        <v>398</v>
      </c>
      <c r="AF2691" s="204" t="s">
        <v>398</v>
      </c>
      <c r="AG2691" s="204" t="s">
        <v>398</v>
      </c>
      <c r="AS2691" s="65" t="str">
        <f>IFERROR(VLOOKUP(#REF!,[1]Lookup!$B$2:$E$115,4,FALSE),"")</f>
        <v/>
      </c>
      <c r="AT2691" s="65" t="str">
        <f>IFERROR(VLOOKUP(#REF!,[1]Lookup!$B$2:$E$115,2,FALSE),"")</f>
        <v/>
      </c>
      <c r="AU2691" s="65" t="str">
        <f>IFERROR(VLOOKUP(#REF!,[1]Lookup!$B$2:$E$115,3,FALSE),"")</f>
        <v/>
      </c>
    </row>
    <row r="2692" spans="31:47" x14ac:dyDescent="0.3">
      <c r="AE2692" s="204" t="s">
        <v>398</v>
      </c>
      <c r="AF2692" s="204" t="s">
        <v>398</v>
      </c>
      <c r="AG2692" s="204" t="s">
        <v>398</v>
      </c>
      <c r="AS2692" s="65" t="str">
        <f>IFERROR(VLOOKUP(#REF!,[1]Lookup!$B$2:$E$115,4,FALSE),"")</f>
        <v/>
      </c>
      <c r="AT2692" s="65" t="str">
        <f>IFERROR(VLOOKUP(#REF!,[1]Lookup!$B$2:$E$115,2,FALSE),"")</f>
        <v/>
      </c>
      <c r="AU2692" s="65" t="str">
        <f>IFERROR(VLOOKUP(#REF!,[1]Lookup!$B$2:$E$115,3,FALSE),"")</f>
        <v/>
      </c>
    </row>
    <row r="2693" spans="31:47" x14ac:dyDescent="0.3">
      <c r="AE2693" s="204" t="s">
        <v>398</v>
      </c>
      <c r="AF2693" s="204" t="s">
        <v>398</v>
      </c>
      <c r="AG2693" s="204" t="s">
        <v>398</v>
      </c>
      <c r="AS2693" s="65" t="str">
        <f>IFERROR(VLOOKUP(#REF!,[1]Lookup!$B$2:$E$115,4,FALSE),"")</f>
        <v/>
      </c>
      <c r="AT2693" s="65" t="str">
        <f>IFERROR(VLOOKUP(#REF!,[1]Lookup!$B$2:$E$115,2,FALSE),"")</f>
        <v/>
      </c>
      <c r="AU2693" s="65" t="str">
        <f>IFERROR(VLOOKUP(#REF!,[1]Lookup!$B$2:$E$115,3,FALSE),"")</f>
        <v/>
      </c>
    </row>
    <row r="2694" spans="31:47" x14ac:dyDescent="0.3">
      <c r="AE2694" s="204" t="s">
        <v>398</v>
      </c>
      <c r="AF2694" s="204" t="s">
        <v>398</v>
      </c>
      <c r="AG2694" s="204" t="s">
        <v>398</v>
      </c>
      <c r="AS2694" s="65" t="str">
        <f>IFERROR(VLOOKUP(#REF!,[1]Lookup!$B$2:$E$115,4,FALSE),"")</f>
        <v/>
      </c>
      <c r="AT2694" s="65" t="str">
        <f>IFERROR(VLOOKUP(#REF!,[1]Lookup!$B$2:$E$115,2,FALSE),"")</f>
        <v/>
      </c>
      <c r="AU2694" s="65" t="str">
        <f>IFERROR(VLOOKUP(#REF!,[1]Lookup!$B$2:$E$115,3,FALSE),"")</f>
        <v/>
      </c>
    </row>
    <row r="2695" spans="31:47" x14ac:dyDescent="0.3">
      <c r="AE2695" s="204" t="s">
        <v>398</v>
      </c>
      <c r="AF2695" s="204" t="s">
        <v>398</v>
      </c>
      <c r="AG2695" s="204" t="s">
        <v>398</v>
      </c>
      <c r="AS2695" s="65" t="str">
        <f>IFERROR(VLOOKUP(#REF!,[1]Lookup!$B$2:$E$115,4,FALSE),"")</f>
        <v/>
      </c>
      <c r="AT2695" s="65" t="str">
        <f>IFERROR(VLOOKUP(#REF!,[1]Lookup!$B$2:$E$115,2,FALSE),"")</f>
        <v/>
      </c>
      <c r="AU2695" s="65" t="str">
        <f>IFERROR(VLOOKUP(#REF!,[1]Lookup!$B$2:$E$115,3,FALSE),"")</f>
        <v/>
      </c>
    </row>
    <row r="2696" spans="31:47" x14ac:dyDescent="0.3">
      <c r="AE2696" s="204" t="s">
        <v>398</v>
      </c>
      <c r="AF2696" s="204" t="s">
        <v>398</v>
      </c>
      <c r="AG2696" s="204" t="s">
        <v>398</v>
      </c>
      <c r="AS2696" s="65" t="str">
        <f>IFERROR(VLOOKUP(#REF!,[1]Lookup!$B$2:$E$115,4,FALSE),"")</f>
        <v/>
      </c>
      <c r="AT2696" s="65" t="str">
        <f>IFERROR(VLOOKUP(#REF!,[1]Lookup!$B$2:$E$115,2,FALSE),"")</f>
        <v/>
      </c>
      <c r="AU2696" s="65" t="str">
        <f>IFERROR(VLOOKUP(#REF!,[1]Lookup!$B$2:$E$115,3,FALSE),"")</f>
        <v/>
      </c>
    </row>
    <row r="2697" spans="31:47" x14ac:dyDescent="0.3">
      <c r="AE2697" s="204" t="s">
        <v>398</v>
      </c>
      <c r="AF2697" s="204" t="s">
        <v>398</v>
      </c>
      <c r="AG2697" s="204" t="s">
        <v>398</v>
      </c>
      <c r="AS2697" s="65" t="str">
        <f>IFERROR(VLOOKUP(#REF!,[1]Lookup!$B$2:$E$115,4,FALSE),"")</f>
        <v/>
      </c>
      <c r="AT2697" s="65" t="str">
        <f>IFERROR(VLOOKUP(#REF!,[1]Lookup!$B$2:$E$115,2,FALSE),"")</f>
        <v/>
      </c>
      <c r="AU2697" s="65" t="str">
        <f>IFERROR(VLOOKUP(#REF!,[1]Lookup!$B$2:$E$115,3,FALSE),"")</f>
        <v/>
      </c>
    </row>
    <row r="2698" spans="31:47" x14ac:dyDescent="0.3">
      <c r="AE2698" s="204" t="s">
        <v>398</v>
      </c>
      <c r="AF2698" s="204" t="s">
        <v>398</v>
      </c>
      <c r="AG2698" s="204" t="s">
        <v>398</v>
      </c>
      <c r="AS2698" s="65" t="str">
        <f>IFERROR(VLOOKUP(#REF!,[1]Lookup!$B$2:$E$115,4,FALSE),"")</f>
        <v/>
      </c>
      <c r="AT2698" s="65" t="str">
        <f>IFERROR(VLOOKUP(#REF!,[1]Lookup!$B$2:$E$115,2,FALSE),"")</f>
        <v/>
      </c>
      <c r="AU2698" s="65" t="str">
        <f>IFERROR(VLOOKUP(#REF!,[1]Lookup!$B$2:$E$115,3,FALSE),"")</f>
        <v/>
      </c>
    </row>
    <row r="2699" spans="31:47" x14ac:dyDescent="0.3">
      <c r="AE2699" s="204" t="s">
        <v>398</v>
      </c>
      <c r="AF2699" s="204" t="s">
        <v>398</v>
      </c>
      <c r="AG2699" s="204" t="s">
        <v>398</v>
      </c>
      <c r="AS2699" s="65" t="str">
        <f>IFERROR(VLOOKUP(#REF!,[1]Lookup!$B$2:$E$115,4,FALSE),"")</f>
        <v/>
      </c>
      <c r="AT2699" s="65" t="str">
        <f>IFERROR(VLOOKUP(#REF!,[1]Lookup!$B$2:$E$115,2,FALSE),"")</f>
        <v/>
      </c>
      <c r="AU2699" s="65" t="str">
        <f>IFERROR(VLOOKUP(#REF!,[1]Lookup!$B$2:$E$115,3,FALSE),"")</f>
        <v/>
      </c>
    </row>
    <row r="2700" spans="31:47" x14ac:dyDescent="0.3">
      <c r="AE2700" s="204" t="s">
        <v>398</v>
      </c>
      <c r="AF2700" s="204" t="s">
        <v>398</v>
      </c>
      <c r="AG2700" s="204" t="s">
        <v>398</v>
      </c>
      <c r="AS2700" s="65" t="str">
        <f>IFERROR(VLOOKUP(#REF!,[1]Lookup!$B$2:$E$115,4,FALSE),"")</f>
        <v/>
      </c>
      <c r="AT2700" s="65" t="str">
        <f>IFERROR(VLOOKUP(#REF!,[1]Lookup!$B$2:$E$115,2,FALSE),"")</f>
        <v/>
      </c>
      <c r="AU2700" s="65" t="str">
        <f>IFERROR(VLOOKUP(#REF!,[1]Lookup!$B$2:$E$115,3,FALSE),"")</f>
        <v/>
      </c>
    </row>
    <row r="2701" spans="31:47" x14ac:dyDescent="0.3">
      <c r="AE2701" s="204" t="s">
        <v>398</v>
      </c>
      <c r="AF2701" s="204" t="s">
        <v>398</v>
      </c>
      <c r="AG2701" s="204" t="s">
        <v>398</v>
      </c>
      <c r="AS2701" s="65" t="str">
        <f>IFERROR(VLOOKUP(#REF!,[1]Lookup!$B$2:$E$115,4,FALSE),"")</f>
        <v/>
      </c>
      <c r="AT2701" s="65" t="str">
        <f>IFERROR(VLOOKUP(#REF!,[1]Lookup!$B$2:$E$115,2,FALSE),"")</f>
        <v/>
      </c>
      <c r="AU2701" s="65" t="str">
        <f>IFERROR(VLOOKUP(#REF!,[1]Lookup!$B$2:$E$115,3,FALSE),"")</f>
        <v/>
      </c>
    </row>
    <row r="2702" spans="31:47" x14ac:dyDescent="0.3">
      <c r="AE2702" s="204" t="s">
        <v>398</v>
      </c>
      <c r="AF2702" s="204" t="s">
        <v>398</v>
      </c>
      <c r="AG2702" s="204" t="s">
        <v>398</v>
      </c>
      <c r="AS2702" s="65" t="str">
        <f>IFERROR(VLOOKUP(#REF!,[1]Lookup!$B$2:$E$115,4,FALSE),"")</f>
        <v/>
      </c>
      <c r="AT2702" s="65" t="str">
        <f>IFERROR(VLOOKUP(#REF!,[1]Lookup!$B$2:$E$115,2,FALSE),"")</f>
        <v/>
      </c>
      <c r="AU2702" s="65" t="str">
        <f>IFERROR(VLOOKUP(#REF!,[1]Lookup!$B$2:$E$115,3,FALSE),"")</f>
        <v/>
      </c>
    </row>
    <row r="2703" spans="31:47" x14ac:dyDescent="0.3">
      <c r="AE2703" s="204" t="s">
        <v>398</v>
      </c>
      <c r="AF2703" s="204" t="s">
        <v>398</v>
      </c>
      <c r="AG2703" s="204" t="s">
        <v>398</v>
      </c>
      <c r="AS2703" s="65" t="str">
        <f>IFERROR(VLOOKUP(#REF!,[1]Lookup!$B$2:$E$115,4,FALSE),"")</f>
        <v/>
      </c>
      <c r="AT2703" s="65" t="str">
        <f>IFERROR(VLOOKUP(#REF!,[1]Lookup!$B$2:$E$115,2,FALSE),"")</f>
        <v/>
      </c>
      <c r="AU2703" s="65" t="str">
        <f>IFERROR(VLOOKUP(#REF!,[1]Lookup!$B$2:$E$115,3,FALSE),"")</f>
        <v/>
      </c>
    </row>
    <row r="2704" spans="31:47" x14ac:dyDescent="0.3">
      <c r="AE2704" s="204" t="s">
        <v>398</v>
      </c>
      <c r="AF2704" s="204" t="s">
        <v>398</v>
      </c>
      <c r="AG2704" s="204" t="s">
        <v>398</v>
      </c>
      <c r="AS2704" s="65" t="str">
        <f>IFERROR(VLOOKUP(#REF!,[1]Lookup!$B$2:$E$115,4,FALSE),"")</f>
        <v/>
      </c>
      <c r="AT2704" s="65" t="str">
        <f>IFERROR(VLOOKUP(#REF!,[1]Lookup!$B$2:$E$115,2,FALSE),"")</f>
        <v/>
      </c>
      <c r="AU2704" s="65" t="str">
        <f>IFERROR(VLOOKUP(#REF!,[1]Lookup!$B$2:$E$115,3,FALSE),"")</f>
        <v/>
      </c>
    </row>
    <row r="2705" spans="31:47" x14ac:dyDescent="0.3">
      <c r="AE2705" s="204" t="s">
        <v>398</v>
      </c>
      <c r="AF2705" s="204" t="s">
        <v>398</v>
      </c>
      <c r="AG2705" s="204" t="s">
        <v>398</v>
      </c>
      <c r="AS2705" s="65" t="str">
        <f>IFERROR(VLOOKUP(#REF!,[1]Lookup!$B$2:$E$115,4,FALSE),"")</f>
        <v/>
      </c>
      <c r="AT2705" s="65" t="str">
        <f>IFERROR(VLOOKUP(#REF!,[1]Lookup!$B$2:$E$115,2,FALSE),"")</f>
        <v/>
      </c>
      <c r="AU2705" s="65" t="str">
        <f>IFERROR(VLOOKUP(#REF!,[1]Lookup!$B$2:$E$115,3,FALSE),"")</f>
        <v/>
      </c>
    </row>
    <row r="2706" spans="31:47" x14ac:dyDescent="0.3">
      <c r="AE2706" s="204" t="s">
        <v>398</v>
      </c>
      <c r="AF2706" s="204" t="s">
        <v>398</v>
      </c>
      <c r="AG2706" s="204" t="s">
        <v>398</v>
      </c>
      <c r="AS2706" s="65" t="str">
        <f>IFERROR(VLOOKUP(#REF!,[1]Lookup!$B$2:$E$115,4,FALSE),"")</f>
        <v/>
      </c>
      <c r="AT2706" s="65" t="str">
        <f>IFERROR(VLOOKUP(#REF!,[1]Lookup!$B$2:$E$115,2,FALSE),"")</f>
        <v/>
      </c>
      <c r="AU2706" s="65" t="str">
        <f>IFERROR(VLOOKUP(#REF!,[1]Lookup!$B$2:$E$115,3,FALSE),"")</f>
        <v/>
      </c>
    </row>
    <row r="2707" spans="31:47" x14ac:dyDescent="0.3">
      <c r="AE2707" s="204" t="s">
        <v>398</v>
      </c>
      <c r="AF2707" s="204" t="s">
        <v>398</v>
      </c>
      <c r="AG2707" s="204" t="s">
        <v>398</v>
      </c>
      <c r="AS2707" s="65" t="str">
        <f>IFERROR(VLOOKUP(#REF!,[1]Lookup!$B$2:$E$115,4,FALSE),"")</f>
        <v/>
      </c>
      <c r="AT2707" s="65" t="str">
        <f>IFERROR(VLOOKUP(#REF!,[1]Lookup!$B$2:$E$115,2,FALSE),"")</f>
        <v/>
      </c>
      <c r="AU2707" s="65" t="str">
        <f>IFERROR(VLOOKUP(#REF!,[1]Lookup!$B$2:$E$115,3,FALSE),"")</f>
        <v/>
      </c>
    </row>
    <row r="2708" spans="31:47" x14ac:dyDescent="0.3">
      <c r="AE2708" s="204" t="s">
        <v>398</v>
      </c>
      <c r="AF2708" s="204" t="s">
        <v>398</v>
      </c>
      <c r="AG2708" s="204" t="s">
        <v>398</v>
      </c>
      <c r="AS2708" s="65" t="str">
        <f>IFERROR(VLOOKUP(#REF!,[1]Lookup!$B$2:$E$115,4,FALSE),"")</f>
        <v/>
      </c>
      <c r="AT2708" s="65" t="str">
        <f>IFERROR(VLOOKUP(#REF!,[1]Lookup!$B$2:$E$115,2,FALSE),"")</f>
        <v/>
      </c>
      <c r="AU2708" s="65" t="str">
        <f>IFERROR(VLOOKUP(#REF!,[1]Lookup!$B$2:$E$115,3,FALSE),"")</f>
        <v/>
      </c>
    </row>
    <row r="2709" spans="31:47" x14ac:dyDescent="0.3">
      <c r="AE2709" s="204" t="s">
        <v>398</v>
      </c>
      <c r="AF2709" s="204" t="s">
        <v>398</v>
      </c>
      <c r="AG2709" s="204" t="s">
        <v>398</v>
      </c>
      <c r="AS2709" s="65" t="str">
        <f>IFERROR(VLOOKUP(#REF!,[1]Lookup!$B$2:$E$115,4,FALSE),"")</f>
        <v/>
      </c>
      <c r="AT2709" s="65" t="str">
        <f>IFERROR(VLOOKUP(#REF!,[1]Lookup!$B$2:$E$115,2,FALSE),"")</f>
        <v/>
      </c>
      <c r="AU2709" s="65" t="str">
        <f>IFERROR(VLOOKUP(#REF!,[1]Lookup!$B$2:$E$115,3,FALSE),"")</f>
        <v/>
      </c>
    </row>
    <row r="2710" spans="31:47" x14ac:dyDescent="0.3">
      <c r="AE2710" s="204" t="s">
        <v>398</v>
      </c>
      <c r="AF2710" s="204" t="s">
        <v>398</v>
      </c>
      <c r="AG2710" s="204" t="s">
        <v>398</v>
      </c>
      <c r="AS2710" s="65" t="str">
        <f>IFERROR(VLOOKUP(#REF!,[1]Lookup!$B$2:$E$115,4,FALSE),"")</f>
        <v/>
      </c>
      <c r="AT2710" s="65" t="str">
        <f>IFERROR(VLOOKUP(#REF!,[1]Lookup!$B$2:$E$115,2,FALSE),"")</f>
        <v/>
      </c>
      <c r="AU2710" s="65" t="str">
        <f>IFERROR(VLOOKUP(#REF!,[1]Lookup!$B$2:$E$115,3,FALSE),"")</f>
        <v/>
      </c>
    </row>
    <row r="2711" spans="31:47" x14ac:dyDescent="0.3">
      <c r="AE2711" s="204" t="s">
        <v>398</v>
      </c>
      <c r="AF2711" s="204" t="s">
        <v>398</v>
      </c>
      <c r="AG2711" s="204" t="s">
        <v>398</v>
      </c>
      <c r="AS2711" s="65" t="str">
        <f>IFERROR(VLOOKUP(#REF!,[1]Lookup!$B$2:$E$115,4,FALSE),"")</f>
        <v/>
      </c>
      <c r="AT2711" s="65" t="str">
        <f>IFERROR(VLOOKUP(#REF!,[1]Lookup!$B$2:$E$115,2,FALSE),"")</f>
        <v/>
      </c>
      <c r="AU2711" s="65" t="str">
        <f>IFERROR(VLOOKUP(#REF!,[1]Lookup!$B$2:$E$115,3,FALSE),"")</f>
        <v/>
      </c>
    </row>
    <row r="2712" spans="31:47" x14ac:dyDescent="0.3">
      <c r="AE2712" s="204" t="s">
        <v>398</v>
      </c>
      <c r="AF2712" s="204" t="s">
        <v>398</v>
      </c>
      <c r="AG2712" s="204" t="s">
        <v>398</v>
      </c>
      <c r="AS2712" s="65" t="str">
        <f>IFERROR(VLOOKUP(#REF!,[1]Lookup!$B$2:$E$115,4,FALSE),"")</f>
        <v/>
      </c>
      <c r="AT2712" s="65" t="str">
        <f>IFERROR(VLOOKUP(#REF!,[1]Lookup!$B$2:$E$115,2,FALSE),"")</f>
        <v/>
      </c>
      <c r="AU2712" s="65" t="str">
        <f>IFERROR(VLOOKUP(#REF!,[1]Lookup!$B$2:$E$115,3,FALSE),"")</f>
        <v/>
      </c>
    </row>
    <row r="2713" spans="31:47" x14ac:dyDescent="0.3">
      <c r="AE2713" s="204" t="s">
        <v>398</v>
      </c>
      <c r="AF2713" s="204" t="s">
        <v>398</v>
      </c>
      <c r="AG2713" s="204" t="s">
        <v>398</v>
      </c>
      <c r="AS2713" s="65" t="str">
        <f>IFERROR(VLOOKUP(#REF!,[1]Lookup!$B$2:$E$115,4,FALSE),"")</f>
        <v/>
      </c>
      <c r="AT2713" s="65" t="str">
        <f>IFERROR(VLOOKUP(#REF!,[1]Lookup!$B$2:$E$115,2,FALSE),"")</f>
        <v/>
      </c>
      <c r="AU2713" s="65" t="str">
        <f>IFERROR(VLOOKUP(#REF!,[1]Lookup!$B$2:$E$115,3,FALSE),"")</f>
        <v/>
      </c>
    </row>
    <row r="2714" spans="31:47" x14ac:dyDescent="0.3">
      <c r="AE2714" s="204" t="s">
        <v>398</v>
      </c>
      <c r="AF2714" s="204" t="s">
        <v>398</v>
      </c>
      <c r="AG2714" s="204" t="s">
        <v>398</v>
      </c>
      <c r="AS2714" s="65" t="str">
        <f>IFERROR(VLOOKUP(#REF!,[1]Lookup!$B$2:$E$115,4,FALSE),"")</f>
        <v/>
      </c>
      <c r="AT2714" s="65" t="str">
        <f>IFERROR(VLOOKUP(#REF!,[1]Lookup!$B$2:$E$115,2,FALSE),"")</f>
        <v/>
      </c>
      <c r="AU2714" s="65" t="str">
        <f>IFERROR(VLOOKUP(#REF!,[1]Lookup!$B$2:$E$115,3,FALSE),"")</f>
        <v/>
      </c>
    </row>
    <row r="2715" spans="31:47" x14ac:dyDescent="0.3">
      <c r="AE2715" s="204" t="s">
        <v>398</v>
      </c>
      <c r="AF2715" s="204" t="s">
        <v>398</v>
      </c>
      <c r="AG2715" s="204" t="s">
        <v>398</v>
      </c>
      <c r="AS2715" s="65" t="str">
        <f>IFERROR(VLOOKUP(#REF!,[1]Lookup!$B$2:$E$115,4,FALSE),"")</f>
        <v/>
      </c>
      <c r="AT2715" s="65" t="str">
        <f>IFERROR(VLOOKUP(#REF!,[1]Lookup!$B$2:$E$115,2,FALSE),"")</f>
        <v/>
      </c>
      <c r="AU2715" s="65" t="str">
        <f>IFERROR(VLOOKUP(#REF!,[1]Lookup!$B$2:$E$115,3,FALSE),"")</f>
        <v/>
      </c>
    </row>
    <row r="2716" spans="31:47" x14ac:dyDescent="0.3">
      <c r="AE2716" s="204" t="s">
        <v>398</v>
      </c>
      <c r="AF2716" s="204" t="s">
        <v>398</v>
      </c>
      <c r="AG2716" s="204" t="s">
        <v>398</v>
      </c>
      <c r="AS2716" s="65" t="str">
        <f>IFERROR(VLOOKUP(#REF!,[1]Lookup!$B$2:$E$115,4,FALSE),"")</f>
        <v/>
      </c>
      <c r="AT2716" s="65" t="str">
        <f>IFERROR(VLOOKUP(#REF!,[1]Lookup!$B$2:$E$115,2,FALSE),"")</f>
        <v/>
      </c>
      <c r="AU2716" s="65" t="str">
        <f>IFERROR(VLOOKUP(#REF!,[1]Lookup!$B$2:$E$115,3,FALSE),"")</f>
        <v/>
      </c>
    </row>
    <row r="2717" spans="31:47" x14ac:dyDescent="0.3">
      <c r="AE2717" s="204" t="s">
        <v>398</v>
      </c>
      <c r="AF2717" s="204" t="s">
        <v>398</v>
      </c>
      <c r="AG2717" s="204" t="s">
        <v>398</v>
      </c>
      <c r="AS2717" s="65" t="str">
        <f>IFERROR(VLOOKUP(#REF!,[1]Lookup!$B$2:$E$115,4,FALSE),"")</f>
        <v/>
      </c>
      <c r="AT2717" s="65" t="str">
        <f>IFERROR(VLOOKUP(#REF!,[1]Lookup!$B$2:$E$115,2,FALSE),"")</f>
        <v/>
      </c>
      <c r="AU2717" s="65" t="str">
        <f>IFERROR(VLOOKUP(#REF!,[1]Lookup!$B$2:$E$115,3,FALSE),"")</f>
        <v/>
      </c>
    </row>
    <row r="2718" spans="31:47" x14ac:dyDescent="0.3">
      <c r="AE2718" s="204" t="s">
        <v>398</v>
      </c>
      <c r="AF2718" s="204" t="s">
        <v>398</v>
      </c>
      <c r="AG2718" s="204" t="s">
        <v>398</v>
      </c>
      <c r="AS2718" s="65" t="str">
        <f>IFERROR(VLOOKUP(#REF!,[1]Lookup!$B$2:$E$115,4,FALSE),"")</f>
        <v/>
      </c>
      <c r="AT2718" s="65" t="str">
        <f>IFERROR(VLOOKUP(#REF!,[1]Lookup!$B$2:$E$115,2,FALSE),"")</f>
        <v/>
      </c>
      <c r="AU2718" s="65" t="str">
        <f>IFERROR(VLOOKUP(#REF!,[1]Lookup!$B$2:$E$115,3,FALSE),"")</f>
        <v/>
      </c>
    </row>
    <row r="2719" spans="31:47" x14ac:dyDescent="0.3">
      <c r="AE2719" s="204" t="s">
        <v>398</v>
      </c>
      <c r="AF2719" s="204" t="s">
        <v>398</v>
      </c>
      <c r="AG2719" s="204" t="s">
        <v>398</v>
      </c>
      <c r="AS2719" s="65" t="str">
        <f>IFERROR(VLOOKUP(#REF!,[1]Lookup!$B$2:$E$115,4,FALSE),"")</f>
        <v/>
      </c>
      <c r="AT2719" s="65" t="str">
        <f>IFERROR(VLOOKUP(#REF!,[1]Lookup!$B$2:$E$115,2,FALSE),"")</f>
        <v/>
      </c>
      <c r="AU2719" s="65" t="str">
        <f>IFERROR(VLOOKUP(#REF!,[1]Lookup!$B$2:$E$115,3,FALSE),"")</f>
        <v/>
      </c>
    </row>
    <row r="2720" spans="31:47" x14ac:dyDescent="0.3">
      <c r="AE2720" s="204" t="s">
        <v>398</v>
      </c>
      <c r="AF2720" s="204" t="s">
        <v>398</v>
      </c>
      <c r="AG2720" s="204" t="s">
        <v>398</v>
      </c>
      <c r="AS2720" s="65" t="str">
        <f>IFERROR(VLOOKUP(#REF!,[1]Lookup!$B$2:$E$115,4,FALSE),"")</f>
        <v/>
      </c>
      <c r="AT2720" s="65" t="str">
        <f>IFERROR(VLOOKUP(#REF!,[1]Lookup!$B$2:$E$115,2,FALSE),"")</f>
        <v/>
      </c>
      <c r="AU2720" s="65" t="str">
        <f>IFERROR(VLOOKUP(#REF!,[1]Lookup!$B$2:$E$115,3,FALSE),"")</f>
        <v/>
      </c>
    </row>
    <row r="2721" spans="31:47" x14ac:dyDescent="0.3">
      <c r="AE2721" s="204" t="s">
        <v>398</v>
      </c>
      <c r="AF2721" s="204" t="s">
        <v>398</v>
      </c>
      <c r="AG2721" s="204" t="s">
        <v>398</v>
      </c>
      <c r="AS2721" s="65" t="str">
        <f>IFERROR(VLOOKUP(#REF!,[1]Lookup!$B$2:$E$115,4,FALSE),"")</f>
        <v/>
      </c>
      <c r="AT2721" s="65" t="str">
        <f>IFERROR(VLOOKUP(#REF!,[1]Lookup!$B$2:$E$115,2,FALSE),"")</f>
        <v/>
      </c>
      <c r="AU2721" s="65" t="str">
        <f>IFERROR(VLOOKUP(#REF!,[1]Lookup!$B$2:$E$115,3,FALSE),"")</f>
        <v/>
      </c>
    </row>
    <row r="2722" spans="31:47" x14ac:dyDescent="0.3">
      <c r="AE2722" s="204" t="s">
        <v>398</v>
      </c>
      <c r="AF2722" s="204" t="s">
        <v>398</v>
      </c>
      <c r="AG2722" s="204" t="s">
        <v>398</v>
      </c>
      <c r="AS2722" s="65" t="str">
        <f>IFERROR(VLOOKUP(#REF!,[1]Lookup!$B$2:$E$115,4,FALSE),"")</f>
        <v/>
      </c>
      <c r="AT2722" s="65" t="str">
        <f>IFERROR(VLOOKUP(#REF!,[1]Lookup!$B$2:$E$115,2,FALSE),"")</f>
        <v/>
      </c>
      <c r="AU2722" s="65" t="str">
        <f>IFERROR(VLOOKUP(#REF!,[1]Lookup!$B$2:$E$115,3,FALSE),"")</f>
        <v/>
      </c>
    </row>
    <row r="2723" spans="31:47" x14ac:dyDescent="0.3">
      <c r="AE2723" s="204" t="s">
        <v>398</v>
      </c>
      <c r="AF2723" s="204" t="s">
        <v>398</v>
      </c>
      <c r="AG2723" s="204" t="s">
        <v>398</v>
      </c>
      <c r="AS2723" s="65" t="str">
        <f>IFERROR(VLOOKUP(#REF!,[1]Lookup!$B$2:$E$115,4,FALSE),"")</f>
        <v/>
      </c>
      <c r="AT2723" s="65" t="str">
        <f>IFERROR(VLOOKUP(#REF!,[1]Lookup!$B$2:$E$115,2,FALSE),"")</f>
        <v/>
      </c>
      <c r="AU2723" s="65" t="str">
        <f>IFERROR(VLOOKUP(#REF!,[1]Lookup!$B$2:$E$115,3,FALSE),"")</f>
        <v/>
      </c>
    </row>
    <row r="2724" spans="31:47" x14ac:dyDescent="0.3">
      <c r="AE2724" s="204" t="s">
        <v>398</v>
      </c>
      <c r="AF2724" s="204" t="s">
        <v>398</v>
      </c>
      <c r="AG2724" s="204" t="s">
        <v>398</v>
      </c>
      <c r="AS2724" s="65" t="str">
        <f>IFERROR(VLOOKUP(#REF!,[1]Lookup!$B$2:$E$115,4,FALSE),"")</f>
        <v/>
      </c>
      <c r="AT2724" s="65" t="str">
        <f>IFERROR(VLOOKUP(#REF!,[1]Lookup!$B$2:$E$115,2,FALSE),"")</f>
        <v/>
      </c>
      <c r="AU2724" s="65" t="str">
        <f>IFERROR(VLOOKUP(#REF!,[1]Lookup!$B$2:$E$115,3,FALSE),"")</f>
        <v/>
      </c>
    </row>
    <row r="2725" spans="31:47" x14ac:dyDescent="0.3">
      <c r="AE2725" s="204" t="s">
        <v>398</v>
      </c>
      <c r="AF2725" s="204" t="s">
        <v>398</v>
      </c>
      <c r="AG2725" s="204" t="s">
        <v>398</v>
      </c>
      <c r="AS2725" s="65" t="str">
        <f>IFERROR(VLOOKUP(#REF!,[1]Lookup!$B$2:$E$115,4,FALSE),"")</f>
        <v/>
      </c>
      <c r="AT2725" s="65" t="str">
        <f>IFERROR(VLOOKUP(#REF!,[1]Lookup!$B$2:$E$115,2,FALSE),"")</f>
        <v/>
      </c>
      <c r="AU2725" s="65" t="str">
        <f>IFERROR(VLOOKUP(#REF!,[1]Lookup!$B$2:$E$115,3,FALSE),"")</f>
        <v/>
      </c>
    </row>
    <row r="2726" spans="31:47" x14ac:dyDescent="0.3">
      <c r="AE2726" s="204" t="s">
        <v>398</v>
      </c>
      <c r="AF2726" s="204" t="s">
        <v>398</v>
      </c>
      <c r="AG2726" s="204" t="s">
        <v>398</v>
      </c>
      <c r="AS2726" s="65" t="str">
        <f>IFERROR(VLOOKUP(#REF!,[1]Lookup!$B$2:$E$115,4,FALSE),"")</f>
        <v/>
      </c>
      <c r="AT2726" s="65" t="str">
        <f>IFERROR(VLOOKUP(#REF!,[1]Lookup!$B$2:$E$115,2,FALSE),"")</f>
        <v/>
      </c>
      <c r="AU2726" s="65" t="str">
        <f>IFERROR(VLOOKUP(#REF!,[1]Lookup!$B$2:$E$115,3,FALSE),"")</f>
        <v/>
      </c>
    </row>
    <row r="2727" spans="31:47" x14ac:dyDescent="0.3">
      <c r="AE2727" s="204" t="s">
        <v>398</v>
      </c>
      <c r="AF2727" s="204" t="s">
        <v>398</v>
      </c>
      <c r="AG2727" s="204" t="s">
        <v>398</v>
      </c>
      <c r="AS2727" s="65" t="str">
        <f>IFERROR(VLOOKUP(#REF!,[1]Lookup!$B$2:$E$115,4,FALSE),"")</f>
        <v/>
      </c>
      <c r="AT2727" s="65" t="str">
        <f>IFERROR(VLOOKUP(#REF!,[1]Lookup!$B$2:$E$115,2,FALSE),"")</f>
        <v/>
      </c>
      <c r="AU2727" s="65" t="str">
        <f>IFERROR(VLOOKUP(#REF!,[1]Lookup!$B$2:$E$115,3,FALSE),"")</f>
        <v/>
      </c>
    </row>
    <row r="2728" spans="31:47" x14ac:dyDescent="0.3">
      <c r="AE2728" s="204" t="s">
        <v>398</v>
      </c>
      <c r="AF2728" s="204" t="s">
        <v>398</v>
      </c>
      <c r="AG2728" s="204" t="s">
        <v>398</v>
      </c>
      <c r="AS2728" s="65" t="str">
        <f>IFERROR(VLOOKUP(#REF!,[1]Lookup!$B$2:$E$115,4,FALSE),"")</f>
        <v/>
      </c>
      <c r="AT2728" s="65" t="str">
        <f>IFERROR(VLOOKUP(#REF!,[1]Lookup!$B$2:$E$115,2,FALSE),"")</f>
        <v/>
      </c>
      <c r="AU2728" s="65" t="str">
        <f>IFERROR(VLOOKUP(#REF!,[1]Lookup!$B$2:$E$115,3,FALSE),"")</f>
        <v/>
      </c>
    </row>
    <row r="2729" spans="31:47" x14ac:dyDescent="0.3">
      <c r="AE2729" s="204" t="s">
        <v>398</v>
      </c>
      <c r="AF2729" s="204" t="s">
        <v>398</v>
      </c>
      <c r="AG2729" s="204" t="s">
        <v>398</v>
      </c>
      <c r="AS2729" s="65" t="str">
        <f>IFERROR(VLOOKUP(#REF!,[1]Lookup!$B$2:$E$115,4,FALSE),"")</f>
        <v/>
      </c>
      <c r="AT2729" s="65" t="str">
        <f>IFERROR(VLOOKUP(#REF!,[1]Lookup!$B$2:$E$115,2,FALSE),"")</f>
        <v/>
      </c>
      <c r="AU2729" s="65" t="str">
        <f>IFERROR(VLOOKUP(#REF!,[1]Lookup!$B$2:$E$115,3,FALSE),"")</f>
        <v/>
      </c>
    </row>
    <row r="2730" spans="31:47" x14ac:dyDescent="0.3">
      <c r="AE2730" s="204" t="s">
        <v>398</v>
      </c>
      <c r="AF2730" s="204" t="s">
        <v>398</v>
      </c>
      <c r="AG2730" s="204" t="s">
        <v>398</v>
      </c>
      <c r="AS2730" s="65" t="str">
        <f>IFERROR(VLOOKUP(#REF!,[1]Lookup!$B$2:$E$115,4,FALSE),"")</f>
        <v/>
      </c>
      <c r="AT2730" s="65" t="str">
        <f>IFERROR(VLOOKUP(#REF!,[1]Lookup!$B$2:$E$115,2,FALSE),"")</f>
        <v/>
      </c>
      <c r="AU2730" s="65" t="str">
        <f>IFERROR(VLOOKUP(#REF!,[1]Lookup!$B$2:$E$115,3,FALSE),"")</f>
        <v/>
      </c>
    </row>
    <row r="2731" spans="31:47" x14ac:dyDescent="0.3">
      <c r="AE2731" s="204" t="s">
        <v>398</v>
      </c>
      <c r="AF2731" s="204" t="s">
        <v>398</v>
      </c>
      <c r="AG2731" s="204" t="s">
        <v>398</v>
      </c>
      <c r="AS2731" s="65" t="str">
        <f>IFERROR(VLOOKUP(#REF!,[1]Lookup!$B$2:$E$115,4,FALSE),"")</f>
        <v/>
      </c>
      <c r="AT2731" s="65" t="str">
        <f>IFERROR(VLOOKUP(#REF!,[1]Lookup!$B$2:$E$115,2,FALSE),"")</f>
        <v/>
      </c>
      <c r="AU2731" s="65" t="str">
        <f>IFERROR(VLOOKUP(#REF!,[1]Lookup!$B$2:$E$115,3,FALSE),"")</f>
        <v/>
      </c>
    </row>
    <row r="2732" spans="31:47" x14ac:dyDescent="0.3">
      <c r="AE2732" s="204" t="s">
        <v>398</v>
      </c>
      <c r="AF2732" s="204" t="s">
        <v>398</v>
      </c>
      <c r="AG2732" s="204" t="s">
        <v>398</v>
      </c>
      <c r="AS2732" s="65" t="str">
        <f>IFERROR(VLOOKUP(#REF!,[1]Lookup!$B$2:$E$115,4,FALSE),"")</f>
        <v/>
      </c>
      <c r="AT2732" s="65" t="str">
        <f>IFERROR(VLOOKUP(#REF!,[1]Lookup!$B$2:$E$115,2,FALSE),"")</f>
        <v/>
      </c>
      <c r="AU2732" s="65" t="str">
        <f>IFERROR(VLOOKUP(#REF!,[1]Lookup!$B$2:$E$115,3,FALSE),"")</f>
        <v/>
      </c>
    </row>
    <row r="2733" spans="31:47" x14ac:dyDescent="0.3">
      <c r="AE2733" s="204" t="s">
        <v>398</v>
      </c>
      <c r="AF2733" s="204" t="s">
        <v>398</v>
      </c>
      <c r="AG2733" s="204" t="s">
        <v>398</v>
      </c>
      <c r="AS2733" s="65" t="str">
        <f>IFERROR(VLOOKUP(#REF!,[1]Lookup!$B$2:$E$115,4,FALSE),"")</f>
        <v/>
      </c>
      <c r="AT2733" s="65" t="str">
        <f>IFERROR(VLOOKUP(#REF!,[1]Lookup!$B$2:$E$115,2,FALSE),"")</f>
        <v/>
      </c>
      <c r="AU2733" s="65" t="str">
        <f>IFERROR(VLOOKUP(#REF!,[1]Lookup!$B$2:$E$115,3,FALSE),"")</f>
        <v/>
      </c>
    </row>
    <row r="2734" spans="31:47" x14ac:dyDescent="0.3">
      <c r="AE2734" s="204" t="s">
        <v>398</v>
      </c>
      <c r="AF2734" s="204" t="s">
        <v>398</v>
      </c>
      <c r="AG2734" s="204" t="s">
        <v>398</v>
      </c>
      <c r="AS2734" s="65" t="str">
        <f>IFERROR(VLOOKUP(#REF!,[1]Lookup!$B$2:$E$115,4,FALSE),"")</f>
        <v/>
      </c>
      <c r="AT2734" s="65" t="str">
        <f>IFERROR(VLOOKUP(#REF!,[1]Lookup!$B$2:$E$115,2,FALSE),"")</f>
        <v/>
      </c>
      <c r="AU2734" s="65" t="str">
        <f>IFERROR(VLOOKUP(#REF!,[1]Lookup!$B$2:$E$115,3,FALSE),"")</f>
        <v/>
      </c>
    </row>
    <row r="2735" spans="31:47" x14ac:dyDescent="0.3">
      <c r="AE2735" s="204" t="s">
        <v>398</v>
      </c>
      <c r="AF2735" s="204" t="s">
        <v>398</v>
      </c>
      <c r="AG2735" s="204" t="s">
        <v>398</v>
      </c>
      <c r="AS2735" s="65" t="str">
        <f>IFERROR(VLOOKUP(#REF!,[1]Lookup!$B$2:$E$115,4,FALSE),"")</f>
        <v/>
      </c>
      <c r="AT2735" s="65" t="str">
        <f>IFERROR(VLOOKUP(#REF!,[1]Lookup!$B$2:$E$115,2,FALSE),"")</f>
        <v/>
      </c>
      <c r="AU2735" s="65" t="str">
        <f>IFERROR(VLOOKUP(#REF!,[1]Lookup!$B$2:$E$115,3,FALSE),"")</f>
        <v/>
      </c>
    </row>
    <row r="2736" spans="31:47" x14ac:dyDescent="0.3">
      <c r="AE2736" s="204" t="s">
        <v>398</v>
      </c>
      <c r="AF2736" s="204" t="s">
        <v>398</v>
      </c>
      <c r="AG2736" s="204" t="s">
        <v>398</v>
      </c>
      <c r="AS2736" s="65" t="str">
        <f>IFERROR(VLOOKUP(#REF!,[1]Lookup!$B$2:$E$115,4,FALSE),"")</f>
        <v/>
      </c>
      <c r="AT2736" s="65" t="str">
        <f>IFERROR(VLOOKUP(#REF!,[1]Lookup!$B$2:$E$115,2,FALSE),"")</f>
        <v/>
      </c>
      <c r="AU2736" s="65" t="str">
        <f>IFERROR(VLOOKUP(#REF!,[1]Lookup!$B$2:$E$115,3,FALSE),"")</f>
        <v/>
      </c>
    </row>
    <row r="2737" spans="31:47" x14ac:dyDescent="0.3">
      <c r="AE2737" s="204" t="s">
        <v>398</v>
      </c>
      <c r="AF2737" s="204" t="s">
        <v>398</v>
      </c>
      <c r="AG2737" s="204" t="s">
        <v>398</v>
      </c>
      <c r="AS2737" s="65" t="str">
        <f>IFERROR(VLOOKUP(#REF!,[1]Lookup!$B$2:$E$115,4,FALSE),"")</f>
        <v/>
      </c>
      <c r="AT2737" s="65" t="str">
        <f>IFERROR(VLOOKUP(#REF!,[1]Lookup!$B$2:$E$115,2,FALSE),"")</f>
        <v/>
      </c>
      <c r="AU2737" s="65" t="str">
        <f>IFERROR(VLOOKUP(#REF!,[1]Lookup!$B$2:$E$115,3,FALSE),"")</f>
        <v/>
      </c>
    </row>
    <row r="2738" spans="31:47" x14ac:dyDescent="0.3">
      <c r="AE2738" s="204" t="s">
        <v>398</v>
      </c>
      <c r="AF2738" s="204" t="s">
        <v>398</v>
      </c>
      <c r="AG2738" s="204" t="s">
        <v>398</v>
      </c>
      <c r="AS2738" s="65" t="str">
        <f>IFERROR(VLOOKUP(#REF!,[1]Lookup!$B$2:$E$115,4,FALSE),"")</f>
        <v/>
      </c>
      <c r="AT2738" s="65" t="str">
        <f>IFERROR(VLOOKUP(#REF!,[1]Lookup!$B$2:$E$115,2,FALSE),"")</f>
        <v/>
      </c>
      <c r="AU2738" s="65" t="str">
        <f>IFERROR(VLOOKUP(#REF!,[1]Lookup!$B$2:$E$115,3,FALSE),"")</f>
        <v/>
      </c>
    </row>
    <row r="2739" spans="31:47" x14ac:dyDescent="0.3">
      <c r="AE2739" s="204" t="s">
        <v>398</v>
      </c>
      <c r="AF2739" s="204" t="s">
        <v>398</v>
      </c>
      <c r="AG2739" s="204" t="s">
        <v>398</v>
      </c>
      <c r="AS2739" s="65" t="str">
        <f>IFERROR(VLOOKUP(#REF!,[1]Lookup!$B$2:$E$115,4,FALSE),"")</f>
        <v/>
      </c>
      <c r="AT2739" s="65" t="str">
        <f>IFERROR(VLOOKUP(#REF!,[1]Lookup!$B$2:$E$115,2,FALSE),"")</f>
        <v/>
      </c>
      <c r="AU2739" s="65" t="str">
        <f>IFERROR(VLOOKUP(#REF!,[1]Lookup!$B$2:$E$115,3,FALSE),"")</f>
        <v/>
      </c>
    </row>
    <row r="2740" spans="31:47" x14ac:dyDescent="0.3">
      <c r="AE2740" s="204" t="s">
        <v>398</v>
      </c>
      <c r="AF2740" s="204" t="s">
        <v>398</v>
      </c>
      <c r="AG2740" s="204" t="s">
        <v>398</v>
      </c>
      <c r="AS2740" s="65" t="str">
        <f>IFERROR(VLOOKUP(#REF!,[1]Lookup!$B$2:$E$115,4,FALSE),"")</f>
        <v/>
      </c>
      <c r="AT2740" s="65" t="str">
        <f>IFERROR(VLOOKUP(#REF!,[1]Lookup!$B$2:$E$115,2,FALSE),"")</f>
        <v/>
      </c>
      <c r="AU2740" s="65" t="str">
        <f>IFERROR(VLOOKUP(#REF!,[1]Lookup!$B$2:$E$115,3,FALSE),"")</f>
        <v/>
      </c>
    </row>
    <row r="2741" spans="31:47" x14ac:dyDescent="0.3">
      <c r="AE2741" s="204" t="s">
        <v>398</v>
      </c>
      <c r="AF2741" s="204" t="s">
        <v>398</v>
      </c>
      <c r="AG2741" s="204" t="s">
        <v>398</v>
      </c>
      <c r="AS2741" s="65" t="str">
        <f>IFERROR(VLOOKUP(#REF!,[1]Lookup!$B$2:$E$115,4,FALSE),"")</f>
        <v/>
      </c>
      <c r="AT2741" s="65" t="str">
        <f>IFERROR(VLOOKUP(#REF!,[1]Lookup!$B$2:$E$115,2,FALSE),"")</f>
        <v/>
      </c>
      <c r="AU2741" s="65" t="str">
        <f>IFERROR(VLOOKUP(#REF!,[1]Lookup!$B$2:$E$115,3,FALSE),"")</f>
        <v/>
      </c>
    </row>
    <row r="2742" spans="31:47" x14ac:dyDescent="0.3">
      <c r="AE2742" s="204" t="s">
        <v>398</v>
      </c>
      <c r="AF2742" s="204" t="s">
        <v>398</v>
      </c>
      <c r="AG2742" s="204" t="s">
        <v>398</v>
      </c>
      <c r="AS2742" s="65" t="str">
        <f>IFERROR(VLOOKUP(#REF!,[1]Lookup!$B$2:$E$115,4,FALSE),"")</f>
        <v/>
      </c>
      <c r="AT2742" s="65" t="str">
        <f>IFERROR(VLOOKUP(#REF!,[1]Lookup!$B$2:$E$115,2,FALSE),"")</f>
        <v/>
      </c>
      <c r="AU2742" s="65" t="str">
        <f>IFERROR(VLOOKUP(#REF!,[1]Lookup!$B$2:$E$115,3,FALSE),"")</f>
        <v/>
      </c>
    </row>
    <row r="2743" spans="31:47" x14ac:dyDescent="0.3">
      <c r="AE2743" s="204" t="s">
        <v>398</v>
      </c>
      <c r="AF2743" s="204" t="s">
        <v>398</v>
      </c>
      <c r="AG2743" s="204" t="s">
        <v>398</v>
      </c>
      <c r="AS2743" s="65" t="str">
        <f>IFERROR(VLOOKUP(#REF!,[1]Lookup!$B$2:$E$115,4,FALSE),"")</f>
        <v/>
      </c>
      <c r="AT2743" s="65" t="str">
        <f>IFERROR(VLOOKUP(#REF!,[1]Lookup!$B$2:$E$115,2,FALSE),"")</f>
        <v/>
      </c>
      <c r="AU2743" s="65" t="str">
        <f>IFERROR(VLOOKUP(#REF!,[1]Lookup!$B$2:$E$115,3,FALSE),"")</f>
        <v/>
      </c>
    </row>
    <row r="2744" spans="31:47" x14ac:dyDescent="0.3">
      <c r="AE2744" s="204" t="s">
        <v>398</v>
      </c>
      <c r="AF2744" s="204" t="s">
        <v>398</v>
      </c>
      <c r="AG2744" s="204" t="s">
        <v>398</v>
      </c>
      <c r="AS2744" s="65" t="str">
        <f>IFERROR(VLOOKUP(#REF!,[1]Lookup!$B$2:$E$115,4,FALSE),"")</f>
        <v/>
      </c>
      <c r="AT2744" s="65" t="str">
        <f>IFERROR(VLOOKUP(#REF!,[1]Lookup!$B$2:$E$115,2,FALSE),"")</f>
        <v/>
      </c>
      <c r="AU2744" s="65" t="str">
        <f>IFERROR(VLOOKUP(#REF!,[1]Lookup!$B$2:$E$115,3,FALSE),"")</f>
        <v/>
      </c>
    </row>
    <row r="2745" spans="31:47" x14ac:dyDescent="0.3">
      <c r="AE2745" s="204" t="s">
        <v>398</v>
      </c>
      <c r="AF2745" s="204" t="s">
        <v>398</v>
      </c>
      <c r="AG2745" s="204" t="s">
        <v>398</v>
      </c>
      <c r="AS2745" s="65" t="str">
        <f>IFERROR(VLOOKUP(#REF!,[1]Lookup!$B$2:$E$115,4,FALSE),"")</f>
        <v/>
      </c>
      <c r="AT2745" s="65" t="str">
        <f>IFERROR(VLOOKUP(#REF!,[1]Lookup!$B$2:$E$115,2,FALSE),"")</f>
        <v/>
      </c>
      <c r="AU2745" s="65" t="str">
        <f>IFERROR(VLOOKUP(#REF!,[1]Lookup!$B$2:$E$115,3,FALSE),"")</f>
        <v/>
      </c>
    </row>
    <row r="2746" spans="31:47" x14ac:dyDescent="0.3">
      <c r="AE2746" s="204" t="s">
        <v>398</v>
      </c>
      <c r="AF2746" s="204" t="s">
        <v>398</v>
      </c>
      <c r="AG2746" s="204" t="s">
        <v>398</v>
      </c>
      <c r="AS2746" s="65" t="str">
        <f>IFERROR(VLOOKUP(#REF!,[1]Lookup!$B$2:$E$115,4,FALSE),"")</f>
        <v/>
      </c>
      <c r="AT2746" s="65" t="str">
        <f>IFERROR(VLOOKUP(#REF!,[1]Lookup!$B$2:$E$115,2,FALSE),"")</f>
        <v/>
      </c>
      <c r="AU2746" s="65" t="str">
        <f>IFERROR(VLOOKUP(#REF!,[1]Lookup!$B$2:$E$115,3,FALSE),"")</f>
        <v/>
      </c>
    </row>
    <row r="2747" spans="31:47" x14ac:dyDescent="0.3">
      <c r="AE2747" s="204" t="s">
        <v>398</v>
      </c>
      <c r="AF2747" s="204" t="s">
        <v>398</v>
      </c>
      <c r="AG2747" s="204" t="s">
        <v>398</v>
      </c>
      <c r="AS2747" s="65" t="str">
        <f>IFERROR(VLOOKUP(#REF!,[1]Lookup!$B$2:$E$115,4,FALSE),"")</f>
        <v/>
      </c>
      <c r="AT2747" s="65" t="str">
        <f>IFERROR(VLOOKUP(#REF!,[1]Lookup!$B$2:$E$115,2,FALSE),"")</f>
        <v/>
      </c>
      <c r="AU2747" s="65" t="str">
        <f>IFERROR(VLOOKUP(#REF!,[1]Lookup!$B$2:$E$115,3,FALSE),"")</f>
        <v/>
      </c>
    </row>
    <row r="2748" spans="31:47" x14ac:dyDescent="0.3">
      <c r="AE2748" s="204" t="s">
        <v>398</v>
      </c>
      <c r="AF2748" s="204" t="s">
        <v>398</v>
      </c>
      <c r="AG2748" s="204" t="s">
        <v>398</v>
      </c>
      <c r="AS2748" s="65" t="str">
        <f>IFERROR(VLOOKUP(#REF!,[1]Lookup!$B$2:$E$115,4,FALSE),"")</f>
        <v/>
      </c>
      <c r="AT2748" s="65" t="str">
        <f>IFERROR(VLOOKUP(#REF!,[1]Lookup!$B$2:$E$115,2,FALSE),"")</f>
        <v/>
      </c>
      <c r="AU2748" s="65" t="str">
        <f>IFERROR(VLOOKUP(#REF!,[1]Lookup!$B$2:$E$115,3,FALSE),"")</f>
        <v/>
      </c>
    </row>
    <row r="2749" spans="31:47" x14ac:dyDescent="0.3">
      <c r="AE2749" s="204" t="s">
        <v>398</v>
      </c>
      <c r="AF2749" s="204" t="s">
        <v>398</v>
      </c>
      <c r="AG2749" s="204" t="s">
        <v>398</v>
      </c>
      <c r="AS2749" s="65" t="str">
        <f>IFERROR(VLOOKUP(#REF!,[1]Lookup!$B$2:$E$115,4,FALSE),"")</f>
        <v/>
      </c>
      <c r="AT2749" s="65" t="str">
        <f>IFERROR(VLOOKUP(#REF!,[1]Lookup!$B$2:$E$115,2,FALSE),"")</f>
        <v/>
      </c>
      <c r="AU2749" s="65" t="str">
        <f>IFERROR(VLOOKUP(#REF!,[1]Lookup!$B$2:$E$115,3,FALSE),"")</f>
        <v/>
      </c>
    </row>
    <row r="2750" spans="31:47" x14ac:dyDescent="0.3">
      <c r="AE2750" s="204" t="s">
        <v>398</v>
      </c>
      <c r="AF2750" s="204" t="s">
        <v>398</v>
      </c>
      <c r="AG2750" s="204" t="s">
        <v>398</v>
      </c>
      <c r="AS2750" s="65" t="str">
        <f>IFERROR(VLOOKUP(#REF!,[1]Lookup!$B$2:$E$115,4,FALSE),"")</f>
        <v/>
      </c>
      <c r="AT2750" s="65" t="str">
        <f>IFERROR(VLOOKUP(#REF!,[1]Lookup!$B$2:$E$115,2,FALSE),"")</f>
        <v/>
      </c>
      <c r="AU2750" s="65" t="str">
        <f>IFERROR(VLOOKUP(#REF!,[1]Lookup!$B$2:$E$115,3,FALSE),"")</f>
        <v/>
      </c>
    </row>
    <row r="2751" spans="31:47" x14ac:dyDescent="0.3">
      <c r="AE2751" s="204" t="s">
        <v>398</v>
      </c>
      <c r="AF2751" s="204" t="s">
        <v>398</v>
      </c>
      <c r="AG2751" s="204" t="s">
        <v>398</v>
      </c>
      <c r="AS2751" s="65" t="str">
        <f>IFERROR(VLOOKUP(#REF!,[1]Lookup!$B$2:$E$115,4,FALSE),"")</f>
        <v/>
      </c>
      <c r="AT2751" s="65" t="str">
        <f>IFERROR(VLOOKUP(#REF!,[1]Lookup!$B$2:$E$115,2,FALSE),"")</f>
        <v/>
      </c>
      <c r="AU2751" s="65" t="str">
        <f>IFERROR(VLOOKUP(#REF!,[1]Lookup!$B$2:$E$115,3,FALSE),"")</f>
        <v/>
      </c>
    </row>
    <row r="2752" spans="31:47" x14ac:dyDescent="0.3">
      <c r="AE2752" s="204" t="s">
        <v>398</v>
      </c>
      <c r="AF2752" s="204" t="s">
        <v>398</v>
      </c>
      <c r="AG2752" s="204" t="s">
        <v>398</v>
      </c>
      <c r="AS2752" s="65" t="str">
        <f>IFERROR(VLOOKUP(#REF!,[1]Lookup!$B$2:$E$115,4,FALSE),"")</f>
        <v/>
      </c>
      <c r="AT2752" s="65" t="str">
        <f>IFERROR(VLOOKUP(#REF!,[1]Lookup!$B$2:$E$115,2,FALSE),"")</f>
        <v/>
      </c>
      <c r="AU2752" s="65" t="str">
        <f>IFERROR(VLOOKUP(#REF!,[1]Lookup!$B$2:$E$115,3,FALSE),"")</f>
        <v/>
      </c>
    </row>
    <row r="2753" spans="31:47" x14ac:dyDescent="0.3">
      <c r="AE2753" s="204" t="s">
        <v>398</v>
      </c>
      <c r="AF2753" s="204" t="s">
        <v>398</v>
      </c>
      <c r="AG2753" s="204" t="s">
        <v>398</v>
      </c>
      <c r="AS2753" s="65" t="str">
        <f>IFERROR(VLOOKUP(#REF!,[1]Lookup!$B$2:$E$115,4,FALSE),"")</f>
        <v/>
      </c>
      <c r="AT2753" s="65" t="str">
        <f>IFERROR(VLOOKUP(#REF!,[1]Lookup!$B$2:$E$115,2,FALSE),"")</f>
        <v/>
      </c>
      <c r="AU2753" s="65" t="str">
        <f>IFERROR(VLOOKUP(#REF!,[1]Lookup!$B$2:$E$115,3,FALSE),"")</f>
        <v/>
      </c>
    </row>
    <row r="2754" spans="31:47" x14ac:dyDescent="0.3">
      <c r="AE2754" s="204" t="s">
        <v>398</v>
      </c>
      <c r="AF2754" s="204" t="s">
        <v>398</v>
      </c>
      <c r="AG2754" s="204" t="s">
        <v>398</v>
      </c>
      <c r="AS2754" s="65" t="str">
        <f>IFERROR(VLOOKUP(#REF!,[1]Lookup!$B$2:$E$115,4,FALSE),"")</f>
        <v/>
      </c>
      <c r="AT2754" s="65" t="str">
        <f>IFERROR(VLOOKUP(#REF!,[1]Lookup!$B$2:$E$115,2,FALSE),"")</f>
        <v/>
      </c>
      <c r="AU2754" s="65" t="str">
        <f>IFERROR(VLOOKUP(#REF!,[1]Lookup!$B$2:$E$115,3,FALSE),"")</f>
        <v/>
      </c>
    </row>
    <row r="2755" spans="31:47" x14ac:dyDescent="0.3">
      <c r="AE2755" s="204" t="s">
        <v>398</v>
      </c>
      <c r="AF2755" s="204" t="s">
        <v>398</v>
      </c>
      <c r="AG2755" s="204" t="s">
        <v>398</v>
      </c>
      <c r="AS2755" s="65" t="str">
        <f>IFERROR(VLOOKUP(#REF!,[1]Lookup!$B$2:$E$115,4,FALSE),"")</f>
        <v/>
      </c>
      <c r="AT2755" s="65" t="str">
        <f>IFERROR(VLOOKUP(#REF!,[1]Lookup!$B$2:$E$115,2,FALSE),"")</f>
        <v/>
      </c>
      <c r="AU2755" s="65" t="str">
        <f>IFERROR(VLOOKUP(#REF!,[1]Lookup!$B$2:$E$115,3,FALSE),"")</f>
        <v/>
      </c>
    </row>
    <row r="2756" spans="31:47" x14ac:dyDescent="0.3">
      <c r="AE2756" s="204" t="s">
        <v>398</v>
      </c>
      <c r="AF2756" s="204" t="s">
        <v>398</v>
      </c>
      <c r="AG2756" s="204" t="s">
        <v>398</v>
      </c>
      <c r="AS2756" s="65" t="str">
        <f>IFERROR(VLOOKUP(#REF!,[1]Lookup!$B$2:$E$115,4,FALSE),"")</f>
        <v/>
      </c>
      <c r="AT2756" s="65" t="str">
        <f>IFERROR(VLOOKUP(#REF!,[1]Lookup!$B$2:$E$115,2,FALSE),"")</f>
        <v/>
      </c>
      <c r="AU2756" s="65" t="str">
        <f>IFERROR(VLOOKUP(#REF!,[1]Lookup!$B$2:$E$115,3,FALSE),"")</f>
        <v/>
      </c>
    </row>
    <row r="2757" spans="31:47" x14ac:dyDescent="0.3">
      <c r="AE2757" s="204" t="s">
        <v>398</v>
      </c>
      <c r="AF2757" s="204" t="s">
        <v>398</v>
      </c>
      <c r="AG2757" s="204" t="s">
        <v>398</v>
      </c>
      <c r="AS2757" s="65" t="str">
        <f>IFERROR(VLOOKUP(#REF!,[1]Lookup!$B$2:$E$115,4,FALSE),"")</f>
        <v/>
      </c>
      <c r="AT2757" s="65" t="str">
        <f>IFERROR(VLOOKUP(#REF!,[1]Lookup!$B$2:$E$115,2,FALSE),"")</f>
        <v/>
      </c>
      <c r="AU2757" s="65" t="str">
        <f>IFERROR(VLOOKUP(#REF!,[1]Lookup!$B$2:$E$115,3,FALSE),"")</f>
        <v/>
      </c>
    </row>
    <row r="2758" spans="31:47" x14ac:dyDescent="0.3">
      <c r="AE2758" s="204" t="s">
        <v>398</v>
      </c>
      <c r="AF2758" s="204" t="s">
        <v>398</v>
      </c>
      <c r="AG2758" s="204" t="s">
        <v>398</v>
      </c>
      <c r="AS2758" s="65" t="str">
        <f>IFERROR(VLOOKUP(#REF!,[1]Lookup!$B$2:$E$115,4,FALSE),"")</f>
        <v/>
      </c>
      <c r="AT2758" s="65" t="str">
        <f>IFERROR(VLOOKUP(#REF!,[1]Lookup!$B$2:$E$115,2,FALSE),"")</f>
        <v/>
      </c>
      <c r="AU2758" s="65" t="str">
        <f>IFERROR(VLOOKUP(#REF!,[1]Lookup!$B$2:$E$115,3,FALSE),"")</f>
        <v/>
      </c>
    </row>
    <row r="2759" spans="31:47" x14ac:dyDescent="0.3">
      <c r="AE2759" s="204" t="s">
        <v>398</v>
      </c>
      <c r="AF2759" s="204" t="s">
        <v>398</v>
      </c>
      <c r="AG2759" s="204" t="s">
        <v>398</v>
      </c>
      <c r="AS2759" s="65" t="str">
        <f>IFERROR(VLOOKUP(#REF!,[1]Lookup!$B$2:$E$115,4,FALSE),"")</f>
        <v/>
      </c>
      <c r="AT2759" s="65" t="str">
        <f>IFERROR(VLOOKUP(#REF!,[1]Lookup!$B$2:$E$115,2,FALSE),"")</f>
        <v/>
      </c>
      <c r="AU2759" s="65" t="str">
        <f>IFERROR(VLOOKUP(#REF!,[1]Lookup!$B$2:$E$115,3,FALSE),"")</f>
        <v/>
      </c>
    </row>
    <row r="2760" spans="31:47" x14ac:dyDescent="0.3">
      <c r="AE2760" s="204" t="s">
        <v>398</v>
      </c>
      <c r="AF2760" s="204" t="s">
        <v>398</v>
      </c>
      <c r="AG2760" s="204" t="s">
        <v>398</v>
      </c>
      <c r="AS2760" s="65" t="str">
        <f>IFERROR(VLOOKUP(#REF!,[1]Lookup!$B$2:$E$115,4,FALSE),"")</f>
        <v/>
      </c>
      <c r="AT2760" s="65" t="str">
        <f>IFERROR(VLOOKUP(#REF!,[1]Lookup!$B$2:$E$115,2,FALSE),"")</f>
        <v/>
      </c>
      <c r="AU2760" s="65" t="str">
        <f>IFERROR(VLOOKUP(#REF!,[1]Lookup!$B$2:$E$115,3,FALSE),"")</f>
        <v/>
      </c>
    </row>
    <row r="2761" spans="31:47" x14ac:dyDescent="0.3">
      <c r="AE2761" s="204" t="s">
        <v>398</v>
      </c>
      <c r="AF2761" s="204" t="s">
        <v>398</v>
      </c>
      <c r="AG2761" s="204" t="s">
        <v>398</v>
      </c>
      <c r="AS2761" s="65" t="str">
        <f>IFERROR(VLOOKUP(#REF!,[1]Lookup!$B$2:$E$115,4,FALSE),"")</f>
        <v/>
      </c>
      <c r="AT2761" s="65" t="str">
        <f>IFERROR(VLOOKUP(#REF!,[1]Lookup!$B$2:$E$115,2,FALSE),"")</f>
        <v/>
      </c>
      <c r="AU2761" s="65" t="str">
        <f>IFERROR(VLOOKUP(#REF!,[1]Lookup!$B$2:$E$115,3,FALSE),"")</f>
        <v/>
      </c>
    </row>
    <row r="2762" spans="31:47" x14ac:dyDescent="0.3">
      <c r="AE2762" s="204" t="s">
        <v>398</v>
      </c>
      <c r="AF2762" s="204" t="s">
        <v>398</v>
      </c>
      <c r="AG2762" s="204" t="s">
        <v>398</v>
      </c>
      <c r="AS2762" s="65" t="str">
        <f>IFERROR(VLOOKUP(#REF!,[1]Lookup!$B$2:$E$115,4,FALSE),"")</f>
        <v/>
      </c>
      <c r="AT2762" s="65" t="str">
        <f>IFERROR(VLOOKUP(#REF!,[1]Lookup!$B$2:$E$115,2,FALSE),"")</f>
        <v/>
      </c>
      <c r="AU2762" s="65" t="str">
        <f>IFERROR(VLOOKUP(#REF!,[1]Lookup!$B$2:$E$115,3,FALSE),"")</f>
        <v/>
      </c>
    </row>
    <row r="2763" spans="31:47" x14ac:dyDescent="0.3">
      <c r="AE2763" s="204" t="s">
        <v>398</v>
      </c>
      <c r="AF2763" s="204" t="s">
        <v>398</v>
      </c>
      <c r="AG2763" s="204" t="s">
        <v>398</v>
      </c>
      <c r="AS2763" s="65" t="str">
        <f>IFERROR(VLOOKUP(#REF!,[1]Lookup!$B$2:$E$115,4,FALSE),"")</f>
        <v/>
      </c>
      <c r="AT2763" s="65" t="str">
        <f>IFERROR(VLOOKUP(#REF!,[1]Lookup!$B$2:$E$115,2,FALSE),"")</f>
        <v/>
      </c>
      <c r="AU2763" s="65" t="str">
        <f>IFERROR(VLOOKUP(#REF!,[1]Lookup!$B$2:$E$115,3,FALSE),"")</f>
        <v/>
      </c>
    </row>
    <row r="2764" spans="31:47" x14ac:dyDescent="0.3">
      <c r="AE2764" s="204" t="s">
        <v>398</v>
      </c>
      <c r="AF2764" s="204" t="s">
        <v>398</v>
      </c>
      <c r="AG2764" s="204" t="s">
        <v>398</v>
      </c>
      <c r="AS2764" s="65" t="str">
        <f>IFERROR(VLOOKUP(#REF!,[1]Lookup!$B$2:$E$115,4,FALSE),"")</f>
        <v/>
      </c>
      <c r="AT2764" s="65" t="str">
        <f>IFERROR(VLOOKUP(#REF!,[1]Lookup!$B$2:$E$115,2,FALSE),"")</f>
        <v/>
      </c>
      <c r="AU2764" s="65" t="str">
        <f>IFERROR(VLOOKUP(#REF!,[1]Lookup!$B$2:$E$115,3,FALSE),"")</f>
        <v/>
      </c>
    </row>
    <row r="2765" spans="31:47" x14ac:dyDescent="0.3">
      <c r="AE2765" s="204" t="s">
        <v>398</v>
      </c>
      <c r="AF2765" s="204" t="s">
        <v>398</v>
      </c>
      <c r="AG2765" s="204" t="s">
        <v>398</v>
      </c>
      <c r="AS2765" s="65" t="str">
        <f>IFERROR(VLOOKUP(#REF!,[1]Lookup!$B$2:$E$115,4,FALSE),"")</f>
        <v/>
      </c>
      <c r="AT2765" s="65" t="str">
        <f>IFERROR(VLOOKUP(#REF!,[1]Lookup!$B$2:$E$115,2,FALSE),"")</f>
        <v/>
      </c>
      <c r="AU2765" s="65" t="str">
        <f>IFERROR(VLOOKUP(#REF!,[1]Lookup!$B$2:$E$115,3,FALSE),"")</f>
        <v/>
      </c>
    </row>
    <row r="2766" spans="31:47" x14ac:dyDescent="0.3">
      <c r="AE2766" s="204" t="s">
        <v>398</v>
      </c>
      <c r="AF2766" s="204" t="s">
        <v>398</v>
      </c>
      <c r="AG2766" s="204" t="s">
        <v>398</v>
      </c>
      <c r="AS2766" s="65" t="str">
        <f>IFERROR(VLOOKUP(#REF!,[1]Lookup!$B$2:$E$115,4,FALSE),"")</f>
        <v/>
      </c>
      <c r="AT2766" s="65" t="str">
        <f>IFERROR(VLOOKUP(#REF!,[1]Lookup!$B$2:$E$115,2,FALSE),"")</f>
        <v/>
      </c>
      <c r="AU2766" s="65" t="str">
        <f>IFERROR(VLOOKUP(#REF!,[1]Lookup!$B$2:$E$115,3,FALSE),"")</f>
        <v/>
      </c>
    </row>
    <row r="2767" spans="31:47" x14ac:dyDescent="0.3">
      <c r="AE2767" s="204" t="s">
        <v>398</v>
      </c>
      <c r="AF2767" s="204" t="s">
        <v>398</v>
      </c>
      <c r="AG2767" s="204" t="s">
        <v>398</v>
      </c>
      <c r="AS2767" s="65" t="str">
        <f>IFERROR(VLOOKUP(#REF!,[1]Lookup!$B$2:$E$115,4,FALSE),"")</f>
        <v/>
      </c>
      <c r="AT2767" s="65" t="str">
        <f>IFERROR(VLOOKUP(#REF!,[1]Lookup!$B$2:$E$115,2,FALSE),"")</f>
        <v/>
      </c>
      <c r="AU2767" s="65" t="str">
        <f>IFERROR(VLOOKUP(#REF!,[1]Lookup!$B$2:$E$115,3,FALSE),"")</f>
        <v/>
      </c>
    </row>
    <row r="2768" spans="31:47" x14ac:dyDescent="0.3">
      <c r="AE2768" s="204" t="s">
        <v>398</v>
      </c>
      <c r="AF2768" s="204" t="s">
        <v>398</v>
      </c>
      <c r="AG2768" s="204" t="s">
        <v>398</v>
      </c>
      <c r="AS2768" s="65" t="str">
        <f>IFERROR(VLOOKUP(#REF!,[1]Lookup!$B$2:$E$115,4,FALSE),"")</f>
        <v/>
      </c>
      <c r="AT2768" s="65" t="str">
        <f>IFERROR(VLOOKUP(#REF!,[1]Lookup!$B$2:$E$115,2,FALSE),"")</f>
        <v/>
      </c>
      <c r="AU2768" s="65" t="str">
        <f>IFERROR(VLOOKUP(#REF!,[1]Lookup!$B$2:$E$115,3,FALSE),"")</f>
        <v/>
      </c>
    </row>
    <row r="2769" spans="31:47" x14ac:dyDescent="0.3">
      <c r="AE2769" s="204" t="s">
        <v>398</v>
      </c>
      <c r="AF2769" s="204" t="s">
        <v>398</v>
      </c>
      <c r="AG2769" s="204" t="s">
        <v>398</v>
      </c>
      <c r="AS2769" s="65" t="str">
        <f>IFERROR(VLOOKUP(#REF!,[1]Lookup!$B$2:$E$115,4,FALSE),"")</f>
        <v/>
      </c>
      <c r="AT2769" s="65" t="str">
        <f>IFERROR(VLOOKUP(#REF!,[1]Lookup!$B$2:$E$115,2,FALSE),"")</f>
        <v/>
      </c>
      <c r="AU2769" s="65" t="str">
        <f>IFERROR(VLOOKUP(#REF!,[1]Lookup!$B$2:$E$115,3,FALSE),"")</f>
        <v/>
      </c>
    </row>
    <row r="2770" spans="31:47" x14ac:dyDescent="0.3">
      <c r="AE2770" s="204" t="s">
        <v>398</v>
      </c>
      <c r="AF2770" s="204" t="s">
        <v>398</v>
      </c>
      <c r="AG2770" s="204" t="s">
        <v>398</v>
      </c>
      <c r="AS2770" s="65" t="str">
        <f>IFERROR(VLOOKUP(#REF!,[1]Lookup!$B$2:$E$115,4,FALSE),"")</f>
        <v/>
      </c>
      <c r="AT2770" s="65" t="str">
        <f>IFERROR(VLOOKUP(#REF!,[1]Lookup!$B$2:$E$115,2,FALSE),"")</f>
        <v/>
      </c>
      <c r="AU2770" s="65" t="str">
        <f>IFERROR(VLOOKUP(#REF!,[1]Lookup!$B$2:$E$115,3,FALSE),"")</f>
        <v/>
      </c>
    </row>
    <row r="2771" spans="31:47" x14ac:dyDescent="0.3">
      <c r="AE2771" s="204" t="s">
        <v>398</v>
      </c>
      <c r="AF2771" s="204" t="s">
        <v>398</v>
      </c>
      <c r="AG2771" s="204" t="s">
        <v>398</v>
      </c>
      <c r="AS2771" s="65" t="str">
        <f>IFERROR(VLOOKUP(#REF!,[1]Lookup!$B$2:$E$115,4,FALSE),"")</f>
        <v/>
      </c>
      <c r="AT2771" s="65" t="str">
        <f>IFERROR(VLOOKUP(#REF!,[1]Lookup!$B$2:$E$115,2,FALSE),"")</f>
        <v/>
      </c>
      <c r="AU2771" s="65" t="str">
        <f>IFERROR(VLOOKUP(#REF!,[1]Lookup!$B$2:$E$115,3,FALSE),"")</f>
        <v/>
      </c>
    </row>
    <row r="2772" spans="31:47" x14ac:dyDescent="0.3">
      <c r="AE2772" s="204" t="s">
        <v>398</v>
      </c>
      <c r="AF2772" s="204" t="s">
        <v>398</v>
      </c>
      <c r="AG2772" s="204" t="s">
        <v>398</v>
      </c>
      <c r="AS2772" s="65" t="str">
        <f>IFERROR(VLOOKUP(#REF!,[1]Lookup!$B$2:$E$115,4,FALSE),"")</f>
        <v/>
      </c>
      <c r="AT2772" s="65" t="str">
        <f>IFERROR(VLOOKUP(#REF!,[1]Lookup!$B$2:$E$115,2,FALSE),"")</f>
        <v/>
      </c>
      <c r="AU2772" s="65" t="str">
        <f>IFERROR(VLOOKUP(#REF!,[1]Lookup!$B$2:$E$115,3,FALSE),"")</f>
        <v/>
      </c>
    </row>
    <row r="2773" spans="31:47" x14ac:dyDescent="0.3">
      <c r="AE2773" s="204" t="s">
        <v>398</v>
      </c>
      <c r="AF2773" s="204" t="s">
        <v>398</v>
      </c>
      <c r="AG2773" s="204" t="s">
        <v>398</v>
      </c>
      <c r="AS2773" s="65" t="str">
        <f>IFERROR(VLOOKUP(#REF!,[1]Lookup!$B$2:$E$115,4,FALSE),"")</f>
        <v/>
      </c>
      <c r="AT2773" s="65" t="str">
        <f>IFERROR(VLOOKUP(#REF!,[1]Lookup!$B$2:$E$115,2,FALSE),"")</f>
        <v/>
      </c>
      <c r="AU2773" s="65" t="str">
        <f>IFERROR(VLOOKUP(#REF!,[1]Lookup!$B$2:$E$115,3,FALSE),"")</f>
        <v/>
      </c>
    </row>
    <row r="2774" spans="31:47" x14ac:dyDescent="0.3">
      <c r="AE2774" s="204" t="s">
        <v>398</v>
      </c>
      <c r="AF2774" s="204" t="s">
        <v>398</v>
      </c>
      <c r="AG2774" s="204" t="s">
        <v>398</v>
      </c>
      <c r="AS2774" s="65" t="str">
        <f>IFERROR(VLOOKUP(#REF!,[1]Lookup!$B$2:$E$115,4,FALSE),"")</f>
        <v/>
      </c>
      <c r="AT2774" s="65" t="str">
        <f>IFERROR(VLOOKUP(#REF!,[1]Lookup!$B$2:$E$115,2,FALSE),"")</f>
        <v/>
      </c>
      <c r="AU2774" s="65" t="str">
        <f>IFERROR(VLOOKUP(#REF!,[1]Lookup!$B$2:$E$115,3,FALSE),"")</f>
        <v/>
      </c>
    </row>
    <row r="2775" spans="31:47" x14ac:dyDescent="0.3">
      <c r="AE2775" s="204" t="s">
        <v>398</v>
      </c>
      <c r="AF2775" s="204" t="s">
        <v>398</v>
      </c>
      <c r="AG2775" s="204" t="s">
        <v>398</v>
      </c>
      <c r="AS2775" s="65" t="str">
        <f>IFERROR(VLOOKUP(#REF!,[1]Lookup!$B$2:$E$115,4,FALSE),"")</f>
        <v/>
      </c>
      <c r="AT2775" s="65" t="str">
        <f>IFERROR(VLOOKUP(#REF!,[1]Lookup!$B$2:$E$115,2,FALSE),"")</f>
        <v/>
      </c>
      <c r="AU2775" s="65" t="str">
        <f>IFERROR(VLOOKUP(#REF!,[1]Lookup!$B$2:$E$115,3,FALSE),"")</f>
        <v/>
      </c>
    </row>
    <row r="2776" spans="31:47" x14ac:dyDescent="0.3">
      <c r="AE2776" s="204" t="s">
        <v>398</v>
      </c>
      <c r="AF2776" s="204" t="s">
        <v>398</v>
      </c>
      <c r="AG2776" s="204" t="s">
        <v>398</v>
      </c>
      <c r="AS2776" s="65" t="str">
        <f>IFERROR(VLOOKUP(#REF!,[1]Lookup!$B$2:$E$115,4,FALSE),"")</f>
        <v/>
      </c>
      <c r="AT2776" s="65" t="str">
        <f>IFERROR(VLOOKUP(#REF!,[1]Lookup!$B$2:$E$115,2,FALSE),"")</f>
        <v/>
      </c>
      <c r="AU2776" s="65" t="str">
        <f>IFERROR(VLOOKUP(#REF!,[1]Lookup!$B$2:$E$115,3,FALSE),"")</f>
        <v/>
      </c>
    </row>
    <row r="2777" spans="31:47" x14ac:dyDescent="0.3">
      <c r="AE2777" s="204" t="s">
        <v>398</v>
      </c>
      <c r="AF2777" s="204" t="s">
        <v>398</v>
      </c>
      <c r="AG2777" s="204" t="s">
        <v>398</v>
      </c>
      <c r="AS2777" s="65" t="str">
        <f>IFERROR(VLOOKUP(#REF!,[1]Lookup!$B$2:$E$115,4,FALSE),"")</f>
        <v/>
      </c>
      <c r="AT2777" s="65" t="str">
        <f>IFERROR(VLOOKUP(#REF!,[1]Lookup!$B$2:$E$115,2,FALSE),"")</f>
        <v/>
      </c>
      <c r="AU2777" s="65" t="str">
        <f>IFERROR(VLOOKUP(#REF!,[1]Lookup!$B$2:$E$115,3,FALSE),"")</f>
        <v/>
      </c>
    </row>
    <row r="2778" spans="31:47" x14ac:dyDescent="0.3">
      <c r="AE2778" s="204" t="s">
        <v>398</v>
      </c>
      <c r="AF2778" s="204" t="s">
        <v>398</v>
      </c>
      <c r="AG2778" s="204" t="s">
        <v>398</v>
      </c>
      <c r="AS2778" s="65" t="str">
        <f>IFERROR(VLOOKUP(#REF!,[1]Lookup!$B$2:$E$115,4,FALSE),"")</f>
        <v/>
      </c>
      <c r="AT2778" s="65" t="str">
        <f>IFERROR(VLOOKUP(#REF!,[1]Lookup!$B$2:$E$115,2,FALSE),"")</f>
        <v/>
      </c>
      <c r="AU2778" s="65" t="str">
        <f>IFERROR(VLOOKUP(#REF!,[1]Lookup!$B$2:$E$115,3,FALSE),"")</f>
        <v/>
      </c>
    </row>
    <row r="2779" spans="31:47" x14ac:dyDescent="0.3">
      <c r="AE2779" s="204" t="s">
        <v>398</v>
      </c>
      <c r="AF2779" s="204" t="s">
        <v>398</v>
      </c>
      <c r="AG2779" s="204" t="s">
        <v>398</v>
      </c>
      <c r="AS2779" s="65" t="str">
        <f>IFERROR(VLOOKUP(#REF!,[1]Lookup!$B$2:$E$115,4,FALSE),"")</f>
        <v/>
      </c>
      <c r="AT2779" s="65" t="str">
        <f>IFERROR(VLOOKUP(#REF!,[1]Lookup!$B$2:$E$115,2,FALSE),"")</f>
        <v/>
      </c>
      <c r="AU2779" s="65" t="str">
        <f>IFERROR(VLOOKUP(#REF!,[1]Lookup!$B$2:$E$115,3,FALSE),"")</f>
        <v/>
      </c>
    </row>
    <row r="2780" spans="31:47" x14ac:dyDescent="0.3">
      <c r="AE2780" s="204" t="s">
        <v>398</v>
      </c>
      <c r="AF2780" s="204" t="s">
        <v>398</v>
      </c>
      <c r="AG2780" s="204" t="s">
        <v>398</v>
      </c>
      <c r="AS2780" s="65" t="str">
        <f>IFERROR(VLOOKUP(#REF!,[1]Lookup!$B$2:$E$115,4,FALSE),"")</f>
        <v/>
      </c>
      <c r="AT2780" s="65" t="str">
        <f>IFERROR(VLOOKUP(#REF!,[1]Lookup!$B$2:$E$115,2,FALSE),"")</f>
        <v/>
      </c>
      <c r="AU2780" s="65" t="str">
        <f>IFERROR(VLOOKUP(#REF!,[1]Lookup!$B$2:$E$115,3,FALSE),"")</f>
        <v/>
      </c>
    </row>
    <row r="2781" spans="31:47" x14ac:dyDescent="0.3">
      <c r="AE2781" s="204" t="s">
        <v>398</v>
      </c>
      <c r="AF2781" s="204" t="s">
        <v>398</v>
      </c>
      <c r="AG2781" s="204" t="s">
        <v>398</v>
      </c>
      <c r="AS2781" s="65" t="str">
        <f>IFERROR(VLOOKUP(#REF!,[1]Lookup!$B$2:$E$115,4,FALSE),"")</f>
        <v/>
      </c>
      <c r="AT2781" s="65" t="str">
        <f>IFERROR(VLOOKUP(#REF!,[1]Lookup!$B$2:$E$115,2,FALSE),"")</f>
        <v/>
      </c>
      <c r="AU2781" s="65" t="str">
        <f>IFERROR(VLOOKUP(#REF!,[1]Lookup!$B$2:$E$115,3,FALSE),"")</f>
        <v/>
      </c>
    </row>
    <row r="2782" spans="31:47" x14ac:dyDescent="0.3">
      <c r="AE2782" s="204" t="s">
        <v>398</v>
      </c>
      <c r="AF2782" s="204" t="s">
        <v>398</v>
      </c>
      <c r="AG2782" s="204" t="s">
        <v>398</v>
      </c>
      <c r="AS2782" s="65" t="str">
        <f>IFERROR(VLOOKUP(#REF!,[1]Lookup!$B$2:$E$115,4,FALSE),"")</f>
        <v/>
      </c>
      <c r="AT2782" s="65" t="str">
        <f>IFERROR(VLOOKUP(#REF!,[1]Lookup!$B$2:$E$115,2,FALSE),"")</f>
        <v/>
      </c>
      <c r="AU2782" s="65" t="str">
        <f>IFERROR(VLOOKUP(#REF!,[1]Lookup!$B$2:$E$115,3,FALSE),"")</f>
        <v/>
      </c>
    </row>
    <row r="2783" spans="31:47" x14ac:dyDescent="0.3">
      <c r="AE2783" s="204" t="s">
        <v>398</v>
      </c>
      <c r="AF2783" s="204" t="s">
        <v>398</v>
      </c>
      <c r="AG2783" s="204" t="s">
        <v>398</v>
      </c>
      <c r="AS2783" s="65" t="str">
        <f>IFERROR(VLOOKUP(#REF!,[1]Lookup!$B$2:$E$115,4,FALSE),"")</f>
        <v/>
      </c>
      <c r="AT2783" s="65" t="str">
        <f>IFERROR(VLOOKUP(#REF!,[1]Lookup!$B$2:$E$115,2,FALSE),"")</f>
        <v/>
      </c>
      <c r="AU2783" s="65" t="str">
        <f>IFERROR(VLOOKUP(#REF!,[1]Lookup!$B$2:$E$115,3,FALSE),"")</f>
        <v/>
      </c>
    </row>
    <row r="2784" spans="31:47" x14ac:dyDescent="0.3">
      <c r="AE2784" s="204" t="s">
        <v>398</v>
      </c>
      <c r="AF2784" s="204" t="s">
        <v>398</v>
      </c>
      <c r="AG2784" s="204" t="s">
        <v>398</v>
      </c>
      <c r="AS2784" s="65" t="str">
        <f>IFERROR(VLOOKUP(#REF!,[1]Lookup!$B$2:$E$115,4,FALSE),"")</f>
        <v/>
      </c>
      <c r="AT2784" s="65" t="str">
        <f>IFERROR(VLOOKUP(#REF!,[1]Lookup!$B$2:$E$115,2,FALSE),"")</f>
        <v/>
      </c>
      <c r="AU2784" s="65" t="str">
        <f>IFERROR(VLOOKUP(#REF!,[1]Lookup!$B$2:$E$115,3,FALSE),"")</f>
        <v/>
      </c>
    </row>
    <row r="2785" spans="31:47" x14ac:dyDescent="0.3">
      <c r="AE2785" s="204" t="s">
        <v>398</v>
      </c>
      <c r="AF2785" s="204" t="s">
        <v>398</v>
      </c>
      <c r="AG2785" s="204" t="s">
        <v>398</v>
      </c>
      <c r="AS2785" s="65" t="str">
        <f>IFERROR(VLOOKUP(#REF!,[1]Lookup!$B$2:$E$115,4,FALSE),"")</f>
        <v/>
      </c>
      <c r="AT2785" s="65" t="str">
        <f>IFERROR(VLOOKUP(#REF!,[1]Lookup!$B$2:$E$115,2,FALSE),"")</f>
        <v/>
      </c>
      <c r="AU2785" s="65" t="str">
        <f>IFERROR(VLOOKUP(#REF!,[1]Lookup!$B$2:$E$115,3,FALSE),"")</f>
        <v/>
      </c>
    </row>
    <row r="2786" spans="31:47" x14ac:dyDescent="0.3">
      <c r="AE2786" s="204" t="s">
        <v>398</v>
      </c>
      <c r="AF2786" s="204" t="s">
        <v>398</v>
      </c>
      <c r="AG2786" s="204" t="s">
        <v>398</v>
      </c>
      <c r="AS2786" s="65" t="str">
        <f>IFERROR(VLOOKUP(#REF!,[1]Lookup!$B$2:$E$115,4,FALSE),"")</f>
        <v/>
      </c>
      <c r="AT2786" s="65" t="str">
        <f>IFERROR(VLOOKUP(#REF!,[1]Lookup!$B$2:$E$115,2,FALSE),"")</f>
        <v/>
      </c>
      <c r="AU2786" s="65" t="str">
        <f>IFERROR(VLOOKUP(#REF!,[1]Lookup!$B$2:$E$115,3,FALSE),"")</f>
        <v/>
      </c>
    </row>
    <row r="2787" spans="31:47" x14ac:dyDescent="0.3">
      <c r="AE2787" s="204" t="s">
        <v>398</v>
      </c>
      <c r="AF2787" s="204" t="s">
        <v>398</v>
      </c>
      <c r="AG2787" s="204" t="s">
        <v>398</v>
      </c>
      <c r="AS2787" s="65" t="str">
        <f>IFERROR(VLOOKUP(#REF!,[1]Lookup!$B$2:$E$115,4,FALSE),"")</f>
        <v/>
      </c>
      <c r="AT2787" s="65" t="str">
        <f>IFERROR(VLOOKUP(#REF!,[1]Lookup!$B$2:$E$115,2,FALSE),"")</f>
        <v/>
      </c>
      <c r="AU2787" s="65" t="str">
        <f>IFERROR(VLOOKUP(#REF!,[1]Lookup!$B$2:$E$115,3,FALSE),"")</f>
        <v/>
      </c>
    </row>
    <row r="2788" spans="31:47" x14ac:dyDescent="0.3">
      <c r="AE2788" s="204" t="s">
        <v>398</v>
      </c>
      <c r="AF2788" s="204" t="s">
        <v>398</v>
      </c>
      <c r="AG2788" s="204" t="s">
        <v>398</v>
      </c>
      <c r="AS2788" s="65" t="str">
        <f>IFERROR(VLOOKUP(#REF!,[1]Lookup!$B$2:$E$115,4,FALSE),"")</f>
        <v/>
      </c>
      <c r="AT2788" s="65" t="str">
        <f>IFERROR(VLOOKUP(#REF!,[1]Lookup!$B$2:$E$115,2,FALSE),"")</f>
        <v/>
      </c>
      <c r="AU2788" s="65" t="str">
        <f>IFERROR(VLOOKUP(#REF!,[1]Lookup!$B$2:$E$115,3,FALSE),"")</f>
        <v/>
      </c>
    </row>
    <row r="2789" spans="31:47" x14ac:dyDescent="0.3">
      <c r="AE2789" s="204" t="s">
        <v>398</v>
      </c>
      <c r="AF2789" s="204" t="s">
        <v>398</v>
      </c>
      <c r="AG2789" s="204" t="s">
        <v>398</v>
      </c>
      <c r="AS2789" s="65" t="str">
        <f>IFERROR(VLOOKUP(#REF!,[1]Lookup!$B$2:$E$115,4,FALSE),"")</f>
        <v/>
      </c>
      <c r="AT2789" s="65" t="str">
        <f>IFERROR(VLOOKUP(#REF!,[1]Lookup!$B$2:$E$115,2,FALSE),"")</f>
        <v/>
      </c>
      <c r="AU2789" s="65" t="str">
        <f>IFERROR(VLOOKUP(#REF!,[1]Lookup!$B$2:$E$115,3,FALSE),"")</f>
        <v/>
      </c>
    </row>
    <row r="2790" spans="31:47" x14ac:dyDescent="0.3">
      <c r="AE2790" s="204" t="s">
        <v>398</v>
      </c>
      <c r="AF2790" s="204" t="s">
        <v>398</v>
      </c>
      <c r="AG2790" s="204" t="s">
        <v>398</v>
      </c>
      <c r="AS2790" s="65" t="str">
        <f>IFERROR(VLOOKUP(#REF!,[1]Lookup!$B$2:$E$115,4,FALSE),"")</f>
        <v/>
      </c>
      <c r="AT2790" s="65" t="str">
        <f>IFERROR(VLOOKUP(#REF!,[1]Lookup!$B$2:$E$115,2,FALSE),"")</f>
        <v/>
      </c>
      <c r="AU2790" s="65" t="str">
        <f>IFERROR(VLOOKUP(#REF!,[1]Lookup!$B$2:$E$115,3,FALSE),"")</f>
        <v/>
      </c>
    </row>
    <row r="2791" spans="31:47" x14ac:dyDescent="0.3">
      <c r="AE2791" s="204" t="s">
        <v>398</v>
      </c>
      <c r="AF2791" s="204" t="s">
        <v>398</v>
      </c>
      <c r="AG2791" s="204" t="s">
        <v>398</v>
      </c>
      <c r="AS2791" s="65" t="str">
        <f>IFERROR(VLOOKUP(#REF!,[1]Lookup!$B$2:$E$115,4,FALSE),"")</f>
        <v/>
      </c>
      <c r="AT2791" s="65" t="str">
        <f>IFERROR(VLOOKUP(#REF!,[1]Lookup!$B$2:$E$115,2,FALSE),"")</f>
        <v/>
      </c>
      <c r="AU2791" s="65" t="str">
        <f>IFERROR(VLOOKUP(#REF!,[1]Lookup!$B$2:$E$115,3,FALSE),"")</f>
        <v/>
      </c>
    </row>
    <row r="2792" spans="31:47" x14ac:dyDescent="0.3">
      <c r="AE2792" s="204" t="s">
        <v>398</v>
      </c>
      <c r="AF2792" s="204" t="s">
        <v>398</v>
      </c>
      <c r="AG2792" s="204" t="s">
        <v>398</v>
      </c>
      <c r="AS2792" s="65" t="str">
        <f>IFERROR(VLOOKUP(#REF!,[1]Lookup!$B$2:$E$115,4,FALSE),"")</f>
        <v/>
      </c>
      <c r="AT2792" s="65" t="str">
        <f>IFERROR(VLOOKUP(#REF!,[1]Lookup!$B$2:$E$115,2,FALSE),"")</f>
        <v/>
      </c>
      <c r="AU2792" s="65" t="str">
        <f>IFERROR(VLOOKUP(#REF!,[1]Lookup!$B$2:$E$115,3,FALSE),"")</f>
        <v/>
      </c>
    </row>
    <row r="2793" spans="31:47" x14ac:dyDescent="0.3">
      <c r="AE2793" s="204" t="s">
        <v>398</v>
      </c>
      <c r="AF2793" s="204" t="s">
        <v>398</v>
      </c>
      <c r="AG2793" s="204" t="s">
        <v>398</v>
      </c>
      <c r="AS2793" s="65" t="str">
        <f>IFERROR(VLOOKUP(#REF!,[1]Lookup!$B$2:$E$115,4,FALSE),"")</f>
        <v/>
      </c>
      <c r="AT2793" s="65" t="str">
        <f>IFERROR(VLOOKUP(#REF!,[1]Lookup!$B$2:$E$115,2,FALSE),"")</f>
        <v/>
      </c>
      <c r="AU2793" s="65" t="str">
        <f>IFERROR(VLOOKUP(#REF!,[1]Lookup!$B$2:$E$115,3,FALSE),"")</f>
        <v/>
      </c>
    </row>
    <row r="2794" spans="31:47" x14ac:dyDescent="0.3">
      <c r="AE2794" s="204" t="s">
        <v>398</v>
      </c>
      <c r="AF2794" s="204" t="s">
        <v>398</v>
      </c>
      <c r="AG2794" s="204" t="s">
        <v>398</v>
      </c>
      <c r="AS2794" s="65" t="str">
        <f>IFERROR(VLOOKUP(#REF!,[1]Lookup!$B$2:$E$115,4,FALSE),"")</f>
        <v/>
      </c>
      <c r="AT2794" s="65" t="str">
        <f>IFERROR(VLOOKUP(#REF!,[1]Lookup!$B$2:$E$115,2,FALSE),"")</f>
        <v/>
      </c>
      <c r="AU2794" s="65" t="str">
        <f>IFERROR(VLOOKUP(#REF!,[1]Lookup!$B$2:$E$115,3,FALSE),"")</f>
        <v/>
      </c>
    </row>
    <row r="2795" spans="31:47" x14ac:dyDescent="0.3">
      <c r="AE2795" s="204" t="s">
        <v>398</v>
      </c>
      <c r="AF2795" s="204" t="s">
        <v>398</v>
      </c>
      <c r="AG2795" s="204" t="s">
        <v>398</v>
      </c>
      <c r="AS2795" s="65" t="str">
        <f>IFERROR(VLOOKUP(#REF!,[1]Lookup!$B$2:$E$115,4,FALSE),"")</f>
        <v/>
      </c>
      <c r="AT2795" s="65" t="str">
        <f>IFERROR(VLOOKUP(#REF!,[1]Lookup!$B$2:$E$115,2,FALSE),"")</f>
        <v/>
      </c>
      <c r="AU2795" s="65" t="str">
        <f>IFERROR(VLOOKUP(#REF!,[1]Lookup!$B$2:$E$115,3,FALSE),"")</f>
        <v/>
      </c>
    </row>
    <row r="2796" spans="31:47" x14ac:dyDescent="0.3">
      <c r="AE2796" s="204" t="s">
        <v>398</v>
      </c>
      <c r="AF2796" s="204" t="s">
        <v>398</v>
      </c>
      <c r="AG2796" s="204" t="s">
        <v>398</v>
      </c>
      <c r="AS2796" s="65" t="str">
        <f>IFERROR(VLOOKUP(#REF!,[1]Lookup!$B$2:$E$115,4,FALSE),"")</f>
        <v/>
      </c>
      <c r="AT2796" s="65" t="str">
        <f>IFERROR(VLOOKUP(#REF!,[1]Lookup!$B$2:$E$115,2,FALSE),"")</f>
        <v/>
      </c>
      <c r="AU2796" s="65" t="str">
        <f>IFERROR(VLOOKUP(#REF!,[1]Lookup!$B$2:$E$115,3,FALSE),"")</f>
        <v/>
      </c>
    </row>
    <row r="2797" spans="31:47" x14ac:dyDescent="0.3">
      <c r="AE2797" s="204" t="s">
        <v>398</v>
      </c>
      <c r="AF2797" s="204" t="s">
        <v>398</v>
      </c>
      <c r="AG2797" s="204" t="s">
        <v>398</v>
      </c>
      <c r="AS2797" s="65" t="str">
        <f>IFERROR(VLOOKUP(#REF!,[1]Lookup!$B$2:$E$115,4,FALSE),"")</f>
        <v/>
      </c>
      <c r="AT2797" s="65" t="str">
        <f>IFERROR(VLOOKUP(#REF!,[1]Lookup!$B$2:$E$115,2,FALSE),"")</f>
        <v/>
      </c>
      <c r="AU2797" s="65" t="str">
        <f>IFERROR(VLOOKUP(#REF!,[1]Lookup!$B$2:$E$115,3,FALSE),"")</f>
        <v/>
      </c>
    </row>
    <row r="2798" spans="31:47" x14ac:dyDescent="0.3">
      <c r="AE2798" s="204" t="s">
        <v>398</v>
      </c>
      <c r="AF2798" s="204" t="s">
        <v>398</v>
      </c>
      <c r="AG2798" s="204" t="s">
        <v>398</v>
      </c>
      <c r="AS2798" s="65" t="str">
        <f>IFERROR(VLOOKUP(#REF!,[1]Lookup!$B$2:$E$115,4,FALSE),"")</f>
        <v/>
      </c>
      <c r="AT2798" s="65" t="str">
        <f>IFERROR(VLOOKUP(#REF!,[1]Lookup!$B$2:$E$115,2,FALSE),"")</f>
        <v/>
      </c>
      <c r="AU2798" s="65" t="str">
        <f>IFERROR(VLOOKUP(#REF!,[1]Lookup!$B$2:$E$115,3,FALSE),"")</f>
        <v/>
      </c>
    </row>
    <row r="2799" spans="31:47" x14ac:dyDescent="0.3">
      <c r="AE2799" s="204" t="s">
        <v>398</v>
      </c>
      <c r="AF2799" s="204" t="s">
        <v>398</v>
      </c>
      <c r="AG2799" s="204" t="s">
        <v>398</v>
      </c>
      <c r="AS2799" s="65" t="str">
        <f>IFERROR(VLOOKUP(#REF!,[1]Lookup!$B$2:$E$115,4,FALSE),"")</f>
        <v/>
      </c>
      <c r="AT2799" s="65" t="str">
        <f>IFERROR(VLOOKUP(#REF!,[1]Lookup!$B$2:$E$115,2,FALSE),"")</f>
        <v/>
      </c>
      <c r="AU2799" s="65" t="str">
        <f>IFERROR(VLOOKUP(#REF!,[1]Lookup!$B$2:$E$115,3,FALSE),"")</f>
        <v/>
      </c>
    </row>
    <row r="2800" spans="31:47" x14ac:dyDescent="0.3">
      <c r="AE2800" s="204" t="s">
        <v>398</v>
      </c>
      <c r="AF2800" s="204" t="s">
        <v>398</v>
      </c>
      <c r="AG2800" s="204" t="s">
        <v>398</v>
      </c>
      <c r="AS2800" s="65" t="str">
        <f>IFERROR(VLOOKUP(#REF!,[1]Lookup!$B$2:$E$115,4,FALSE),"")</f>
        <v/>
      </c>
      <c r="AT2800" s="65" t="str">
        <f>IFERROR(VLOOKUP(#REF!,[1]Lookup!$B$2:$E$115,2,FALSE),"")</f>
        <v/>
      </c>
      <c r="AU2800" s="65" t="str">
        <f>IFERROR(VLOOKUP(#REF!,[1]Lookup!$B$2:$E$115,3,FALSE),"")</f>
        <v/>
      </c>
    </row>
    <row r="2801" spans="31:47" x14ac:dyDescent="0.3">
      <c r="AE2801" s="204" t="s">
        <v>398</v>
      </c>
      <c r="AF2801" s="204" t="s">
        <v>398</v>
      </c>
      <c r="AG2801" s="204" t="s">
        <v>398</v>
      </c>
      <c r="AS2801" s="65" t="str">
        <f>IFERROR(VLOOKUP(#REF!,[1]Lookup!$B$2:$E$115,4,FALSE),"")</f>
        <v/>
      </c>
      <c r="AT2801" s="65" t="str">
        <f>IFERROR(VLOOKUP(#REF!,[1]Lookup!$B$2:$E$115,2,FALSE),"")</f>
        <v/>
      </c>
      <c r="AU2801" s="65" t="str">
        <f>IFERROR(VLOOKUP(#REF!,[1]Lookup!$B$2:$E$115,3,FALSE),"")</f>
        <v/>
      </c>
    </row>
    <row r="2802" spans="31:47" x14ac:dyDescent="0.3">
      <c r="AE2802" s="204" t="s">
        <v>398</v>
      </c>
      <c r="AF2802" s="204" t="s">
        <v>398</v>
      </c>
      <c r="AG2802" s="204" t="s">
        <v>398</v>
      </c>
      <c r="AS2802" s="65" t="str">
        <f>IFERROR(VLOOKUP(#REF!,[1]Lookup!$B$2:$E$115,4,FALSE),"")</f>
        <v/>
      </c>
      <c r="AT2802" s="65" t="str">
        <f>IFERROR(VLOOKUP(#REF!,[1]Lookup!$B$2:$E$115,2,FALSE),"")</f>
        <v/>
      </c>
      <c r="AU2802" s="65" t="str">
        <f>IFERROR(VLOOKUP(#REF!,[1]Lookup!$B$2:$E$115,3,FALSE),"")</f>
        <v/>
      </c>
    </row>
    <row r="2803" spans="31:47" x14ac:dyDescent="0.3">
      <c r="AE2803" s="204" t="s">
        <v>398</v>
      </c>
      <c r="AF2803" s="204" t="s">
        <v>398</v>
      </c>
      <c r="AG2803" s="204" t="s">
        <v>398</v>
      </c>
      <c r="AS2803" s="65" t="str">
        <f>IFERROR(VLOOKUP(#REF!,[1]Lookup!$B$2:$E$115,4,FALSE),"")</f>
        <v/>
      </c>
      <c r="AT2803" s="65" t="str">
        <f>IFERROR(VLOOKUP(#REF!,[1]Lookup!$B$2:$E$115,2,FALSE),"")</f>
        <v/>
      </c>
      <c r="AU2803" s="65" t="str">
        <f>IFERROR(VLOOKUP(#REF!,[1]Lookup!$B$2:$E$115,3,FALSE),"")</f>
        <v/>
      </c>
    </row>
    <row r="2804" spans="31:47" x14ac:dyDescent="0.3">
      <c r="AE2804" s="204" t="s">
        <v>398</v>
      </c>
      <c r="AF2804" s="204" t="s">
        <v>398</v>
      </c>
      <c r="AG2804" s="204" t="s">
        <v>398</v>
      </c>
      <c r="AS2804" s="65" t="str">
        <f>IFERROR(VLOOKUP(#REF!,[1]Lookup!$B$2:$E$115,4,FALSE),"")</f>
        <v/>
      </c>
      <c r="AT2804" s="65" t="str">
        <f>IFERROR(VLOOKUP(#REF!,[1]Lookup!$B$2:$E$115,2,FALSE),"")</f>
        <v/>
      </c>
      <c r="AU2804" s="65" t="str">
        <f>IFERROR(VLOOKUP(#REF!,[1]Lookup!$B$2:$E$115,3,FALSE),"")</f>
        <v/>
      </c>
    </row>
    <row r="2805" spans="31:47" x14ac:dyDescent="0.3">
      <c r="AE2805" s="204" t="s">
        <v>398</v>
      </c>
      <c r="AF2805" s="204" t="s">
        <v>398</v>
      </c>
      <c r="AG2805" s="204" t="s">
        <v>398</v>
      </c>
      <c r="AS2805" s="65" t="str">
        <f>IFERROR(VLOOKUP(#REF!,[1]Lookup!$B$2:$E$115,4,FALSE),"")</f>
        <v/>
      </c>
      <c r="AT2805" s="65" t="str">
        <f>IFERROR(VLOOKUP(#REF!,[1]Lookup!$B$2:$E$115,2,FALSE),"")</f>
        <v/>
      </c>
      <c r="AU2805" s="65" t="str">
        <f>IFERROR(VLOOKUP(#REF!,[1]Lookup!$B$2:$E$115,3,FALSE),"")</f>
        <v/>
      </c>
    </row>
    <row r="2806" spans="31:47" x14ac:dyDescent="0.3">
      <c r="AE2806" s="204" t="s">
        <v>398</v>
      </c>
      <c r="AF2806" s="204" t="s">
        <v>398</v>
      </c>
      <c r="AG2806" s="204" t="s">
        <v>398</v>
      </c>
      <c r="AS2806" s="65" t="str">
        <f>IFERROR(VLOOKUP(#REF!,[1]Lookup!$B$2:$E$115,4,FALSE),"")</f>
        <v/>
      </c>
      <c r="AT2806" s="65" t="str">
        <f>IFERROR(VLOOKUP(#REF!,[1]Lookup!$B$2:$E$115,2,FALSE),"")</f>
        <v/>
      </c>
      <c r="AU2806" s="65" t="str">
        <f>IFERROR(VLOOKUP(#REF!,[1]Lookup!$B$2:$E$115,3,FALSE),"")</f>
        <v/>
      </c>
    </row>
    <row r="2807" spans="31:47" x14ac:dyDescent="0.3">
      <c r="AE2807" s="204" t="s">
        <v>398</v>
      </c>
      <c r="AF2807" s="204" t="s">
        <v>398</v>
      </c>
      <c r="AG2807" s="204" t="s">
        <v>398</v>
      </c>
      <c r="AS2807" s="65" t="str">
        <f>IFERROR(VLOOKUP(#REF!,[1]Lookup!$B$2:$E$115,4,FALSE),"")</f>
        <v/>
      </c>
      <c r="AT2807" s="65" t="str">
        <f>IFERROR(VLOOKUP(#REF!,[1]Lookup!$B$2:$E$115,2,FALSE),"")</f>
        <v/>
      </c>
      <c r="AU2807" s="65" t="str">
        <f>IFERROR(VLOOKUP(#REF!,[1]Lookup!$B$2:$E$115,3,FALSE),"")</f>
        <v/>
      </c>
    </row>
    <row r="2808" spans="31:47" x14ac:dyDescent="0.3">
      <c r="AE2808" s="204" t="s">
        <v>398</v>
      </c>
      <c r="AF2808" s="204" t="s">
        <v>398</v>
      </c>
      <c r="AG2808" s="204" t="s">
        <v>398</v>
      </c>
      <c r="AS2808" s="65" t="str">
        <f>IFERROR(VLOOKUP(#REF!,[1]Lookup!$B$2:$E$115,4,FALSE),"")</f>
        <v/>
      </c>
      <c r="AT2808" s="65" t="str">
        <f>IFERROR(VLOOKUP(#REF!,[1]Lookup!$B$2:$E$115,2,FALSE),"")</f>
        <v/>
      </c>
      <c r="AU2808" s="65" t="str">
        <f>IFERROR(VLOOKUP(#REF!,[1]Lookup!$B$2:$E$115,3,FALSE),"")</f>
        <v/>
      </c>
    </row>
    <row r="2809" spans="31:47" x14ac:dyDescent="0.3">
      <c r="AE2809" s="204" t="s">
        <v>398</v>
      </c>
      <c r="AF2809" s="204" t="s">
        <v>398</v>
      </c>
      <c r="AG2809" s="204" t="s">
        <v>398</v>
      </c>
      <c r="AS2809" s="65" t="str">
        <f>IFERROR(VLOOKUP(#REF!,[1]Lookup!$B$2:$E$115,4,FALSE),"")</f>
        <v/>
      </c>
      <c r="AT2809" s="65" t="str">
        <f>IFERROR(VLOOKUP(#REF!,[1]Lookup!$B$2:$E$115,2,FALSE),"")</f>
        <v/>
      </c>
      <c r="AU2809" s="65" t="str">
        <f>IFERROR(VLOOKUP(#REF!,[1]Lookup!$B$2:$E$115,3,FALSE),"")</f>
        <v/>
      </c>
    </row>
    <row r="2810" spans="31:47" x14ac:dyDescent="0.3">
      <c r="AE2810" s="204" t="s">
        <v>398</v>
      </c>
      <c r="AF2810" s="204" t="s">
        <v>398</v>
      </c>
      <c r="AG2810" s="204" t="s">
        <v>398</v>
      </c>
      <c r="AS2810" s="65" t="str">
        <f>IFERROR(VLOOKUP(#REF!,[1]Lookup!$B$2:$E$115,4,FALSE),"")</f>
        <v/>
      </c>
      <c r="AT2810" s="65" t="str">
        <f>IFERROR(VLOOKUP(#REF!,[1]Lookup!$B$2:$E$115,2,FALSE),"")</f>
        <v/>
      </c>
      <c r="AU2810" s="65" t="str">
        <f>IFERROR(VLOOKUP(#REF!,[1]Lookup!$B$2:$E$115,3,FALSE),"")</f>
        <v/>
      </c>
    </row>
    <row r="2811" spans="31:47" x14ac:dyDescent="0.3">
      <c r="AE2811" s="204" t="s">
        <v>398</v>
      </c>
      <c r="AF2811" s="204" t="s">
        <v>398</v>
      </c>
      <c r="AG2811" s="204" t="s">
        <v>398</v>
      </c>
      <c r="AS2811" s="65" t="str">
        <f>IFERROR(VLOOKUP(#REF!,[1]Lookup!$B$2:$E$115,4,FALSE),"")</f>
        <v/>
      </c>
      <c r="AT2811" s="65" t="str">
        <f>IFERROR(VLOOKUP(#REF!,[1]Lookup!$B$2:$E$115,2,FALSE),"")</f>
        <v/>
      </c>
      <c r="AU2811" s="65" t="str">
        <f>IFERROR(VLOOKUP(#REF!,[1]Lookup!$B$2:$E$115,3,FALSE),"")</f>
        <v/>
      </c>
    </row>
    <row r="2812" spans="31:47" x14ac:dyDescent="0.3">
      <c r="AE2812" s="204" t="s">
        <v>398</v>
      </c>
      <c r="AF2812" s="204" t="s">
        <v>398</v>
      </c>
      <c r="AG2812" s="204" t="s">
        <v>398</v>
      </c>
      <c r="AS2812" s="65" t="str">
        <f>IFERROR(VLOOKUP(#REF!,[1]Lookup!$B$2:$E$115,4,FALSE),"")</f>
        <v/>
      </c>
      <c r="AT2812" s="65" t="str">
        <f>IFERROR(VLOOKUP(#REF!,[1]Lookup!$B$2:$E$115,2,FALSE),"")</f>
        <v/>
      </c>
      <c r="AU2812" s="65" t="str">
        <f>IFERROR(VLOOKUP(#REF!,[1]Lookup!$B$2:$E$115,3,FALSE),"")</f>
        <v/>
      </c>
    </row>
    <row r="2813" spans="31:47" x14ac:dyDescent="0.3">
      <c r="AE2813" s="204" t="s">
        <v>398</v>
      </c>
      <c r="AF2813" s="204" t="s">
        <v>398</v>
      </c>
      <c r="AG2813" s="204" t="s">
        <v>398</v>
      </c>
      <c r="AS2813" s="65" t="str">
        <f>IFERROR(VLOOKUP(#REF!,[1]Lookup!$B$2:$E$115,4,FALSE),"")</f>
        <v/>
      </c>
      <c r="AT2813" s="65" t="str">
        <f>IFERROR(VLOOKUP(#REF!,[1]Lookup!$B$2:$E$115,2,FALSE),"")</f>
        <v/>
      </c>
      <c r="AU2813" s="65" t="str">
        <f>IFERROR(VLOOKUP(#REF!,[1]Lookup!$B$2:$E$115,3,FALSE),"")</f>
        <v/>
      </c>
    </row>
    <row r="2814" spans="31:47" x14ac:dyDescent="0.3">
      <c r="AE2814" s="204" t="s">
        <v>398</v>
      </c>
      <c r="AF2814" s="204" t="s">
        <v>398</v>
      </c>
      <c r="AG2814" s="204" t="s">
        <v>398</v>
      </c>
      <c r="AS2814" s="65" t="str">
        <f>IFERROR(VLOOKUP(#REF!,[1]Lookup!$B$2:$E$115,4,FALSE),"")</f>
        <v/>
      </c>
      <c r="AT2814" s="65" t="str">
        <f>IFERROR(VLOOKUP(#REF!,[1]Lookup!$B$2:$E$115,2,FALSE),"")</f>
        <v/>
      </c>
      <c r="AU2814" s="65" t="str">
        <f>IFERROR(VLOOKUP(#REF!,[1]Lookup!$B$2:$E$115,3,FALSE),"")</f>
        <v/>
      </c>
    </row>
    <row r="2815" spans="31:47" x14ac:dyDescent="0.3">
      <c r="AE2815" s="204" t="s">
        <v>398</v>
      </c>
      <c r="AF2815" s="204" t="s">
        <v>398</v>
      </c>
      <c r="AG2815" s="204" t="s">
        <v>398</v>
      </c>
      <c r="AS2815" s="65" t="str">
        <f>IFERROR(VLOOKUP(#REF!,[1]Lookup!$B$2:$E$115,4,FALSE),"")</f>
        <v/>
      </c>
      <c r="AT2815" s="65" t="str">
        <f>IFERROR(VLOOKUP(#REF!,[1]Lookup!$B$2:$E$115,2,FALSE),"")</f>
        <v/>
      </c>
      <c r="AU2815" s="65" t="str">
        <f>IFERROR(VLOOKUP(#REF!,[1]Lookup!$B$2:$E$115,3,FALSE),"")</f>
        <v/>
      </c>
    </row>
    <row r="2816" spans="31:47" x14ac:dyDescent="0.3">
      <c r="AE2816" s="204" t="s">
        <v>398</v>
      </c>
      <c r="AF2816" s="204" t="s">
        <v>398</v>
      </c>
      <c r="AG2816" s="204" t="s">
        <v>398</v>
      </c>
      <c r="AS2816" s="65" t="str">
        <f>IFERROR(VLOOKUP(#REF!,[1]Lookup!$B$2:$E$115,4,FALSE),"")</f>
        <v/>
      </c>
      <c r="AT2816" s="65" t="str">
        <f>IFERROR(VLOOKUP(#REF!,[1]Lookup!$B$2:$E$115,2,FALSE),"")</f>
        <v/>
      </c>
      <c r="AU2816" s="65" t="str">
        <f>IFERROR(VLOOKUP(#REF!,[1]Lookup!$B$2:$E$115,3,FALSE),"")</f>
        <v/>
      </c>
    </row>
    <row r="2817" spans="31:47" x14ac:dyDescent="0.3">
      <c r="AE2817" s="204" t="s">
        <v>398</v>
      </c>
      <c r="AF2817" s="204" t="s">
        <v>398</v>
      </c>
      <c r="AG2817" s="204" t="s">
        <v>398</v>
      </c>
      <c r="AS2817" s="65" t="str">
        <f>IFERROR(VLOOKUP(#REF!,[1]Lookup!$B$2:$E$115,4,FALSE),"")</f>
        <v/>
      </c>
      <c r="AT2817" s="65" t="str">
        <f>IFERROR(VLOOKUP(#REF!,[1]Lookup!$B$2:$E$115,2,FALSE),"")</f>
        <v/>
      </c>
      <c r="AU2817" s="65" t="str">
        <f>IFERROR(VLOOKUP(#REF!,[1]Lookup!$B$2:$E$115,3,FALSE),"")</f>
        <v/>
      </c>
    </row>
    <row r="2818" spans="31:47" x14ac:dyDescent="0.3">
      <c r="AE2818" s="204" t="s">
        <v>398</v>
      </c>
      <c r="AF2818" s="204" t="s">
        <v>398</v>
      </c>
      <c r="AG2818" s="204" t="s">
        <v>398</v>
      </c>
      <c r="AS2818" s="65" t="str">
        <f>IFERROR(VLOOKUP(#REF!,[1]Lookup!$B$2:$E$115,4,FALSE),"")</f>
        <v/>
      </c>
      <c r="AT2818" s="65" t="str">
        <f>IFERROR(VLOOKUP(#REF!,[1]Lookup!$B$2:$E$115,2,FALSE),"")</f>
        <v/>
      </c>
      <c r="AU2818" s="65" t="str">
        <f>IFERROR(VLOOKUP(#REF!,[1]Lookup!$B$2:$E$115,3,FALSE),"")</f>
        <v/>
      </c>
    </row>
    <row r="2819" spans="31:47" x14ac:dyDescent="0.3">
      <c r="AE2819" s="204" t="s">
        <v>398</v>
      </c>
      <c r="AF2819" s="204" t="s">
        <v>398</v>
      </c>
      <c r="AG2819" s="204" t="s">
        <v>398</v>
      </c>
      <c r="AS2819" s="65" t="str">
        <f>IFERROR(VLOOKUP(#REF!,[1]Lookup!$B$2:$E$115,4,FALSE),"")</f>
        <v/>
      </c>
      <c r="AT2819" s="65" t="str">
        <f>IFERROR(VLOOKUP(#REF!,[1]Lookup!$B$2:$E$115,2,FALSE),"")</f>
        <v/>
      </c>
      <c r="AU2819" s="65" t="str">
        <f>IFERROR(VLOOKUP(#REF!,[1]Lookup!$B$2:$E$115,3,FALSE),"")</f>
        <v/>
      </c>
    </row>
    <row r="2820" spans="31:47" x14ac:dyDescent="0.3">
      <c r="AE2820" s="204" t="s">
        <v>398</v>
      </c>
      <c r="AF2820" s="204" t="s">
        <v>398</v>
      </c>
      <c r="AG2820" s="204" t="s">
        <v>398</v>
      </c>
      <c r="AS2820" s="65" t="str">
        <f>IFERROR(VLOOKUP(#REF!,[1]Lookup!$B$2:$E$115,4,FALSE),"")</f>
        <v/>
      </c>
      <c r="AT2820" s="65" t="str">
        <f>IFERROR(VLOOKUP(#REF!,[1]Lookup!$B$2:$E$115,2,FALSE),"")</f>
        <v/>
      </c>
      <c r="AU2820" s="65" t="str">
        <f>IFERROR(VLOOKUP(#REF!,[1]Lookup!$B$2:$E$115,3,FALSE),"")</f>
        <v/>
      </c>
    </row>
    <row r="2821" spans="31:47" x14ac:dyDescent="0.3">
      <c r="AE2821" s="204" t="s">
        <v>398</v>
      </c>
      <c r="AF2821" s="204" t="s">
        <v>398</v>
      </c>
      <c r="AG2821" s="204" t="s">
        <v>398</v>
      </c>
      <c r="AS2821" s="65" t="str">
        <f>IFERROR(VLOOKUP(#REF!,[1]Lookup!$B$2:$E$115,4,FALSE),"")</f>
        <v/>
      </c>
      <c r="AT2821" s="65" t="str">
        <f>IFERROR(VLOOKUP(#REF!,[1]Lookup!$B$2:$E$115,2,FALSE),"")</f>
        <v/>
      </c>
      <c r="AU2821" s="65" t="str">
        <f>IFERROR(VLOOKUP(#REF!,[1]Lookup!$B$2:$E$115,3,FALSE),"")</f>
        <v/>
      </c>
    </row>
    <row r="2822" spans="31:47" x14ac:dyDescent="0.3">
      <c r="AE2822" s="204" t="s">
        <v>398</v>
      </c>
      <c r="AF2822" s="204" t="s">
        <v>398</v>
      </c>
      <c r="AG2822" s="204" t="s">
        <v>398</v>
      </c>
      <c r="AS2822" s="65" t="str">
        <f>IFERROR(VLOOKUP(#REF!,[1]Lookup!$B$2:$E$115,4,FALSE),"")</f>
        <v/>
      </c>
      <c r="AT2822" s="65" t="str">
        <f>IFERROR(VLOOKUP(#REF!,[1]Lookup!$B$2:$E$115,2,FALSE),"")</f>
        <v/>
      </c>
      <c r="AU2822" s="65" t="str">
        <f>IFERROR(VLOOKUP(#REF!,[1]Lookup!$B$2:$E$115,3,FALSE),"")</f>
        <v/>
      </c>
    </row>
    <row r="2823" spans="31:47" x14ac:dyDescent="0.3">
      <c r="AE2823" s="204" t="s">
        <v>398</v>
      </c>
      <c r="AF2823" s="204" t="s">
        <v>398</v>
      </c>
      <c r="AG2823" s="204" t="s">
        <v>398</v>
      </c>
      <c r="AS2823" s="65" t="str">
        <f>IFERROR(VLOOKUP(#REF!,[1]Lookup!$B$2:$E$115,4,FALSE),"")</f>
        <v/>
      </c>
      <c r="AT2823" s="65" t="str">
        <f>IFERROR(VLOOKUP(#REF!,[1]Lookup!$B$2:$E$115,2,FALSE),"")</f>
        <v/>
      </c>
      <c r="AU2823" s="65" t="str">
        <f>IFERROR(VLOOKUP(#REF!,[1]Lookup!$B$2:$E$115,3,FALSE),"")</f>
        <v/>
      </c>
    </row>
    <row r="2824" spans="31:47" x14ac:dyDescent="0.3">
      <c r="AE2824" s="204" t="s">
        <v>398</v>
      </c>
      <c r="AF2824" s="204" t="s">
        <v>398</v>
      </c>
      <c r="AG2824" s="204" t="s">
        <v>398</v>
      </c>
      <c r="AS2824" s="65" t="str">
        <f>IFERROR(VLOOKUP(#REF!,[1]Lookup!$B$2:$E$115,4,FALSE),"")</f>
        <v/>
      </c>
      <c r="AT2824" s="65" t="str">
        <f>IFERROR(VLOOKUP(#REF!,[1]Lookup!$B$2:$E$115,2,FALSE),"")</f>
        <v/>
      </c>
      <c r="AU2824" s="65" t="str">
        <f>IFERROR(VLOOKUP(#REF!,[1]Lookup!$B$2:$E$115,3,FALSE),"")</f>
        <v/>
      </c>
    </row>
    <row r="2825" spans="31:47" x14ac:dyDescent="0.3">
      <c r="AE2825" s="204" t="s">
        <v>398</v>
      </c>
      <c r="AF2825" s="204" t="s">
        <v>398</v>
      </c>
      <c r="AG2825" s="204" t="s">
        <v>398</v>
      </c>
      <c r="AS2825" s="65" t="str">
        <f>IFERROR(VLOOKUP(#REF!,[1]Lookup!$B$2:$E$115,4,FALSE),"")</f>
        <v/>
      </c>
      <c r="AT2825" s="65" t="str">
        <f>IFERROR(VLOOKUP(#REF!,[1]Lookup!$B$2:$E$115,2,FALSE),"")</f>
        <v/>
      </c>
      <c r="AU2825" s="65" t="str">
        <f>IFERROR(VLOOKUP(#REF!,[1]Lookup!$B$2:$E$115,3,FALSE),"")</f>
        <v/>
      </c>
    </row>
    <row r="2826" spans="31:47" x14ac:dyDescent="0.3">
      <c r="AE2826" s="204" t="s">
        <v>398</v>
      </c>
      <c r="AF2826" s="204" t="s">
        <v>398</v>
      </c>
      <c r="AG2826" s="204" t="s">
        <v>398</v>
      </c>
      <c r="AS2826" s="65" t="str">
        <f>IFERROR(VLOOKUP(#REF!,[1]Lookup!$B$2:$E$115,4,FALSE),"")</f>
        <v/>
      </c>
      <c r="AT2826" s="65" t="str">
        <f>IFERROR(VLOOKUP(#REF!,[1]Lookup!$B$2:$E$115,2,FALSE),"")</f>
        <v/>
      </c>
      <c r="AU2826" s="65" t="str">
        <f>IFERROR(VLOOKUP(#REF!,[1]Lookup!$B$2:$E$115,3,FALSE),"")</f>
        <v/>
      </c>
    </row>
    <row r="2827" spans="31:47" x14ac:dyDescent="0.3">
      <c r="AE2827" s="204" t="s">
        <v>398</v>
      </c>
      <c r="AF2827" s="204" t="s">
        <v>398</v>
      </c>
      <c r="AG2827" s="204" t="s">
        <v>398</v>
      </c>
      <c r="AS2827" s="65" t="str">
        <f>IFERROR(VLOOKUP(#REF!,[1]Lookup!$B$2:$E$115,4,FALSE),"")</f>
        <v/>
      </c>
      <c r="AT2827" s="65" t="str">
        <f>IFERROR(VLOOKUP(#REF!,[1]Lookup!$B$2:$E$115,2,FALSE),"")</f>
        <v/>
      </c>
      <c r="AU2827" s="65" t="str">
        <f>IFERROR(VLOOKUP(#REF!,[1]Lookup!$B$2:$E$115,3,FALSE),"")</f>
        <v/>
      </c>
    </row>
    <row r="2828" spans="31:47" x14ac:dyDescent="0.3">
      <c r="AE2828" s="204" t="s">
        <v>398</v>
      </c>
      <c r="AF2828" s="204" t="s">
        <v>398</v>
      </c>
      <c r="AG2828" s="204" t="s">
        <v>398</v>
      </c>
      <c r="AS2828" s="65" t="str">
        <f>IFERROR(VLOOKUP(#REF!,[1]Lookup!$B$2:$E$115,4,FALSE),"")</f>
        <v/>
      </c>
      <c r="AT2828" s="65" t="str">
        <f>IFERROR(VLOOKUP(#REF!,[1]Lookup!$B$2:$E$115,2,FALSE),"")</f>
        <v/>
      </c>
      <c r="AU2828" s="65" t="str">
        <f>IFERROR(VLOOKUP(#REF!,[1]Lookup!$B$2:$E$115,3,FALSE),"")</f>
        <v/>
      </c>
    </row>
    <row r="2829" spans="31:47" x14ac:dyDescent="0.3">
      <c r="AE2829" s="204" t="s">
        <v>398</v>
      </c>
      <c r="AF2829" s="204" t="s">
        <v>398</v>
      </c>
      <c r="AG2829" s="204" t="s">
        <v>398</v>
      </c>
      <c r="AS2829" s="65" t="str">
        <f>IFERROR(VLOOKUP(#REF!,[1]Lookup!$B$2:$E$115,4,FALSE),"")</f>
        <v/>
      </c>
      <c r="AT2829" s="65" t="str">
        <f>IFERROR(VLOOKUP(#REF!,[1]Lookup!$B$2:$E$115,2,FALSE),"")</f>
        <v/>
      </c>
      <c r="AU2829" s="65" t="str">
        <f>IFERROR(VLOOKUP(#REF!,[1]Lookup!$B$2:$E$115,3,FALSE),"")</f>
        <v/>
      </c>
    </row>
    <row r="2830" spans="31:47" x14ac:dyDescent="0.3">
      <c r="AE2830" s="204" t="s">
        <v>398</v>
      </c>
      <c r="AF2830" s="204" t="s">
        <v>398</v>
      </c>
      <c r="AG2830" s="204" t="s">
        <v>398</v>
      </c>
      <c r="AS2830" s="65" t="str">
        <f>IFERROR(VLOOKUP(#REF!,[1]Lookup!$B$2:$E$115,4,FALSE),"")</f>
        <v/>
      </c>
      <c r="AT2830" s="65" t="str">
        <f>IFERROR(VLOOKUP(#REF!,[1]Lookup!$B$2:$E$115,2,FALSE),"")</f>
        <v/>
      </c>
      <c r="AU2830" s="65" t="str">
        <f>IFERROR(VLOOKUP(#REF!,[1]Lookup!$B$2:$E$115,3,FALSE),"")</f>
        <v/>
      </c>
    </row>
    <row r="2831" spans="31:47" x14ac:dyDescent="0.3">
      <c r="AE2831" s="204" t="s">
        <v>398</v>
      </c>
      <c r="AF2831" s="204" t="s">
        <v>398</v>
      </c>
      <c r="AG2831" s="204" t="s">
        <v>398</v>
      </c>
      <c r="AS2831" s="65" t="str">
        <f>IFERROR(VLOOKUP(#REF!,[1]Lookup!$B$2:$E$115,4,FALSE),"")</f>
        <v/>
      </c>
      <c r="AT2831" s="65" t="str">
        <f>IFERROR(VLOOKUP(#REF!,[1]Lookup!$B$2:$E$115,2,FALSE),"")</f>
        <v/>
      </c>
      <c r="AU2831" s="65" t="str">
        <f>IFERROR(VLOOKUP(#REF!,[1]Lookup!$B$2:$E$115,3,FALSE),"")</f>
        <v/>
      </c>
    </row>
    <row r="2832" spans="31:47" x14ac:dyDescent="0.3">
      <c r="AE2832" s="204" t="s">
        <v>398</v>
      </c>
      <c r="AF2832" s="204" t="s">
        <v>398</v>
      </c>
      <c r="AG2832" s="204" t="s">
        <v>398</v>
      </c>
      <c r="AS2832" s="65" t="str">
        <f>IFERROR(VLOOKUP(#REF!,[1]Lookup!$B$2:$E$115,4,FALSE),"")</f>
        <v/>
      </c>
      <c r="AT2832" s="65" t="str">
        <f>IFERROR(VLOOKUP(#REF!,[1]Lookup!$B$2:$E$115,2,FALSE),"")</f>
        <v/>
      </c>
      <c r="AU2832" s="65" t="str">
        <f>IFERROR(VLOOKUP(#REF!,[1]Lookup!$B$2:$E$115,3,FALSE),"")</f>
        <v/>
      </c>
    </row>
    <row r="2833" spans="31:47" x14ac:dyDescent="0.3">
      <c r="AE2833" s="204" t="s">
        <v>398</v>
      </c>
      <c r="AF2833" s="204" t="s">
        <v>398</v>
      </c>
      <c r="AG2833" s="204" t="s">
        <v>398</v>
      </c>
      <c r="AS2833" s="65" t="str">
        <f>IFERROR(VLOOKUP(#REF!,[1]Lookup!$B$2:$E$115,4,FALSE),"")</f>
        <v/>
      </c>
      <c r="AT2833" s="65" t="str">
        <f>IFERROR(VLOOKUP(#REF!,[1]Lookup!$B$2:$E$115,2,FALSE),"")</f>
        <v/>
      </c>
      <c r="AU2833" s="65" t="str">
        <f>IFERROR(VLOOKUP(#REF!,[1]Lookup!$B$2:$E$115,3,FALSE),"")</f>
        <v/>
      </c>
    </row>
    <row r="2834" spans="31:47" x14ac:dyDescent="0.3">
      <c r="AE2834" s="204" t="s">
        <v>398</v>
      </c>
      <c r="AF2834" s="204" t="s">
        <v>398</v>
      </c>
      <c r="AG2834" s="204" t="s">
        <v>398</v>
      </c>
      <c r="AS2834" s="65" t="str">
        <f>IFERROR(VLOOKUP(#REF!,[1]Lookup!$B$2:$E$115,4,FALSE),"")</f>
        <v/>
      </c>
      <c r="AT2834" s="65" t="str">
        <f>IFERROR(VLOOKUP(#REF!,[1]Lookup!$B$2:$E$115,2,FALSE),"")</f>
        <v/>
      </c>
      <c r="AU2834" s="65" t="str">
        <f>IFERROR(VLOOKUP(#REF!,[1]Lookup!$B$2:$E$115,3,FALSE),"")</f>
        <v/>
      </c>
    </row>
    <row r="2835" spans="31:47" x14ac:dyDescent="0.3">
      <c r="AE2835" s="204" t="s">
        <v>398</v>
      </c>
      <c r="AF2835" s="204" t="s">
        <v>398</v>
      </c>
      <c r="AG2835" s="204" t="s">
        <v>398</v>
      </c>
      <c r="AS2835" s="65" t="str">
        <f>IFERROR(VLOOKUP(#REF!,[1]Lookup!$B$2:$E$115,4,FALSE),"")</f>
        <v/>
      </c>
      <c r="AT2835" s="65" t="str">
        <f>IFERROR(VLOOKUP(#REF!,[1]Lookup!$B$2:$E$115,2,FALSE),"")</f>
        <v/>
      </c>
      <c r="AU2835" s="65" t="str">
        <f>IFERROR(VLOOKUP(#REF!,[1]Lookup!$B$2:$E$115,3,FALSE),"")</f>
        <v/>
      </c>
    </row>
    <row r="2836" spans="31:47" x14ac:dyDescent="0.3">
      <c r="AE2836" s="204" t="s">
        <v>398</v>
      </c>
      <c r="AF2836" s="204" t="s">
        <v>398</v>
      </c>
      <c r="AG2836" s="204" t="s">
        <v>398</v>
      </c>
      <c r="AS2836" s="65" t="str">
        <f>IFERROR(VLOOKUP(#REF!,[1]Lookup!$B$2:$E$115,4,FALSE),"")</f>
        <v/>
      </c>
      <c r="AT2836" s="65" t="str">
        <f>IFERROR(VLOOKUP(#REF!,[1]Lookup!$B$2:$E$115,2,FALSE),"")</f>
        <v/>
      </c>
      <c r="AU2836" s="65" t="str">
        <f>IFERROR(VLOOKUP(#REF!,[1]Lookup!$B$2:$E$115,3,FALSE),"")</f>
        <v/>
      </c>
    </row>
    <row r="2837" spans="31:47" x14ac:dyDescent="0.3">
      <c r="AE2837" s="204" t="s">
        <v>398</v>
      </c>
      <c r="AF2837" s="204" t="s">
        <v>398</v>
      </c>
      <c r="AG2837" s="204" t="s">
        <v>398</v>
      </c>
      <c r="AS2837" s="65" t="str">
        <f>IFERROR(VLOOKUP(#REF!,[1]Lookup!$B$2:$E$115,4,FALSE),"")</f>
        <v/>
      </c>
      <c r="AT2837" s="65" t="str">
        <f>IFERROR(VLOOKUP(#REF!,[1]Lookup!$B$2:$E$115,2,FALSE),"")</f>
        <v/>
      </c>
      <c r="AU2837" s="65" t="str">
        <f>IFERROR(VLOOKUP(#REF!,[1]Lookup!$B$2:$E$115,3,FALSE),"")</f>
        <v/>
      </c>
    </row>
    <row r="2838" spans="31:47" x14ac:dyDescent="0.3">
      <c r="AE2838" s="204" t="s">
        <v>398</v>
      </c>
      <c r="AF2838" s="204" t="s">
        <v>398</v>
      </c>
      <c r="AG2838" s="204" t="s">
        <v>398</v>
      </c>
      <c r="AS2838" s="65" t="str">
        <f>IFERROR(VLOOKUP(#REF!,[1]Lookup!$B$2:$E$115,4,FALSE),"")</f>
        <v/>
      </c>
      <c r="AT2838" s="65" t="str">
        <f>IFERROR(VLOOKUP(#REF!,[1]Lookup!$B$2:$E$115,2,FALSE),"")</f>
        <v/>
      </c>
      <c r="AU2838" s="65" t="str">
        <f>IFERROR(VLOOKUP(#REF!,[1]Lookup!$B$2:$E$115,3,FALSE),"")</f>
        <v/>
      </c>
    </row>
    <row r="2839" spans="31:47" x14ac:dyDescent="0.3">
      <c r="AE2839" s="204" t="s">
        <v>398</v>
      </c>
      <c r="AF2839" s="204" t="s">
        <v>398</v>
      </c>
      <c r="AG2839" s="204" t="s">
        <v>398</v>
      </c>
      <c r="AS2839" s="65" t="str">
        <f>IFERROR(VLOOKUP(#REF!,[1]Lookup!$B$2:$E$115,4,FALSE),"")</f>
        <v/>
      </c>
      <c r="AT2839" s="65" t="str">
        <f>IFERROR(VLOOKUP(#REF!,[1]Lookup!$B$2:$E$115,2,FALSE),"")</f>
        <v/>
      </c>
      <c r="AU2839" s="65" t="str">
        <f>IFERROR(VLOOKUP(#REF!,[1]Lookup!$B$2:$E$115,3,FALSE),"")</f>
        <v/>
      </c>
    </row>
    <row r="2840" spans="31:47" x14ac:dyDescent="0.3">
      <c r="AE2840" s="204" t="s">
        <v>398</v>
      </c>
      <c r="AF2840" s="204" t="s">
        <v>398</v>
      </c>
      <c r="AG2840" s="204" t="s">
        <v>398</v>
      </c>
      <c r="AS2840" s="65" t="str">
        <f>IFERROR(VLOOKUP(#REF!,[1]Lookup!$B$2:$E$115,4,FALSE),"")</f>
        <v/>
      </c>
      <c r="AT2840" s="65" t="str">
        <f>IFERROR(VLOOKUP(#REF!,[1]Lookup!$B$2:$E$115,2,FALSE),"")</f>
        <v/>
      </c>
      <c r="AU2840" s="65" t="str">
        <f>IFERROR(VLOOKUP(#REF!,[1]Lookup!$B$2:$E$115,3,FALSE),"")</f>
        <v/>
      </c>
    </row>
    <row r="2841" spans="31:47" x14ac:dyDescent="0.3">
      <c r="AE2841" s="204" t="s">
        <v>398</v>
      </c>
      <c r="AF2841" s="204" t="s">
        <v>398</v>
      </c>
      <c r="AG2841" s="204" t="s">
        <v>398</v>
      </c>
      <c r="AS2841" s="65" t="str">
        <f>IFERROR(VLOOKUP(#REF!,[1]Lookup!$B$2:$E$115,4,FALSE),"")</f>
        <v/>
      </c>
      <c r="AT2841" s="65" t="str">
        <f>IFERROR(VLOOKUP(#REF!,[1]Lookup!$B$2:$E$115,2,FALSE),"")</f>
        <v/>
      </c>
      <c r="AU2841" s="65" t="str">
        <f>IFERROR(VLOOKUP(#REF!,[1]Lookup!$B$2:$E$115,3,FALSE),"")</f>
        <v/>
      </c>
    </row>
    <row r="2842" spans="31:47" x14ac:dyDescent="0.3">
      <c r="AE2842" s="204" t="s">
        <v>398</v>
      </c>
      <c r="AF2842" s="204" t="s">
        <v>398</v>
      </c>
      <c r="AG2842" s="204" t="s">
        <v>398</v>
      </c>
      <c r="AS2842" s="65" t="str">
        <f>IFERROR(VLOOKUP(#REF!,[1]Lookup!$B$2:$E$115,4,FALSE),"")</f>
        <v/>
      </c>
      <c r="AT2842" s="65" t="str">
        <f>IFERROR(VLOOKUP(#REF!,[1]Lookup!$B$2:$E$115,2,FALSE),"")</f>
        <v/>
      </c>
      <c r="AU2842" s="65" t="str">
        <f>IFERROR(VLOOKUP(#REF!,[1]Lookup!$B$2:$E$115,3,FALSE),"")</f>
        <v/>
      </c>
    </row>
    <row r="2843" spans="31:47" x14ac:dyDescent="0.3">
      <c r="AE2843" s="204" t="s">
        <v>398</v>
      </c>
      <c r="AF2843" s="204" t="s">
        <v>398</v>
      </c>
      <c r="AG2843" s="204" t="s">
        <v>398</v>
      </c>
      <c r="AS2843" s="65" t="str">
        <f>IFERROR(VLOOKUP(#REF!,[1]Lookup!$B$2:$E$115,4,FALSE),"")</f>
        <v/>
      </c>
      <c r="AT2843" s="65" t="str">
        <f>IFERROR(VLOOKUP(#REF!,[1]Lookup!$B$2:$E$115,2,FALSE),"")</f>
        <v/>
      </c>
      <c r="AU2843" s="65" t="str">
        <f>IFERROR(VLOOKUP(#REF!,[1]Lookup!$B$2:$E$115,3,FALSE),"")</f>
        <v/>
      </c>
    </row>
    <row r="2844" spans="31:47" x14ac:dyDescent="0.3">
      <c r="AE2844" s="204" t="s">
        <v>398</v>
      </c>
      <c r="AF2844" s="204" t="s">
        <v>398</v>
      </c>
      <c r="AG2844" s="204" t="s">
        <v>398</v>
      </c>
      <c r="AS2844" s="65" t="str">
        <f>IFERROR(VLOOKUP(#REF!,[1]Lookup!$B$2:$E$115,4,FALSE),"")</f>
        <v/>
      </c>
      <c r="AT2844" s="65" t="str">
        <f>IFERROR(VLOOKUP(#REF!,[1]Lookup!$B$2:$E$115,2,FALSE),"")</f>
        <v/>
      </c>
      <c r="AU2844" s="65" t="str">
        <f>IFERROR(VLOOKUP(#REF!,[1]Lookup!$B$2:$E$115,3,FALSE),"")</f>
        <v/>
      </c>
    </row>
    <row r="2845" spans="31:47" x14ac:dyDescent="0.3">
      <c r="AE2845" s="204" t="s">
        <v>398</v>
      </c>
      <c r="AF2845" s="204" t="s">
        <v>398</v>
      </c>
      <c r="AG2845" s="204" t="s">
        <v>398</v>
      </c>
      <c r="AS2845" s="65" t="str">
        <f>IFERROR(VLOOKUP(#REF!,[1]Lookup!$B$2:$E$115,4,FALSE),"")</f>
        <v/>
      </c>
      <c r="AT2845" s="65" t="str">
        <f>IFERROR(VLOOKUP(#REF!,[1]Lookup!$B$2:$E$115,2,FALSE),"")</f>
        <v/>
      </c>
      <c r="AU2845" s="65" t="str">
        <f>IFERROR(VLOOKUP(#REF!,[1]Lookup!$B$2:$E$115,3,FALSE),"")</f>
        <v/>
      </c>
    </row>
    <row r="2846" spans="31:47" x14ac:dyDescent="0.3">
      <c r="AE2846" s="204" t="s">
        <v>398</v>
      </c>
      <c r="AF2846" s="204" t="s">
        <v>398</v>
      </c>
      <c r="AG2846" s="204" t="s">
        <v>398</v>
      </c>
      <c r="AS2846" s="65" t="str">
        <f>IFERROR(VLOOKUP(#REF!,[1]Lookup!$B$2:$E$115,4,FALSE),"")</f>
        <v/>
      </c>
      <c r="AT2846" s="65" t="str">
        <f>IFERROR(VLOOKUP(#REF!,[1]Lookup!$B$2:$E$115,2,FALSE),"")</f>
        <v/>
      </c>
      <c r="AU2846" s="65" t="str">
        <f>IFERROR(VLOOKUP(#REF!,[1]Lookup!$B$2:$E$115,3,FALSE),"")</f>
        <v/>
      </c>
    </row>
    <row r="2847" spans="31:47" x14ac:dyDescent="0.3">
      <c r="AE2847" s="204" t="s">
        <v>398</v>
      </c>
      <c r="AF2847" s="204" t="s">
        <v>398</v>
      </c>
      <c r="AG2847" s="204" t="s">
        <v>398</v>
      </c>
      <c r="AS2847" s="65" t="str">
        <f>IFERROR(VLOOKUP(#REF!,[1]Lookup!$B$2:$E$115,4,FALSE),"")</f>
        <v/>
      </c>
      <c r="AT2847" s="65" t="str">
        <f>IFERROR(VLOOKUP(#REF!,[1]Lookup!$B$2:$E$115,2,FALSE),"")</f>
        <v/>
      </c>
      <c r="AU2847" s="65" t="str">
        <f>IFERROR(VLOOKUP(#REF!,[1]Lookup!$B$2:$E$115,3,FALSE),"")</f>
        <v/>
      </c>
    </row>
    <row r="2848" spans="31:47" x14ac:dyDescent="0.3">
      <c r="AE2848" s="204" t="s">
        <v>398</v>
      </c>
      <c r="AF2848" s="204" t="s">
        <v>398</v>
      </c>
      <c r="AG2848" s="204" t="s">
        <v>398</v>
      </c>
      <c r="AS2848" s="65" t="str">
        <f>IFERROR(VLOOKUP(#REF!,[1]Lookup!$B$2:$E$115,4,FALSE),"")</f>
        <v/>
      </c>
      <c r="AT2848" s="65" t="str">
        <f>IFERROR(VLOOKUP(#REF!,[1]Lookup!$B$2:$E$115,2,FALSE),"")</f>
        <v/>
      </c>
      <c r="AU2848" s="65" t="str">
        <f>IFERROR(VLOOKUP(#REF!,[1]Lookup!$B$2:$E$115,3,FALSE),"")</f>
        <v/>
      </c>
    </row>
    <row r="2849" spans="31:47" x14ac:dyDescent="0.3">
      <c r="AE2849" s="204" t="s">
        <v>398</v>
      </c>
      <c r="AF2849" s="204" t="s">
        <v>398</v>
      </c>
      <c r="AG2849" s="204" t="s">
        <v>398</v>
      </c>
      <c r="AS2849" s="65" t="str">
        <f>IFERROR(VLOOKUP(#REF!,[1]Lookup!$B$2:$E$115,4,FALSE),"")</f>
        <v/>
      </c>
      <c r="AT2849" s="65" t="str">
        <f>IFERROR(VLOOKUP(#REF!,[1]Lookup!$B$2:$E$115,2,FALSE),"")</f>
        <v/>
      </c>
      <c r="AU2849" s="65" t="str">
        <f>IFERROR(VLOOKUP(#REF!,[1]Lookup!$B$2:$E$115,3,FALSE),"")</f>
        <v/>
      </c>
    </row>
    <row r="2850" spans="31:47" x14ac:dyDescent="0.3">
      <c r="AE2850" s="204" t="s">
        <v>398</v>
      </c>
      <c r="AF2850" s="204" t="s">
        <v>398</v>
      </c>
      <c r="AG2850" s="204" t="s">
        <v>398</v>
      </c>
      <c r="AS2850" s="65" t="str">
        <f>IFERROR(VLOOKUP(#REF!,[1]Lookup!$B$2:$E$115,4,FALSE),"")</f>
        <v/>
      </c>
      <c r="AT2850" s="65" t="str">
        <f>IFERROR(VLOOKUP(#REF!,[1]Lookup!$B$2:$E$115,2,FALSE),"")</f>
        <v/>
      </c>
      <c r="AU2850" s="65" t="str">
        <f>IFERROR(VLOOKUP(#REF!,[1]Lookup!$B$2:$E$115,3,FALSE),"")</f>
        <v/>
      </c>
    </row>
    <row r="2851" spans="31:47" x14ac:dyDescent="0.3">
      <c r="AE2851" s="204" t="s">
        <v>398</v>
      </c>
      <c r="AF2851" s="204" t="s">
        <v>398</v>
      </c>
      <c r="AG2851" s="204" t="s">
        <v>398</v>
      </c>
      <c r="AS2851" s="65" t="str">
        <f>IFERROR(VLOOKUP(#REF!,[1]Lookup!$B$2:$E$115,4,FALSE),"")</f>
        <v/>
      </c>
      <c r="AT2851" s="65" t="str">
        <f>IFERROR(VLOOKUP(#REF!,[1]Lookup!$B$2:$E$115,2,FALSE),"")</f>
        <v/>
      </c>
      <c r="AU2851" s="65" t="str">
        <f>IFERROR(VLOOKUP(#REF!,[1]Lookup!$B$2:$E$115,3,FALSE),"")</f>
        <v/>
      </c>
    </row>
    <row r="2852" spans="31:47" x14ac:dyDescent="0.3">
      <c r="AE2852" s="204" t="s">
        <v>398</v>
      </c>
      <c r="AF2852" s="204" t="s">
        <v>398</v>
      </c>
      <c r="AG2852" s="204" t="s">
        <v>398</v>
      </c>
      <c r="AS2852" s="65" t="str">
        <f>IFERROR(VLOOKUP(#REF!,[1]Lookup!$B$2:$E$115,4,FALSE),"")</f>
        <v/>
      </c>
      <c r="AT2852" s="65" t="str">
        <f>IFERROR(VLOOKUP(#REF!,[1]Lookup!$B$2:$E$115,2,FALSE),"")</f>
        <v/>
      </c>
      <c r="AU2852" s="65" t="str">
        <f>IFERROR(VLOOKUP(#REF!,[1]Lookup!$B$2:$E$115,3,FALSE),"")</f>
        <v/>
      </c>
    </row>
    <row r="2853" spans="31:47" x14ac:dyDescent="0.3">
      <c r="AE2853" s="204" t="s">
        <v>398</v>
      </c>
      <c r="AF2853" s="204" t="s">
        <v>398</v>
      </c>
      <c r="AG2853" s="204" t="s">
        <v>398</v>
      </c>
      <c r="AS2853" s="65" t="str">
        <f>IFERROR(VLOOKUP(#REF!,[1]Lookup!$B$2:$E$115,4,FALSE),"")</f>
        <v/>
      </c>
      <c r="AT2853" s="65" t="str">
        <f>IFERROR(VLOOKUP(#REF!,[1]Lookup!$B$2:$E$115,2,FALSE),"")</f>
        <v/>
      </c>
      <c r="AU2853" s="65" t="str">
        <f>IFERROR(VLOOKUP(#REF!,[1]Lookup!$B$2:$E$115,3,FALSE),"")</f>
        <v/>
      </c>
    </row>
    <row r="2854" spans="31:47" x14ac:dyDescent="0.3">
      <c r="AE2854" s="204" t="s">
        <v>398</v>
      </c>
      <c r="AF2854" s="204" t="s">
        <v>398</v>
      </c>
      <c r="AG2854" s="204" t="s">
        <v>398</v>
      </c>
      <c r="AS2854" s="65" t="str">
        <f>IFERROR(VLOOKUP(#REF!,[1]Lookup!$B$2:$E$115,4,FALSE),"")</f>
        <v/>
      </c>
      <c r="AT2854" s="65" t="str">
        <f>IFERROR(VLOOKUP(#REF!,[1]Lookup!$B$2:$E$115,2,FALSE),"")</f>
        <v/>
      </c>
      <c r="AU2854" s="65" t="str">
        <f>IFERROR(VLOOKUP(#REF!,[1]Lookup!$B$2:$E$115,3,FALSE),"")</f>
        <v/>
      </c>
    </row>
    <row r="2855" spans="31:47" x14ac:dyDescent="0.3">
      <c r="AE2855" s="204" t="s">
        <v>398</v>
      </c>
      <c r="AF2855" s="204" t="s">
        <v>398</v>
      </c>
      <c r="AG2855" s="204" t="s">
        <v>398</v>
      </c>
      <c r="AS2855" s="65" t="str">
        <f>IFERROR(VLOOKUP(#REF!,[1]Lookup!$B$2:$E$115,4,FALSE),"")</f>
        <v/>
      </c>
      <c r="AT2855" s="65" t="str">
        <f>IFERROR(VLOOKUP(#REF!,[1]Lookup!$B$2:$E$115,2,FALSE),"")</f>
        <v/>
      </c>
      <c r="AU2855" s="65" t="str">
        <f>IFERROR(VLOOKUP(#REF!,[1]Lookup!$B$2:$E$115,3,FALSE),"")</f>
        <v/>
      </c>
    </row>
    <row r="2856" spans="31:47" x14ac:dyDescent="0.3">
      <c r="AE2856" s="204" t="s">
        <v>398</v>
      </c>
      <c r="AF2856" s="204" t="s">
        <v>398</v>
      </c>
      <c r="AG2856" s="204" t="s">
        <v>398</v>
      </c>
      <c r="AS2856" s="65" t="str">
        <f>IFERROR(VLOOKUP(#REF!,[1]Lookup!$B$2:$E$115,4,FALSE),"")</f>
        <v/>
      </c>
      <c r="AT2856" s="65" t="str">
        <f>IFERROR(VLOOKUP(#REF!,[1]Lookup!$B$2:$E$115,2,FALSE),"")</f>
        <v/>
      </c>
      <c r="AU2856" s="65" t="str">
        <f>IFERROR(VLOOKUP(#REF!,[1]Lookup!$B$2:$E$115,3,FALSE),"")</f>
        <v/>
      </c>
    </row>
    <row r="2857" spans="31:47" x14ac:dyDescent="0.3">
      <c r="AE2857" s="204" t="s">
        <v>398</v>
      </c>
      <c r="AF2857" s="204" t="s">
        <v>398</v>
      </c>
      <c r="AG2857" s="204" t="s">
        <v>398</v>
      </c>
      <c r="AS2857" s="65" t="str">
        <f>IFERROR(VLOOKUP(#REF!,[1]Lookup!$B$2:$E$115,4,FALSE),"")</f>
        <v/>
      </c>
      <c r="AT2857" s="65" t="str">
        <f>IFERROR(VLOOKUP(#REF!,[1]Lookup!$B$2:$E$115,2,FALSE),"")</f>
        <v/>
      </c>
      <c r="AU2857" s="65" t="str">
        <f>IFERROR(VLOOKUP(#REF!,[1]Lookup!$B$2:$E$115,3,FALSE),"")</f>
        <v/>
      </c>
    </row>
    <row r="2858" spans="31:47" x14ac:dyDescent="0.3">
      <c r="AE2858" s="204" t="s">
        <v>398</v>
      </c>
      <c r="AF2858" s="204" t="s">
        <v>398</v>
      </c>
      <c r="AG2858" s="204" t="s">
        <v>398</v>
      </c>
      <c r="AS2858" s="65" t="str">
        <f>IFERROR(VLOOKUP(#REF!,[1]Lookup!$B$2:$E$115,4,FALSE),"")</f>
        <v/>
      </c>
      <c r="AT2858" s="65" t="str">
        <f>IFERROR(VLOOKUP(#REF!,[1]Lookup!$B$2:$E$115,2,FALSE),"")</f>
        <v/>
      </c>
      <c r="AU2858" s="65" t="str">
        <f>IFERROR(VLOOKUP(#REF!,[1]Lookup!$B$2:$E$115,3,FALSE),"")</f>
        <v/>
      </c>
    </row>
    <row r="2859" spans="31:47" x14ac:dyDescent="0.3">
      <c r="AE2859" s="204" t="s">
        <v>398</v>
      </c>
      <c r="AF2859" s="204" t="s">
        <v>398</v>
      </c>
      <c r="AG2859" s="204" t="s">
        <v>398</v>
      </c>
      <c r="AS2859" s="65" t="str">
        <f>IFERROR(VLOOKUP(#REF!,[1]Lookup!$B$2:$E$115,4,FALSE),"")</f>
        <v/>
      </c>
      <c r="AT2859" s="65" t="str">
        <f>IFERROR(VLOOKUP(#REF!,[1]Lookup!$B$2:$E$115,2,FALSE),"")</f>
        <v/>
      </c>
      <c r="AU2859" s="65" t="str">
        <f>IFERROR(VLOOKUP(#REF!,[1]Lookup!$B$2:$E$115,3,FALSE),"")</f>
        <v/>
      </c>
    </row>
    <row r="2860" spans="31:47" x14ac:dyDescent="0.3">
      <c r="AE2860" s="204" t="s">
        <v>398</v>
      </c>
      <c r="AF2860" s="204" t="s">
        <v>398</v>
      </c>
      <c r="AG2860" s="204" t="s">
        <v>398</v>
      </c>
      <c r="AS2860" s="65" t="str">
        <f>IFERROR(VLOOKUP(#REF!,[1]Lookup!$B$2:$E$115,4,FALSE),"")</f>
        <v/>
      </c>
      <c r="AT2860" s="65" t="str">
        <f>IFERROR(VLOOKUP(#REF!,[1]Lookup!$B$2:$E$115,2,FALSE),"")</f>
        <v/>
      </c>
      <c r="AU2860" s="65" t="str">
        <f>IFERROR(VLOOKUP(#REF!,[1]Lookup!$B$2:$E$115,3,FALSE),"")</f>
        <v/>
      </c>
    </row>
    <row r="2861" spans="31:47" x14ac:dyDescent="0.3">
      <c r="AE2861" s="204" t="s">
        <v>398</v>
      </c>
      <c r="AF2861" s="204" t="s">
        <v>398</v>
      </c>
      <c r="AG2861" s="204" t="s">
        <v>398</v>
      </c>
      <c r="AS2861" s="65" t="str">
        <f>IFERROR(VLOOKUP(#REF!,[1]Lookup!$B$2:$E$115,4,FALSE),"")</f>
        <v/>
      </c>
      <c r="AT2861" s="65" t="str">
        <f>IFERROR(VLOOKUP(#REF!,[1]Lookup!$B$2:$E$115,2,FALSE),"")</f>
        <v/>
      </c>
      <c r="AU2861" s="65" t="str">
        <f>IFERROR(VLOOKUP(#REF!,[1]Lookup!$B$2:$E$115,3,FALSE),"")</f>
        <v/>
      </c>
    </row>
    <row r="2862" spans="31:47" x14ac:dyDescent="0.3">
      <c r="AE2862" s="204" t="s">
        <v>398</v>
      </c>
      <c r="AF2862" s="204" t="s">
        <v>398</v>
      </c>
      <c r="AG2862" s="204" t="s">
        <v>398</v>
      </c>
      <c r="AS2862" s="65" t="str">
        <f>IFERROR(VLOOKUP(#REF!,[1]Lookup!$B$2:$E$115,4,FALSE),"")</f>
        <v/>
      </c>
      <c r="AT2862" s="65" t="str">
        <f>IFERROR(VLOOKUP(#REF!,[1]Lookup!$B$2:$E$115,2,FALSE),"")</f>
        <v/>
      </c>
      <c r="AU2862" s="65" t="str">
        <f>IFERROR(VLOOKUP(#REF!,[1]Lookup!$B$2:$E$115,3,FALSE),"")</f>
        <v/>
      </c>
    </row>
    <row r="2863" spans="31:47" x14ac:dyDescent="0.3">
      <c r="AE2863" s="204" t="s">
        <v>398</v>
      </c>
      <c r="AF2863" s="204" t="s">
        <v>398</v>
      </c>
      <c r="AG2863" s="204" t="s">
        <v>398</v>
      </c>
      <c r="AS2863" s="65" t="str">
        <f>IFERROR(VLOOKUP(#REF!,[1]Lookup!$B$2:$E$115,4,FALSE),"")</f>
        <v/>
      </c>
      <c r="AT2863" s="65" t="str">
        <f>IFERROR(VLOOKUP(#REF!,[1]Lookup!$B$2:$E$115,2,FALSE),"")</f>
        <v/>
      </c>
      <c r="AU2863" s="65" t="str">
        <f>IFERROR(VLOOKUP(#REF!,[1]Lookup!$B$2:$E$115,3,FALSE),"")</f>
        <v/>
      </c>
    </row>
    <row r="2864" spans="31:47" x14ac:dyDescent="0.3">
      <c r="AE2864" s="204" t="s">
        <v>398</v>
      </c>
      <c r="AF2864" s="204" t="s">
        <v>398</v>
      </c>
      <c r="AG2864" s="204" t="s">
        <v>398</v>
      </c>
      <c r="AS2864" s="65" t="str">
        <f>IFERROR(VLOOKUP(#REF!,[1]Lookup!$B$2:$E$115,4,FALSE),"")</f>
        <v/>
      </c>
      <c r="AT2864" s="65" t="str">
        <f>IFERROR(VLOOKUP(#REF!,[1]Lookup!$B$2:$E$115,2,FALSE),"")</f>
        <v/>
      </c>
      <c r="AU2864" s="65" t="str">
        <f>IFERROR(VLOOKUP(#REF!,[1]Lookup!$B$2:$E$115,3,FALSE),"")</f>
        <v/>
      </c>
    </row>
    <row r="2865" spans="31:47" x14ac:dyDescent="0.3">
      <c r="AE2865" s="204" t="s">
        <v>398</v>
      </c>
      <c r="AF2865" s="204" t="s">
        <v>398</v>
      </c>
      <c r="AG2865" s="204" t="s">
        <v>398</v>
      </c>
      <c r="AS2865" s="65" t="str">
        <f>IFERROR(VLOOKUP(#REF!,[1]Lookup!$B$2:$E$115,4,FALSE),"")</f>
        <v/>
      </c>
      <c r="AT2865" s="65" t="str">
        <f>IFERROR(VLOOKUP(#REF!,[1]Lookup!$B$2:$E$115,2,FALSE),"")</f>
        <v/>
      </c>
      <c r="AU2865" s="65" t="str">
        <f>IFERROR(VLOOKUP(#REF!,[1]Lookup!$B$2:$E$115,3,FALSE),"")</f>
        <v/>
      </c>
    </row>
    <row r="2866" spans="31:47" x14ac:dyDescent="0.3">
      <c r="AE2866" s="204" t="s">
        <v>398</v>
      </c>
      <c r="AF2866" s="204" t="s">
        <v>398</v>
      </c>
      <c r="AG2866" s="204" t="s">
        <v>398</v>
      </c>
      <c r="AS2866" s="65" t="str">
        <f>IFERROR(VLOOKUP(#REF!,[1]Lookup!$B$2:$E$115,4,FALSE),"")</f>
        <v/>
      </c>
      <c r="AT2866" s="65" t="str">
        <f>IFERROR(VLOOKUP(#REF!,[1]Lookup!$B$2:$E$115,2,FALSE),"")</f>
        <v/>
      </c>
      <c r="AU2866" s="65" t="str">
        <f>IFERROR(VLOOKUP(#REF!,[1]Lookup!$B$2:$E$115,3,FALSE),"")</f>
        <v/>
      </c>
    </row>
    <row r="2867" spans="31:47" x14ac:dyDescent="0.3">
      <c r="AE2867" s="204" t="s">
        <v>398</v>
      </c>
      <c r="AF2867" s="204" t="s">
        <v>398</v>
      </c>
      <c r="AG2867" s="204" t="s">
        <v>398</v>
      </c>
      <c r="AS2867" s="65" t="str">
        <f>IFERROR(VLOOKUP(#REF!,[1]Lookup!$B$2:$E$115,4,FALSE),"")</f>
        <v/>
      </c>
      <c r="AT2867" s="65" t="str">
        <f>IFERROR(VLOOKUP(#REF!,[1]Lookup!$B$2:$E$115,2,FALSE),"")</f>
        <v/>
      </c>
      <c r="AU2867" s="65" t="str">
        <f>IFERROR(VLOOKUP(#REF!,[1]Lookup!$B$2:$E$115,3,FALSE),"")</f>
        <v/>
      </c>
    </row>
    <row r="2868" spans="31:47" x14ac:dyDescent="0.3">
      <c r="AE2868" s="204" t="s">
        <v>398</v>
      </c>
      <c r="AF2868" s="204" t="s">
        <v>398</v>
      </c>
      <c r="AG2868" s="204" t="s">
        <v>398</v>
      </c>
      <c r="AS2868" s="65" t="str">
        <f>IFERROR(VLOOKUP(#REF!,[1]Lookup!$B$2:$E$115,4,FALSE),"")</f>
        <v/>
      </c>
      <c r="AT2868" s="65" t="str">
        <f>IFERROR(VLOOKUP(#REF!,[1]Lookup!$B$2:$E$115,2,FALSE),"")</f>
        <v/>
      </c>
      <c r="AU2868" s="65" t="str">
        <f>IFERROR(VLOOKUP(#REF!,[1]Lookup!$B$2:$E$115,3,FALSE),"")</f>
        <v/>
      </c>
    </row>
    <row r="2869" spans="31:47" x14ac:dyDescent="0.3">
      <c r="AE2869" s="204" t="s">
        <v>398</v>
      </c>
      <c r="AF2869" s="204" t="s">
        <v>398</v>
      </c>
      <c r="AG2869" s="204" t="s">
        <v>398</v>
      </c>
      <c r="AS2869" s="65" t="str">
        <f>IFERROR(VLOOKUP(#REF!,[1]Lookup!$B$2:$E$115,4,FALSE),"")</f>
        <v/>
      </c>
      <c r="AT2869" s="65" t="str">
        <f>IFERROR(VLOOKUP(#REF!,[1]Lookup!$B$2:$E$115,2,FALSE),"")</f>
        <v/>
      </c>
      <c r="AU2869" s="65" t="str">
        <f>IFERROR(VLOOKUP(#REF!,[1]Lookup!$B$2:$E$115,3,FALSE),"")</f>
        <v/>
      </c>
    </row>
    <row r="2870" spans="31:47" x14ac:dyDescent="0.3">
      <c r="AE2870" s="204" t="s">
        <v>398</v>
      </c>
      <c r="AF2870" s="204" t="s">
        <v>398</v>
      </c>
      <c r="AG2870" s="204" t="s">
        <v>398</v>
      </c>
      <c r="AS2870" s="65" t="str">
        <f>IFERROR(VLOOKUP(#REF!,[1]Lookup!$B$2:$E$115,4,FALSE),"")</f>
        <v/>
      </c>
      <c r="AT2870" s="65" t="str">
        <f>IFERROR(VLOOKUP(#REF!,[1]Lookup!$B$2:$E$115,2,FALSE),"")</f>
        <v/>
      </c>
      <c r="AU2870" s="65" t="str">
        <f>IFERROR(VLOOKUP(#REF!,[1]Lookup!$B$2:$E$115,3,FALSE),"")</f>
        <v/>
      </c>
    </row>
    <row r="2871" spans="31:47" x14ac:dyDescent="0.3">
      <c r="AE2871" s="204" t="s">
        <v>398</v>
      </c>
      <c r="AF2871" s="204" t="s">
        <v>398</v>
      </c>
      <c r="AG2871" s="204" t="s">
        <v>398</v>
      </c>
      <c r="AS2871" s="65" t="str">
        <f>IFERROR(VLOOKUP(#REF!,[1]Lookup!$B$2:$E$115,4,FALSE),"")</f>
        <v/>
      </c>
      <c r="AT2871" s="65" t="str">
        <f>IFERROR(VLOOKUP(#REF!,[1]Lookup!$B$2:$E$115,2,FALSE),"")</f>
        <v/>
      </c>
      <c r="AU2871" s="65" t="str">
        <f>IFERROR(VLOOKUP(#REF!,[1]Lookup!$B$2:$E$115,3,FALSE),"")</f>
        <v/>
      </c>
    </row>
    <row r="2872" spans="31:47" x14ac:dyDescent="0.3">
      <c r="AE2872" s="204" t="s">
        <v>398</v>
      </c>
      <c r="AF2872" s="204" t="s">
        <v>398</v>
      </c>
      <c r="AG2872" s="204" t="s">
        <v>398</v>
      </c>
      <c r="AS2872" s="65" t="str">
        <f>IFERROR(VLOOKUP(#REF!,[1]Lookup!$B$2:$E$115,4,FALSE),"")</f>
        <v/>
      </c>
      <c r="AT2872" s="65" t="str">
        <f>IFERROR(VLOOKUP(#REF!,[1]Lookup!$B$2:$E$115,2,FALSE),"")</f>
        <v/>
      </c>
      <c r="AU2872" s="65" t="str">
        <f>IFERROR(VLOOKUP(#REF!,[1]Lookup!$B$2:$E$115,3,FALSE),"")</f>
        <v/>
      </c>
    </row>
    <row r="2873" spans="31:47" x14ac:dyDescent="0.3">
      <c r="AE2873" s="204" t="s">
        <v>398</v>
      </c>
      <c r="AF2873" s="204" t="s">
        <v>398</v>
      </c>
      <c r="AG2873" s="204" t="s">
        <v>398</v>
      </c>
      <c r="AS2873" s="65" t="str">
        <f>IFERROR(VLOOKUP(#REF!,[1]Lookup!$B$2:$E$115,4,FALSE),"")</f>
        <v/>
      </c>
      <c r="AT2873" s="65" t="str">
        <f>IFERROR(VLOOKUP(#REF!,[1]Lookup!$B$2:$E$115,2,FALSE),"")</f>
        <v/>
      </c>
      <c r="AU2873" s="65" t="str">
        <f>IFERROR(VLOOKUP(#REF!,[1]Lookup!$B$2:$E$115,3,FALSE),"")</f>
        <v/>
      </c>
    </row>
    <row r="2874" spans="31:47" x14ac:dyDescent="0.3">
      <c r="AE2874" s="204" t="s">
        <v>398</v>
      </c>
      <c r="AF2874" s="204" t="s">
        <v>398</v>
      </c>
      <c r="AG2874" s="204" t="s">
        <v>398</v>
      </c>
      <c r="AS2874" s="65" t="str">
        <f>IFERROR(VLOOKUP(#REF!,[1]Lookup!$B$2:$E$115,4,FALSE),"")</f>
        <v/>
      </c>
      <c r="AT2874" s="65" t="str">
        <f>IFERROR(VLOOKUP(#REF!,[1]Lookup!$B$2:$E$115,2,FALSE),"")</f>
        <v/>
      </c>
      <c r="AU2874" s="65" t="str">
        <f>IFERROR(VLOOKUP(#REF!,[1]Lookup!$B$2:$E$115,3,FALSE),"")</f>
        <v/>
      </c>
    </row>
    <row r="2875" spans="31:47" x14ac:dyDescent="0.3">
      <c r="AE2875" s="204" t="s">
        <v>398</v>
      </c>
      <c r="AF2875" s="204" t="s">
        <v>398</v>
      </c>
      <c r="AG2875" s="204" t="s">
        <v>398</v>
      </c>
      <c r="AS2875" s="65" t="str">
        <f>IFERROR(VLOOKUP(#REF!,[1]Lookup!$B$2:$E$115,4,FALSE),"")</f>
        <v/>
      </c>
      <c r="AT2875" s="65" t="str">
        <f>IFERROR(VLOOKUP(#REF!,[1]Lookup!$B$2:$E$115,2,FALSE),"")</f>
        <v/>
      </c>
      <c r="AU2875" s="65" t="str">
        <f>IFERROR(VLOOKUP(#REF!,[1]Lookup!$B$2:$E$115,3,FALSE),"")</f>
        <v/>
      </c>
    </row>
    <row r="2876" spans="31:47" x14ac:dyDescent="0.3">
      <c r="AE2876" s="204" t="s">
        <v>398</v>
      </c>
      <c r="AF2876" s="204" t="s">
        <v>398</v>
      </c>
      <c r="AG2876" s="204" t="s">
        <v>398</v>
      </c>
      <c r="AS2876" s="65" t="str">
        <f>IFERROR(VLOOKUP(#REF!,[1]Lookup!$B$2:$E$115,4,FALSE),"")</f>
        <v/>
      </c>
      <c r="AT2876" s="65" t="str">
        <f>IFERROR(VLOOKUP(#REF!,[1]Lookup!$B$2:$E$115,2,FALSE),"")</f>
        <v/>
      </c>
      <c r="AU2876" s="65" t="str">
        <f>IFERROR(VLOOKUP(#REF!,[1]Lookup!$B$2:$E$115,3,FALSE),"")</f>
        <v/>
      </c>
    </row>
    <row r="2877" spans="31:47" x14ac:dyDescent="0.3">
      <c r="AE2877" s="204" t="s">
        <v>398</v>
      </c>
      <c r="AF2877" s="204" t="s">
        <v>398</v>
      </c>
      <c r="AG2877" s="204" t="s">
        <v>398</v>
      </c>
      <c r="AS2877" s="65" t="str">
        <f>IFERROR(VLOOKUP(#REF!,[1]Lookup!$B$2:$E$115,4,FALSE),"")</f>
        <v/>
      </c>
      <c r="AT2877" s="65" t="str">
        <f>IFERROR(VLOOKUP(#REF!,[1]Lookup!$B$2:$E$115,2,FALSE),"")</f>
        <v/>
      </c>
      <c r="AU2877" s="65" t="str">
        <f>IFERROR(VLOOKUP(#REF!,[1]Lookup!$B$2:$E$115,3,FALSE),"")</f>
        <v/>
      </c>
    </row>
    <row r="2878" spans="31:47" x14ac:dyDescent="0.3">
      <c r="AE2878" s="204" t="s">
        <v>398</v>
      </c>
      <c r="AF2878" s="204" t="s">
        <v>398</v>
      </c>
      <c r="AG2878" s="204" t="s">
        <v>398</v>
      </c>
      <c r="AS2878" s="65" t="str">
        <f>IFERROR(VLOOKUP(#REF!,[1]Lookup!$B$2:$E$115,4,FALSE),"")</f>
        <v/>
      </c>
      <c r="AT2878" s="65" t="str">
        <f>IFERROR(VLOOKUP(#REF!,[1]Lookup!$B$2:$E$115,2,FALSE),"")</f>
        <v/>
      </c>
      <c r="AU2878" s="65" t="str">
        <f>IFERROR(VLOOKUP(#REF!,[1]Lookup!$B$2:$E$115,3,FALSE),"")</f>
        <v/>
      </c>
    </row>
    <row r="2879" spans="31:47" x14ac:dyDescent="0.3">
      <c r="AE2879" s="204" t="s">
        <v>398</v>
      </c>
      <c r="AF2879" s="204" t="s">
        <v>398</v>
      </c>
      <c r="AG2879" s="204" t="s">
        <v>398</v>
      </c>
      <c r="AS2879" s="65" t="str">
        <f>IFERROR(VLOOKUP(#REF!,[1]Lookup!$B$2:$E$115,4,FALSE),"")</f>
        <v/>
      </c>
      <c r="AT2879" s="65" t="str">
        <f>IFERROR(VLOOKUP(#REF!,[1]Lookup!$B$2:$E$115,2,FALSE),"")</f>
        <v/>
      </c>
      <c r="AU2879" s="65" t="str">
        <f>IFERROR(VLOOKUP(#REF!,[1]Lookup!$B$2:$E$115,3,FALSE),"")</f>
        <v/>
      </c>
    </row>
    <row r="2880" spans="31:47" x14ac:dyDescent="0.3">
      <c r="AE2880" s="204" t="s">
        <v>398</v>
      </c>
      <c r="AF2880" s="204" t="s">
        <v>398</v>
      </c>
      <c r="AG2880" s="204" t="s">
        <v>398</v>
      </c>
      <c r="AS2880" s="65" t="str">
        <f>IFERROR(VLOOKUP(#REF!,[1]Lookup!$B$2:$E$115,4,FALSE),"")</f>
        <v/>
      </c>
      <c r="AT2880" s="65" t="str">
        <f>IFERROR(VLOOKUP(#REF!,[1]Lookup!$B$2:$E$115,2,FALSE),"")</f>
        <v/>
      </c>
      <c r="AU2880" s="65" t="str">
        <f>IFERROR(VLOOKUP(#REF!,[1]Lookup!$B$2:$E$115,3,FALSE),"")</f>
        <v/>
      </c>
    </row>
    <row r="2881" spans="31:47" x14ac:dyDescent="0.3">
      <c r="AE2881" s="204" t="s">
        <v>398</v>
      </c>
      <c r="AF2881" s="204" t="s">
        <v>398</v>
      </c>
      <c r="AG2881" s="204" t="s">
        <v>398</v>
      </c>
      <c r="AS2881" s="65" t="str">
        <f>IFERROR(VLOOKUP(#REF!,[1]Lookup!$B$2:$E$115,4,FALSE),"")</f>
        <v/>
      </c>
      <c r="AT2881" s="65" t="str">
        <f>IFERROR(VLOOKUP(#REF!,[1]Lookup!$B$2:$E$115,2,FALSE),"")</f>
        <v/>
      </c>
      <c r="AU2881" s="65" t="str">
        <f>IFERROR(VLOOKUP(#REF!,[1]Lookup!$B$2:$E$115,3,FALSE),"")</f>
        <v/>
      </c>
    </row>
    <row r="2882" spans="31:47" x14ac:dyDescent="0.3">
      <c r="AE2882" s="204" t="s">
        <v>398</v>
      </c>
      <c r="AF2882" s="204" t="s">
        <v>398</v>
      </c>
      <c r="AG2882" s="204" t="s">
        <v>398</v>
      </c>
      <c r="AS2882" s="65" t="str">
        <f>IFERROR(VLOOKUP(#REF!,[1]Lookup!$B$2:$E$115,4,FALSE),"")</f>
        <v/>
      </c>
      <c r="AT2882" s="65" t="str">
        <f>IFERROR(VLOOKUP(#REF!,[1]Lookup!$B$2:$E$115,2,FALSE),"")</f>
        <v/>
      </c>
      <c r="AU2882" s="65" t="str">
        <f>IFERROR(VLOOKUP(#REF!,[1]Lookup!$B$2:$E$115,3,FALSE),"")</f>
        <v/>
      </c>
    </row>
    <row r="2883" spans="31:47" x14ac:dyDescent="0.3">
      <c r="AE2883" s="204" t="s">
        <v>398</v>
      </c>
      <c r="AF2883" s="204" t="s">
        <v>398</v>
      </c>
      <c r="AG2883" s="204" t="s">
        <v>398</v>
      </c>
      <c r="AS2883" s="65" t="str">
        <f>IFERROR(VLOOKUP(#REF!,[1]Lookup!$B$2:$E$115,4,FALSE),"")</f>
        <v/>
      </c>
      <c r="AT2883" s="65" t="str">
        <f>IFERROR(VLOOKUP(#REF!,[1]Lookup!$B$2:$E$115,2,FALSE),"")</f>
        <v/>
      </c>
      <c r="AU2883" s="65" t="str">
        <f>IFERROR(VLOOKUP(#REF!,[1]Lookup!$B$2:$E$115,3,FALSE),"")</f>
        <v/>
      </c>
    </row>
    <row r="2884" spans="31:47" x14ac:dyDescent="0.3">
      <c r="AE2884" s="204" t="s">
        <v>398</v>
      </c>
      <c r="AF2884" s="204" t="s">
        <v>398</v>
      </c>
      <c r="AG2884" s="204" t="s">
        <v>398</v>
      </c>
      <c r="AS2884" s="65" t="str">
        <f>IFERROR(VLOOKUP(#REF!,[1]Lookup!$B$2:$E$115,4,FALSE),"")</f>
        <v/>
      </c>
      <c r="AT2884" s="65" t="str">
        <f>IFERROR(VLOOKUP(#REF!,[1]Lookup!$B$2:$E$115,2,FALSE),"")</f>
        <v/>
      </c>
      <c r="AU2884" s="65" t="str">
        <f>IFERROR(VLOOKUP(#REF!,[1]Lookup!$B$2:$E$115,3,FALSE),"")</f>
        <v/>
      </c>
    </row>
    <row r="2885" spans="31:47" x14ac:dyDescent="0.3">
      <c r="AE2885" s="204" t="s">
        <v>398</v>
      </c>
      <c r="AF2885" s="204" t="s">
        <v>398</v>
      </c>
      <c r="AG2885" s="204" t="s">
        <v>398</v>
      </c>
      <c r="AS2885" s="65" t="str">
        <f>IFERROR(VLOOKUP(#REF!,[1]Lookup!$B$2:$E$115,4,FALSE),"")</f>
        <v/>
      </c>
      <c r="AT2885" s="65" t="str">
        <f>IFERROR(VLOOKUP(#REF!,[1]Lookup!$B$2:$E$115,2,FALSE),"")</f>
        <v/>
      </c>
      <c r="AU2885" s="65" t="str">
        <f>IFERROR(VLOOKUP(#REF!,[1]Lookup!$B$2:$E$115,3,FALSE),"")</f>
        <v/>
      </c>
    </row>
    <row r="2886" spans="31:47" x14ac:dyDescent="0.3">
      <c r="AE2886" s="204" t="s">
        <v>398</v>
      </c>
      <c r="AF2886" s="204" t="s">
        <v>398</v>
      </c>
      <c r="AG2886" s="204" t="s">
        <v>398</v>
      </c>
      <c r="AS2886" s="65" t="str">
        <f>IFERROR(VLOOKUP(#REF!,[1]Lookup!$B$2:$E$115,4,FALSE),"")</f>
        <v/>
      </c>
      <c r="AT2886" s="65" t="str">
        <f>IFERROR(VLOOKUP(#REF!,[1]Lookup!$B$2:$E$115,2,FALSE),"")</f>
        <v/>
      </c>
      <c r="AU2886" s="65" t="str">
        <f>IFERROR(VLOOKUP(#REF!,[1]Lookup!$B$2:$E$115,3,FALSE),"")</f>
        <v/>
      </c>
    </row>
    <row r="2887" spans="31:47" x14ac:dyDescent="0.3">
      <c r="AE2887" s="204" t="s">
        <v>398</v>
      </c>
      <c r="AF2887" s="204" t="s">
        <v>398</v>
      </c>
      <c r="AG2887" s="204" t="s">
        <v>398</v>
      </c>
      <c r="AS2887" s="65" t="str">
        <f>IFERROR(VLOOKUP(#REF!,[1]Lookup!$B$2:$E$115,4,FALSE),"")</f>
        <v/>
      </c>
      <c r="AT2887" s="65" t="str">
        <f>IFERROR(VLOOKUP(#REF!,[1]Lookup!$B$2:$E$115,2,FALSE),"")</f>
        <v/>
      </c>
      <c r="AU2887" s="65" t="str">
        <f>IFERROR(VLOOKUP(#REF!,[1]Lookup!$B$2:$E$115,3,FALSE),"")</f>
        <v/>
      </c>
    </row>
    <row r="2888" spans="31:47" x14ac:dyDescent="0.3">
      <c r="AE2888" s="204" t="s">
        <v>398</v>
      </c>
      <c r="AF2888" s="204" t="s">
        <v>398</v>
      </c>
      <c r="AG2888" s="204" t="s">
        <v>398</v>
      </c>
      <c r="AS2888" s="65" t="str">
        <f>IFERROR(VLOOKUP(#REF!,[1]Lookup!$B$2:$E$115,4,FALSE),"")</f>
        <v/>
      </c>
      <c r="AT2888" s="65" t="str">
        <f>IFERROR(VLOOKUP(#REF!,[1]Lookup!$B$2:$E$115,2,FALSE),"")</f>
        <v/>
      </c>
      <c r="AU2888" s="65" t="str">
        <f>IFERROR(VLOOKUP(#REF!,[1]Lookup!$B$2:$E$115,3,FALSE),"")</f>
        <v/>
      </c>
    </row>
    <row r="2889" spans="31:47" x14ac:dyDescent="0.3">
      <c r="AE2889" s="204" t="s">
        <v>398</v>
      </c>
      <c r="AF2889" s="204" t="s">
        <v>398</v>
      </c>
      <c r="AG2889" s="204" t="s">
        <v>398</v>
      </c>
      <c r="AS2889" s="65" t="str">
        <f>IFERROR(VLOOKUP(#REF!,[1]Lookup!$B$2:$E$115,4,FALSE),"")</f>
        <v/>
      </c>
      <c r="AT2889" s="65" t="str">
        <f>IFERROR(VLOOKUP(#REF!,[1]Lookup!$B$2:$E$115,2,FALSE),"")</f>
        <v/>
      </c>
      <c r="AU2889" s="65" t="str">
        <f>IFERROR(VLOOKUP(#REF!,[1]Lookup!$B$2:$E$115,3,FALSE),"")</f>
        <v/>
      </c>
    </row>
    <row r="2890" spans="31:47" x14ac:dyDescent="0.3">
      <c r="AE2890" s="204" t="s">
        <v>398</v>
      </c>
      <c r="AF2890" s="204" t="s">
        <v>398</v>
      </c>
      <c r="AG2890" s="204" t="s">
        <v>398</v>
      </c>
      <c r="AS2890" s="65" t="str">
        <f>IFERROR(VLOOKUP(#REF!,[1]Lookup!$B$2:$E$115,4,FALSE),"")</f>
        <v/>
      </c>
      <c r="AT2890" s="65" t="str">
        <f>IFERROR(VLOOKUP(#REF!,[1]Lookup!$B$2:$E$115,2,FALSE),"")</f>
        <v/>
      </c>
      <c r="AU2890" s="65" t="str">
        <f>IFERROR(VLOOKUP(#REF!,[1]Lookup!$B$2:$E$115,3,FALSE),"")</f>
        <v/>
      </c>
    </row>
    <row r="2891" spans="31:47" x14ac:dyDescent="0.3">
      <c r="AE2891" s="204" t="s">
        <v>398</v>
      </c>
      <c r="AF2891" s="204" t="s">
        <v>398</v>
      </c>
      <c r="AG2891" s="204" t="s">
        <v>398</v>
      </c>
      <c r="AS2891" s="65" t="str">
        <f>IFERROR(VLOOKUP(#REF!,[1]Lookup!$B$2:$E$115,4,FALSE),"")</f>
        <v/>
      </c>
      <c r="AT2891" s="65" t="str">
        <f>IFERROR(VLOOKUP(#REF!,[1]Lookup!$B$2:$E$115,2,FALSE),"")</f>
        <v/>
      </c>
      <c r="AU2891" s="65" t="str">
        <f>IFERROR(VLOOKUP(#REF!,[1]Lookup!$B$2:$E$115,3,FALSE),"")</f>
        <v/>
      </c>
    </row>
    <row r="2892" spans="31:47" x14ac:dyDescent="0.3">
      <c r="AE2892" s="204" t="s">
        <v>398</v>
      </c>
      <c r="AF2892" s="204" t="s">
        <v>398</v>
      </c>
      <c r="AG2892" s="204" t="s">
        <v>398</v>
      </c>
      <c r="AS2892" s="65" t="str">
        <f>IFERROR(VLOOKUP(#REF!,[1]Lookup!$B$2:$E$115,4,FALSE),"")</f>
        <v/>
      </c>
      <c r="AT2892" s="65" t="str">
        <f>IFERROR(VLOOKUP(#REF!,[1]Lookup!$B$2:$E$115,2,FALSE),"")</f>
        <v/>
      </c>
      <c r="AU2892" s="65" t="str">
        <f>IFERROR(VLOOKUP(#REF!,[1]Lookup!$B$2:$E$115,3,FALSE),"")</f>
        <v/>
      </c>
    </row>
    <row r="2893" spans="31:47" x14ac:dyDescent="0.3">
      <c r="AE2893" s="204" t="s">
        <v>398</v>
      </c>
      <c r="AF2893" s="204" t="s">
        <v>398</v>
      </c>
      <c r="AG2893" s="204" t="s">
        <v>398</v>
      </c>
      <c r="AS2893" s="65" t="str">
        <f>IFERROR(VLOOKUP(#REF!,[1]Lookup!$B$2:$E$115,4,FALSE),"")</f>
        <v/>
      </c>
      <c r="AT2893" s="65" t="str">
        <f>IFERROR(VLOOKUP(#REF!,[1]Lookup!$B$2:$E$115,2,FALSE),"")</f>
        <v/>
      </c>
      <c r="AU2893" s="65" t="str">
        <f>IFERROR(VLOOKUP(#REF!,[1]Lookup!$B$2:$E$115,3,FALSE),"")</f>
        <v/>
      </c>
    </row>
    <row r="2894" spans="31:47" x14ac:dyDescent="0.3">
      <c r="AE2894" s="204" t="s">
        <v>398</v>
      </c>
      <c r="AF2894" s="204" t="s">
        <v>398</v>
      </c>
      <c r="AG2894" s="204" t="s">
        <v>398</v>
      </c>
      <c r="AS2894" s="65" t="str">
        <f>IFERROR(VLOOKUP(#REF!,[1]Lookup!$B$2:$E$115,4,FALSE),"")</f>
        <v/>
      </c>
      <c r="AT2894" s="65" t="str">
        <f>IFERROR(VLOOKUP(#REF!,[1]Lookup!$B$2:$E$115,2,FALSE),"")</f>
        <v/>
      </c>
      <c r="AU2894" s="65" t="str">
        <f>IFERROR(VLOOKUP(#REF!,[1]Lookup!$B$2:$E$115,3,FALSE),"")</f>
        <v/>
      </c>
    </row>
    <row r="2895" spans="31:47" x14ac:dyDescent="0.3">
      <c r="AE2895" s="204" t="s">
        <v>398</v>
      </c>
      <c r="AF2895" s="204" t="s">
        <v>398</v>
      </c>
      <c r="AG2895" s="204" t="s">
        <v>398</v>
      </c>
      <c r="AS2895" s="65" t="str">
        <f>IFERROR(VLOOKUP(#REF!,[1]Lookup!$B$2:$E$115,4,FALSE),"")</f>
        <v/>
      </c>
      <c r="AT2895" s="65" t="str">
        <f>IFERROR(VLOOKUP(#REF!,[1]Lookup!$B$2:$E$115,2,FALSE),"")</f>
        <v/>
      </c>
      <c r="AU2895" s="65" t="str">
        <f>IFERROR(VLOOKUP(#REF!,[1]Lookup!$B$2:$E$115,3,FALSE),"")</f>
        <v/>
      </c>
    </row>
    <row r="2896" spans="31:47" x14ac:dyDescent="0.3">
      <c r="AE2896" s="204" t="s">
        <v>398</v>
      </c>
      <c r="AF2896" s="204" t="s">
        <v>398</v>
      </c>
      <c r="AG2896" s="204" t="s">
        <v>398</v>
      </c>
      <c r="AS2896" s="65" t="str">
        <f>IFERROR(VLOOKUP(#REF!,[1]Lookup!$B$2:$E$115,4,FALSE),"")</f>
        <v/>
      </c>
      <c r="AT2896" s="65" t="str">
        <f>IFERROR(VLOOKUP(#REF!,[1]Lookup!$B$2:$E$115,2,FALSE),"")</f>
        <v/>
      </c>
      <c r="AU2896" s="65" t="str">
        <f>IFERROR(VLOOKUP(#REF!,[1]Lookup!$B$2:$E$115,3,FALSE),"")</f>
        <v/>
      </c>
    </row>
    <row r="2897" spans="31:47" x14ac:dyDescent="0.3">
      <c r="AE2897" s="204" t="s">
        <v>398</v>
      </c>
      <c r="AF2897" s="204" t="s">
        <v>398</v>
      </c>
      <c r="AG2897" s="204" t="s">
        <v>398</v>
      </c>
      <c r="AS2897" s="65" t="str">
        <f>IFERROR(VLOOKUP(#REF!,[1]Lookup!$B$2:$E$115,4,FALSE),"")</f>
        <v/>
      </c>
      <c r="AT2897" s="65" t="str">
        <f>IFERROR(VLOOKUP(#REF!,[1]Lookup!$B$2:$E$115,2,FALSE),"")</f>
        <v/>
      </c>
      <c r="AU2897" s="65" t="str">
        <f>IFERROR(VLOOKUP(#REF!,[1]Lookup!$B$2:$E$115,3,FALSE),"")</f>
        <v/>
      </c>
    </row>
    <row r="2898" spans="31:47" x14ac:dyDescent="0.3">
      <c r="AE2898" s="204" t="s">
        <v>398</v>
      </c>
      <c r="AF2898" s="204" t="s">
        <v>398</v>
      </c>
      <c r="AG2898" s="204" t="s">
        <v>398</v>
      </c>
      <c r="AS2898" s="65" t="str">
        <f>IFERROR(VLOOKUP(#REF!,[1]Lookup!$B$2:$E$115,4,FALSE),"")</f>
        <v/>
      </c>
      <c r="AT2898" s="65" t="str">
        <f>IFERROR(VLOOKUP(#REF!,[1]Lookup!$B$2:$E$115,2,FALSE),"")</f>
        <v/>
      </c>
      <c r="AU2898" s="65" t="str">
        <f>IFERROR(VLOOKUP(#REF!,[1]Lookup!$B$2:$E$115,3,FALSE),"")</f>
        <v/>
      </c>
    </row>
    <row r="2899" spans="31:47" x14ac:dyDescent="0.3">
      <c r="AE2899" s="204" t="s">
        <v>398</v>
      </c>
      <c r="AF2899" s="204" t="s">
        <v>398</v>
      </c>
      <c r="AG2899" s="204" t="s">
        <v>398</v>
      </c>
      <c r="AS2899" s="65" t="str">
        <f>IFERROR(VLOOKUP(#REF!,[1]Lookup!$B$2:$E$115,4,FALSE),"")</f>
        <v/>
      </c>
      <c r="AT2899" s="65" t="str">
        <f>IFERROR(VLOOKUP(#REF!,[1]Lookup!$B$2:$E$115,2,FALSE),"")</f>
        <v/>
      </c>
      <c r="AU2899" s="65" t="str">
        <f>IFERROR(VLOOKUP(#REF!,[1]Lookup!$B$2:$E$115,3,FALSE),"")</f>
        <v/>
      </c>
    </row>
    <row r="2900" spans="31:47" x14ac:dyDescent="0.3">
      <c r="AE2900" s="204" t="s">
        <v>398</v>
      </c>
      <c r="AF2900" s="204" t="s">
        <v>398</v>
      </c>
      <c r="AG2900" s="204" t="s">
        <v>398</v>
      </c>
      <c r="AS2900" s="65" t="str">
        <f>IFERROR(VLOOKUP(#REF!,[1]Lookup!$B$2:$E$115,4,FALSE),"")</f>
        <v/>
      </c>
      <c r="AT2900" s="65" t="str">
        <f>IFERROR(VLOOKUP(#REF!,[1]Lookup!$B$2:$E$115,2,FALSE),"")</f>
        <v/>
      </c>
      <c r="AU2900" s="65" t="str">
        <f>IFERROR(VLOOKUP(#REF!,[1]Lookup!$B$2:$E$115,3,FALSE),"")</f>
        <v/>
      </c>
    </row>
    <row r="2901" spans="31:47" x14ac:dyDescent="0.3">
      <c r="AE2901" s="204" t="s">
        <v>398</v>
      </c>
      <c r="AF2901" s="204" t="s">
        <v>398</v>
      </c>
      <c r="AG2901" s="204" t="s">
        <v>398</v>
      </c>
      <c r="AS2901" s="65" t="str">
        <f>IFERROR(VLOOKUP(#REF!,[1]Lookup!$B$2:$E$115,4,FALSE),"")</f>
        <v/>
      </c>
      <c r="AT2901" s="65" t="str">
        <f>IFERROR(VLOOKUP(#REF!,[1]Lookup!$B$2:$E$115,2,FALSE),"")</f>
        <v/>
      </c>
      <c r="AU2901" s="65" t="str">
        <f>IFERROR(VLOOKUP(#REF!,[1]Lookup!$B$2:$E$115,3,FALSE),"")</f>
        <v/>
      </c>
    </row>
    <row r="2902" spans="31:47" x14ac:dyDescent="0.3">
      <c r="AE2902" s="204" t="s">
        <v>398</v>
      </c>
      <c r="AF2902" s="204" t="s">
        <v>398</v>
      </c>
      <c r="AG2902" s="204" t="s">
        <v>398</v>
      </c>
      <c r="AS2902" s="65" t="str">
        <f>IFERROR(VLOOKUP(#REF!,[1]Lookup!$B$2:$E$115,4,FALSE),"")</f>
        <v/>
      </c>
      <c r="AT2902" s="65" t="str">
        <f>IFERROR(VLOOKUP(#REF!,[1]Lookup!$B$2:$E$115,2,FALSE),"")</f>
        <v/>
      </c>
      <c r="AU2902" s="65" t="str">
        <f>IFERROR(VLOOKUP(#REF!,[1]Lookup!$B$2:$E$115,3,FALSE),"")</f>
        <v/>
      </c>
    </row>
    <row r="2903" spans="31:47" x14ac:dyDescent="0.3">
      <c r="AE2903" s="204" t="s">
        <v>398</v>
      </c>
      <c r="AF2903" s="204" t="s">
        <v>398</v>
      </c>
      <c r="AG2903" s="204" t="s">
        <v>398</v>
      </c>
      <c r="AS2903" s="65" t="str">
        <f>IFERROR(VLOOKUP(#REF!,[1]Lookup!$B$2:$E$115,4,FALSE),"")</f>
        <v/>
      </c>
      <c r="AT2903" s="65" t="str">
        <f>IFERROR(VLOOKUP(#REF!,[1]Lookup!$B$2:$E$115,2,FALSE),"")</f>
        <v/>
      </c>
      <c r="AU2903" s="65" t="str">
        <f>IFERROR(VLOOKUP(#REF!,[1]Lookup!$B$2:$E$115,3,FALSE),"")</f>
        <v/>
      </c>
    </row>
    <row r="2904" spans="31:47" x14ac:dyDescent="0.3">
      <c r="AE2904" s="204" t="s">
        <v>398</v>
      </c>
      <c r="AF2904" s="204" t="s">
        <v>398</v>
      </c>
      <c r="AG2904" s="204" t="s">
        <v>398</v>
      </c>
      <c r="AS2904" s="65" t="str">
        <f>IFERROR(VLOOKUP(#REF!,[1]Lookup!$B$2:$E$115,4,FALSE),"")</f>
        <v/>
      </c>
      <c r="AT2904" s="65" t="str">
        <f>IFERROR(VLOOKUP(#REF!,[1]Lookup!$B$2:$E$115,2,FALSE),"")</f>
        <v/>
      </c>
      <c r="AU2904" s="65" t="str">
        <f>IFERROR(VLOOKUP(#REF!,[1]Lookup!$B$2:$E$115,3,FALSE),"")</f>
        <v/>
      </c>
    </row>
    <row r="2905" spans="31:47" x14ac:dyDescent="0.3">
      <c r="AE2905" s="204" t="s">
        <v>398</v>
      </c>
      <c r="AF2905" s="204" t="s">
        <v>398</v>
      </c>
      <c r="AG2905" s="204" t="s">
        <v>398</v>
      </c>
      <c r="AS2905" s="65" t="str">
        <f>IFERROR(VLOOKUP(#REF!,[1]Lookup!$B$2:$E$115,4,FALSE),"")</f>
        <v/>
      </c>
      <c r="AT2905" s="65" t="str">
        <f>IFERROR(VLOOKUP(#REF!,[1]Lookup!$B$2:$E$115,2,FALSE),"")</f>
        <v/>
      </c>
      <c r="AU2905" s="65" t="str">
        <f>IFERROR(VLOOKUP(#REF!,[1]Lookup!$B$2:$E$115,3,FALSE),"")</f>
        <v/>
      </c>
    </row>
    <row r="2906" spans="31:47" x14ac:dyDescent="0.3">
      <c r="AE2906" s="204" t="s">
        <v>398</v>
      </c>
      <c r="AF2906" s="204" t="s">
        <v>398</v>
      </c>
      <c r="AG2906" s="204" t="s">
        <v>398</v>
      </c>
      <c r="AS2906" s="65" t="str">
        <f>IFERROR(VLOOKUP(#REF!,[1]Lookup!$B$2:$E$115,4,FALSE),"")</f>
        <v/>
      </c>
      <c r="AT2906" s="65" t="str">
        <f>IFERROR(VLOOKUP(#REF!,[1]Lookup!$B$2:$E$115,2,FALSE),"")</f>
        <v/>
      </c>
      <c r="AU2906" s="65" t="str">
        <f>IFERROR(VLOOKUP(#REF!,[1]Lookup!$B$2:$E$115,3,FALSE),"")</f>
        <v/>
      </c>
    </row>
    <row r="2907" spans="31:47" x14ac:dyDescent="0.3">
      <c r="AE2907" s="204" t="s">
        <v>398</v>
      </c>
      <c r="AF2907" s="204" t="s">
        <v>398</v>
      </c>
      <c r="AG2907" s="204" t="s">
        <v>398</v>
      </c>
      <c r="AS2907" s="65" t="str">
        <f>IFERROR(VLOOKUP(#REF!,[1]Lookup!$B$2:$E$115,4,FALSE),"")</f>
        <v/>
      </c>
      <c r="AT2907" s="65" t="str">
        <f>IFERROR(VLOOKUP(#REF!,[1]Lookup!$B$2:$E$115,2,FALSE),"")</f>
        <v/>
      </c>
      <c r="AU2907" s="65" t="str">
        <f>IFERROR(VLOOKUP(#REF!,[1]Lookup!$B$2:$E$115,3,FALSE),"")</f>
        <v/>
      </c>
    </row>
    <row r="2908" spans="31:47" x14ac:dyDescent="0.3">
      <c r="AE2908" s="204" t="s">
        <v>398</v>
      </c>
      <c r="AF2908" s="204" t="s">
        <v>398</v>
      </c>
      <c r="AG2908" s="204" t="s">
        <v>398</v>
      </c>
      <c r="AS2908" s="65" t="str">
        <f>IFERROR(VLOOKUP(#REF!,[1]Lookup!$B$2:$E$115,4,FALSE),"")</f>
        <v/>
      </c>
      <c r="AT2908" s="65" t="str">
        <f>IFERROR(VLOOKUP(#REF!,[1]Lookup!$B$2:$E$115,2,FALSE),"")</f>
        <v/>
      </c>
      <c r="AU2908" s="65" t="str">
        <f>IFERROR(VLOOKUP(#REF!,[1]Lookup!$B$2:$E$115,3,FALSE),"")</f>
        <v/>
      </c>
    </row>
    <row r="2909" spans="31:47" x14ac:dyDescent="0.3">
      <c r="AE2909" s="204" t="s">
        <v>398</v>
      </c>
      <c r="AF2909" s="204" t="s">
        <v>398</v>
      </c>
      <c r="AG2909" s="204" t="s">
        <v>398</v>
      </c>
      <c r="AS2909" s="65" t="str">
        <f>IFERROR(VLOOKUP(#REF!,[1]Lookup!$B$2:$E$115,4,FALSE),"")</f>
        <v/>
      </c>
      <c r="AT2909" s="65" t="str">
        <f>IFERROR(VLOOKUP(#REF!,[1]Lookup!$B$2:$E$115,2,FALSE),"")</f>
        <v/>
      </c>
      <c r="AU2909" s="65" t="str">
        <f>IFERROR(VLOOKUP(#REF!,[1]Lookup!$B$2:$E$115,3,FALSE),"")</f>
        <v/>
      </c>
    </row>
    <row r="2910" spans="31:47" x14ac:dyDescent="0.3">
      <c r="AE2910" s="204" t="s">
        <v>398</v>
      </c>
      <c r="AF2910" s="204" t="s">
        <v>398</v>
      </c>
      <c r="AG2910" s="204" t="s">
        <v>398</v>
      </c>
      <c r="AS2910" s="65" t="str">
        <f>IFERROR(VLOOKUP(#REF!,[1]Lookup!$B$2:$E$115,4,FALSE),"")</f>
        <v/>
      </c>
      <c r="AT2910" s="65" t="str">
        <f>IFERROR(VLOOKUP(#REF!,[1]Lookup!$B$2:$E$115,2,FALSE),"")</f>
        <v/>
      </c>
      <c r="AU2910" s="65" t="str">
        <f>IFERROR(VLOOKUP(#REF!,[1]Lookup!$B$2:$E$115,3,FALSE),"")</f>
        <v/>
      </c>
    </row>
    <row r="2911" spans="31:47" x14ac:dyDescent="0.3">
      <c r="AE2911" s="204" t="s">
        <v>398</v>
      </c>
      <c r="AF2911" s="204" t="s">
        <v>398</v>
      </c>
      <c r="AG2911" s="204" t="s">
        <v>398</v>
      </c>
      <c r="AS2911" s="65" t="str">
        <f>IFERROR(VLOOKUP(#REF!,[1]Lookup!$B$2:$E$115,4,FALSE),"")</f>
        <v/>
      </c>
      <c r="AT2911" s="65" t="str">
        <f>IFERROR(VLOOKUP(#REF!,[1]Lookup!$B$2:$E$115,2,FALSE),"")</f>
        <v/>
      </c>
      <c r="AU2911" s="65" t="str">
        <f>IFERROR(VLOOKUP(#REF!,[1]Lookup!$B$2:$E$115,3,FALSE),"")</f>
        <v/>
      </c>
    </row>
    <row r="2912" spans="31:47" x14ac:dyDescent="0.3">
      <c r="AE2912" s="204" t="s">
        <v>398</v>
      </c>
      <c r="AF2912" s="204" t="s">
        <v>398</v>
      </c>
      <c r="AG2912" s="204" t="s">
        <v>398</v>
      </c>
      <c r="AS2912" s="65" t="str">
        <f>IFERROR(VLOOKUP(#REF!,[1]Lookup!$B$2:$E$115,4,FALSE),"")</f>
        <v/>
      </c>
      <c r="AT2912" s="65" t="str">
        <f>IFERROR(VLOOKUP(#REF!,[1]Lookup!$B$2:$E$115,2,FALSE),"")</f>
        <v/>
      </c>
      <c r="AU2912" s="65" t="str">
        <f>IFERROR(VLOOKUP(#REF!,[1]Lookup!$B$2:$E$115,3,FALSE),"")</f>
        <v/>
      </c>
    </row>
    <row r="2913" spans="31:47" x14ac:dyDescent="0.3">
      <c r="AE2913" s="204" t="s">
        <v>398</v>
      </c>
      <c r="AF2913" s="204" t="s">
        <v>398</v>
      </c>
      <c r="AG2913" s="204" t="s">
        <v>398</v>
      </c>
      <c r="AS2913" s="65" t="str">
        <f>IFERROR(VLOOKUP(#REF!,[1]Lookup!$B$2:$E$115,4,FALSE),"")</f>
        <v/>
      </c>
      <c r="AT2913" s="65" t="str">
        <f>IFERROR(VLOOKUP(#REF!,[1]Lookup!$B$2:$E$115,2,FALSE),"")</f>
        <v/>
      </c>
      <c r="AU2913" s="65" t="str">
        <f>IFERROR(VLOOKUP(#REF!,[1]Lookup!$B$2:$E$115,3,FALSE),"")</f>
        <v/>
      </c>
    </row>
    <row r="2914" spans="31:47" x14ac:dyDescent="0.3">
      <c r="AE2914" s="204" t="s">
        <v>398</v>
      </c>
      <c r="AF2914" s="204" t="s">
        <v>398</v>
      </c>
      <c r="AG2914" s="204" t="s">
        <v>398</v>
      </c>
      <c r="AS2914" s="65" t="str">
        <f>IFERROR(VLOOKUP(#REF!,[1]Lookup!$B$2:$E$115,4,FALSE),"")</f>
        <v/>
      </c>
      <c r="AT2914" s="65" t="str">
        <f>IFERROR(VLOOKUP(#REF!,[1]Lookup!$B$2:$E$115,2,FALSE),"")</f>
        <v/>
      </c>
      <c r="AU2914" s="65" t="str">
        <f>IFERROR(VLOOKUP(#REF!,[1]Lookup!$B$2:$E$115,3,FALSE),"")</f>
        <v/>
      </c>
    </row>
    <row r="2915" spans="31:47" x14ac:dyDescent="0.3">
      <c r="AE2915" s="204" t="s">
        <v>398</v>
      </c>
      <c r="AF2915" s="204" t="s">
        <v>398</v>
      </c>
      <c r="AG2915" s="204" t="s">
        <v>398</v>
      </c>
      <c r="AS2915" s="65" t="str">
        <f>IFERROR(VLOOKUP(#REF!,[1]Lookup!$B$2:$E$115,4,FALSE),"")</f>
        <v/>
      </c>
      <c r="AT2915" s="65" t="str">
        <f>IFERROR(VLOOKUP(#REF!,[1]Lookup!$B$2:$E$115,2,FALSE),"")</f>
        <v/>
      </c>
      <c r="AU2915" s="65" t="str">
        <f>IFERROR(VLOOKUP(#REF!,[1]Lookup!$B$2:$E$115,3,FALSE),"")</f>
        <v/>
      </c>
    </row>
    <row r="2916" spans="31:47" x14ac:dyDescent="0.3">
      <c r="AE2916" s="204" t="s">
        <v>398</v>
      </c>
      <c r="AF2916" s="204" t="s">
        <v>398</v>
      </c>
      <c r="AG2916" s="204" t="s">
        <v>398</v>
      </c>
      <c r="AS2916" s="65" t="str">
        <f>IFERROR(VLOOKUP(#REF!,[1]Lookup!$B$2:$E$115,4,FALSE),"")</f>
        <v/>
      </c>
      <c r="AT2916" s="65" t="str">
        <f>IFERROR(VLOOKUP(#REF!,[1]Lookup!$B$2:$E$115,2,FALSE),"")</f>
        <v/>
      </c>
      <c r="AU2916" s="65" t="str">
        <f>IFERROR(VLOOKUP(#REF!,[1]Lookup!$B$2:$E$115,3,FALSE),"")</f>
        <v/>
      </c>
    </row>
    <row r="2917" spans="31:47" x14ac:dyDescent="0.3">
      <c r="AE2917" s="204" t="s">
        <v>398</v>
      </c>
      <c r="AF2917" s="204" t="s">
        <v>398</v>
      </c>
      <c r="AG2917" s="204" t="s">
        <v>398</v>
      </c>
      <c r="AS2917" s="65" t="str">
        <f>IFERROR(VLOOKUP(#REF!,[1]Lookup!$B$2:$E$115,4,FALSE),"")</f>
        <v/>
      </c>
      <c r="AT2917" s="65" t="str">
        <f>IFERROR(VLOOKUP(#REF!,[1]Lookup!$B$2:$E$115,2,FALSE),"")</f>
        <v/>
      </c>
      <c r="AU2917" s="65" t="str">
        <f>IFERROR(VLOOKUP(#REF!,[1]Lookup!$B$2:$E$115,3,FALSE),"")</f>
        <v/>
      </c>
    </row>
    <row r="2918" spans="31:47" x14ac:dyDescent="0.3">
      <c r="AE2918" s="204" t="s">
        <v>398</v>
      </c>
      <c r="AF2918" s="204" t="s">
        <v>398</v>
      </c>
      <c r="AG2918" s="204" t="s">
        <v>398</v>
      </c>
      <c r="AS2918" s="65" t="str">
        <f>IFERROR(VLOOKUP(#REF!,[1]Lookup!$B$2:$E$115,4,FALSE),"")</f>
        <v/>
      </c>
      <c r="AT2918" s="65" t="str">
        <f>IFERROR(VLOOKUP(#REF!,[1]Lookup!$B$2:$E$115,2,FALSE),"")</f>
        <v/>
      </c>
      <c r="AU2918" s="65" t="str">
        <f>IFERROR(VLOOKUP(#REF!,[1]Lookup!$B$2:$E$115,3,FALSE),"")</f>
        <v/>
      </c>
    </row>
    <row r="2919" spans="31:47" x14ac:dyDescent="0.3">
      <c r="AE2919" s="204" t="s">
        <v>398</v>
      </c>
      <c r="AF2919" s="204" t="s">
        <v>398</v>
      </c>
      <c r="AG2919" s="204" t="s">
        <v>398</v>
      </c>
      <c r="AS2919" s="65" t="str">
        <f>IFERROR(VLOOKUP(#REF!,[1]Lookup!$B$2:$E$115,4,FALSE),"")</f>
        <v/>
      </c>
      <c r="AT2919" s="65" t="str">
        <f>IFERROR(VLOOKUP(#REF!,[1]Lookup!$B$2:$E$115,2,FALSE),"")</f>
        <v/>
      </c>
      <c r="AU2919" s="65" t="str">
        <f>IFERROR(VLOOKUP(#REF!,[1]Lookup!$B$2:$E$115,3,FALSE),"")</f>
        <v/>
      </c>
    </row>
    <row r="2920" spans="31:47" x14ac:dyDescent="0.3">
      <c r="AE2920" s="204" t="s">
        <v>398</v>
      </c>
      <c r="AF2920" s="204" t="s">
        <v>398</v>
      </c>
      <c r="AG2920" s="204" t="s">
        <v>398</v>
      </c>
      <c r="AS2920" s="65" t="str">
        <f>IFERROR(VLOOKUP(#REF!,[1]Lookup!$B$2:$E$115,4,FALSE),"")</f>
        <v/>
      </c>
      <c r="AT2920" s="65" t="str">
        <f>IFERROR(VLOOKUP(#REF!,[1]Lookup!$B$2:$E$115,2,FALSE),"")</f>
        <v/>
      </c>
      <c r="AU2920" s="65" t="str">
        <f>IFERROR(VLOOKUP(#REF!,[1]Lookup!$B$2:$E$115,3,FALSE),"")</f>
        <v/>
      </c>
    </row>
    <row r="2921" spans="31:47" x14ac:dyDescent="0.3">
      <c r="AE2921" s="204" t="s">
        <v>398</v>
      </c>
      <c r="AF2921" s="204" t="s">
        <v>398</v>
      </c>
      <c r="AG2921" s="204" t="s">
        <v>398</v>
      </c>
      <c r="AS2921" s="65" t="str">
        <f>IFERROR(VLOOKUP(#REF!,[1]Lookup!$B$2:$E$115,4,FALSE),"")</f>
        <v/>
      </c>
      <c r="AT2921" s="65" t="str">
        <f>IFERROR(VLOOKUP(#REF!,[1]Lookup!$B$2:$E$115,2,FALSE),"")</f>
        <v/>
      </c>
      <c r="AU2921" s="65" t="str">
        <f>IFERROR(VLOOKUP(#REF!,[1]Lookup!$B$2:$E$115,3,FALSE),"")</f>
        <v/>
      </c>
    </row>
    <row r="2922" spans="31:47" x14ac:dyDescent="0.3">
      <c r="AE2922" s="204" t="s">
        <v>398</v>
      </c>
      <c r="AF2922" s="204" t="s">
        <v>398</v>
      </c>
      <c r="AG2922" s="204" t="s">
        <v>398</v>
      </c>
      <c r="AS2922" s="65" t="str">
        <f>IFERROR(VLOOKUP(#REF!,[1]Lookup!$B$2:$E$115,4,FALSE),"")</f>
        <v/>
      </c>
      <c r="AT2922" s="65" t="str">
        <f>IFERROR(VLOOKUP(#REF!,[1]Lookup!$B$2:$E$115,2,FALSE),"")</f>
        <v/>
      </c>
      <c r="AU2922" s="65" t="str">
        <f>IFERROR(VLOOKUP(#REF!,[1]Lookup!$B$2:$E$115,3,FALSE),"")</f>
        <v/>
      </c>
    </row>
    <row r="2923" spans="31:47" x14ac:dyDescent="0.3">
      <c r="AE2923" s="204" t="s">
        <v>398</v>
      </c>
      <c r="AF2923" s="204" t="s">
        <v>398</v>
      </c>
      <c r="AG2923" s="204" t="s">
        <v>398</v>
      </c>
      <c r="AS2923" s="65" t="str">
        <f>IFERROR(VLOOKUP(#REF!,[1]Lookup!$B$2:$E$115,4,FALSE),"")</f>
        <v/>
      </c>
      <c r="AT2923" s="65" t="str">
        <f>IFERROR(VLOOKUP(#REF!,[1]Lookup!$B$2:$E$115,2,FALSE),"")</f>
        <v/>
      </c>
      <c r="AU2923" s="65" t="str">
        <f>IFERROR(VLOOKUP(#REF!,[1]Lookup!$B$2:$E$115,3,FALSE),"")</f>
        <v/>
      </c>
    </row>
    <row r="2924" spans="31:47" x14ac:dyDescent="0.3">
      <c r="AE2924" s="204" t="s">
        <v>398</v>
      </c>
      <c r="AF2924" s="204" t="s">
        <v>398</v>
      </c>
      <c r="AG2924" s="204" t="s">
        <v>398</v>
      </c>
      <c r="AS2924" s="65" t="str">
        <f>IFERROR(VLOOKUP(#REF!,[1]Lookup!$B$2:$E$115,4,FALSE),"")</f>
        <v/>
      </c>
      <c r="AT2924" s="65" t="str">
        <f>IFERROR(VLOOKUP(#REF!,[1]Lookup!$B$2:$E$115,2,FALSE),"")</f>
        <v/>
      </c>
      <c r="AU2924" s="65" t="str">
        <f>IFERROR(VLOOKUP(#REF!,[1]Lookup!$B$2:$E$115,3,FALSE),"")</f>
        <v/>
      </c>
    </row>
    <row r="2925" spans="31:47" x14ac:dyDescent="0.3">
      <c r="AE2925" s="204" t="s">
        <v>398</v>
      </c>
      <c r="AF2925" s="204" t="s">
        <v>398</v>
      </c>
      <c r="AG2925" s="204" t="s">
        <v>398</v>
      </c>
      <c r="AS2925" s="65" t="str">
        <f>IFERROR(VLOOKUP(#REF!,[1]Lookup!$B$2:$E$115,4,FALSE),"")</f>
        <v/>
      </c>
      <c r="AT2925" s="65" t="str">
        <f>IFERROR(VLOOKUP(#REF!,[1]Lookup!$B$2:$E$115,2,FALSE),"")</f>
        <v/>
      </c>
      <c r="AU2925" s="65" t="str">
        <f>IFERROR(VLOOKUP(#REF!,[1]Lookup!$B$2:$E$115,3,FALSE),"")</f>
        <v/>
      </c>
    </row>
    <row r="2926" spans="31:47" x14ac:dyDescent="0.3">
      <c r="AE2926" s="204" t="s">
        <v>398</v>
      </c>
      <c r="AF2926" s="204" t="s">
        <v>398</v>
      </c>
      <c r="AG2926" s="204" t="s">
        <v>398</v>
      </c>
      <c r="AS2926" s="65" t="str">
        <f>IFERROR(VLOOKUP(#REF!,[1]Lookup!$B$2:$E$115,4,FALSE),"")</f>
        <v/>
      </c>
      <c r="AT2926" s="65" t="str">
        <f>IFERROR(VLOOKUP(#REF!,[1]Lookup!$B$2:$E$115,2,FALSE),"")</f>
        <v/>
      </c>
      <c r="AU2926" s="65" t="str">
        <f>IFERROR(VLOOKUP(#REF!,[1]Lookup!$B$2:$E$115,3,FALSE),"")</f>
        <v/>
      </c>
    </row>
    <row r="2927" spans="31:47" x14ac:dyDescent="0.3">
      <c r="AE2927" s="204" t="s">
        <v>398</v>
      </c>
      <c r="AF2927" s="204" t="s">
        <v>398</v>
      </c>
      <c r="AG2927" s="204" t="s">
        <v>398</v>
      </c>
      <c r="AS2927" s="65" t="str">
        <f>IFERROR(VLOOKUP(#REF!,[1]Lookup!$B$2:$E$115,4,FALSE),"")</f>
        <v/>
      </c>
      <c r="AT2927" s="65" t="str">
        <f>IFERROR(VLOOKUP(#REF!,[1]Lookup!$B$2:$E$115,2,FALSE),"")</f>
        <v/>
      </c>
      <c r="AU2927" s="65" t="str">
        <f>IFERROR(VLOOKUP(#REF!,[1]Lookup!$B$2:$E$115,3,FALSE),"")</f>
        <v/>
      </c>
    </row>
    <row r="2928" spans="31:47" x14ac:dyDescent="0.3">
      <c r="AE2928" s="204" t="s">
        <v>398</v>
      </c>
      <c r="AF2928" s="204" t="s">
        <v>398</v>
      </c>
      <c r="AG2928" s="204" t="s">
        <v>398</v>
      </c>
      <c r="AS2928" s="65" t="str">
        <f>IFERROR(VLOOKUP(#REF!,[1]Lookup!$B$2:$E$115,4,FALSE),"")</f>
        <v/>
      </c>
      <c r="AT2928" s="65" t="str">
        <f>IFERROR(VLOOKUP(#REF!,[1]Lookup!$B$2:$E$115,2,FALSE),"")</f>
        <v/>
      </c>
      <c r="AU2928" s="65" t="str">
        <f>IFERROR(VLOOKUP(#REF!,[1]Lookup!$B$2:$E$115,3,FALSE),"")</f>
        <v/>
      </c>
    </row>
    <row r="2929" spans="31:47" x14ac:dyDescent="0.3">
      <c r="AE2929" s="204" t="s">
        <v>398</v>
      </c>
      <c r="AF2929" s="204" t="s">
        <v>398</v>
      </c>
      <c r="AG2929" s="204" t="s">
        <v>398</v>
      </c>
      <c r="AS2929" s="65" t="str">
        <f>IFERROR(VLOOKUP(#REF!,[1]Lookup!$B$2:$E$115,4,FALSE),"")</f>
        <v/>
      </c>
      <c r="AT2929" s="65" t="str">
        <f>IFERROR(VLOOKUP(#REF!,[1]Lookup!$B$2:$E$115,2,FALSE),"")</f>
        <v/>
      </c>
      <c r="AU2929" s="65" t="str">
        <f>IFERROR(VLOOKUP(#REF!,[1]Lookup!$B$2:$E$115,3,FALSE),"")</f>
        <v/>
      </c>
    </row>
    <row r="2930" spans="31:47" x14ac:dyDescent="0.3">
      <c r="AE2930" s="204" t="s">
        <v>398</v>
      </c>
      <c r="AF2930" s="204" t="s">
        <v>398</v>
      </c>
      <c r="AG2930" s="204" t="s">
        <v>398</v>
      </c>
      <c r="AS2930" s="65" t="str">
        <f>IFERROR(VLOOKUP(#REF!,[1]Lookup!$B$2:$E$115,4,FALSE),"")</f>
        <v/>
      </c>
      <c r="AT2930" s="65" t="str">
        <f>IFERROR(VLOOKUP(#REF!,[1]Lookup!$B$2:$E$115,2,FALSE),"")</f>
        <v/>
      </c>
      <c r="AU2930" s="65" t="str">
        <f>IFERROR(VLOOKUP(#REF!,[1]Lookup!$B$2:$E$115,3,FALSE),"")</f>
        <v/>
      </c>
    </row>
    <row r="2931" spans="31:47" x14ac:dyDescent="0.3">
      <c r="AE2931" s="204" t="s">
        <v>398</v>
      </c>
      <c r="AF2931" s="204" t="s">
        <v>398</v>
      </c>
      <c r="AG2931" s="204" t="s">
        <v>398</v>
      </c>
      <c r="AS2931" s="65" t="str">
        <f>IFERROR(VLOOKUP(#REF!,[1]Lookup!$B$2:$E$115,4,FALSE),"")</f>
        <v/>
      </c>
      <c r="AT2931" s="65" t="str">
        <f>IFERROR(VLOOKUP(#REF!,[1]Lookup!$B$2:$E$115,2,FALSE),"")</f>
        <v/>
      </c>
      <c r="AU2931" s="65" t="str">
        <f>IFERROR(VLOOKUP(#REF!,[1]Lookup!$B$2:$E$115,3,FALSE),"")</f>
        <v/>
      </c>
    </row>
    <row r="2932" spans="31:47" x14ac:dyDescent="0.3">
      <c r="AE2932" s="204" t="s">
        <v>398</v>
      </c>
      <c r="AF2932" s="204" t="s">
        <v>398</v>
      </c>
      <c r="AG2932" s="204" t="s">
        <v>398</v>
      </c>
      <c r="AS2932" s="65" t="str">
        <f>IFERROR(VLOOKUP(#REF!,[1]Lookup!$B$2:$E$115,4,FALSE),"")</f>
        <v/>
      </c>
      <c r="AT2932" s="65" t="str">
        <f>IFERROR(VLOOKUP(#REF!,[1]Lookup!$B$2:$E$115,2,FALSE),"")</f>
        <v/>
      </c>
      <c r="AU2932" s="65" t="str">
        <f>IFERROR(VLOOKUP(#REF!,[1]Lookup!$B$2:$E$115,3,FALSE),"")</f>
        <v/>
      </c>
    </row>
    <row r="2933" spans="31:47" x14ac:dyDescent="0.3">
      <c r="AE2933" s="204" t="s">
        <v>398</v>
      </c>
      <c r="AF2933" s="204" t="s">
        <v>398</v>
      </c>
      <c r="AG2933" s="204" t="s">
        <v>398</v>
      </c>
      <c r="AS2933" s="65" t="str">
        <f>IFERROR(VLOOKUP(#REF!,[1]Lookup!$B$2:$E$115,4,FALSE),"")</f>
        <v/>
      </c>
      <c r="AT2933" s="65" t="str">
        <f>IFERROR(VLOOKUP(#REF!,[1]Lookup!$B$2:$E$115,2,FALSE),"")</f>
        <v/>
      </c>
      <c r="AU2933" s="65" t="str">
        <f>IFERROR(VLOOKUP(#REF!,[1]Lookup!$B$2:$E$115,3,FALSE),"")</f>
        <v/>
      </c>
    </row>
    <row r="2934" spans="31:47" x14ac:dyDescent="0.3">
      <c r="AE2934" s="204" t="s">
        <v>398</v>
      </c>
      <c r="AF2934" s="204" t="s">
        <v>398</v>
      </c>
      <c r="AG2934" s="204" t="s">
        <v>398</v>
      </c>
      <c r="AS2934" s="65" t="str">
        <f>IFERROR(VLOOKUP(#REF!,[1]Lookup!$B$2:$E$115,4,FALSE),"")</f>
        <v/>
      </c>
      <c r="AT2934" s="65" t="str">
        <f>IFERROR(VLOOKUP(#REF!,[1]Lookup!$B$2:$E$115,2,FALSE),"")</f>
        <v/>
      </c>
      <c r="AU2934" s="65" t="str">
        <f>IFERROR(VLOOKUP(#REF!,[1]Lookup!$B$2:$E$115,3,FALSE),"")</f>
        <v/>
      </c>
    </row>
    <row r="2935" spans="31:47" x14ac:dyDescent="0.3">
      <c r="AE2935" s="204" t="s">
        <v>398</v>
      </c>
      <c r="AF2935" s="204" t="s">
        <v>398</v>
      </c>
      <c r="AG2935" s="204" t="s">
        <v>398</v>
      </c>
      <c r="AS2935" s="65" t="str">
        <f>IFERROR(VLOOKUP(#REF!,[1]Lookup!$B$2:$E$115,4,FALSE),"")</f>
        <v/>
      </c>
      <c r="AT2935" s="65" t="str">
        <f>IFERROR(VLOOKUP(#REF!,[1]Lookup!$B$2:$E$115,2,FALSE),"")</f>
        <v/>
      </c>
      <c r="AU2935" s="65" t="str">
        <f>IFERROR(VLOOKUP(#REF!,[1]Lookup!$B$2:$E$115,3,FALSE),"")</f>
        <v/>
      </c>
    </row>
    <row r="2936" spans="31:47" x14ac:dyDescent="0.3">
      <c r="AE2936" s="204" t="s">
        <v>398</v>
      </c>
      <c r="AF2936" s="204" t="s">
        <v>398</v>
      </c>
      <c r="AG2936" s="204" t="s">
        <v>398</v>
      </c>
      <c r="AS2936" s="65" t="str">
        <f>IFERROR(VLOOKUP(#REF!,[1]Lookup!$B$2:$E$115,4,FALSE),"")</f>
        <v/>
      </c>
      <c r="AT2936" s="65" t="str">
        <f>IFERROR(VLOOKUP(#REF!,[1]Lookup!$B$2:$E$115,2,FALSE),"")</f>
        <v/>
      </c>
      <c r="AU2936" s="65" t="str">
        <f>IFERROR(VLOOKUP(#REF!,[1]Lookup!$B$2:$E$115,3,FALSE),"")</f>
        <v/>
      </c>
    </row>
    <row r="2937" spans="31:47" x14ac:dyDescent="0.3">
      <c r="AE2937" s="204" t="s">
        <v>398</v>
      </c>
      <c r="AF2937" s="204" t="s">
        <v>398</v>
      </c>
      <c r="AG2937" s="204" t="s">
        <v>398</v>
      </c>
      <c r="AS2937" s="65" t="str">
        <f>IFERROR(VLOOKUP(#REF!,[1]Lookup!$B$2:$E$115,4,FALSE),"")</f>
        <v/>
      </c>
      <c r="AT2937" s="65" t="str">
        <f>IFERROR(VLOOKUP(#REF!,[1]Lookup!$B$2:$E$115,2,FALSE),"")</f>
        <v/>
      </c>
      <c r="AU2937" s="65" t="str">
        <f>IFERROR(VLOOKUP(#REF!,[1]Lookup!$B$2:$E$115,3,FALSE),"")</f>
        <v/>
      </c>
    </row>
    <row r="2938" spans="31:47" x14ac:dyDescent="0.3">
      <c r="AE2938" s="204" t="s">
        <v>398</v>
      </c>
      <c r="AF2938" s="204" t="s">
        <v>398</v>
      </c>
      <c r="AG2938" s="204" t="s">
        <v>398</v>
      </c>
      <c r="AS2938" s="65" t="str">
        <f>IFERROR(VLOOKUP(#REF!,[1]Lookup!$B$2:$E$115,4,FALSE),"")</f>
        <v/>
      </c>
      <c r="AT2938" s="65" t="str">
        <f>IFERROR(VLOOKUP(#REF!,[1]Lookup!$B$2:$E$115,2,FALSE),"")</f>
        <v/>
      </c>
      <c r="AU2938" s="65" t="str">
        <f>IFERROR(VLOOKUP(#REF!,[1]Lookup!$B$2:$E$115,3,FALSE),"")</f>
        <v/>
      </c>
    </row>
    <row r="2939" spans="31:47" x14ac:dyDescent="0.3">
      <c r="AE2939" s="204" t="s">
        <v>398</v>
      </c>
      <c r="AF2939" s="204" t="s">
        <v>398</v>
      </c>
      <c r="AG2939" s="204" t="s">
        <v>398</v>
      </c>
      <c r="AS2939" s="65" t="str">
        <f>IFERROR(VLOOKUP(#REF!,[1]Lookup!$B$2:$E$115,4,FALSE),"")</f>
        <v/>
      </c>
      <c r="AT2939" s="65" t="str">
        <f>IFERROR(VLOOKUP(#REF!,[1]Lookup!$B$2:$E$115,2,FALSE),"")</f>
        <v/>
      </c>
      <c r="AU2939" s="65" t="str">
        <f>IFERROR(VLOOKUP(#REF!,[1]Lookup!$B$2:$E$115,3,FALSE),"")</f>
        <v/>
      </c>
    </row>
    <row r="2940" spans="31:47" x14ac:dyDescent="0.3">
      <c r="AE2940" s="204" t="s">
        <v>398</v>
      </c>
      <c r="AF2940" s="204" t="s">
        <v>398</v>
      </c>
      <c r="AG2940" s="204" t="s">
        <v>398</v>
      </c>
      <c r="AS2940" s="65" t="str">
        <f>IFERROR(VLOOKUP(#REF!,[1]Lookup!$B$2:$E$115,4,FALSE),"")</f>
        <v/>
      </c>
      <c r="AT2940" s="65" t="str">
        <f>IFERROR(VLOOKUP(#REF!,[1]Lookup!$B$2:$E$115,2,FALSE),"")</f>
        <v/>
      </c>
      <c r="AU2940" s="65" t="str">
        <f>IFERROR(VLOOKUP(#REF!,[1]Lookup!$B$2:$E$115,3,FALSE),"")</f>
        <v/>
      </c>
    </row>
    <row r="2941" spans="31:47" x14ac:dyDescent="0.3">
      <c r="AE2941" s="204" t="s">
        <v>398</v>
      </c>
      <c r="AF2941" s="204" t="s">
        <v>398</v>
      </c>
      <c r="AG2941" s="204" t="s">
        <v>398</v>
      </c>
      <c r="AS2941" s="65" t="str">
        <f>IFERROR(VLOOKUP(#REF!,[1]Lookup!$B$2:$E$115,4,FALSE),"")</f>
        <v/>
      </c>
      <c r="AT2941" s="65" t="str">
        <f>IFERROR(VLOOKUP(#REF!,[1]Lookup!$B$2:$E$115,2,FALSE),"")</f>
        <v/>
      </c>
      <c r="AU2941" s="65" t="str">
        <f>IFERROR(VLOOKUP(#REF!,[1]Lookup!$B$2:$E$115,3,FALSE),"")</f>
        <v/>
      </c>
    </row>
    <row r="2942" spans="31:47" x14ac:dyDescent="0.3">
      <c r="AE2942" s="204" t="s">
        <v>398</v>
      </c>
      <c r="AF2942" s="204" t="s">
        <v>398</v>
      </c>
      <c r="AG2942" s="204" t="s">
        <v>398</v>
      </c>
      <c r="AS2942" s="65" t="str">
        <f>IFERROR(VLOOKUP(#REF!,[1]Lookup!$B$2:$E$115,4,FALSE),"")</f>
        <v/>
      </c>
      <c r="AT2942" s="65" t="str">
        <f>IFERROR(VLOOKUP(#REF!,[1]Lookup!$B$2:$E$115,2,FALSE),"")</f>
        <v/>
      </c>
      <c r="AU2942" s="65" t="str">
        <f>IFERROR(VLOOKUP(#REF!,[1]Lookup!$B$2:$E$115,3,FALSE),"")</f>
        <v/>
      </c>
    </row>
    <row r="2943" spans="31:47" x14ac:dyDescent="0.3">
      <c r="AE2943" s="204" t="s">
        <v>398</v>
      </c>
      <c r="AF2943" s="204" t="s">
        <v>398</v>
      </c>
      <c r="AG2943" s="204" t="s">
        <v>398</v>
      </c>
      <c r="AS2943" s="65" t="str">
        <f>IFERROR(VLOOKUP(#REF!,[1]Lookup!$B$2:$E$115,4,FALSE),"")</f>
        <v/>
      </c>
      <c r="AT2943" s="65" t="str">
        <f>IFERROR(VLOOKUP(#REF!,[1]Lookup!$B$2:$E$115,2,FALSE),"")</f>
        <v/>
      </c>
      <c r="AU2943" s="65" t="str">
        <f>IFERROR(VLOOKUP(#REF!,[1]Lookup!$B$2:$E$115,3,FALSE),"")</f>
        <v/>
      </c>
    </row>
    <row r="2944" spans="31:47" x14ac:dyDescent="0.3">
      <c r="AE2944" s="204" t="s">
        <v>398</v>
      </c>
      <c r="AF2944" s="204" t="s">
        <v>398</v>
      </c>
      <c r="AG2944" s="204" t="s">
        <v>398</v>
      </c>
      <c r="AS2944" s="65" t="str">
        <f>IFERROR(VLOOKUP(#REF!,[1]Lookup!$B$2:$E$115,4,FALSE),"")</f>
        <v/>
      </c>
      <c r="AT2944" s="65" t="str">
        <f>IFERROR(VLOOKUP(#REF!,[1]Lookup!$B$2:$E$115,2,FALSE),"")</f>
        <v/>
      </c>
      <c r="AU2944" s="65" t="str">
        <f>IFERROR(VLOOKUP(#REF!,[1]Lookup!$B$2:$E$115,3,FALSE),"")</f>
        <v/>
      </c>
    </row>
    <row r="2945" spans="31:47" x14ac:dyDescent="0.3">
      <c r="AE2945" s="204" t="s">
        <v>398</v>
      </c>
      <c r="AF2945" s="204" t="s">
        <v>398</v>
      </c>
      <c r="AG2945" s="204" t="s">
        <v>398</v>
      </c>
      <c r="AS2945" s="65" t="str">
        <f>IFERROR(VLOOKUP(#REF!,[1]Lookup!$B$2:$E$115,4,FALSE),"")</f>
        <v/>
      </c>
      <c r="AT2945" s="65" t="str">
        <f>IFERROR(VLOOKUP(#REF!,[1]Lookup!$B$2:$E$115,2,FALSE),"")</f>
        <v/>
      </c>
      <c r="AU2945" s="65" t="str">
        <f>IFERROR(VLOOKUP(#REF!,[1]Lookup!$B$2:$E$115,3,FALSE),"")</f>
        <v/>
      </c>
    </row>
    <row r="2946" spans="31:47" x14ac:dyDescent="0.3">
      <c r="AE2946" s="204" t="s">
        <v>398</v>
      </c>
      <c r="AF2946" s="204" t="s">
        <v>398</v>
      </c>
      <c r="AG2946" s="204" t="s">
        <v>398</v>
      </c>
      <c r="AS2946" s="65" t="str">
        <f>IFERROR(VLOOKUP(#REF!,[1]Lookup!$B$2:$E$115,4,FALSE),"")</f>
        <v/>
      </c>
      <c r="AT2946" s="65" t="str">
        <f>IFERROR(VLOOKUP(#REF!,[1]Lookup!$B$2:$E$115,2,FALSE),"")</f>
        <v/>
      </c>
      <c r="AU2946" s="65" t="str">
        <f>IFERROR(VLOOKUP(#REF!,[1]Lookup!$B$2:$E$115,3,FALSE),"")</f>
        <v/>
      </c>
    </row>
    <row r="2947" spans="31:47" x14ac:dyDescent="0.3">
      <c r="AE2947" s="204" t="s">
        <v>398</v>
      </c>
      <c r="AF2947" s="204" t="s">
        <v>398</v>
      </c>
      <c r="AG2947" s="204" t="s">
        <v>398</v>
      </c>
      <c r="AS2947" s="65" t="str">
        <f>IFERROR(VLOOKUP(#REF!,[1]Lookup!$B$2:$E$115,4,FALSE),"")</f>
        <v/>
      </c>
      <c r="AT2947" s="65" t="str">
        <f>IFERROR(VLOOKUP(#REF!,[1]Lookup!$B$2:$E$115,2,FALSE),"")</f>
        <v/>
      </c>
      <c r="AU2947" s="65" t="str">
        <f>IFERROR(VLOOKUP(#REF!,[1]Lookup!$B$2:$E$115,3,FALSE),"")</f>
        <v/>
      </c>
    </row>
    <row r="2948" spans="31:47" x14ac:dyDescent="0.3">
      <c r="AE2948" s="204" t="s">
        <v>398</v>
      </c>
      <c r="AF2948" s="204" t="s">
        <v>398</v>
      </c>
      <c r="AG2948" s="204" t="s">
        <v>398</v>
      </c>
      <c r="AS2948" s="65" t="str">
        <f>IFERROR(VLOOKUP(#REF!,[1]Lookup!$B$2:$E$115,4,FALSE),"")</f>
        <v/>
      </c>
      <c r="AT2948" s="65" t="str">
        <f>IFERROR(VLOOKUP(#REF!,[1]Lookup!$B$2:$E$115,2,FALSE),"")</f>
        <v/>
      </c>
      <c r="AU2948" s="65" t="str">
        <f>IFERROR(VLOOKUP(#REF!,[1]Lookup!$B$2:$E$115,3,FALSE),"")</f>
        <v/>
      </c>
    </row>
    <row r="2949" spans="31:47" x14ac:dyDescent="0.3">
      <c r="AE2949" s="204" t="s">
        <v>398</v>
      </c>
      <c r="AF2949" s="204" t="s">
        <v>398</v>
      </c>
      <c r="AG2949" s="204" t="s">
        <v>398</v>
      </c>
      <c r="AS2949" s="65" t="str">
        <f>IFERROR(VLOOKUP(#REF!,[1]Lookup!$B$2:$E$115,4,FALSE),"")</f>
        <v/>
      </c>
      <c r="AT2949" s="65" t="str">
        <f>IFERROR(VLOOKUP(#REF!,[1]Lookup!$B$2:$E$115,2,FALSE),"")</f>
        <v/>
      </c>
      <c r="AU2949" s="65" t="str">
        <f>IFERROR(VLOOKUP(#REF!,[1]Lookup!$B$2:$E$115,3,FALSE),"")</f>
        <v/>
      </c>
    </row>
    <row r="2950" spans="31:47" x14ac:dyDescent="0.3">
      <c r="AE2950" s="204" t="s">
        <v>398</v>
      </c>
      <c r="AF2950" s="204" t="s">
        <v>398</v>
      </c>
      <c r="AG2950" s="204" t="s">
        <v>398</v>
      </c>
      <c r="AS2950" s="65" t="str">
        <f>IFERROR(VLOOKUP(#REF!,[1]Lookup!$B$2:$E$115,4,FALSE),"")</f>
        <v/>
      </c>
      <c r="AT2950" s="65" t="str">
        <f>IFERROR(VLOOKUP(#REF!,[1]Lookup!$B$2:$E$115,2,FALSE),"")</f>
        <v/>
      </c>
      <c r="AU2950" s="65" t="str">
        <f>IFERROR(VLOOKUP(#REF!,[1]Lookup!$B$2:$E$115,3,FALSE),"")</f>
        <v/>
      </c>
    </row>
    <row r="2951" spans="31:47" x14ac:dyDescent="0.3">
      <c r="AE2951" s="204" t="s">
        <v>398</v>
      </c>
      <c r="AF2951" s="204" t="s">
        <v>398</v>
      </c>
      <c r="AG2951" s="204" t="s">
        <v>398</v>
      </c>
      <c r="AS2951" s="65" t="str">
        <f>IFERROR(VLOOKUP(#REF!,[1]Lookup!$B$2:$E$115,4,FALSE),"")</f>
        <v/>
      </c>
      <c r="AT2951" s="65" t="str">
        <f>IFERROR(VLOOKUP(#REF!,[1]Lookup!$B$2:$E$115,2,FALSE),"")</f>
        <v/>
      </c>
      <c r="AU2951" s="65" t="str">
        <f>IFERROR(VLOOKUP(#REF!,[1]Lookup!$B$2:$E$115,3,FALSE),"")</f>
        <v/>
      </c>
    </row>
    <row r="2952" spans="31:47" x14ac:dyDescent="0.3">
      <c r="AE2952" s="204" t="s">
        <v>398</v>
      </c>
      <c r="AF2952" s="204" t="s">
        <v>398</v>
      </c>
      <c r="AG2952" s="204" t="s">
        <v>398</v>
      </c>
      <c r="AS2952" s="65" t="str">
        <f>IFERROR(VLOOKUP(#REF!,[1]Lookup!$B$2:$E$115,4,FALSE),"")</f>
        <v/>
      </c>
      <c r="AT2952" s="65" t="str">
        <f>IFERROR(VLOOKUP(#REF!,[1]Lookup!$B$2:$E$115,2,FALSE),"")</f>
        <v/>
      </c>
      <c r="AU2952" s="65" t="str">
        <f>IFERROR(VLOOKUP(#REF!,[1]Lookup!$B$2:$E$115,3,FALSE),"")</f>
        <v/>
      </c>
    </row>
    <row r="2953" spans="31:47" x14ac:dyDescent="0.3">
      <c r="AE2953" s="204" t="s">
        <v>398</v>
      </c>
      <c r="AF2953" s="204" t="s">
        <v>398</v>
      </c>
      <c r="AG2953" s="204" t="s">
        <v>398</v>
      </c>
      <c r="AS2953" s="65" t="str">
        <f>IFERROR(VLOOKUP(#REF!,[1]Lookup!$B$2:$E$115,4,FALSE),"")</f>
        <v/>
      </c>
      <c r="AT2953" s="65" t="str">
        <f>IFERROR(VLOOKUP(#REF!,[1]Lookup!$B$2:$E$115,2,FALSE),"")</f>
        <v/>
      </c>
      <c r="AU2953" s="65" t="str">
        <f>IFERROR(VLOOKUP(#REF!,[1]Lookup!$B$2:$E$115,3,FALSE),"")</f>
        <v/>
      </c>
    </row>
    <row r="2954" spans="31:47" x14ac:dyDescent="0.3">
      <c r="AE2954" s="204" t="s">
        <v>398</v>
      </c>
      <c r="AF2954" s="204" t="s">
        <v>398</v>
      </c>
      <c r="AG2954" s="204" t="s">
        <v>398</v>
      </c>
      <c r="AS2954" s="65" t="str">
        <f>IFERROR(VLOOKUP(#REF!,[1]Lookup!$B$2:$E$115,4,FALSE),"")</f>
        <v/>
      </c>
      <c r="AT2954" s="65" t="str">
        <f>IFERROR(VLOOKUP(#REF!,[1]Lookup!$B$2:$E$115,2,FALSE),"")</f>
        <v/>
      </c>
      <c r="AU2954" s="65" t="str">
        <f>IFERROR(VLOOKUP(#REF!,[1]Lookup!$B$2:$E$115,3,FALSE),"")</f>
        <v/>
      </c>
    </row>
    <row r="2955" spans="31:47" x14ac:dyDescent="0.3">
      <c r="AE2955" s="204" t="s">
        <v>398</v>
      </c>
      <c r="AF2955" s="204" t="s">
        <v>398</v>
      </c>
      <c r="AG2955" s="204" t="s">
        <v>398</v>
      </c>
      <c r="AS2955" s="65" t="str">
        <f>IFERROR(VLOOKUP(#REF!,[1]Lookup!$B$2:$E$115,4,FALSE),"")</f>
        <v/>
      </c>
      <c r="AT2955" s="65" t="str">
        <f>IFERROR(VLOOKUP(#REF!,[1]Lookup!$B$2:$E$115,2,FALSE),"")</f>
        <v/>
      </c>
      <c r="AU2955" s="65" t="str">
        <f>IFERROR(VLOOKUP(#REF!,[1]Lookup!$B$2:$E$115,3,FALSE),"")</f>
        <v/>
      </c>
    </row>
    <row r="2956" spans="31:47" x14ac:dyDescent="0.3">
      <c r="AE2956" s="204" t="s">
        <v>398</v>
      </c>
      <c r="AF2956" s="204" t="s">
        <v>398</v>
      </c>
      <c r="AG2956" s="204" t="s">
        <v>398</v>
      </c>
      <c r="AS2956" s="65" t="str">
        <f>IFERROR(VLOOKUP(#REF!,[1]Lookup!$B$2:$E$115,4,FALSE),"")</f>
        <v/>
      </c>
      <c r="AT2956" s="65" t="str">
        <f>IFERROR(VLOOKUP(#REF!,[1]Lookup!$B$2:$E$115,2,FALSE),"")</f>
        <v/>
      </c>
      <c r="AU2956" s="65" t="str">
        <f>IFERROR(VLOOKUP(#REF!,[1]Lookup!$B$2:$E$115,3,FALSE),"")</f>
        <v/>
      </c>
    </row>
    <row r="2957" spans="31:47" x14ac:dyDescent="0.3">
      <c r="AE2957" s="204" t="s">
        <v>398</v>
      </c>
      <c r="AF2957" s="204" t="s">
        <v>398</v>
      </c>
      <c r="AG2957" s="204" t="s">
        <v>398</v>
      </c>
      <c r="AS2957" s="65" t="str">
        <f>IFERROR(VLOOKUP(#REF!,[1]Lookup!$B$2:$E$115,4,FALSE),"")</f>
        <v/>
      </c>
      <c r="AT2957" s="65" t="str">
        <f>IFERROR(VLOOKUP(#REF!,[1]Lookup!$B$2:$E$115,2,FALSE),"")</f>
        <v/>
      </c>
      <c r="AU2957" s="65" t="str">
        <f>IFERROR(VLOOKUP(#REF!,[1]Lookup!$B$2:$E$115,3,FALSE),"")</f>
        <v/>
      </c>
    </row>
    <row r="2958" spans="31:47" x14ac:dyDescent="0.3">
      <c r="AE2958" s="204" t="s">
        <v>398</v>
      </c>
      <c r="AF2958" s="204" t="s">
        <v>398</v>
      </c>
      <c r="AG2958" s="204" t="s">
        <v>398</v>
      </c>
      <c r="AS2958" s="65" t="str">
        <f>IFERROR(VLOOKUP(#REF!,[1]Lookup!$B$2:$E$115,4,FALSE),"")</f>
        <v/>
      </c>
      <c r="AT2958" s="65" t="str">
        <f>IFERROR(VLOOKUP(#REF!,[1]Lookup!$B$2:$E$115,2,FALSE),"")</f>
        <v/>
      </c>
      <c r="AU2958" s="65" t="str">
        <f>IFERROR(VLOOKUP(#REF!,[1]Lookup!$B$2:$E$115,3,FALSE),"")</f>
        <v/>
      </c>
    </row>
    <row r="2959" spans="31:47" x14ac:dyDescent="0.3">
      <c r="AE2959" s="204" t="s">
        <v>398</v>
      </c>
      <c r="AF2959" s="204" t="s">
        <v>398</v>
      </c>
      <c r="AG2959" s="204" t="s">
        <v>398</v>
      </c>
      <c r="AS2959" s="65" t="str">
        <f>IFERROR(VLOOKUP(#REF!,[1]Lookup!$B$2:$E$115,4,FALSE),"")</f>
        <v/>
      </c>
      <c r="AT2959" s="65" t="str">
        <f>IFERROR(VLOOKUP(#REF!,[1]Lookup!$B$2:$E$115,2,FALSE),"")</f>
        <v/>
      </c>
      <c r="AU2959" s="65" t="str">
        <f>IFERROR(VLOOKUP(#REF!,[1]Lookup!$B$2:$E$115,3,FALSE),"")</f>
        <v/>
      </c>
    </row>
    <row r="2960" spans="31:47" x14ac:dyDescent="0.3">
      <c r="AE2960" s="204" t="s">
        <v>398</v>
      </c>
      <c r="AF2960" s="204" t="s">
        <v>398</v>
      </c>
      <c r="AG2960" s="204" t="s">
        <v>398</v>
      </c>
      <c r="AS2960" s="65" t="str">
        <f>IFERROR(VLOOKUP(#REF!,[1]Lookup!$B$2:$E$115,4,FALSE),"")</f>
        <v/>
      </c>
      <c r="AT2960" s="65" t="str">
        <f>IFERROR(VLOOKUP(#REF!,[1]Lookup!$B$2:$E$115,2,FALSE),"")</f>
        <v/>
      </c>
      <c r="AU2960" s="65" t="str">
        <f>IFERROR(VLOOKUP(#REF!,[1]Lookup!$B$2:$E$115,3,FALSE),"")</f>
        <v/>
      </c>
    </row>
    <row r="2961" spans="31:47" x14ac:dyDescent="0.3">
      <c r="AE2961" s="204" t="s">
        <v>398</v>
      </c>
      <c r="AF2961" s="204" t="s">
        <v>398</v>
      </c>
      <c r="AG2961" s="204" t="s">
        <v>398</v>
      </c>
      <c r="AS2961" s="65" t="str">
        <f>IFERROR(VLOOKUP(#REF!,[1]Lookup!$B$2:$E$115,4,FALSE),"")</f>
        <v/>
      </c>
      <c r="AT2961" s="65" t="str">
        <f>IFERROR(VLOOKUP(#REF!,[1]Lookup!$B$2:$E$115,2,FALSE),"")</f>
        <v/>
      </c>
      <c r="AU2961" s="65" t="str">
        <f>IFERROR(VLOOKUP(#REF!,[1]Lookup!$B$2:$E$115,3,FALSE),"")</f>
        <v/>
      </c>
    </row>
    <row r="2962" spans="31:47" x14ac:dyDescent="0.3">
      <c r="AE2962" s="204" t="s">
        <v>398</v>
      </c>
      <c r="AF2962" s="204" t="s">
        <v>398</v>
      </c>
      <c r="AG2962" s="204" t="s">
        <v>398</v>
      </c>
      <c r="AS2962" s="65" t="str">
        <f>IFERROR(VLOOKUP(#REF!,[1]Lookup!$B$2:$E$115,4,FALSE),"")</f>
        <v/>
      </c>
      <c r="AT2962" s="65" t="str">
        <f>IFERROR(VLOOKUP(#REF!,[1]Lookup!$B$2:$E$115,2,FALSE),"")</f>
        <v/>
      </c>
      <c r="AU2962" s="65" t="str">
        <f>IFERROR(VLOOKUP(#REF!,[1]Lookup!$B$2:$E$115,3,FALSE),"")</f>
        <v/>
      </c>
    </row>
    <row r="2963" spans="31:47" x14ac:dyDescent="0.3">
      <c r="AE2963" s="204" t="s">
        <v>398</v>
      </c>
      <c r="AF2963" s="204" t="s">
        <v>398</v>
      </c>
      <c r="AG2963" s="204" t="s">
        <v>398</v>
      </c>
      <c r="AS2963" s="65" t="str">
        <f>IFERROR(VLOOKUP(#REF!,[1]Lookup!$B$2:$E$115,4,FALSE),"")</f>
        <v/>
      </c>
      <c r="AT2963" s="65" t="str">
        <f>IFERROR(VLOOKUP(#REF!,[1]Lookup!$B$2:$E$115,2,FALSE),"")</f>
        <v/>
      </c>
      <c r="AU2963" s="65" t="str">
        <f>IFERROR(VLOOKUP(#REF!,[1]Lookup!$B$2:$E$115,3,FALSE),"")</f>
        <v/>
      </c>
    </row>
    <row r="2964" spans="31:47" x14ac:dyDescent="0.3">
      <c r="AE2964" s="204" t="s">
        <v>398</v>
      </c>
      <c r="AF2964" s="204" t="s">
        <v>398</v>
      </c>
      <c r="AG2964" s="204" t="s">
        <v>398</v>
      </c>
      <c r="AS2964" s="65" t="str">
        <f>IFERROR(VLOOKUP(#REF!,[1]Lookup!$B$2:$E$115,4,FALSE),"")</f>
        <v/>
      </c>
      <c r="AT2964" s="65" t="str">
        <f>IFERROR(VLOOKUP(#REF!,[1]Lookup!$B$2:$E$115,2,FALSE),"")</f>
        <v/>
      </c>
      <c r="AU2964" s="65" t="str">
        <f>IFERROR(VLOOKUP(#REF!,[1]Lookup!$B$2:$E$115,3,FALSE),"")</f>
        <v/>
      </c>
    </row>
    <row r="2965" spans="31:47" x14ac:dyDescent="0.3">
      <c r="AE2965" s="204" t="s">
        <v>398</v>
      </c>
      <c r="AF2965" s="204" t="s">
        <v>398</v>
      </c>
      <c r="AG2965" s="204" t="s">
        <v>398</v>
      </c>
      <c r="AS2965" s="65" t="str">
        <f>IFERROR(VLOOKUP(#REF!,[1]Lookup!$B$2:$E$115,4,FALSE),"")</f>
        <v/>
      </c>
      <c r="AT2965" s="65" t="str">
        <f>IFERROR(VLOOKUP(#REF!,[1]Lookup!$B$2:$E$115,2,FALSE),"")</f>
        <v/>
      </c>
      <c r="AU2965" s="65" t="str">
        <f>IFERROR(VLOOKUP(#REF!,[1]Lookup!$B$2:$E$115,3,FALSE),"")</f>
        <v/>
      </c>
    </row>
    <row r="2966" spans="31:47" x14ac:dyDescent="0.3">
      <c r="AE2966" s="204" t="s">
        <v>398</v>
      </c>
      <c r="AF2966" s="204" t="s">
        <v>398</v>
      </c>
      <c r="AG2966" s="204" t="s">
        <v>398</v>
      </c>
      <c r="AS2966" s="65" t="str">
        <f>IFERROR(VLOOKUP(#REF!,[1]Lookup!$B$2:$E$115,4,FALSE),"")</f>
        <v/>
      </c>
      <c r="AT2966" s="65" t="str">
        <f>IFERROR(VLOOKUP(#REF!,[1]Lookup!$B$2:$E$115,2,FALSE),"")</f>
        <v/>
      </c>
      <c r="AU2966" s="65" t="str">
        <f>IFERROR(VLOOKUP(#REF!,[1]Lookup!$B$2:$E$115,3,FALSE),"")</f>
        <v/>
      </c>
    </row>
    <row r="2967" spans="31:47" x14ac:dyDescent="0.3">
      <c r="AE2967" s="204" t="s">
        <v>398</v>
      </c>
      <c r="AF2967" s="204" t="s">
        <v>398</v>
      </c>
      <c r="AG2967" s="204" t="s">
        <v>398</v>
      </c>
      <c r="AS2967" s="65" t="str">
        <f>IFERROR(VLOOKUP(#REF!,[1]Lookup!$B$2:$E$115,4,FALSE),"")</f>
        <v/>
      </c>
      <c r="AT2967" s="65" t="str">
        <f>IFERROR(VLOOKUP(#REF!,[1]Lookup!$B$2:$E$115,2,FALSE),"")</f>
        <v/>
      </c>
      <c r="AU2967" s="65" t="str">
        <f>IFERROR(VLOOKUP(#REF!,[1]Lookup!$B$2:$E$115,3,FALSE),"")</f>
        <v/>
      </c>
    </row>
    <row r="2968" spans="31:47" x14ac:dyDescent="0.3">
      <c r="AE2968" s="204" t="s">
        <v>398</v>
      </c>
      <c r="AF2968" s="204" t="s">
        <v>398</v>
      </c>
      <c r="AG2968" s="204" t="s">
        <v>398</v>
      </c>
      <c r="AS2968" s="65" t="str">
        <f>IFERROR(VLOOKUP(#REF!,[1]Lookup!$B$2:$E$115,4,FALSE),"")</f>
        <v/>
      </c>
      <c r="AT2968" s="65" t="str">
        <f>IFERROR(VLOOKUP(#REF!,[1]Lookup!$B$2:$E$115,2,FALSE),"")</f>
        <v/>
      </c>
      <c r="AU2968" s="65" t="str">
        <f>IFERROR(VLOOKUP(#REF!,[1]Lookup!$B$2:$E$115,3,FALSE),"")</f>
        <v/>
      </c>
    </row>
    <row r="2969" spans="31:47" x14ac:dyDescent="0.3">
      <c r="AE2969" s="204" t="s">
        <v>398</v>
      </c>
      <c r="AF2969" s="204" t="s">
        <v>398</v>
      </c>
      <c r="AG2969" s="204" t="s">
        <v>398</v>
      </c>
      <c r="AS2969" s="65" t="str">
        <f>IFERROR(VLOOKUP(#REF!,[1]Lookup!$B$2:$E$115,4,FALSE),"")</f>
        <v/>
      </c>
      <c r="AT2969" s="65" t="str">
        <f>IFERROR(VLOOKUP(#REF!,[1]Lookup!$B$2:$E$115,2,FALSE),"")</f>
        <v/>
      </c>
      <c r="AU2969" s="65" t="str">
        <f>IFERROR(VLOOKUP(#REF!,[1]Lookup!$B$2:$E$115,3,FALSE),"")</f>
        <v/>
      </c>
    </row>
    <row r="2970" spans="31:47" x14ac:dyDescent="0.3">
      <c r="AE2970" s="204" t="s">
        <v>398</v>
      </c>
      <c r="AF2970" s="204" t="s">
        <v>398</v>
      </c>
      <c r="AG2970" s="204" t="s">
        <v>398</v>
      </c>
      <c r="AS2970" s="65" t="str">
        <f>IFERROR(VLOOKUP(#REF!,[1]Lookup!$B$2:$E$115,4,FALSE),"")</f>
        <v/>
      </c>
      <c r="AT2970" s="65" t="str">
        <f>IFERROR(VLOOKUP(#REF!,[1]Lookup!$B$2:$E$115,2,FALSE),"")</f>
        <v/>
      </c>
      <c r="AU2970" s="65" t="str">
        <f>IFERROR(VLOOKUP(#REF!,[1]Lookup!$B$2:$E$115,3,FALSE),"")</f>
        <v/>
      </c>
    </row>
    <row r="2971" spans="31:47" x14ac:dyDescent="0.3">
      <c r="AE2971" s="204" t="s">
        <v>398</v>
      </c>
      <c r="AF2971" s="204" t="s">
        <v>398</v>
      </c>
      <c r="AG2971" s="204" t="s">
        <v>398</v>
      </c>
      <c r="AS2971" s="65" t="str">
        <f>IFERROR(VLOOKUP(#REF!,[1]Lookup!$B$2:$E$115,4,FALSE),"")</f>
        <v/>
      </c>
      <c r="AT2971" s="65" t="str">
        <f>IFERROR(VLOOKUP(#REF!,[1]Lookup!$B$2:$E$115,2,FALSE),"")</f>
        <v/>
      </c>
      <c r="AU2971" s="65" t="str">
        <f>IFERROR(VLOOKUP(#REF!,[1]Lookup!$B$2:$E$115,3,FALSE),"")</f>
        <v/>
      </c>
    </row>
    <row r="2972" spans="31:47" x14ac:dyDescent="0.3">
      <c r="AE2972" s="204" t="s">
        <v>398</v>
      </c>
      <c r="AF2972" s="204" t="s">
        <v>398</v>
      </c>
      <c r="AG2972" s="204" t="s">
        <v>398</v>
      </c>
      <c r="AS2972" s="65" t="str">
        <f>IFERROR(VLOOKUP(#REF!,[1]Lookup!$B$2:$E$115,4,FALSE),"")</f>
        <v/>
      </c>
      <c r="AT2972" s="65" t="str">
        <f>IFERROR(VLOOKUP(#REF!,[1]Lookup!$B$2:$E$115,2,FALSE),"")</f>
        <v/>
      </c>
      <c r="AU2972" s="65" t="str">
        <f>IFERROR(VLOOKUP(#REF!,[1]Lookup!$B$2:$E$115,3,FALSE),"")</f>
        <v/>
      </c>
    </row>
    <row r="2973" spans="31:47" x14ac:dyDescent="0.3">
      <c r="AE2973" s="204" t="s">
        <v>398</v>
      </c>
      <c r="AF2973" s="204" t="s">
        <v>398</v>
      </c>
      <c r="AG2973" s="204" t="s">
        <v>398</v>
      </c>
      <c r="AS2973" s="65" t="str">
        <f>IFERROR(VLOOKUP(#REF!,[1]Lookup!$B$2:$E$115,4,FALSE),"")</f>
        <v/>
      </c>
      <c r="AT2973" s="65" t="str">
        <f>IFERROR(VLOOKUP(#REF!,[1]Lookup!$B$2:$E$115,2,FALSE),"")</f>
        <v/>
      </c>
      <c r="AU2973" s="65" t="str">
        <f>IFERROR(VLOOKUP(#REF!,[1]Lookup!$B$2:$E$115,3,FALSE),"")</f>
        <v/>
      </c>
    </row>
    <row r="2974" spans="31:47" x14ac:dyDescent="0.3">
      <c r="AE2974" s="204" t="s">
        <v>398</v>
      </c>
      <c r="AF2974" s="204" t="s">
        <v>398</v>
      </c>
      <c r="AG2974" s="204" t="s">
        <v>398</v>
      </c>
      <c r="AS2974" s="65" t="str">
        <f>IFERROR(VLOOKUP(#REF!,[1]Lookup!$B$2:$E$115,4,FALSE),"")</f>
        <v/>
      </c>
      <c r="AT2974" s="65" t="str">
        <f>IFERROR(VLOOKUP(#REF!,[1]Lookup!$B$2:$E$115,2,FALSE),"")</f>
        <v/>
      </c>
      <c r="AU2974" s="65" t="str">
        <f>IFERROR(VLOOKUP(#REF!,[1]Lookup!$B$2:$E$115,3,FALSE),"")</f>
        <v/>
      </c>
    </row>
    <row r="2975" spans="31:47" x14ac:dyDescent="0.3">
      <c r="AE2975" s="204" t="s">
        <v>398</v>
      </c>
      <c r="AF2975" s="204" t="s">
        <v>398</v>
      </c>
      <c r="AG2975" s="204" t="s">
        <v>398</v>
      </c>
      <c r="AS2975" s="65" t="str">
        <f>IFERROR(VLOOKUP(#REF!,[1]Lookup!$B$2:$E$115,4,FALSE),"")</f>
        <v/>
      </c>
      <c r="AT2975" s="65" t="str">
        <f>IFERROR(VLOOKUP(#REF!,[1]Lookup!$B$2:$E$115,2,FALSE),"")</f>
        <v/>
      </c>
      <c r="AU2975" s="65" t="str">
        <f>IFERROR(VLOOKUP(#REF!,[1]Lookup!$B$2:$E$115,3,FALSE),"")</f>
        <v/>
      </c>
    </row>
    <row r="2976" spans="31:47" x14ac:dyDescent="0.3">
      <c r="AE2976" s="204" t="s">
        <v>398</v>
      </c>
      <c r="AF2976" s="204" t="s">
        <v>398</v>
      </c>
      <c r="AG2976" s="204" t="s">
        <v>398</v>
      </c>
      <c r="AS2976" s="65" t="str">
        <f>IFERROR(VLOOKUP(#REF!,[1]Lookup!$B$2:$E$115,4,FALSE),"")</f>
        <v/>
      </c>
      <c r="AT2976" s="65" t="str">
        <f>IFERROR(VLOOKUP(#REF!,[1]Lookup!$B$2:$E$115,2,FALSE),"")</f>
        <v/>
      </c>
      <c r="AU2976" s="65" t="str">
        <f>IFERROR(VLOOKUP(#REF!,[1]Lookup!$B$2:$E$115,3,FALSE),"")</f>
        <v/>
      </c>
    </row>
    <row r="2977" spans="31:47" x14ac:dyDescent="0.3">
      <c r="AE2977" s="204" t="s">
        <v>398</v>
      </c>
      <c r="AF2977" s="204" t="s">
        <v>398</v>
      </c>
      <c r="AG2977" s="204" t="s">
        <v>398</v>
      </c>
      <c r="AS2977" s="65" t="str">
        <f>IFERROR(VLOOKUP(#REF!,[1]Lookup!$B$2:$E$115,4,FALSE),"")</f>
        <v/>
      </c>
      <c r="AT2977" s="65" t="str">
        <f>IFERROR(VLOOKUP(#REF!,[1]Lookup!$B$2:$E$115,2,FALSE),"")</f>
        <v/>
      </c>
      <c r="AU2977" s="65" t="str">
        <f>IFERROR(VLOOKUP(#REF!,[1]Lookup!$B$2:$E$115,3,FALSE),"")</f>
        <v/>
      </c>
    </row>
    <row r="2978" spans="31:47" x14ac:dyDescent="0.3">
      <c r="AE2978" s="204" t="s">
        <v>398</v>
      </c>
      <c r="AF2978" s="204" t="s">
        <v>398</v>
      </c>
      <c r="AG2978" s="204" t="s">
        <v>398</v>
      </c>
      <c r="AS2978" s="65" t="str">
        <f>IFERROR(VLOOKUP(#REF!,[1]Lookup!$B$2:$E$115,4,FALSE),"")</f>
        <v/>
      </c>
      <c r="AT2978" s="65" t="str">
        <f>IFERROR(VLOOKUP(#REF!,[1]Lookup!$B$2:$E$115,2,FALSE),"")</f>
        <v/>
      </c>
      <c r="AU2978" s="65" t="str">
        <f>IFERROR(VLOOKUP(#REF!,[1]Lookup!$B$2:$E$115,3,FALSE),"")</f>
        <v/>
      </c>
    </row>
    <row r="2979" spans="31:47" x14ac:dyDescent="0.3">
      <c r="AE2979" s="204" t="s">
        <v>398</v>
      </c>
      <c r="AF2979" s="204" t="s">
        <v>398</v>
      </c>
      <c r="AG2979" s="204" t="s">
        <v>398</v>
      </c>
      <c r="AS2979" s="65" t="str">
        <f>IFERROR(VLOOKUP(#REF!,[1]Lookup!$B$2:$E$115,4,FALSE),"")</f>
        <v/>
      </c>
      <c r="AT2979" s="65" t="str">
        <f>IFERROR(VLOOKUP(#REF!,[1]Lookup!$B$2:$E$115,2,FALSE),"")</f>
        <v/>
      </c>
      <c r="AU2979" s="65" t="str">
        <f>IFERROR(VLOOKUP(#REF!,[1]Lookup!$B$2:$E$115,3,FALSE),"")</f>
        <v/>
      </c>
    </row>
    <row r="2980" spans="31:47" x14ac:dyDescent="0.3">
      <c r="AE2980" s="204" t="s">
        <v>398</v>
      </c>
      <c r="AF2980" s="204" t="s">
        <v>398</v>
      </c>
      <c r="AG2980" s="204" t="s">
        <v>398</v>
      </c>
      <c r="AS2980" s="65" t="str">
        <f>IFERROR(VLOOKUP(#REF!,[1]Lookup!$B$2:$E$115,4,FALSE),"")</f>
        <v/>
      </c>
      <c r="AT2980" s="65" t="str">
        <f>IFERROR(VLOOKUP(#REF!,[1]Lookup!$B$2:$E$115,2,FALSE),"")</f>
        <v/>
      </c>
      <c r="AU2980" s="65" t="str">
        <f>IFERROR(VLOOKUP(#REF!,[1]Lookup!$B$2:$E$115,3,FALSE),"")</f>
        <v/>
      </c>
    </row>
    <row r="2981" spans="31:47" x14ac:dyDescent="0.3">
      <c r="AE2981" s="204" t="s">
        <v>398</v>
      </c>
      <c r="AF2981" s="204" t="s">
        <v>398</v>
      </c>
      <c r="AG2981" s="204" t="s">
        <v>398</v>
      </c>
      <c r="AS2981" s="65" t="str">
        <f>IFERROR(VLOOKUP(#REF!,[1]Lookup!$B$2:$E$115,4,FALSE),"")</f>
        <v/>
      </c>
      <c r="AT2981" s="65" t="str">
        <f>IFERROR(VLOOKUP(#REF!,[1]Lookup!$B$2:$E$115,2,FALSE),"")</f>
        <v/>
      </c>
      <c r="AU2981" s="65" t="str">
        <f>IFERROR(VLOOKUP(#REF!,[1]Lookup!$B$2:$E$115,3,FALSE),"")</f>
        <v/>
      </c>
    </row>
    <row r="2982" spans="31:47" x14ac:dyDescent="0.3">
      <c r="AE2982" s="204" t="s">
        <v>398</v>
      </c>
      <c r="AF2982" s="204" t="s">
        <v>398</v>
      </c>
      <c r="AG2982" s="204" t="s">
        <v>398</v>
      </c>
      <c r="AS2982" s="65" t="str">
        <f>IFERROR(VLOOKUP(#REF!,[1]Lookup!$B$2:$E$115,4,FALSE),"")</f>
        <v/>
      </c>
      <c r="AT2982" s="65" t="str">
        <f>IFERROR(VLOOKUP(#REF!,[1]Lookup!$B$2:$E$115,2,FALSE),"")</f>
        <v/>
      </c>
      <c r="AU2982" s="65" t="str">
        <f>IFERROR(VLOOKUP(#REF!,[1]Lookup!$B$2:$E$115,3,FALSE),"")</f>
        <v/>
      </c>
    </row>
    <row r="2983" spans="31:47" x14ac:dyDescent="0.3">
      <c r="AE2983" s="204" t="s">
        <v>398</v>
      </c>
      <c r="AF2983" s="204" t="s">
        <v>398</v>
      </c>
      <c r="AG2983" s="204" t="s">
        <v>398</v>
      </c>
      <c r="AS2983" s="65" t="str">
        <f>IFERROR(VLOOKUP(#REF!,[1]Lookup!$B$2:$E$115,4,FALSE),"")</f>
        <v/>
      </c>
      <c r="AT2983" s="65" t="str">
        <f>IFERROR(VLOOKUP(#REF!,[1]Lookup!$B$2:$E$115,2,FALSE),"")</f>
        <v/>
      </c>
      <c r="AU2983" s="65" t="str">
        <f>IFERROR(VLOOKUP(#REF!,[1]Lookup!$B$2:$E$115,3,FALSE),"")</f>
        <v/>
      </c>
    </row>
    <row r="2984" spans="31:47" x14ac:dyDescent="0.3">
      <c r="AE2984" s="204" t="s">
        <v>398</v>
      </c>
      <c r="AF2984" s="204" t="s">
        <v>398</v>
      </c>
      <c r="AG2984" s="204" t="s">
        <v>398</v>
      </c>
      <c r="AS2984" s="65" t="str">
        <f>IFERROR(VLOOKUP(#REF!,[1]Lookup!$B$2:$E$115,4,FALSE),"")</f>
        <v/>
      </c>
      <c r="AT2984" s="65" t="str">
        <f>IFERROR(VLOOKUP(#REF!,[1]Lookup!$B$2:$E$115,2,FALSE),"")</f>
        <v/>
      </c>
      <c r="AU2984" s="65" t="str">
        <f>IFERROR(VLOOKUP(#REF!,[1]Lookup!$B$2:$E$115,3,FALSE),"")</f>
        <v/>
      </c>
    </row>
    <row r="2985" spans="31:47" x14ac:dyDescent="0.3">
      <c r="AE2985" s="204" t="s">
        <v>398</v>
      </c>
      <c r="AF2985" s="204" t="s">
        <v>398</v>
      </c>
      <c r="AG2985" s="204" t="s">
        <v>398</v>
      </c>
      <c r="AS2985" s="65" t="str">
        <f>IFERROR(VLOOKUP(#REF!,[1]Lookup!$B$2:$E$115,4,FALSE),"")</f>
        <v/>
      </c>
      <c r="AT2985" s="65" t="str">
        <f>IFERROR(VLOOKUP(#REF!,[1]Lookup!$B$2:$E$115,2,FALSE),"")</f>
        <v/>
      </c>
      <c r="AU2985" s="65" t="str">
        <f>IFERROR(VLOOKUP(#REF!,[1]Lookup!$B$2:$E$115,3,FALSE),"")</f>
        <v/>
      </c>
    </row>
    <row r="2986" spans="31:47" x14ac:dyDescent="0.3">
      <c r="AE2986" s="204" t="s">
        <v>398</v>
      </c>
      <c r="AF2986" s="204" t="s">
        <v>398</v>
      </c>
      <c r="AG2986" s="204" t="s">
        <v>398</v>
      </c>
      <c r="AS2986" s="65" t="str">
        <f>IFERROR(VLOOKUP(#REF!,[1]Lookup!$B$2:$E$115,4,FALSE),"")</f>
        <v/>
      </c>
      <c r="AT2986" s="65" t="str">
        <f>IFERROR(VLOOKUP(#REF!,[1]Lookup!$B$2:$E$115,2,FALSE),"")</f>
        <v/>
      </c>
      <c r="AU2986" s="65" t="str">
        <f>IFERROR(VLOOKUP(#REF!,[1]Lookup!$B$2:$E$115,3,FALSE),"")</f>
        <v/>
      </c>
    </row>
    <row r="2987" spans="31:47" x14ac:dyDescent="0.3">
      <c r="AE2987" s="204" t="s">
        <v>398</v>
      </c>
      <c r="AF2987" s="204" t="s">
        <v>398</v>
      </c>
      <c r="AG2987" s="204" t="s">
        <v>398</v>
      </c>
      <c r="AS2987" s="65" t="str">
        <f>IFERROR(VLOOKUP(#REF!,[1]Lookup!$B$2:$E$115,4,FALSE),"")</f>
        <v/>
      </c>
      <c r="AT2987" s="65" t="str">
        <f>IFERROR(VLOOKUP(#REF!,[1]Lookup!$B$2:$E$115,2,FALSE),"")</f>
        <v/>
      </c>
      <c r="AU2987" s="65" t="str">
        <f>IFERROR(VLOOKUP(#REF!,[1]Lookup!$B$2:$E$115,3,FALSE),"")</f>
        <v/>
      </c>
    </row>
    <row r="2988" spans="31:47" x14ac:dyDescent="0.3">
      <c r="AE2988" s="204" t="s">
        <v>398</v>
      </c>
      <c r="AF2988" s="204" t="s">
        <v>398</v>
      </c>
      <c r="AG2988" s="204" t="s">
        <v>398</v>
      </c>
      <c r="AS2988" s="65" t="str">
        <f>IFERROR(VLOOKUP(#REF!,[1]Lookup!$B$2:$E$115,4,FALSE),"")</f>
        <v/>
      </c>
      <c r="AT2988" s="65" t="str">
        <f>IFERROR(VLOOKUP(#REF!,[1]Lookup!$B$2:$E$115,2,FALSE),"")</f>
        <v/>
      </c>
      <c r="AU2988" s="65" t="str">
        <f>IFERROR(VLOOKUP(#REF!,[1]Lookup!$B$2:$E$115,3,FALSE),"")</f>
        <v/>
      </c>
    </row>
    <row r="2989" spans="31:47" x14ac:dyDescent="0.3">
      <c r="AE2989" s="204" t="s">
        <v>398</v>
      </c>
      <c r="AF2989" s="204" t="s">
        <v>398</v>
      </c>
      <c r="AG2989" s="204" t="s">
        <v>398</v>
      </c>
      <c r="AS2989" s="65" t="str">
        <f>IFERROR(VLOOKUP(#REF!,[1]Lookup!$B$2:$E$115,4,FALSE),"")</f>
        <v/>
      </c>
      <c r="AT2989" s="65" t="str">
        <f>IFERROR(VLOOKUP(#REF!,[1]Lookup!$B$2:$E$115,2,FALSE),"")</f>
        <v/>
      </c>
      <c r="AU2989" s="65" t="str">
        <f>IFERROR(VLOOKUP(#REF!,[1]Lookup!$B$2:$E$115,3,FALSE),"")</f>
        <v/>
      </c>
    </row>
    <row r="2990" spans="31:47" x14ac:dyDescent="0.3">
      <c r="AE2990" s="204" t="s">
        <v>398</v>
      </c>
      <c r="AF2990" s="204" t="s">
        <v>398</v>
      </c>
      <c r="AG2990" s="204" t="s">
        <v>398</v>
      </c>
      <c r="AS2990" s="65" t="str">
        <f>IFERROR(VLOOKUP(#REF!,[1]Lookup!$B$2:$E$115,4,FALSE),"")</f>
        <v/>
      </c>
      <c r="AT2990" s="65" t="str">
        <f>IFERROR(VLOOKUP(#REF!,[1]Lookup!$B$2:$E$115,2,FALSE),"")</f>
        <v/>
      </c>
      <c r="AU2990" s="65" t="str">
        <f>IFERROR(VLOOKUP(#REF!,[1]Lookup!$B$2:$E$115,3,FALSE),"")</f>
        <v/>
      </c>
    </row>
    <row r="2991" spans="31:47" x14ac:dyDescent="0.3">
      <c r="AE2991" s="204" t="s">
        <v>398</v>
      </c>
      <c r="AF2991" s="204" t="s">
        <v>398</v>
      </c>
      <c r="AG2991" s="204" t="s">
        <v>398</v>
      </c>
      <c r="AS2991" s="65" t="str">
        <f>IFERROR(VLOOKUP(#REF!,[1]Lookup!$B$2:$E$115,4,FALSE),"")</f>
        <v/>
      </c>
      <c r="AT2991" s="65" t="str">
        <f>IFERROR(VLOOKUP(#REF!,[1]Lookup!$B$2:$E$115,2,FALSE),"")</f>
        <v/>
      </c>
      <c r="AU2991" s="65" t="str">
        <f>IFERROR(VLOOKUP(#REF!,[1]Lookup!$B$2:$E$115,3,FALSE),"")</f>
        <v/>
      </c>
    </row>
    <row r="2992" spans="31:47" x14ac:dyDescent="0.3">
      <c r="AE2992" s="204" t="s">
        <v>398</v>
      </c>
      <c r="AF2992" s="204" t="s">
        <v>398</v>
      </c>
      <c r="AG2992" s="204" t="s">
        <v>398</v>
      </c>
      <c r="AS2992" s="65" t="str">
        <f>IFERROR(VLOOKUP(#REF!,[1]Lookup!$B$2:$E$115,4,FALSE),"")</f>
        <v/>
      </c>
      <c r="AT2992" s="65" t="str">
        <f>IFERROR(VLOOKUP(#REF!,[1]Lookup!$B$2:$E$115,2,FALSE),"")</f>
        <v/>
      </c>
      <c r="AU2992" s="65" t="str">
        <f>IFERROR(VLOOKUP(#REF!,[1]Lookup!$B$2:$E$115,3,FALSE),"")</f>
        <v/>
      </c>
    </row>
    <row r="2993" spans="31:47" x14ac:dyDescent="0.3">
      <c r="AE2993" s="204" t="s">
        <v>398</v>
      </c>
      <c r="AF2993" s="204" t="s">
        <v>398</v>
      </c>
      <c r="AG2993" s="204" t="s">
        <v>398</v>
      </c>
      <c r="AS2993" s="65" t="str">
        <f>IFERROR(VLOOKUP(#REF!,[1]Lookup!$B$2:$E$115,4,FALSE),"")</f>
        <v/>
      </c>
      <c r="AT2993" s="65" t="str">
        <f>IFERROR(VLOOKUP(#REF!,[1]Lookup!$B$2:$E$115,2,FALSE),"")</f>
        <v/>
      </c>
      <c r="AU2993" s="65" t="str">
        <f>IFERROR(VLOOKUP(#REF!,[1]Lookup!$B$2:$E$115,3,FALSE),"")</f>
        <v/>
      </c>
    </row>
    <row r="2994" spans="31:47" x14ac:dyDescent="0.3">
      <c r="AE2994" s="204" t="s">
        <v>398</v>
      </c>
      <c r="AF2994" s="204" t="s">
        <v>398</v>
      </c>
      <c r="AG2994" s="204" t="s">
        <v>398</v>
      </c>
      <c r="AS2994" s="65" t="str">
        <f>IFERROR(VLOOKUP(#REF!,[1]Lookup!$B$2:$E$115,4,FALSE),"")</f>
        <v/>
      </c>
      <c r="AT2994" s="65" t="str">
        <f>IFERROR(VLOOKUP(#REF!,[1]Lookup!$B$2:$E$115,2,FALSE),"")</f>
        <v/>
      </c>
      <c r="AU2994" s="65" t="str">
        <f>IFERROR(VLOOKUP(#REF!,[1]Lookup!$B$2:$E$115,3,FALSE),"")</f>
        <v/>
      </c>
    </row>
    <row r="2995" spans="31:47" x14ac:dyDescent="0.3">
      <c r="AE2995" s="204" t="s">
        <v>398</v>
      </c>
      <c r="AF2995" s="204" t="s">
        <v>398</v>
      </c>
      <c r="AG2995" s="204" t="s">
        <v>398</v>
      </c>
      <c r="AS2995" s="65" t="str">
        <f>IFERROR(VLOOKUP(#REF!,[1]Lookup!$B$2:$E$115,4,FALSE),"")</f>
        <v/>
      </c>
      <c r="AT2995" s="65" t="str">
        <f>IFERROR(VLOOKUP(#REF!,[1]Lookup!$B$2:$E$115,2,FALSE),"")</f>
        <v/>
      </c>
      <c r="AU2995" s="65" t="str">
        <f>IFERROR(VLOOKUP(#REF!,[1]Lookup!$B$2:$E$115,3,FALSE),"")</f>
        <v/>
      </c>
    </row>
    <row r="2996" spans="31:47" x14ac:dyDescent="0.3">
      <c r="AE2996" s="204" t="s">
        <v>398</v>
      </c>
      <c r="AF2996" s="204" t="s">
        <v>398</v>
      </c>
      <c r="AG2996" s="204" t="s">
        <v>398</v>
      </c>
      <c r="AS2996" s="65" t="str">
        <f>IFERROR(VLOOKUP(#REF!,[1]Lookup!$B$2:$E$115,4,FALSE),"")</f>
        <v/>
      </c>
      <c r="AT2996" s="65" t="str">
        <f>IFERROR(VLOOKUP(#REF!,[1]Lookup!$B$2:$E$115,2,FALSE),"")</f>
        <v/>
      </c>
      <c r="AU2996" s="65" t="str">
        <f>IFERROR(VLOOKUP(#REF!,[1]Lookup!$B$2:$E$115,3,FALSE),"")</f>
        <v/>
      </c>
    </row>
    <row r="2997" spans="31:47" x14ac:dyDescent="0.3">
      <c r="AE2997" s="204" t="s">
        <v>398</v>
      </c>
      <c r="AF2997" s="204" t="s">
        <v>398</v>
      </c>
      <c r="AG2997" s="204" t="s">
        <v>398</v>
      </c>
      <c r="AS2997" s="65" t="str">
        <f>IFERROR(VLOOKUP(#REF!,[1]Lookup!$B$2:$E$115,4,FALSE),"")</f>
        <v/>
      </c>
      <c r="AT2997" s="65" t="str">
        <f>IFERROR(VLOOKUP(#REF!,[1]Lookup!$B$2:$E$115,2,FALSE),"")</f>
        <v/>
      </c>
      <c r="AU2997" s="65" t="str">
        <f>IFERROR(VLOOKUP(#REF!,[1]Lookup!$B$2:$E$115,3,FALSE),"")</f>
        <v/>
      </c>
    </row>
    <row r="2998" spans="31:47" x14ac:dyDescent="0.3">
      <c r="AE2998" s="204" t="s">
        <v>398</v>
      </c>
      <c r="AF2998" s="204" t="s">
        <v>398</v>
      </c>
      <c r="AG2998" s="204" t="s">
        <v>398</v>
      </c>
      <c r="AS2998" s="65" t="str">
        <f>IFERROR(VLOOKUP(#REF!,[1]Lookup!$B$2:$E$115,4,FALSE),"")</f>
        <v/>
      </c>
      <c r="AT2998" s="65" t="str">
        <f>IFERROR(VLOOKUP(#REF!,[1]Lookup!$B$2:$E$115,2,FALSE),"")</f>
        <v/>
      </c>
      <c r="AU2998" s="65" t="str">
        <f>IFERROR(VLOOKUP(#REF!,[1]Lookup!$B$2:$E$115,3,FALSE),"")</f>
        <v/>
      </c>
    </row>
    <row r="2999" spans="31:47" x14ac:dyDescent="0.3">
      <c r="AE2999" s="204" t="s">
        <v>398</v>
      </c>
      <c r="AF2999" s="204" t="s">
        <v>398</v>
      </c>
      <c r="AG2999" s="204" t="s">
        <v>398</v>
      </c>
      <c r="AS2999" s="65" t="str">
        <f>IFERROR(VLOOKUP(#REF!,[1]Lookup!$B$2:$E$115,4,FALSE),"")</f>
        <v/>
      </c>
      <c r="AT2999" s="65" t="str">
        <f>IFERROR(VLOOKUP(#REF!,[1]Lookup!$B$2:$E$115,2,FALSE),"")</f>
        <v/>
      </c>
      <c r="AU2999" s="65" t="str">
        <f>IFERROR(VLOOKUP(#REF!,[1]Lookup!$B$2:$E$115,3,FALSE),"")</f>
        <v/>
      </c>
    </row>
    <row r="3000" spans="31:47" x14ac:dyDescent="0.3">
      <c r="AE3000" s="204" t="s">
        <v>398</v>
      </c>
      <c r="AF3000" s="204" t="s">
        <v>398</v>
      </c>
      <c r="AG3000" s="204" t="s">
        <v>398</v>
      </c>
      <c r="AS3000" s="65" t="str">
        <f>IFERROR(VLOOKUP(#REF!,[1]Lookup!$B$2:$E$115,4,FALSE),"")</f>
        <v/>
      </c>
      <c r="AT3000" s="65" t="str">
        <f>IFERROR(VLOOKUP(#REF!,[1]Lookup!$B$2:$E$115,2,FALSE),"")</f>
        <v/>
      </c>
      <c r="AU3000" s="65" t="str">
        <f>IFERROR(VLOOKUP(#REF!,[1]Lookup!$B$2:$E$115,3,FALSE),"")</f>
        <v/>
      </c>
    </row>
    <row r="3001" spans="31:47" x14ac:dyDescent="0.3">
      <c r="AE3001" s="204" t="s">
        <v>398</v>
      </c>
      <c r="AF3001" s="204" t="s">
        <v>398</v>
      </c>
      <c r="AG3001" s="204" t="s">
        <v>398</v>
      </c>
      <c r="AS3001" s="65" t="str">
        <f>IFERROR(VLOOKUP(#REF!,[1]Lookup!$B$2:$E$115,4,FALSE),"")</f>
        <v/>
      </c>
      <c r="AT3001" s="65" t="str">
        <f>IFERROR(VLOOKUP(#REF!,[1]Lookup!$B$2:$E$115,2,FALSE),"")</f>
        <v/>
      </c>
      <c r="AU3001" s="65" t="str">
        <f>IFERROR(VLOOKUP(#REF!,[1]Lookup!$B$2:$E$115,3,FALSE),"")</f>
        <v/>
      </c>
    </row>
    <row r="3002" spans="31:47" x14ac:dyDescent="0.3">
      <c r="AE3002" s="204" t="s">
        <v>398</v>
      </c>
      <c r="AF3002" s="204" t="s">
        <v>398</v>
      </c>
      <c r="AG3002" s="204" t="s">
        <v>398</v>
      </c>
      <c r="AS3002" s="65" t="str">
        <f>IFERROR(VLOOKUP(#REF!,[1]Lookup!$B$2:$E$115,4,FALSE),"")</f>
        <v/>
      </c>
      <c r="AT3002" s="65" t="str">
        <f>IFERROR(VLOOKUP(#REF!,[1]Lookup!$B$2:$E$115,2,FALSE),"")</f>
        <v/>
      </c>
      <c r="AU3002" s="65" t="str">
        <f>IFERROR(VLOOKUP(#REF!,[1]Lookup!$B$2:$E$115,3,FALSE),"")</f>
        <v/>
      </c>
    </row>
    <row r="3003" spans="31:47" x14ac:dyDescent="0.3">
      <c r="AE3003" s="204" t="s">
        <v>398</v>
      </c>
      <c r="AF3003" s="204" t="s">
        <v>398</v>
      </c>
      <c r="AG3003" s="204" t="s">
        <v>398</v>
      </c>
      <c r="AS3003" s="65" t="str">
        <f>IFERROR(VLOOKUP(#REF!,[1]Lookup!$B$2:$E$115,4,FALSE),"")</f>
        <v/>
      </c>
      <c r="AT3003" s="65" t="str">
        <f>IFERROR(VLOOKUP(#REF!,[1]Lookup!$B$2:$E$115,2,FALSE),"")</f>
        <v/>
      </c>
      <c r="AU3003" s="65" t="str">
        <f>IFERROR(VLOOKUP(#REF!,[1]Lookup!$B$2:$E$115,3,FALSE),"")</f>
        <v/>
      </c>
    </row>
    <row r="3004" spans="31:47" x14ac:dyDescent="0.3">
      <c r="AE3004" s="204" t="s">
        <v>398</v>
      </c>
      <c r="AF3004" s="204" t="s">
        <v>398</v>
      </c>
      <c r="AG3004" s="204" t="s">
        <v>398</v>
      </c>
      <c r="AS3004" s="65" t="str">
        <f>IFERROR(VLOOKUP(#REF!,[1]Lookup!$B$2:$E$115,4,FALSE),"")</f>
        <v/>
      </c>
      <c r="AT3004" s="65" t="str">
        <f>IFERROR(VLOOKUP(#REF!,[1]Lookup!$B$2:$E$115,2,FALSE),"")</f>
        <v/>
      </c>
      <c r="AU3004" s="65" t="str">
        <f>IFERROR(VLOOKUP(#REF!,[1]Lookup!$B$2:$E$115,3,FALSE),"")</f>
        <v/>
      </c>
    </row>
    <row r="3005" spans="31:47" x14ac:dyDescent="0.3">
      <c r="AE3005" s="204" t="s">
        <v>398</v>
      </c>
      <c r="AF3005" s="204" t="s">
        <v>398</v>
      </c>
      <c r="AG3005" s="204" t="s">
        <v>398</v>
      </c>
      <c r="AS3005" s="65" t="str">
        <f>IFERROR(VLOOKUP(#REF!,[1]Lookup!$B$2:$E$115,4,FALSE),"")</f>
        <v/>
      </c>
      <c r="AT3005" s="65" t="str">
        <f>IFERROR(VLOOKUP(#REF!,[1]Lookup!$B$2:$E$115,2,FALSE),"")</f>
        <v/>
      </c>
      <c r="AU3005" s="65" t="str">
        <f>IFERROR(VLOOKUP(#REF!,[1]Lookup!$B$2:$E$115,3,FALSE),"")</f>
        <v/>
      </c>
    </row>
    <row r="3006" spans="31:47" x14ac:dyDescent="0.3">
      <c r="AE3006" s="204" t="s">
        <v>398</v>
      </c>
      <c r="AF3006" s="204" t="s">
        <v>398</v>
      </c>
      <c r="AG3006" s="204" t="s">
        <v>398</v>
      </c>
      <c r="AS3006" s="65" t="str">
        <f>IFERROR(VLOOKUP(#REF!,[1]Lookup!$B$2:$E$115,4,FALSE),"")</f>
        <v/>
      </c>
      <c r="AT3006" s="65" t="str">
        <f>IFERROR(VLOOKUP(#REF!,[1]Lookup!$B$2:$E$115,2,FALSE),"")</f>
        <v/>
      </c>
      <c r="AU3006" s="65" t="str">
        <f>IFERROR(VLOOKUP(#REF!,[1]Lookup!$B$2:$E$115,3,FALSE),"")</f>
        <v/>
      </c>
    </row>
    <row r="3007" spans="31:47" x14ac:dyDescent="0.3">
      <c r="AE3007" s="204" t="s">
        <v>398</v>
      </c>
      <c r="AF3007" s="204" t="s">
        <v>398</v>
      </c>
      <c r="AG3007" s="204" t="s">
        <v>398</v>
      </c>
      <c r="AS3007" s="65" t="str">
        <f>IFERROR(VLOOKUP(#REF!,[1]Lookup!$B$2:$E$115,4,FALSE),"")</f>
        <v/>
      </c>
      <c r="AT3007" s="65" t="str">
        <f>IFERROR(VLOOKUP(#REF!,[1]Lookup!$B$2:$E$115,2,FALSE),"")</f>
        <v/>
      </c>
      <c r="AU3007" s="65" t="str">
        <f>IFERROR(VLOOKUP(#REF!,[1]Lookup!$B$2:$E$115,3,FALSE),"")</f>
        <v/>
      </c>
    </row>
    <row r="3008" spans="31:47" x14ac:dyDescent="0.3">
      <c r="AE3008" s="204" t="s">
        <v>398</v>
      </c>
      <c r="AF3008" s="204" t="s">
        <v>398</v>
      </c>
      <c r="AG3008" s="204" t="s">
        <v>398</v>
      </c>
      <c r="AS3008" s="65" t="str">
        <f>IFERROR(VLOOKUP(#REF!,[1]Lookup!$B$2:$E$115,4,FALSE),"")</f>
        <v/>
      </c>
      <c r="AT3008" s="65" t="str">
        <f>IFERROR(VLOOKUP(#REF!,[1]Lookup!$B$2:$E$115,2,FALSE),"")</f>
        <v/>
      </c>
      <c r="AU3008" s="65" t="str">
        <f>IFERROR(VLOOKUP(#REF!,[1]Lookup!$B$2:$E$115,3,FALSE),"")</f>
        <v/>
      </c>
    </row>
    <row r="3009" spans="31:47" x14ac:dyDescent="0.3">
      <c r="AE3009" s="204" t="s">
        <v>398</v>
      </c>
      <c r="AF3009" s="204" t="s">
        <v>398</v>
      </c>
      <c r="AG3009" s="204" t="s">
        <v>398</v>
      </c>
      <c r="AS3009" s="65" t="str">
        <f>IFERROR(VLOOKUP(#REF!,[1]Lookup!$B$2:$E$115,4,FALSE),"")</f>
        <v/>
      </c>
      <c r="AT3009" s="65" t="str">
        <f>IFERROR(VLOOKUP(#REF!,[1]Lookup!$B$2:$E$115,2,FALSE),"")</f>
        <v/>
      </c>
      <c r="AU3009" s="65" t="str">
        <f>IFERROR(VLOOKUP(#REF!,[1]Lookup!$B$2:$E$115,3,FALSE),"")</f>
        <v/>
      </c>
    </row>
    <row r="3010" spans="31:47" x14ac:dyDescent="0.3">
      <c r="AE3010" s="204" t="s">
        <v>398</v>
      </c>
      <c r="AF3010" s="204" t="s">
        <v>398</v>
      </c>
      <c r="AG3010" s="204" t="s">
        <v>398</v>
      </c>
      <c r="AS3010" s="65" t="str">
        <f>IFERROR(VLOOKUP(#REF!,[1]Lookup!$B$2:$E$115,4,FALSE),"")</f>
        <v/>
      </c>
      <c r="AT3010" s="65" t="str">
        <f>IFERROR(VLOOKUP(#REF!,[1]Lookup!$B$2:$E$115,2,FALSE),"")</f>
        <v/>
      </c>
      <c r="AU3010" s="65" t="str">
        <f>IFERROR(VLOOKUP(#REF!,[1]Lookup!$B$2:$E$115,3,FALSE),"")</f>
        <v/>
      </c>
    </row>
    <row r="3011" spans="31:47" x14ac:dyDescent="0.3">
      <c r="AE3011" s="204" t="s">
        <v>398</v>
      </c>
      <c r="AF3011" s="204" t="s">
        <v>398</v>
      </c>
      <c r="AG3011" s="204" t="s">
        <v>398</v>
      </c>
      <c r="AS3011" s="65" t="str">
        <f>IFERROR(VLOOKUP(#REF!,[1]Lookup!$B$2:$E$115,4,FALSE),"")</f>
        <v/>
      </c>
      <c r="AT3011" s="65" t="str">
        <f>IFERROR(VLOOKUP(#REF!,[1]Lookup!$B$2:$E$115,2,FALSE),"")</f>
        <v/>
      </c>
      <c r="AU3011" s="65" t="str">
        <f>IFERROR(VLOOKUP(#REF!,[1]Lookup!$B$2:$E$115,3,FALSE),"")</f>
        <v/>
      </c>
    </row>
    <row r="3012" spans="31:47" x14ac:dyDescent="0.3">
      <c r="AE3012" s="204" t="s">
        <v>398</v>
      </c>
      <c r="AF3012" s="204" t="s">
        <v>398</v>
      </c>
      <c r="AG3012" s="204" t="s">
        <v>398</v>
      </c>
      <c r="AS3012" s="65" t="str">
        <f>IFERROR(VLOOKUP(#REF!,[1]Lookup!$B$2:$E$115,4,FALSE),"")</f>
        <v/>
      </c>
      <c r="AT3012" s="65" t="str">
        <f>IFERROR(VLOOKUP(#REF!,[1]Lookup!$B$2:$E$115,2,FALSE),"")</f>
        <v/>
      </c>
      <c r="AU3012" s="65" t="str">
        <f>IFERROR(VLOOKUP(#REF!,[1]Lookup!$B$2:$E$115,3,FALSE),"")</f>
        <v/>
      </c>
    </row>
    <row r="3013" spans="31:47" x14ac:dyDescent="0.3">
      <c r="AE3013" s="204" t="s">
        <v>398</v>
      </c>
      <c r="AF3013" s="204" t="s">
        <v>398</v>
      </c>
      <c r="AG3013" s="204" t="s">
        <v>398</v>
      </c>
      <c r="AS3013" s="65" t="str">
        <f>IFERROR(VLOOKUP(#REF!,[1]Lookup!$B$2:$E$115,4,FALSE),"")</f>
        <v/>
      </c>
      <c r="AT3013" s="65" t="str">
        <f>IFERROR(VLOOKUP(#REF!,[1]Lookup!$B$2:$E$115,2,FALSE),"")</f>
        <v/>
      </c>
      <c r="AU3013" s="65" t="str">
        <f>IFERROR(VLOOKUP(#REF!,[1]Lookup!$B$2:$E$115,3,FALSE),"")</f>
        <v/>
      </c>
    </row>
    <row r="3014" spans="31:47" x14ac:dyDescent="0.3">
      <c r="AE3014" s="204" t="s">
        <v>398</v>
      </c>
      <c r="AF3014" s="204" t="s">
        <v>398</v>
      </c>
      <c r="AG3014" s="204" t="s">
        <v>398</v>
      </c>
      <c r="AS3014" s="65" t="str">
        <f>IFERROR(VLOOKUP(#REF!,[1]Lookup!$B$2:$E$115,4,FALSE),"")</f>
        <v/>
      </c>
      <c r="AT3014" s="65" t="str">
        <f>IFERROR(VLOOKUP(#REF!,[1]Lookup!$B$2:$E$115,2,FALSE),"")</f>
        <v/>
      </c>
      <c r="AU3014" s="65" t="str">
        <f>IFERROR(VLOOKUP(#REF!,[1]Lookup!$B$2:$E$115,3,FALSE),"")</f>
        <v/>
      </c>
    </row>
    <row r="3015" spans="31:47" x14ac:dyDescent="0.3">
      <c r="AE3015" s="204" t="s">
        <v>398</v>
      </c>
      <c r="AF3015" s="204" t="s">
        <v>398</v>
      </c>
      <c r="AG3015" s="204" t="s">
        <v>398</v>
      </c>
      <c r="AS3015" s="65" t="str">
        <f>IFERROR(VLOOKUP(#REF!,[1]Lookup!$B$2:$E$115,4,FALSE),"")</f>
        <v/>
      </c>
      <c r="AT3015" s="65" t="str">
        <f>IFERROR(VLOOKUP(#REF!,[1]Lookup!$B$2:$E$115,2,FALSE),"")</f>
        <v/>
      </c>
      <c r="AU3015" s="65" t="str">
        <f>IFERROR(VLOOKUP(#REF!,[1]Lookup!$B$2:$E$115,3,FALSE),"")</f>
        <v/>
      </c>
    </row>
    <row r="3016" spans="31:47" x14ac:dyDescent="0.3">
      <c r="AE3016" s="204" t="s">
        <v>398</v>
      </c>
      <c r="AF3016" s="204" t="s">
        <v>398</v>
      </c>
      <c r="AG3016" s="204" t="s">
        <v>398</v>
      </c>
      <c r="AS3016" s="65" t="str">
        <f>IFERROR(VLOOKUP(#REF!,[1]Lookup!$B$2:$E$115,4,FALSE),"")</f>
        <v/>
      </c>
      <c r="AT3016" s="65" t="str">
        <f>IFERROR(VLOOKUP(#REF!,[1]Lookup!$B$2:$E$115,2,FALSE),"")</f>
        <v/>
      </c>
      <c r="AU3016" s="65" t="str">
        <f>IFERROR(VLOOKUP(#REF!,[1]Lookup!$B$2:$E$115,3,FALSE),"")</f>
        <v/>
      </c>
    </row>
    <row r="3017" spans="31:47" x14ac:dyDescent="0.3">
      <c r="AE3017" s="204" t="s">
        <v>398</v>
      </c>
      <c r="AF3017" s="204" t="s">
        <v>398</v>
      </c>
      <c r="AG3017" s="204" t="s">
        <v>398</v>
      </c>
      <c r="AS3017" s="65" t="str">
        <f>IFERROR(VLOOKUP(#REF!,[1]Lookup!$B$2:$E$115,4,FALSE),"")</f>
        <v/>
      </c>
      <c r="AT3017" s="65" t="str">
        <f>IFERROR(VLOOKUP(#REF!,[1]Lookup!$B$2:$E$115,2,FALSE),"")</f>
        <v/>
      </c>
      <c r="AU3017" s="65" t="str">
        <f>IFERROR(VLOOKUP(#REF!,[1]Lookup!$B$2:$E$115,3,FALSE),"")</f>
        <v/>
      </c>
    </row>
    <row r="3018" spans="31:47" x14ac:dyDescent="0.3">
      <c r="AE3018" s="204" t="s">
        <v>398</v>
      </c>
      <c r="AF3018" s="204" t="s">
        <v>398</v>
      </c>
      <c r="AG3018" s="204" t="s">
        <v>398</v>
      </c>
      <c r="AS3018" s="65" t="str">
        <f>IFERROR(VLOOKUP(#REF!,[1]Lookup!$B$2:$E$115,4,FALSE),"")</f>
        <v/>
      </c>
      <c r="AT3018" s="65" t="str">
        <f>IFERROR(VLOOKUP(#REF!,[1]Lookup!$B$2:$E$115,2,FALSE),"")</f>
        <v/>
      </c>
      <c r="AU3018" s="65" t="str">
        <f>IFERROR(VLOOKUP(#REF!,[1]Lookup!$B$2:$E$115,3,FALSE),"")</f>
        <v/>
      </c>
    </row>
    <row r="3019" spans="31:47" x14ac:dyDescent="0.3">
      <c r="AE3019" s="204" t="s">
        <v>398</v>
      </c>
      <c r="AF3019" s="204" t="s">
        <v>398</v>
      </c>
      <c r="AG3019" s="204" t="s">
        <v>398</v>
      </c>
      <c r="AS3019" s="65" t="str">
        <f>IFERROR(VLOOKUP(#REF!,[1]Lookup!$B$2:$E$115,4,FALSE),"")</f>
        <v/>
      </c>
      <c r="AT3019" s="65" t="str">
        <f>IFERROR(VLOOKUP(#REF!,[1]Lookup!$B$2:$E$115,2,FALSE),"")</f>
        <v/>
      </c>
      <c r="AU3019" s="65" t="str">
        <f>IFERROR(VLOOKUP(#REF!,[1]Lookup!$B$2:$E$115,3,FALSE),"")</f>
        <v/>
      </c>
    </row>
    <row r="3020" spans="31:47" x14ac:dyDescent="0.3">
      <c r="AE3020" s="204" t="s">
        <v>398</v>
      </c>
      <c r="AF3020" s="204" t="s">
        <v>398</v>
      </c>
      <c r="AG3020" s="204" t="s">
        <v>398</v>
      </c>
      <c r="AS3020" s="65" t="str">
        <f>IFERROR(VLOOKUP(#REF!,[1]Lookup!$B$2:$E$115,4,FALSE),"")</f>
        <v/>
      </c>
      <c r="AT3020" s="65" t="str">
        <f>IFERROR(VLOOKUP(#REF!,[1]Lookup!$B$2:$E$115,2,FALSE),"")</f>
        <v/>
      </c>
      <c r="AU3020" s="65" t="str">
        <f>IFERROR(VLOOKUP(#REF!,[1]Lookup!$B$2:$E$115,3,FALSE),"")</f>
        <v/>
      </c>
    </row>
    <row r="3021" spans="31:47" x14ac:dyDescent="0.3">
      <c r="AE3021" s="204" t="s">
        <v>398</v>
      </c>
      <c r="AF3021" s="204" t="s">
        <v>398</v>
      </c>
      <c r="AG3021" s="204" t="s">
        <v>398</v>
      </c>
      <c r="AS3021" s="65" t="str">
        <f>IFERROR(VLOOKUP(#REF!,[1]Lookup!$B$2:$E$115,4,FALSE),"")</f>
        <v/>
      </c>
      <c r="AT3021" s="65" t="str">
        <f>IFERROR(VLOOKUP(#REF!,[1]Lookup!$B$2:$E$115,2,FALSE),"")</f>
        <v/>
      </c>
      <c r="AU3021" s="65" t="str">
        <f>IFERROR(VLOOKUP(#REF!,[1]Lookup!$B$2:$E$115,3,FALSE),"")</f>
        <v/>
      </c>
    </row>
    <row r="3022" spans="31:47" x14ac:dyDescent="0.3">
      <c r="AE3022" s="204" t="s">
        <v>398</v>
      </c>
      <c r="AF3022" s="204" t="s">
        <v>398</v>
      </c>
      <c r="AG3022" s="204" t="s">
        <v>398</v>
      </c>
      <c r="AS3022" s="65" t="str">
        <f>IFERROR(VLOOKUP(#REF!,[1]Lookup!$B$2:$E$115,4,FALSE),"")</f>
        <v/>
      </c>
      <c r="AT3022" s="65" t="str">
        <f>IFERROR(VLOOKUP(#REF!,[1]Lookup!$B$2:$E$115,2,FALSE),"")</f>
        <v/>
      </c>
      <c r="AU3022" s="65" t="str">
        <f>IFERROR(VLOOKUP(#REF!,[1]Lookup!$B$2:$E$115,3,FALSE),"")</f>
        <v/>
      </c>
    </row>
    <row r="3023" spans="31:47" x14ac:dyDescent="0.3">
      <c r="AE3023" s="204" t="s">
        <v>398</v>
      </c>
      <c r="AF3023" s="204" t="s">
        <v>398</v>
      </c>
      <c r="AG3023" s="204" t="s">
        <v>398</v>
      </c>
      <c r="AS3023" s="65" t="str">
        <f>IFERROR(VLOOKUP(#REF!,[1]Lookup!$B$2:$E$115,4,FALSE),"")</f>
        <v/>
      </c>
      <c r="AT3023" s="65" t="str">
        <f>IFERROR(VLOOKUP(#REF!,[1]Lookup!$B$2:$E$115,2,FALSE),"")</f>
        <v/>
      </c>
      <c r="AU3023" s="65" t="str">
        <f>IFERROR(VLOOKUP(#REF!,[1]Lookup!$B$2:$E$115,3,FALSE),"")</f>
        <v/>
      </c>
    </row>
    <row r="3024" spans="31:47" x14ac:dyDescent="0.3">
      <c r="AE3024" s="204" t="s">
        <v>398</v>
      </c>
      <c r="AF3024" s="204" t="s">
        <v>398</v>
      </c>
      <c r="AG3024" s="204" t="s">
        <v>398</v>
      </c>
      <c r="AS3024" s="65" t="str">
        <f>IFERROR(VLOOKUP(#REF!,[1]Lookup!$B$2:$E$115,4,FALSE),"")</f>
        <v/>
      </c>
      <c r="AT3024" s="65" t="str">
        <f>IFERROR(VLOOKUP(#REF!,[1]Lookup!$B$2:$E$115,2,FALSE),"")</f>
        <v/>
      </c>
      <c r="AU3024" s="65" t="str">
        <f>IFERROR(VLOOKUP(#REF!,[1]Lookup!$B$2:$E$115,3,FALSE),"")</f>
        <v/>
      </c>
    </row>
    <row r="3025" spans="31:47" x14ac:dyDescent="0.3">
      <c r="AE3025" s="204" t="s">
        <v>398</v>
      </c>
      <c r="AF3025" s="204" t="s">
        <v>398</v>
      </c>
      <c r="AG3025" s="204" t="s">
        <v>398</v>
      </c>
      <c r="AS3025" s="65" t="str">
        <f>IFERROR(VLOOKUP(#REF!,[1]Lookup!$B$2:$E$115,4,FALSE),"")</f>
        <v/>
      </c>
      <c r="AT3025" s="65" t="str">
        <f>IFERROR(VLOOKUP(#REF!,[1]Lookup!$B$2:$E$115,2,FALSE),"")</f>
        <v/>
      </c>
      <c r="AU3025" s="65" t="str">
        <f>IFERROR(VLOOKUP(#REF!,[1]Lookup!$B$2:$E$115,3,FALSE),"")</f>
        <v/>
      </c>
    </row>
    <row r="3026" spans="31:47" x14ac:dyDescent="0.3">
      <c r="AE3026" s="204" t="s">
        <v>398</v>
      </c>
      <c r="AF3026" s="204" t="s">
        <v>398</v>
      </c>
      <c r="AG3026" s="204" t="s">
        <v>398</v>
      </c>
      <c r="AS3026" s="65" t="str">
        <f>IFERROR(VLOOKUP(#REF!,[1]Lookup!$B$2:$E$115,4,FALSE),"")</f>
        <v/>
      </c>
      <c r="AT3026" s="65" t="str">
        <f>IFERROR(VLOOKUP(#REF!,[1]Lookup!$B$2:$E$115,2,FALSE),"")</f>
        <v/>
      </c>
      <c r="AU3026" s="65" t="str">
        <f>IFERROR(VLOOKUP(#REF!,[1]Lookup!$B$2:$E$115,3,FALSE),"")</f>
        <v/>
      </c>
    </row>
    <row r="3027" spans="31:47" x14ac:dyDescent="0.3">
      <c r="AE3027" s="204" t="s">
        <v>398</v>
      </c>
      <c r="AF3027" s="204" t="s">
        <v>398</v>
      </c>
      <c r="AG3027" s="204" t="s">
        <v>398</v>
      </c>
      <c r="AS3027" s="65" t="str">
        <f>IFERROR(VLOOKUP(#REF!,[1]Lookup!$B$2:$E$115,4,FALSE),"")</f>
        <v/>
      </c>
      <c r="AT3027" s="65" t="str">
        <f>IFERROR(VLOOKUP(#REF!,[1]Lookup!$B$2:$E$115,2,FALSE),"")</f>
        <v/>
      </c>
      <c r="AU3027" s="65" t="str">
        <f>IFERROR(VLOOKUP(#REF!,[1]Lookup!$B$2:$E$115,3,FALSE),"")</f>
        <v/>
      </c>
    </row>
    <row r="3028" spans="31:47" x14ac:dyDescent="0.3">
      <c r="AE3028" s="204" t="s">
        <v>398</v>
      </c>
      <c r="AF3028" s="204" t="s">
        <v>398</v>
      </c>
      <c r="AG3028" s="204" t="s">
        <v>398</v>
      </c>
      <c r="AS3028" s="65" t="str">
        <f>IFERROR(VLOOKUP(#REF!,[1]Lookup!$B$2:$E$115,4,FALSE),"")</f>
        <v/>
      </c>
      <c r="AT3028" s="65" t="str">
        <f>IFERROR(VLOOKUP(#REF!,[1]Lookup!$B$2:$E$115,2,FALSE),"")</f>
        <v/>
      </c>
      <c r="AU3028" s="65" t="str">
        <f>IFERROR(VLOOKUP(#REF!,[1]Lookup!$B$2:$E$115,3,FALSE),"")</f>
        <v/>
      </c>
    </row>
    <row r="3029" spans="31:47" x14ac:dyDescent="0.3">
      <c r="AE3029" s="204" t="s">
        <v>398</v>
      </c>
      <c r="AF3029" s="204" t="s">
        <v>398</v>
      </c>
      <c r="AG3029" s="204" t="s">
        <v>398</v>
      </c>
      <c r="AS3029" s="65" t="str">
        <f>IFERROR(VLOOKUP(#REF!,[1]Lookup!$B$2:$E$115,4,FALSE),"")</f>
        <v/>
      </c>
      <c r="AT3029" s="65" t="str">
        <f>IFERROR(VLOOKUP(#REF!,[1]Lookup!$B$2:$E$115,2,FALSE),"")</f>
        <v/>
      </c>
      <c r="AU3029" s="65" t="str">
        <f>IFERROR(VLOOKUP(#REF!,[1]Lookup!$B$2:$E$115,3,FALSE),"")</f>
        <v/>
      </c>
    </row>
    <row r="3030" spans="31:47" x14ac:dyDescent="0.3">
      <c r="AE3030" s="204" t="s">
        <v>398</v>
      </c>
      <c r="AF3030" s="204" t="s">
        <v>398</v>
      </c>
      <c r="AG3030" s="204" t="s">
        <v>398</v>
      </c>
      <c r="AS3030" s="65" t="str">
        <f>IFERROR(VLOOKUP(#REF!,[1]Lookup!$B$2:$E$115,4,FALSE),"")</f>
        <v/>
      </c>
      <c r="AT3030" s="65" t="str">
        <f>IFERROR(VLOOKUP(#REF!,[1]Lookup!$B$2:$E$115,2,FALSE),"")</f>
        <v/>
      </c>
      <c r="AU3030" s="65" t="str">
        <f>IFERROR(VLOOKUP(#REF!,[1]Lookup!$B$2:$E$115,3,FALSE),"")</f>
        <v/>
      </c>
    </row>
    <row r="3031" spans="31:47" x14ac:dyDescent="0.3">
      <c r="AE3031" s="204" t="s">
        <v>398</v>
      </c>
      <c r="AF3031" s="204" t="s">
        <v>398</v>
      </c>
      <c r="AG3031" s="204" t="s">
        <v>398</v>
      </c>
      <c r="AS3031" s="65" t="str">
        <f>IFERROR(VLOOKUP(#REF!,[1]Lookup!$B$2:$E$115,4,FALSE),"")</f>
        <v/>
      </c>
      <c r="AT3031" s="65" t="str">
        <f>IFERROR(VLOOKUP(#REF!,[1]Lookup!$B$2:$E$115,2,FALSE),"")</f>
        <v/>
      </c>
      <c r="AU3031" s="65" t="str">
        <f>IFERROR(VLOOKUP(#REF!,[1]Lookup!$B$2:$E$115,3,FALSE),"")</f>
        <v/>
      </c>
    </row>
    <row r="3032" spans="31:47" x14ac:dyDescent="0.3">
      <c r="AE3032" s="204" t="s">
        <v>398</v>
      </c>
      <c r="AF3032" s="204" t="s">
        <v>398</v>
      </c>
      <c r="AG3032" s="204" t="s">
        <v>398</v>
      </c>
      <c r="AS3032" s="65" t="str">
        <f>IFERROR(VLOOKUP(#REF!,[1]Lookup!$B$2:$E$115,4,FALSE),"")</f>
        <v/>
      </c>
      <c r="AT3032" s="65" t="str">
        <f>IFERROR(VLOOKUP(#REF!,[1]Lookup!$B$2:$E$115,2,FALSE),"")</f>
        <v/>
      </c>
      <c r="AU3032" s="65" t="str">
        <f>IFERROR(VLOOKUP(#REF!,[1]Lookup!$B$2:$E$115,3,FALSE),"")</f>
        <v/>
      </c>
    </row>
    <row r="3033" spans="31:47" x14ac:dyDescent="0.3">
      <c r="AE3033" s="204" t="s">
        <v>398</v>
      </c>
      <c r="AF3033" s="204" t="s">
        <v>398</v>
      </c>
      <c r="AG3033" s="204" t="s">
        <v>398</v>
      </c>
      <c r="AS3033" s="65" t="str">
        <f>IFERROR(VLOOKUP(#REF!,[1]Lookup!$B$2:$E$115,4,FALSE),"")</f>
        <v/>
      </c>
      <c r="AT3033" s="65" t="str">
        <f>IFERROR(VLOOKUP(#REF!,[1]Lookup!$B$2:$E$115,2,FALSE),"")</f>
        <v/>
      </c>
      <c r="AU3033" s="65" t="str">
        <f>IFERROR(VLOOKUP(#REF!,[1]Lookup!$B$2:$E$115,3,FALSE),"")</f>
        <v/>
      </c>
    </row>
    <row r="3034" spans="31:47" x14ac:dyDescent="0.3">
      <c r="AE3034" s="204" t="s">
        <v>398</v>
      </c>
      <c r="AF3034" s="204" t="s">
        <v>398</v>
      </c>
      <c r="AG3034" s="204" t="s">
        <v>398</v>
      </c>
      <c r="AS3034" s="65" t="str">
        <f>IFERROR(VLOOKUP(#REF!,[1]Lookup!$B$2:$E$115,4,FALSE),"")</f>
        <v/>
      </c>
      <c r="AT3034" s="65" t="str">
        <f>IFERROR(VLOOKUP(#REF!,[1]Lookup!$B$2:$E$115,2,FALSE),"")</f>
        <v/>
      </c>
      <c r="AU3034" s="65" t="str">
        <f>IFERROR(VLOOKUP(#REF!,[1]Lookup!$B$2:$E$115,3,FALSE),"")</f>
        <v/>
      </c>
    </row>
    <row r="3035" spans="31:47" x14ac:dyDescent="0.3">
      <c r="AE3035" s="204" t="s">
        <v>398</v>
      </c>
      <c r="AF3035" s="204" t="s">
        <v>398</v>
      </c>
      <c r="AG3035" s="204" t="s">
        <v>398</v>
      </c>
      <c r="AS3035" s="65" t="str">
        <f>IFERROR(VLOOKUP(#REF!,[1]Lookup!$B$2:$E$115,4,FALSE),"")</f>
        <v/>
      </c>
      <c r="AT3035" s="65" t="str">
        <f>IFERROR(VLOOKUP(#REF!,[1]Lookup!$B$2:$E$115,2,FALSE),"")</f>
        <v/>
      </c>
      <c r="AU3035" s="65" t="str">
        <f>IFERROR(VLOOKUP(#REF!,[1]Lookup!$B$2:$E$115,3,FALSE),"")</f>
        <v/>
      </c>
    </row>
    <row r="3036" spans="31:47" x14ac:dyDescent="0.3">
      <c r="AE3036" s="204" t="s">
        <v>398</v>
      </c>
      <c r="AF3036" s="204" t="s">
        <v>398</v>
      </c>
      <c r="AG3036" s="204" t="s">
        <v>398</v>
      </c>
      <c r="AS3036" s="65" t="str">
        <f>IFERROR(VLOOKUP(#REF!,[1]Lookup!$B$2:$E$115,4,FALSE),"")</f>
        <v/>
      </c>
      <c r="AT3036" s="65" t="str">
        <f>IFERROR(VLOOKUP(#REF!,[1]Lookup!$B$2:$E$115,2,FALSE),"")</f>
        <v/>
      </c>
      <c r="AU3036" s="65" t="str">
        <f>IFERROR(VLOOKUP(#REF!,[1]Lookup!$B$2:$E$115,3,FALSE),"")</f>
        <v/>
      </c>
    </row>
    <row r="3037" spans="31:47" x14ac:dyDescent="0.3">
      <c r="AE3037" s="204" t="s">
        <v>398</v>
      </c>
      <c r="AF3037" s="204" t="s">
        <v>398</v>
      </c>
      <c r="AG3037" s="204" t="s">
        <v>398</v>
      </c>
      <c r="AS3037" s="65" t="str">
        <f>IFERROR(VLOOKUP(#REF!,[1]Lookup!$B$2:$E$115,4,FALSE),"")</f>
        <v/>
      </c>
      <c r="AT3037" s="65" t="str">
        <f>IFERROR(VLOOKUP(#REF!,[1]Lookup!$B$2:$E$115,2,FALSE),"")</f>
        <v/>
      </c>
      <c r="AU3037" s="65" t="str">
        <f>IFERROR(VLOOKUP(#REF!,[1]Lookup!$B$2:$E$115,3,FALSE),"")</f>
        <v/>
      </c>
    </row>
    <row r="3038" spans="31:47" x14ac:dyDescent="0.3">
      <c r="AE3038" s="204" t="s">
        <v>398</v>
      </c>
      <c r="AF3038" s="204" t="s">
        <v>398</v>
      </c>
      <c r="AG3038" s="204" t="s">
        <v>398</v>
      </c>
      <c r="AS3038" s="65" t="str">
        <f>IFERROR(VLOOKUP(#REF!,[1]Lookup!$B$2:$E$115,4,FALSE),"")</f>
        <v/>
      </c>
      <c r="AT3038" s="65" t="str">
        <f>IFERROR(VLOOKUP(#REF!,[1]Lookup!$B$2:$E$115,2,FALSE),"")</f>
        <v/>
      </c>
      <c r="AU3038" s="65" t="str">
        <f>IFERROR(VLOOKUP(#REF!,[1]Lookup!$B$2:$E$115,3,FALSE),"")</f>
        <v/>
      </c>
    </row>
    <row r="3039" spans="31:47" x14ac:dyDescent="0.3">
      <c r="AE3039" s="204" t="s">
        <v>398</v>
      </c>
      <c r="AF3039" s="204" t="s">
        <v>398</v>
      </c>
      <c r="AG3039" s="204" t="s">
        <v>398</v>
      </c>
      <c r="AS3039" s="65" t="str">
        <f>IFERROR(VLOOKUP(#REF!,[1]Lookup!$B$2:$E$115,4,FALSE),"")</f>
        <v/>
      </c>
      <c r="AT3039" s="65" t="str">
        <f>IFERROR(VLOOKUP(#REF!,[1]Lookup!$B$2:$E$115,2,FALSE),"")</f>
        <v/>
      </c>
      <c r="AU3039" s="65" t="str">
        <f>IFERROR(VLOOKUP(#REF!,[1]Lookup!$B$2:$E$115,3,FALSE),"")</f>
        <v/>
      </c>
    </row>
    <row r="3040" spans="31:47" x14ac:dyDescent="0.3">
      <c r="AE3040" s="204" t="s">
        <v>398</v>
      </c>
      <c r="AF3040" s="204" t="s">
        <v>398</v>
      </c>
      <c r="AG3040" s="204" t="s">
        <v>398</v>
      </c>
      <c r="AS3040" s="65" t="str">
        <f>IFERROR(VLOOKUP(#REF!,[1]Lookup!$B$2:$E$115,4,FALSE),"")</f>
        <v/>
      </c>
      <c r="AT3040" s="65" t="str">
        <f>IFERROR(VLOOKUP(#REF!,[1]Lookup!$B$2:$E$115,2,FALSE),"")</f>
        <v/>
      </c>
      <c r="AU3040" s="65" t="str">
        <f>IFERROR(VLOOKUP(#REF!,[1]Lookup!$B$2:$E$115,3,FALSE),"")</f>
        <v/>
      </c>
    </row>
    <row r="3041" spans="31:47" x14ac:dyDescent="0.3">
      <c r="AE3041" s="204" t="s">
        <v>398</v>
      </c>
      <c r="AF3041" s="204" t="s">
        <v>398</v>
      </c>
      <c r="AG3041" s="204" t="s">
        <v>398</v>
      </c>
      <c r="AS3041" s="65" t="str">
        <f>IFERROR(VLOOKUP(#REF!,[1]Lookup!$B$2:$E$115,4,FALSE),"")</f>
        <v/>
      </c>
      <c r="AT3041" s="65" t="str">
        <f>IFERROR(VLOOKUP(#REF!,[1]Lookup!$B$2:$E$115,2,FALSE),"")</f>
        <v/>
      </c>
      <c r="AU3041" s="65" t="str">
        <f>IFERROR(VLOOKUP(#REF!,[1]Lookup!$B$2:$E$115,3,FALSE),"")</f>
        <v/>
      </c>
    </row>
    <row r="3042" spans="31:47" x14ac:dyDescent="0.3">
      <c r="AE3042" s="204" t="s">
        <v>398</v>
      </c>
      <c r="AF3042" s="204" t="s">
        <v>398</v>
      </c>
      <c r="AG3042" s="204" t="s">
        <v>398</v>
      </c>
      <c r="AS3042" s="65" t="str">
        <f>IFERROR(VLOOKUP(#REF!,[1]Lookup!$B$2:$E$115,4,FALSE),"")</f>
        <v/>
      </c>
      <c r="AT3042" s="65" t="str">
        <f>IFERROR(VLOOKUP(#REF!,[1]Lookup!$B$2:$E$115,2,FALSE),"")</f>
        <v/>
      </c>
      <c r="AU3042" s="65" t="str">
        <f>IFERROR(VLOOKUP(#REF!,[1]Lookup!$B$2:$E$115,3,FALSE),"")</f>
        <v/>
      </c>
    </row>
    <row r="3043" spans="31:47" x14ac:dyDescent="0.3">
      <c r="AE3043" s="204" t="s">
        <v>398</v>
      </c>
      <c r="AF3043" s="204" t="s">
        <v>398</v>
      </c>
      <c r="AG3043" s="204" t="s">
        <v>398</v>
      </c>
      <c r="AS3043" s="65" t="str">
        <f>IFERROR(VLOOKUP(#REF!,[1]Lookup!$B$2:$E$115,4,FALSE),"")</f>
        <v/>
      </c>
      <c r="AT3043" s="65" t="str">
        <f>IFERROR(VLOOKUP(#REF!,[1]Lookup!$B$2:$E$115,2,FALSE),"")</f>
        <v/>
      </c>
      <c r="AU3043" s="65" t="str">
        <f>IFERROR(VLOOKUP(#REF!,[1]Lookup!$B$2:$E$115,3,FALSE),"")</f>
        <v/>
      </c>
    </row>
    <row r="3044" spans="31:47" x14ac:dyDescent="0.3">
      <c r="AE3044" s="204" t="s">
        <v>398</v>
      </c>
      <c r="AF3044" s="204" t="s">
        <v>398</v>
      </c>
      <c r="AG3044" s="204" t="s">
        <v>398</v>
      </c>
      <c r="AS3044" s="65" t="str">
        <f>IFERROR(VLOOKUP(#REF!,[1]Lookup!$B$2:$E$115,4,FALSE),"")</f>
        <v/>
      </c>
      <c r="AT3044" s="65" t="str">
        <f>IFERROR(VLOOKUP(#REF!,[1]Lookup!$B$2:$E$115,2,FALSE),"")</f>
        <v/>
      </c>
      <c r="AU3044" s="65" t="str">
        <f>IFERROR(VLOOKUP(#REF!,[1]Lookup!$B$2:$E$115,3,FALSE),"")</f>
        <v/>
      </c>
    </row>
    <row r="3045" spans="31:47" x14ac:dyDescent="0.3">
      <c r="AE3045" s="204" t="s">
        <v>398</v>
      </c>
      <c r="AF3045" s="204" t="s">
        <v>398</v>
      </c>
      <c r="AG3045" s="204" t="s">
        <v>398</v>
      </c>
      <c r="AS3045" s="65" t="str">
        <f>IFERROR(VLOOKUP(#REF!,[1]Lookup!$B$2:$E$115,4,FALSE),"")</f>
        <v/>
      </c>
      <c r="AT3045" s="65" t="str">
        <f>IFERROR(VLOOKUP(#REF!,[1]Lookup!$B$2:$E$115,2,FALSE),"")</f>
        <v/>
      </c>
      <c r="AU3045" s="65" t="str">
        <f>IFERROR(VLOOKUP(#REF!,[1]Lookup!$B$2:$E$115,3,FALSE),"")</f>
        <v/>
      </c>
    </row>
    <row r="3046" spans="31:47" x14ac:dyDescent="0.3">
      <c r="AE3046" s="204" t="s">
        <v>398</v>
      </c>
      <c r="AF3046" s="204" t="s">
        <v>398</v>
      </c>
      <c r="AG3046" s="204" t="s">
        <v>398</v>
      </c>
      <c r="AS3046" s="65" t="str">
        <f>IFERROR(VLOOKUP(#REF!,[1]Lookup!$B$2:$E$115,4,FALSE),"")</f>
        <v/>
      </c>
      <c r="AT3046" s="65" t="str">
        <f>IFERROR(VLOOKUP(#REF!,[1]Lookup!$B$2:$E$115,2,FALSE),"")</f>
        <v/>
      </c>
      <c r="AU3046" s="65" t="str">
        <f>IFERROR(VLOOKUP(#REF!,[1]Lookup!$B$2:$E$115,3,FALSE),"")</f>
        <v/>
      </c>
    </row>
    <row r="3047" spans="31:47" x14ac:dyDescent="0.3">
      <c r="AE3047" s="204" t="s">
        <v>398</v>
      </c>
      <c r="AF3047" s="204" t="s">
        <v>398</v>
      </c>
      <c r="AG3047" s="204" t="s">
        <v>398</v>
      </c>
      <c r="AS3047" s="65" t="str">
        <f>IFERROR(VLOOKUP(#REF!,[1]Lookup!$B$2:$E$115,4,FALSE),"")</f>
        <v/>
      </c>
      <c r="AT3047" s="65" t="str">
        <f>IFERROR(VLOOKUP(#REF!,[1]Lookup!$B$2:$E$115,2,FALSE),"")</f>
        <v/>
      </c>
      <c r="AU3047" s="65" t="str">
        <f>IFERROR(VLOOKUP(#REF!,[1]Lookup!$B$2:$E$115,3,FALSE),"")</f>
        <v/>
      </c>
    </row>
    <row r="3048" spans="31:47" x14ac:dyDescent="0.3">
      <c r="AE3048" s="204" t="s">
        <v>398</v>
      </c>
      <c r="AF3048" s="204" t="s">
        <v>398</v>
      </c>
      <c r="AG3048" s="204" t="s">
        <v>398</v>
      </c>
      <c r="AS3048" s="65" t="str">
        <f>IFERROR(VLOOKUP(#REF!,[1]Lookup!$B$2:$E$115,4,FALSE),"")</f>
        <v/>
      </c>
      <c r="AT3048" s="65" t="str">
        <f>IFERROR(VLOOKUP(#REF!,[1]Lookup!$B$2:$E$115,2,FALSE),"")</f>
        <v/>
      </c>
      <c r="AU3048" s="65" t="str">
        <f>IFERROR(VLOOKUP(#REF!,[1]Lookup!$B$2:$E$115,3,FALSE),"")</f>
        <v/>
      </c>
    </row>
    <row r="3049" spans="31:47" x14ac:dyDescent="0.3">
      <c r="AE3049" s="204" t="s">
        <v>398</v>
      </c>
      <c r="AF3049" s="204" t="s">
        <v>398</v>
      </c>
      <c r="AG3049" s="204" t="s">
        <v>398</v>
      </c>
      <c r="AS3049" s="65" t="str">
        <f>IFERROR(VLOOKUP(#REF!,[1]Lookup!$B$2:$E$115,4,FALSE),"")</f>
        <v/>
      </c>
      <c r="AT3049" s="65" t="str">
        <f>IFERROR(VLOOKUP(#REF!,[1]Lookup!$B$2:$E$115,2,FALSE),"")</f>
        <v/>
      </c>
      <c r="AU3049" s="65" t="str">
        <f>IFERROR(VLOOKUP(#REF!,[1]Lookup!$B$2:$E$115,3,FALSE),"")</f>
        <v/>
      </c>
    </row>
    <row r="3050" spans="31:47" x14ac:dyDescent="0.3">
      <c r="AE3050" s="204" t="s">
        <v>398</v>
      </c>
      <c r="AF3050" s="204" t="s">
        <v>398</v>
      </c>
      <c r="AG3050" s="204" t="s">
        <v>398</v>
      </c>
      <c r="AS3050" s="65" t="str">
        <f>IFERROR(VLOOKUP(#REF!,[1]Lookup!$B$2:$E$115,4,FALSE),"")</f>
        <v/>
      </c>
      <c r="AT3050" s="65" t="str">
        <f>IFERROR(VLOOKUP(#REF!,[1]Lookup!$B$2:$E$115,2,FALSE),"")</f>
        <v/>
      </c>
      <c r="AU3050" s="65" t="str">
        <f>IFERROR(VLOOKUP(#REF!,[1]Lookup!$B$2:$E$115,3,FALSE),"")</f>
        <v/>
      </c>
    </row>
    <row r="3051" spans="31:47" x14ac:dyDescent="0.3">
      <c r="AE3051" s="204" t="s">
        <v>398</v>
      </c>
      <c r="AF3051" s="204" t="s">
        <v>398</v>
      </c>
      <c r="AG3051" s="204" t="s">
        <v>398</v>
      </c>
      <c r="AS3051" s="65" t="str">
        <f>IFERROR(VLOOKUP(#REF!,[1]Lookup!$B$2:$E$115,4,FALSE),"")</f>
        <v/>
      </c>
      <c r="AT3051" s="65" t="str">
        <f>IFERROR(VLOOKUP(#REF!,[1]Lookup!$B$2:$E$115,2,FALSE),"")</f>
        <v/>
      </c>
      <c r="AU3051" s="65" t="str">
        <f>IFERROR(VLOOKUP(#REF!,[1]Lookup!$B$2:$E$115,3,FALSE),"")</f>
        <v/>
      </c>
    </row>
    <row r="3052" spans="31:47" x14ac:dyDescent="0.3">
      <c r="AE3052" s="204" t="s">
        <v>398</v>
      </c>
      <c r="AF3052" s="204" t="s">
        <v>398</v>
      </c>
      <c r="AG3052" s="204" t="s">
        <v>398</v>
      </c>
      <c r="AS3052" s="65" t="str">
        <f>IFERROR(VLOOKUP(#REF!,[1]Lookup!$B$2:$E$115,4,FALSE),"")</f>
        <v/>
      </c>
      <c r="AT3052" s="65" t="str">
        <f>IFERROR(VLOOKUP(#REF!,[1]Lookup!$B$2:$E$115,2,FALSE),"")</f>
        <v/>
      </c>
      <c r="AU3052" s="65" t="str">
        <f>IFERROR(VLOOKUP(#REF!,[1]Lookup!$B$2:$E$115,3,FALSE),"")</f>
        <v/>
      </c>
    </row>
    <row r="3053" spans="31:47" x14ac:dyDescent="0.3">
      <c r="AE3053" s="204" t="s">
        <v>398</v>
      </c>
      <c r="AF3053" s="204" t="s">
        <v>398</v>
      </c>
      <c r="AG3053" s="204" t="s">
        <v>398</v>
      </c>
      <c r="AS3053" s="65" t="str">
        <f>IFERROR(VLOOKUP(#REF!,[1]Lookup!$B$2:$E$115,4,FALSE),"")</f>
        <v/>
      </c>
      <c r="AT3053" s="65" t="str">
        <f>IFERROR(VLOOKUP(#REF!,[1]Lookup!$B$2:$E$115,2,FALSE),"")</f>
        <v/>
      </c>
      <c r="AU3053" s="65" t="str">
        <f>IFERROR(VLOOKUP(#REF!,[1]Lookup!$B$2:$E$115,3,FALSE),"")</f>
        <v/>
      </c>
    </row>
    <row r="3054" spans="31:47" x14ac:dyDescent="0.3">
      <c r="AE3054" s="204" t="s">
        <v>398</v>
      </c>
      <c r="AF3054" s="204" t="s">
        <v>398</v>
      </c>
      <c r="AG3054" s="204" t="s">
        <v>398</v>
      </c>
      <c r="AS3054" s="65" t="str">
        <f>IFERROR(VLOOKUP(#REF!,[1]Lookup!$B$2:$E$115,4,FALSE),"")</f>
        <v/>
      </c>
      <c r="AT3054" s="65" t="str">
        <f>IFERROR(VLOOKUP(#REF!,[1]Lookup!$B$2:$E$115,2,FALSE),"")</f>
        <v/>
      </c>
      <c r="AU3054" s="65" t="str">
        <f>IFERROR(VLOOKUP(#REF!,[1]Lookup!$B$2:$E$115,3,FALSE),"")</f>
        <v/>
      </c>
    </row>
    <row r="3055" spans="31:47" x14ac:dyDescent="0.3">
      <c r="AE3055" s="204" t="s">
        <v>398</v>
      </c>
      <c r="AF3055" s="204" t="s">
        <v>398</v>
      </c>
      <c r="AG3055" s="204" t="s">
        <v>398</v>
      </c>
      <c r="AS3055" s="65" t="str">
        <f>IFERROR(VLOOKUP(#REF!,[1]Lookup!$B$2:$E$115,4,FALSE),"")</f>
        <v/>
      </c>
      <c r="AT3055" s="65" t="str">
        <f>IFERROR(VLOOKUP(#REF!,[1]Lookup!$B$2:$E$115,2,FALSE),"")</f>
        <v/>
      </c>
      <c r="AU3055" s="65" t="str">
        <f>IFERROR(VLOOKUP(#REF!,[1]Lookup!$B$2:$E$115,3,FALSE),"")</f>
        <v/>
      </c>
    </row>
    <row r="3056" spans="31:47" x14ac:dyDescent="0.3">
      <c r="AE3056" s="204" t="s">
        <v>398</v>
      </c>
      <c r="AF3056" s="204" t="s">
        <v>398</v>
      </c>
      <c r="AG3056" s="204" t="s">
        <v>398</v>
      </c>
      <c r="AS3056" s="65" t="str">
        <f>IFERROR(VLOOKUP(#REF!,[1]Lookup!$B$2:$E$115,4,FALSE),"")</f>
        <v/>
      </c>
      <c r="AT3056" s="65" t="str">
        <f>IFERROR(VLOOKUP(#REF!,[1]Lookup!$B$2:$E$115,2,FALSE),"")</f>
        <v/>
      </c>
      <c r="AU3056" s="65" t="str">
        <f>IFERROR(VLOOKUP(#REF!,[1]Lookup!$B$2:$E$115,3,FALSE),"")</f>
        <v/>
      </c>
    </row>
    <row r="3057" spans="31:47" x14ac:dyDescent="0.3">
      <c r="AE3057" s="204" t="s">
        <v>398</v>
      </c>
      <c r="AF3057" s="204" t="s">
        <v>398</v>
      </c>
      <c r="AG3057" s="204" t="s">
        <v>398</v>
      </c>
      <c r="AS3057" s="65" t="str">
        <f>IFERROR(VLOOKUP(#REF!,[1]Lookup!$B$2:$E$115,4,FALSE),"")</f>
        <v/>
      </c>
      <c r="AT3057" s="65" t="str">
        <f>IFERROR(VLOOKUP(#REF!,[1]Lookup!$B$2:$E$115,2,FALSE),"")</f>
        <v/>
      </c>
      <c r="AU3057" s="65" t="str">
        <f>IFERROR(VLOOKUP(#REF!,[1]Lookup!$B$2:$E$115,3,FALSE),"")</f>
        <v/>
      </c>
    </row>
    <row r="3058" spans="31:47" x14ac:dyDescent="0.3">
      <c r="AE3058" s="204" t="s">
        <v>398</v>
      </c>
      <c r="AF3058" s="204" t="s">
        <v>398</v>
      </c>
      <c r="AG3058" s="204" t="s">
        <v>398</v>
      </c>
      <c r="AS3058" s="65" t="str">
        <f>IFERROR(VLOOKUP(#REF!,[1]Lookup!$B$2:$E$115,4,FALSE),"")</f>
        <v/>
      </c>
      <c r="AT3058" s="65" t="str">
        <f>IFERROR(VLOOKUP(#REF!,[1]Lookup!$B$2:$E$115,2,FALSE),"")</f>
        <v/>
      </c>
      <c r="AU3058" s="65" t="str">
        <f>IFERROR(VLOOKUP(#REF!,[1]Lookup!$B$2:$E$115,3,FALSE),"")</f>
        <v/>
      </c>
    </row>
    <row r="3059" spans="31:47" x14ac:dyDescent="0.3">
      <c r="AE3059" s="204" t="s">
        <v>398</v>
      </c>
      <c r="AF3059" s="204" t="s">
        <v>398</v>
      </c>
      <c r="AG3059" s="204" t="s">
        <v>398</v>
      </c>
      <c r="AS3059" s="65" t="str">
        <f>IFERROR(VLOOKUP(#REF!,[1]Lookup!$B$2:$E$115,4,FALSE),"")</f>
        <v/>
      </c>
      <c r="AT3059" s="65" t="str">
        <f>IFERROR(VLOOKUP(#REF!,[1]Lookup!$B$2:$E$115,2,FALSE),"")</f>
        <v/>
      </c>
      <c r="AU3059" s="65" t="str">
        <f>IFERROR(VLOOKUP(#REF!,[1]Lookup!$B$2:$E$115,3,FALSE),"")</f>
        <v/>
      </c>
    </row>
    <row r="3060" spans="31:47" x14ac:dyDescent="0.3">
      <c r="AE3060" s="204" t="s">
        <v>398</v>
      </c>
      <c r="AF3060" s="204" t="s">
        <v>398</v>
      </c>
      <c r="AG3060" s="204" t="s">
        <v>398</v>
      </c>
      <c r="AS3060" s="65" t="str">
        <f>IFERROR(VLOOKUP(#REF!,[1]Lookup!$B$2:$E$115,4,FALSE),"")</f>
        <v/>
      </c>
      <c r="AT3060" s="65" t="str">
        <f>IFERROR(VLOOKUP(#REF!,[1]Lookup!$B$2:$E$115,2,FALSE),"")</f>
        <v/>
      </c>
      <c r="AU3060" s="65" t="str">
        <f>IFERROR(VLOOKUP(#REF!,[1]Lookup!$B$2:$E$115,3,FALSE),"")</f>
        <v/>
      </c>
    </row>
    <row r="3061" spans="31:47" x14ac:dyDescent="0.3">
      <c r="AE3061" s="204" t="s">
        <v>398</v>
      </c>
      <c r="AF3061" s="204" t="s">
        <v>398</v>
      </c>
      <c r="AG3061" s="204" t="s">
        <v>398</v>
      </c>
      <c r="AS3061" s="65" t="str">
        <f>IFERROR(VLOOKUP(#REF!,[1]Lookup!$B$2:$E$115,4,FALSE),"")</f>
        <v/>
      </c>
      <c r="AT3061" s="65" t="str">
        <f>IFERROR(VLOOKUP(#REF!,[1]Lookup!$B$2:$E$115,2,FALSE),"")</f>
        <v/>
      </c>
      <c r="AU3061" s="65" t="str">
        <f>IFERROR(VLOOKUP(#REF!,[1]Lookup!$B$2:$E$115,3,FALSE),"")</f>
        <v/>
      </c>
    </row>
    <row r="3062" spans="31:47" x14ac:dyDescent="0.3">
      <c r="AE3062" s="204" t="s">
        <v>398</v>
      </c>
      <c r="AF3062" s="204" t="s">
        <v>398</v>
      </c>
      <c r="AG3062" s="204" t="s">
        <v>398</v>
      </c>
      <c r="AS3062" s="65" t="str">
        <f>IFERROR(VLOOKUP(#REF!,[1]Lookup!$B$2:$E$115,4,FALSE),"")</f>
        <v/>
      </c>
      <c r="AT3062" s="65" t="str">
        <f>IFERROR(VLOOKUP(#REF!,[1]Lookup!$B$2:$E$115,2,FALSE),"")</f>
        <v/>
      </c>
      <c r="AU3062" s="65" t="str">
        <f>IFERROR(VLOOKUP(#REF!,[1]Lookup!$B$2:$E$115,3,FALSE),"")</f>
        <v/>
      </c>
    </row>
    <row r="3063" spans="31:47" x14ac:dyDescent="0.3">
      <c r="AE3063" s="204" t="s">
        <v>398</v>
      </c>
      <c r="AF3063" s="204" t="s">
        <v>398</v>
      </c>
      <c r="AG3063" s="204" t="s">
        <v>398</v>
      </c>
      <c r="AS3063" s="65" t="str">
        <f>IFERROR(VLOOKUP(#REF!,[1]Lookup!$B$2:$E$115,4,FALSE),"")</f>
        <v/>
      </c>
      <c r="AT3063" s="65" t="str">
        <f>IFERROR(VLOOKUP(#REF!,[1]Lookup!$B$2:$E$115,2,FALSE),"")</f>
        <v/>
      </c>
      <c r="AU3063" s="65" t="str">
        <f>IFERROR(VLOOKUP(#REF!,[1]Lookup!$B$2:$E$115,3,FALSE),"")</f>
        <v/>
      </c>
    </row>
    <row r="3064" spans="31:47" x14ac:dyDescent="0.3">
      <c r="AE3064" s="204" t="s">
        <v>398</v>
      </c>
      <c r="AF3064" s="204" t="s">
        <v>398</v>
      </c>
      <c r="AG3064" s="204" t="s">
        <v>398</v>
      </c>
      <c r="AS3064" s="65" t="str">
        <f>IFERROR(VLOOKUP(#REF!,[1]Lookup!$B$2:$E$115,4,FALSE),"")</f>
        <v/>
      </c>
      <c r="AT3064" s="65" t="str">
        <f>IFERROR(VLOOKUP(#REF!,[1]Lookup!$B$2:$E$115,2,FALSE),"")</f>
        <v/>
      </c>
      <c r="AU3064" s="65" t="str">
        <f>IFERROR(VLOOKUP(#REF!,[1]Lookup!$B$2:$E$115,3,FALSE),"")</f>
        <v/>
      </c>
    </row>
    <row r="3065" spans="31:47" x14ac:dyDescent="0.3">
      <c r="AE3065" s="204" t="s">
        <v>398</v>
      </c>
      <c r="AF3065" s="204" t="s">
        <v>398</v>
      </c>
      <c r="AG3065" s="204" t="s">
        <v>398</v>
      </c>
      <c r="AS3065" s="65" t="str">
        <f>IFERROR(VLOOKUP(#REF!,[1]Lookup!$B$2:$E$115,4,FALSE),"")</f>
        <v/>
      </c>
      <c r="AT3065" s="65" t="str">
        <f>IFERROR(VLOOKUP(#REF!,[1]Lookup!$B$2:$E$115,2,FALSE),"")</f>
        <v/>
      </c>
      <c r="AU3065" s="65" t="str">
        <f>IFERROR(VLOOKUP(#REF!,[1]Lookup!$B$2:$E$115,3,FALSE),"")</f>
        <v/>
      </c>
    </row>
    <row r="3066" spans="31:47" x14ac:dyDescent="0.3">
      <c r="AE3066" s="204" t="s">
        <v>398</v>
      </c>
      <c r="AF3066" s="204" t="s">
        <v>398</v>
      </c>
      <c r="AG3066" s="204" t="s">
        <v>398</v>
      </c>
      <c r="AS3066" s="65" t="str">
        <f>IFERROR(VLOOKUP(#REF!,[1]Lookup!$B$2:$E$115,4,FALSE),"")</f>
        <v/>
      </c>
      <c r="AT3066" s="65" t="str">
        <f>IFERROR(VLOOKUP(#REF!,[1]Lookup!$B$2:$E$115,2,FALSE),"")</f>
        <v/>
      </c>
      <c r="AU3066" s="65" t="str">
        <f>IFERROR(VLOOKUP(#REF!,[1]Lookup!$B$2:$E$115,3,FALSE),"")</f>
        <v/>
      </c>
    </row>
    <row r="3067" spans="31:47" x14ac:dyDescent="0.3">
      <c r="AE3067" s="204" t="s">
        <v>398</v>
      </c>
      <c r="AF3067" s="204" t="s">
        <v>398</v>
      </c>
      <c r="AG3067" s="204" t="s">
        <v>398</v>
      </c>
      <c r="AS3067" s="65" t="str">
        <f>IFERROR(VLOOKUP(#REF!,[1]Lookup!$B$2:$E$115,4,FALSE),"")</f>
        <v/>
      </c>
      <c r="AT3067" s="65" t="str">
        <f>IFERROR(VLOOKUP(#REF!,[1]Lookup!$B$2:$E$115,2,FALSE),"")</f>
        <v/>
      </c>
      <c r="AU3067" s="65" t="str">
        <f>IFERROR(VLOOKUP(#REF!,[1]Lookup!$B$2:$E$115,3,FALSE),"")</f>
        <v/>
      </c>
    </row>
    <row r="3068" spans="31:47" x14ac:dyDescent="0.3">
      <c r="AE3068" s="204" t="s">
        <v>398</v>
      </c>
      <c r="AF3068" s="204" t="s">
        <v>398</v>
      </c>
      <c r="AG3068" s="204" t="s">
        <v>398</v>
      </c>
      <c r="AS3068" s="65" t="str">
        <f>IFERROR(VLOOKUP(#REF!,[1]Lookup!$B$2:$E$115,4,FALSE),"")</f>
        <v/>
      </c>
      <c r="AT3068" s="65" t="str">
        <f>IFERROR(VLOOKUP(#REF!,[1]Lookup!$B$2:$E$115,2,FALSE),"")</f>
        <v/>
      </c>
      <c r="AU3068" s="65" t="str">
        <f>IFERROR(VLOOKUP(#REF!,[1]Lookup!$B$2:$E$115,3,FALSE),"")</f>
        <v/>
      </c>
    </row>
    <row r="3069" spans="31:47" x14ac:dyDescent="0.3">
      <c r="AE3069" s="204" t="s">
        <v>398</v>
      </c>
      <c r="AF3069" s="204" t="s">
        <v>398</v>
      </c>
      <c r="AG3069" s="204" t="s">
        <v>398</v>
      </c>
      <c r="AS3069" s="65" t="str">
        <f>IFERROR(VLOOKUP(#REF!,[1]Lookup!$B$2:$E$115,4,FALSE),"")</f>
        <v/>
      </c>
      <c r="AT3069" s="65" t="str">
        <f>IFERROR(VLOOKUP(#REF!,[1]Lookup!$B$2:$E$115,2,FALSE),"")</f>
        <v/>
      </c>
      <c r="AU3069" s="65" t="str">
        <f>IFERROR(VLOOKUP(#REF!,[1]Lookup!$B$2:$E$115,3,FALSE),"")</f>
        <v/>
      </c>
    </row>
    <row r="3070" spans="31:47" x14ac:dyDescent="0.3">
      <c r="AE3070" s="204" t="s">
        <v>398</v>
      </c>
      <c r="AF3070" s="204" t="s">
        <v>398</v>
      </c>
      <c r="AG3070" s="204" t="s">
        <v>398</v>
      </c>
      <c r="AS3070" s="65" t="str">
        <f>IFERROR(VLOOKUP(#REF!,[1]Lookup!$B$2:$E$115,4,FALSE),"")</f>
        <v/>
      </c>
      <c r="AT3070" s="65" t="str">
        <f>IFERROR(VLOOKUP(#REF!,[1]Lookup!$B$2:$E$115,2,FALSE),"")</f>
        <v/>
      </c>
      <c r="AU3070" s="65" t="str">
        <f>IFERROR(VLOOKUP(#REF!,[1]Lookup!$B$2:$E$115,3,FALSE),"")</f>
        <v/>
      </c>
    </row>
    <row r="3071" spans="31:47" x14ac:dyDescent="0.3">
      <c r="AE3071" s="204" t="s">
        <v>398</v>
      </c>
      <c r="AF3071" s="204" t="s">
        <v>398</v>
      </c>
      <c r="AG3071" s="204" t="s">
        <v>398</v>
      </c>
      <c r="AS3071" s="65" t="str">
        <f>IFERROR(VLOOKUP(#REF!,[1]Lookup!$B$2:$E$115,4,FALSE),"")</f>
        <v/>
      </c>
      <c r="AT3071" s="65" t="str">
        <f>IFERROR(VLOOKUP(#REF!,[1]Lookup!$B$2:$E$115,2,FALSE),"")</f>
        <v/>
      </c>
      <c r="AU3071" s="65" t="str">
        <f>IFERROR(VLOOKUP(#REF!,[1]Lookup!$B$2:$E$115,3,FALSE),"")</f>
        <v/>
      </c>
    </row>
    <row r="3072" spans="31:47" x14ac:dyDescent="0.3">
      <c r="AE3072" s="204" t="s">
        <v>398</v>
      </c>
      <c r="AF3072" s="204" t="s">
        <v>398</v>
      </c>
      <c r="AG3072" s="204" t="s">
        <v>398</v>
      </c>
      <c r="AS3072" s="65" t="str">
        <f>IFERROR(VLOOKUP(#REF!,[1]Lookup!$B$2:$E$115,4,FALSE),"")</f>
        <v/>
      </c>
      <c r="AT3072" s="65" t="str">
        <f>IFERROR(VLOOKUP(#REF!,[1]Lookup!$B$2:$E$115,2,FALSE),"")</f>
        <v/>
      </c>
      <c r="AU3072" s="65" t="str">
        <f>IFERROR(VLOOKUP(#REF!,[1]Lookup!$B$2:$E$115,3,FALSE),"")</f>
        <v/>
      </c>
    </row>
    <row r="3073" spans="31:47" x14ac:dyDescent="0.3">
      <c r="AE3073" s="204" t="s">
        <v>398</v>
      </c>
      <c r="AF3073" s="204" t="s">
        <v>398</v>
      </c>
      <c r="AG3073" s="204" t="s">
        <v>398</v>
      </c>
      <c r="AS3073" s="65" t="str">
        <f>IFERROR(VLOOKUP(#REF!,[1]Lookup!$B$2:$E$115,4,FALSE),"")</f>
        <v/>
      </c>
      <c r="AT3073" s="65" t="str">
        <f>IFERROR(VLOOKUP(#REF!,[1]Lookup!$B$2:$E$115,2,FALSE),"")</f>
        <v/>
      </c>
      <c r="AU3073" s="65" t="str">
        <f>IFERROR(VLOOKUP(#REF!,[1]Lookup!$B$2:$E$115,3,FALSE),"")</f>
        <v/>
      </c>
    </row>
    <row r="3074" spans="31:47" x14ac:dyDescent="0.3">
      <c r="AE3074" s="204" t="s">
        <v>398</v>
      </c>
      <c r="AF3074" s="204" t="s">
        <v>398</v>
      </c>
      <c r="AG3074" s="204" t="s">
        <v>398</v>
      </c>
      <c r="AS3074" s="65" t="str">
        <f>IFERROR(VLOOKUP(#REF!,[1]Lookup!$B$2:$E$115,4,FALSE),"")</f>
        <v/>
      </c>
      <c r="AT3074" s="65" t="str">
        <f>IFERROR(VLOOKUP(#REF!,[1]Lookup!$B$2:$E$115,2,FALSE),"")</f>
        <v/>
      </c>
      <c r="AU3074" s="65" t="str">
        <f>IFERROR(VLOOKUP(#REF!,[1]Lookup!$B$2:$E$115,3,FALSE),"")</f>
        <v/>
      </c>
    </row>
    <row r="3075" spans="31:47" x14ac:dyDescent="0.3">
      <c r="AE3075" s="204" t="s">
        <v>398</v>
      </c>
      <c r="AF3075" s="204" t="s">
        <v>398</v>
      </c>
      <c r="AG3075" s="204" t="s">
        <v>398</v>
      </c>
      <c r="AS3075" s="65" t="str">
        <f>IFERROR(VLOOKUP(#REF!,[1]Lookup!$B$2:$E$115,4,FALSE),"")</f>
        <v/>
      </c>
      <c r="AT3075" s="65" t="str">
        <f>IFERROR(VLOOKUP(#REF!,[1]Lookup!$B$2:$E$115,2,FALSE),"")</f>
        <v/>
      </c>
      <c r="AU3075" s="65" t="str">
        <f>IFERROR(VLOOKUP(#REF!,[1]Lookup!$B$2:$E$115,3,FALSE),"")</f>
        <v/>
      </c>
    </row>
    <row r="3076" spans="31:47" x14ac:dyDescent="0.3">
      <c r="AE3076" s="204" t="s">
        <v>398</v>
      </c>
      <c r="AF3076" s="204" t="s">
        <v>398</v>
      </c>
      <c r="AG3076" s="204" t="s">
        <v>398</v>
      </c>
      <c r="AS3076" s="65" t="str">
        <f>IFERROR(VLOOKUP(#REF!,[1]Lookup!$B$2:$E$115,4,FALSE),"")</f>
        <v/>
      </c>
      <c r="AT3076" s="65" t="str">
        <f>IFERROR(VLOOKUP(#REF!,[1]Lookup!$B$2:$E$115,2,FALSE),"")</f>
        <v/>
      </c>
      <c r="AU3076" s="65" t="str">
        <f>IFERROR(VLOOKUP(#REF!,[1]Lookup!$B$2:$E$115,3,FALSE),"")</f>
        <v/>
      </c>
    </row>
    <row r="3077" spans="31:47" x14ac:dyDescent="0.3">
      <c r="AE3077" s="204" t="s">
        <v>398</v>
      </c>
      <c r="AF3077" s="204" t="s">
        <v>398</v>
      </c>
      <c r="AG3077" s="204" t="s">
        <v>398</v>
      </c>
      <c r="AS3077" s="65" t="str">
        <f>IFERROR(VLOOKUP(#REF!,[1]Lookup!$B$2:$E$115,4,FALSE),"")</f>
        <v/>
      </c>
      <c r="AT3077" s="65" t="str">
        <f>IFERROR(VLOOKUP(#REF!,[1]Lookup!$B$2:$E$115,2,FALSE),"")</f>
        <v/>
      </c>
      <c r="AU3077" s="65" t="str">
        <f>IFERROR(VLOOKUP(#REF!,[1]Lookup!$B$2:$E$115,3,FALSE),"")</f>
        <v/>
      </c>
    </row>
    <row r="3078" spans="31:47" x14ac:dyDescent="0.3">
      <c r="AE3078" s="204" t="s">
        <v>398</v>
      </c>
      <c r="AF3078" s="204" t="s">
        <v>398</v>
      </c>
      <c r="AG3078" s="204" t="s">
        <v>398</v>
      </c>
      <c r="AS3078" s="65" t="str">
        <f>IFERROR(VLOOKUP(#REF!,[1]Lookup!$B$2:$E$115,4,FALSE),"")</f>
        <v/>
      </c>
      <c r="AT3078" s="65" t="str">
        <f>IFERROR(VLOOKUP(#REF!,[1]Lookup!$B$2:$E$115,2,FALSE),"")</f>
        <v/>
      </c>
      <c r="AU3078" s="65" t="str">
        <f>IFERROR(VLOOKUP(#REF!,[1]Lookup!$B$2:$E$115,3,FALSE),"")</f>
        <v/>
      </c>
    </row>
    <row r="3079" spans="31:47" x14ac:dyDescent="0.3">
      <c r="AE3079" s="204" t="s">
        <v>398</v>
      </c>
      <c r="AF3079" s="204" t="s">
        <v>398</v>
      </c>
      <c r="AG3079" s="204" t="s">
        <v>398</v>
      </c>
      <c r="AS3079" s="65" t="str">
        <f>IFERROR(VLOOKUP(#REF!,[1]Lookup!$B$2:$E$115,4,FALSE),"")</f>
        <v/>
      </c>
      <c r="AT3079" s="65" t="str">
        <f>IFERROR(VLOOKUP(#REF!,[1]Lookup!$B$2:$E$115,2,FALSE),"")</f>
        <v/>
      </c>
      <c r="AU3079" s="65" t="str">
        <f>IFERROR(VLOOKUP(#REF!,[1]Lookup!$B$2:$E$115,3,FALSE),"")</f>
        <v/>
      </c>
    </row>
    <row r="3080" spans="31:47" x14ac:dyDescent="0.3">
      <c r="AE3080" s="204" t="s">
        <v>398</v>
      </c>
      <c r="AF3080" s="204" t="s">
        <v>398</v>
      </c>
      <c r="AG3080" s="204" t="s">
        <v>398</v>
      </c>
      <c r="AS3080" s="65" t="str">
        <f>IFERROR(VLOOKUP(#REF!,[1]Lookup!$B$2:$E$115,4,FALSE),"")</f>
        <v/>
      </c>
      <c r="AT3080" s="65" t="str">
        <f>IFERROR(VLOOKUP(#REF!,[1]Lookup!$B$2:$E$115,2,FALSE),"")</f>
        <v/>
      </c>
      <c r="AU3080" s="65" t="str">
        <f>IFERROR(VLOOKUP(#REF!,[1]Lookup!$B$2:$E$115,3,FALSE),"")</f>
        <v/>
      </c>
    </row>
    <row r="3081" spans="31:47" x14ac:dyDescent="0.3">
      <c r="AE3081" s="204" t="s">
        <v>398</v>
      </c>
      <c r="AF3081" s="204" t="s">
        <v>398</v>
      </c>
      <c r="AG3081" s="204" t="s">
        <v>398</v>
      </c>
      <c r="AS3081" s="65" t="str">
        <f>IFERROR(VLOOKUP(#REF!,[1]Lookup!$B$2:$E$115,4,FALSE),"")</f>
        <v/>
      </c>
      <c r="AT3081" s="65" t="str">
        <f>IFERROR(VLOOKUP(#REF!,[1]Lookup!$B$2:$E$115,2,FALSE),"")</f>
        <v/>
      </c>
      <c r="AU3081" s="65" t="str">
        <f>IFERROR(VLOOKUP(#REF!,[1]Lookup!$B$2:$E$115,3,FALSE),"")</f>
        <v/>
      </c>
    </row>
    <row r="3082" spans="31:47" x14ac:dyDescent="0.3">
      <c r="AE3082" s="204" t="s">
        <v>398</v>
      </c>
      <c r="AF3082" s="204" t="s">
        <v>398</v>
      </c>
      <c r="AG3082" s="204" t="s">
        <v>398</v>
      </c>
      <c r="AS3082" s="65" t="str">
        <f>IFERROR(VLOOKUP(#REF!,[1]Lookup!$B$2:$E$115,4,FALSE),"")</f>
        <v/>
      </c>
      <c r="AT3082" s="65" t="str">
        <f>IFERROR(VLOOKUP(#REF!,[1]Lookup!$B$2:$E$115,2,FALSE),"")</f>
        <v/>
      </c>
      <c r="AU3082" s="65" t="str">
        <f>IFERROR(VLOOKUP(#REF!,[1]Lookup!$B$2:$E$115,3,FALSE),"")</f>
        <v/>
      </c>
    </row>
    <row r="3083" spans="31:47" x14ac:dyDescent="0.3">
      <c r="AE3083" s="204" t="s">
        <v>398</v>
      </c>
      <c r="AF3083" s="204" t="s">
        <v>398</v>
      </c>
      <c r="AG3083" s="204" t="s">
        <v>398</v>
      </c>
      <c r="AS3083" s="65" t="str">
        <f>IFERROR(VLOOKUP(#REF!,[1]Lookup!$B$2:$E$115,4,FALSE),"")</f>
        <v/>
      </c>
      <c r="AT3083" s="65" t="str">
        <f>IFERROR(VLOOKUP(#REF!,[1]Lookup!$B$2:$E$115,2,FALSE),"")</f>
        <v/>
      </c>
      <c r="AU3083" s="65" t="str">
        <f>IFERROR(VLOOKUP(#REF!,[1]Lookup!$B$2:$E$115,3,FALSE),"")</f>
        <v/>
      </c>
    </row>
    <row r="3084" spans="31:47" x14ac:dyDescent="0.3">
      <c r="AE3084" s="204" t="s">
        <v>398</v>
      </c>
      <c r="AF3084" s="204" t="s">
        <v>398</v>
      </c>
      <c r="AG3084" s="204" t="s">
        <v>398</v>
      </c>
      <c r="AS3084" s="65" t="str">
        <f>IFERROR(VLOOKUP(#REF!,[1]Lookup!$B$2:$E$115,4,FALSE),"")</f>
        <v/>
      </c>
      <c r="AT3084" s="65" t="str">
        <f>IFERROR(VLOOKUP(#REF!,[1]Lookup!$B$2:$E$115,2,FALSE),"")</f>
        <v/>
      </c>
      <c r="AU3084" s="65" t="str">
        <f>IFERROR(VLOOKUP(#REF!,[1]Lookup!$B$2:$E$115,3,FALSE),"")</f>
        <v/>
      </c>
    </row>
    <row r="3085" spans="31:47" x14ac:dyDescent="0.3">
      <c r="AE3085" s="204" t="s">
        <v>398</v>
      </c>
      <c r="AF3085" s="204" t="s">
        <v>398</v>
      </c>
      <c r="AG3085" s="204" t="s">
        <v>398</v>
      </c>
      <c r="AS3085" s="65" t="str">
        <f>IFERROR(VLOOKUP(#REF!,[1]Lookup!$B$2:$E$115,4,FALSE),"")</f>
        <v/>
      </c>
      <c r="AT3085" s="65" t="str">
        <f>IFERROR(VLOOKUP(#REF!,[1]Lookup!$B$2:$E$115,2,FALSE),"")</f>
        <v/>
      </c>
      <c r="AU3085" s="65" t="str">
        <f>IFERROR(VLOOKUP(#REF!,[1]Lookup!$B$2:$E$115,3,FALSE),"")</f>
        <v/>
      </c>
    </row>
    <row r="3086" spans="31:47" x14ac:dyDescent="0.3">
      <c r="AE3086" s="204" t="s">
        <v>398</v>
      </c>
      <c r="AF3086" s="204" t="s">
        <v>398</v>
      </c>
      <c r="AG3086" s="204" t="s">
        <v>398</v>
      </c>
      <c r="AS3086" s="65" t="str">
        <f>IFERROR(VLOOKUP(#REF!,[1]Lookup!$B$2:$E$115,4,FALSE),"")</f>
        <v/>
      </c>
      <c r="AT3086" s="65" t="str">
        <f>IFERROR(VLOOKUP(#REF!,[1]Lookup!$B$2:$E$115,2,FALSE),"")</f>
        <v/>
      </c>
      <c r="AU3086" s="65" t="str">
        <f>IFERROR(VLOOKUP(#REF!,[1]Lookup!$B$2:$E$115,3,FALSE),"")</f>
        <v/>
      </c>
    </row>
    <row r="3087" spans="31:47" x14ac:dyDescent="0.3">
      <c r="AE3087" s="204" t="s">
        <v>398</v>
      </c>
      <c r="AF3087" s="204" t="s">
        <v>398</v>
      </c>
      <c r="AG3087" s="204" t="s">
        <v>398</v>
      </c>
      <c r="AS3087" s="65" t="str">
        <f>IFERROR(VLOOKUP(#REF!,[1]Lookup!$B$2:$E$115,4,FALSE),"")</f>
        <v/>
      </c>
      <c r="AT3087" s="65" t="str">
        <f>IFERROR(VLOOKUP(#REF!,[1]Lookup!$B$2:$E$115,2,FALSE),"")</f>
        <v/>
      </c>
      <c r="AU3087" s="65" t="str">
        <f>IFERROR(VLOOKUP(#REF!,[1]Lookup!$B$2:$E$115,3,FALSE),"")</f>
        <v/>
      </c>
    </row>
    <row r="3088" spans="31:47" x14ac:dyDescent="0.3">
      <c r="AE3088" s="204" t="s">
        <v>398</v>
      </c>
      <c r="AF3088" s="204" t="s">
        <v>398</v>
      </c>
      <c r="AG3088" s="204" t="s">
        <v>398</v>
      </c>
      <c r="AS3088" s="65" t="str">
        <f>IFERROR(VLOOKUP(#REF!,[1]Lookup!$B$2:$E$115,4,FALSE),"")</f>
        <v/>
      </c>
      <c r="AT3088" s="65" t="str">
        <f>IFERROR(VLOOKUP(#REF!,[1]Lookup!$B$2:$E$115,2,FALSE),"")</f>
        <v/>
      </c>
      <c r="AU3088" s="65" t="str">
        <f>IFERROR(VLOOKUP(#REF!,[1]Lookup!$B$2:$E$115,3,FALSE),"")</f>
        <v/>
      </c>
    </row>
    <row r="3089" spans="31:47" x14ac:dyDescent="0.3">
      <c r="AE3089" s="204" t="s">
        <v>398</v>
      </c>
      <c r="AF3089" s="204" t="s">
        <v>398</v>
      </c>
      <c r="AG3089" s="204" t="s">
        <v>398</v>
      </c>
      <c r="AS3089" s="65" t="str">
        <f>IFERROR(VLOOKUP(#REF!,[1]Lookup!$B$2:$E$115,4,FALSE),"")</f>
        <v/>
      </c>
      <c r="AT3089" s="65" t="str">
        <f>IFERROR(VLOOKUP(#REF!,[1]Lookup!$B$2:$E$115,2,FALSE),"")</f>
        <v/>
      </c>
      <c r="AU3089" s="65" t="str">
        <f>IFERROR(VLOOKUP(#REF!,[1]Lookup!$B$2:$E$115,3,FALSE),"")</f>
        <v/>
      </c>
    </row>
    <row r="3090" spans="31:47" x14ac:dyDescent="0.3">
      <c r="AE3090" s="204" t="s">
        <v>398</v>
      </c>
      <c r="AF3090" s="204" t="s">
        <v>398</v>
      </c>
      <c r="AG3090" s="204" t="s">
        <v>398</v>
      </c>
      <c r="AS3090" s="65" t="str">
        <f>IFERROR(VLOOKUP(#REF!,[1]Lookup!$B$2:$E$115,4,FALSE),"")</f>
        <v/>
      </c>
      <c r="AT3090" s="65" t="str">
        <f>IFERROR(VLOOKUP(#REF!,[1]Lookup!$B$2:$E$115,2,FALSE),"")</f>
        <v/>
      </c>
      <c r="AU3090" s="65" t="str">
        <f>IFERROR(VLOOKUP(#REF!,[1]Lookup!$B$2:$E$115,3,FALSE),"")</f>
        <v/>
      </c>
    </row>
    <row r="3091" spans="31:47" x14ac:dyDescent="0.3">
      <c r="AE3091" s="204" t="s">
        <v>398</v>
      </c>
      <c r="AF3091" s="204" t="s">
        <v>398</v>
      </c>
      <c r="AG3091" s="204" t="s">
        <v>398</v>
      </c>
      <c r="AS3091" s="65" t="str">
        <f>IFERROR(VLOOKUP(#REF!,[1]Lookup!$B$2:$E$115,4,FALSE),"")</f>
        <v/>
      </c>
      <c r="AT3091" s="65" t="str">
        <f>IFERROR(VLOOKUP(#REF!,[1]Lookup!$B$2:$E$115,2,FALSE),"")</f>
        <v/>
      </c>
      <c r="AU3091" s="65" t="str">
        <f>IFERROR(VLOOKUP(#REF!,[1]Lookup!$B$2:$E$115,3,FALSE),"")</f>
        <v/>
      </c>
    </row>
    <row r="3092" spans="31:47" x14ac:dyDescent="0.3">
      <c r="AE3092" s="204" t="s">
        <v>398</v>
      </c>
      <c r="AF3092" s="204" t="s">
        <v>398</v>
      </c>
      <c r="AG3092" s="204" t="s">
        <v>398</v>
      </c>
      <c r="AS3092" s="65" t="str">
        <f>IFERROR(VLOOKUP(#REF!,[1]Lookup!$B$2:$E$115,4,FALSE),"")</f>
        <v/>
      </c>
      <c r="AT3092" s="65" t="str">
        <f>IFERROR(VLOOKUP(#REF!,[1]Lookup!$B$2:$E$115,2,FALSE),"")</f>
        <v/>
      </c>
      <c r="AU3092" s="65" t="str">
        <f>IFERROR(VLOOKUP(#REF!,[1]Lookup!$B$2:$E$115,3,FALSE),"")</f>
        <v/>
      </c>
    </row>
    <row r="3093" spans="31:47" x14ac:dyDescent="0.3">
      <c r="AE3093" s="204" t="s">
        <v>398</v>
      </c>
      <c r="AF3093" s="204" t="s">
        <v>398</v>
      </c>
      <c r="AG3093" s="204" t="s">
        <v>398</v>
      </c>
      <c r="AS3093" s="65" t="str">
        <f>IFERROR(VLOOKUP(#REF!,[1]Lookup!$B$2:$E$115,4,FALSE),"")</f>
        <v/>
      </c>
      <c r="AT3093" s="65" t="str">
        <f>IFERROR(VLOOKUP(#REF!,[1]Lookup!$B$2:$E$115,2,FALSE),"")</f>
        <v/>
      </c>
      <c r="AU3093" s="65" t="str">
        <f>IFERROR(VLOOKUP(#REF!,[1]Lookup!$B$2:$E$115,3,FALSE),"")</f>
        <v/>
      </c>
    </row>
    <row r="3094" spans="31:47" x14ac:dyDescent="0.3">
      <c r="AE3094" s="204" t="s">
        <v>398</v>
      </c>
      <c r="AF3094" s="204" t="s">
        <v>398</v>
      </c>
      <c r="AG3094" s="204" t="s">
        <v>398</v>
      </c>
      <c r="AS3094" s="65" t="str">
        <f>IFERROR(VLOOKUP(#REF!,[1]Lookup!$B$2:$E$115,4,FALSE),"")</f>
        <v/>
      </c>
      <c r="AT3094" s="65" t="str">
        <f>IFERROR(VLOOKUP(#REF!,[1]Lookup!$B$2:$E$115,2,FALSE),"")</f>
        <v/>
      </c>
      <c r="AU3094" s="65" t="str">
        <f>IFERROR(VLOOKUP(#REF!,[1]Lookup!$B$2:$E$115,3,FALSE),"")</f>
        <v/>
      </c>
    </row>
    <row r="3095" spans="31:47" x14ac:dyDescent="0.3">
      <c r="AE3095" s="204" t="s">
        <v>398</v>
      </c>
      <c r="AF3095" s="204" t="s">
        <v>398</v>
      </c>
      <c r="AG3095" s="204" t="s">
        <v>398</v>
      </c>
      <c r="AS3095" s="65" t="str">
        <f>IFERROR(VLOOKUP(#REF!,[1]Lookup!$B$2:$E$115,4,FALSE),"")</f>
        <v/>
      </c>
      <c r="AT3095" s="65" t="str">
        <f>IFERROR(VLOOKUP(#REF!,[1]Lookup!$B$2:$E$115,2,FALSE),"")</f>
        <v/>
      </c>
      <c r="AU3095" s="65" t="str">
        <f>IFERROR(VLOOKUP(#REF!,[1]Lookup!$B$2:$E$115,3,FALSE),"")</f>
        <v/>
      </c>
    </row>
    <row r="3096" spans="31:47" x14ac:dyDescent="0.3">
      <c r="AE3096" s="204" t="s">
        <v>398</v>
      </c>
      <c r="AF3096" s="204" t="s">
        <v>398</v>
      </c>
      <c r="AG3096" s="204" t="s">
        <v>398</v>
      </c>
      <c r="AS3096" s="65" t="str">
        <f>IFERROR(VLOOKUP(#REF!,[1]Lookup!$B$2:$E$115,4,FALSE),"")</f>
        <v/>
      </c>
      <c r="AT3096" s="65" t="str">
        <f>IFERROR(VLOOKUP(#REF!,[1]Lookup!$B$2:$E$115,2,FALSE),"")</f>
        <v/>
      </c>
      <c r="AU3096" s="65" t="str">
        <f>IFERROR(VLOOKUP(#REF!,[1]Lookup!$B$2:$E$115,3,FALSE),"")</f>
        <v/>
      </c>
    </row>
    <row r="3097" spans="31:47" x14ac:dyDescent="0.3">
      <c r="AE3097" s="204" t="s">
        <v>398</v>
      </c>
      <c r="AF3097" s="204" t="s">
        <v>398</v>
      </c>
      <c r="AG3097" s="204" t="s">
        <v>398</v>
      </c>
      <c r="AS3097" s="65" t="str">
        <f>IFERROR(VLOOKUP(#REF!,[1]Lookup!$B$2:$E$115,4,FALSE),"")</f>
        <v/>
      </c>
      <c r="AT3097" s="65" t="str">
        <f>IFERROR(VLOOKUP(#REF!,[1]Lookup!$B$2:$E$115,2,FALSE),"")</f>
        <v/>
      </c>
      <c r="AU3097" s="65" t="str">
        <f>IFERROR(VLOOKUP(#REF!,[1]Lookup!$B$2:$E$115,3,FALSE),"")</f>
        <v/>
      </c>
    </row>
    <row r="3098" spans="31:47" x14ac:dyDescent="0.3">
      <c r="AE3098" s="204" t="s">
        <v>398</v>
      </c>
      <c r="AF3098" s="204" t="s">
        <v>398</v>
      </c>
      <c r="AG3098" s="204" t="s">
        <v>398</v>
      </c>
      <c r="AS3098" s="65" t="str">
        <f>IFERROR(VLOOKUP(#REF!,[1]Lookup!$B$2:$E$115,4,FALSE),"")</f>
        <v/>
      </c>
      <c r="AT3098" s="65" t="str">
        <f>IFERROR(VLOOKUP(#REF!,[1]Lookup!$B$2:$E$115,2,FALSE),"")</f>
        <v/>
      </c>
      <c r="AU3098" s="65" t="str">
        <f>IFERROR(VLOOKUP(#REF!,[1]Lookup!$B$2:$E$115,3,FALSE),"")</f>
        <v/>
      </c>
    </row>
    <row r="3099" spans="31:47" x14ac:dyDescent="0.3">
      <c r="AE3099" s="204" t="s">
        <v>398</v>
      </c>
      <c r="AF3099" s="204" t="s">
        <v>398</v>
      </c>
      <c r="AG3099" s="204" t="s">
        <v>398</v>
      </c>
      <c r="AS3099" s="65" t="str">
        <f>IFERROR(VLOOKUP(#REF!,[1]Lookup!$B$2:$E$115,4,FALSE),"")</f>
        <v/>
      </c>
      <c r="AT3099" s="65" t="str">
        <f>IFERROR(VLOOKUP(#REF!,[1]Lookup!$B$2:$E$115,2,FALSE),"")</f>
        <v/>
      </c>
      <c r="AU3099" s="65" t="str">
        <f>IFERROR(VLOOKUP(#REF!,[1]Lookup!$B$2:$E$115,3,FALSE),"")</f>
        <v/>
      </c>
    </row>
    <row r="3100" spans="31:47" x14ac:dyDescent="0.3">
      <c r="AE3100" s="204" t="s">
        <v>398</v>
      </c>
      <c r="AF3100" s="204" t="s">
        <v>398</v>
      </c>
      <c r="AG3100" s="204" t="s">
        <v>398</v>
      </c>
      <c r="AS3100" s="65" t="str">
        <f>IFERROR(VLOOKUP(#REF!,[1]Lookup!$B$2:$E$115,4,FALSE),"")</f>
        <v/>
      </c>
      <c r="AT3100" s="65" t="str">
        <f>IFERROR(VLOOKUP(#REF!,[1]Lookup!$B$2:$E$115,2,FALSE),"")</f>
        <v/>
      </c>
      <c r="AU3100" s="65" t="str">
        <f>IFERROR(VLOOKUP(#REF!,[1]Lookup!$B$2:$E$115,3,FALSE),"")</f>
        <v/>
      </c>
    </row>
    <row r="3101" spans="31:47" x14ac:dyDescent="0.3">
      <c r="AE3101" s="204" t="s">
        <v>398</v>
      </c>
      <c r="AF3101" s="204" t="s">
        <v>398</v>
      </c>
      <c r="AG3101" s="204" t="s">
        <v>398</v>
      </c>
      <c r="AS3101" s="65" t="str">
        <f>IFERROR(VLOOKUP(#REF!,[1]Lookup!$B$2:$E$115,4,FALSE),"")</f>
        <v/>
      </c>
      <c r="AT3101" s="65" t="str">
        <f>IFERROR(VLOOKUP(#REF!,[1]Lookup!$B$2:$E$115,2,FALSE),"")</f>
        <v/>
      </c>
      <c r="AU3101" s="65" t="str">
        <f>IFERROR(VLOOKUP(#REF!,[1]Lookup!$B$2:$E$115,3,FALSE),"")</f>
        <v/>
      </c>
    </row>
    <row r="3102" spans="31:47" x14ac:dyDescent="0.3">
      <c r="AE3102" s="204" t="s">
        <v>398</v>
      </c>
      <c r="AF3102" s="204" t="s">
        <v>398</v>
      </c>
      <c r="AG3102" s="204" t="s">
        <v>398</v>
      </c>
      <c r="AS3102" s="65" t="str">
        <f>IFERROR(VLOOKUP(#REF!,[1]Lookup!$B$2:$E$115,4,FALSE),"")</f>
        <v/>
      </c>
      <c r="AT3102" s="65" t="str">
        <f>IFERROR(VLOOKUP(#REF!,[1]Lookup!$B$2:$E$115,2,FALSE),"")</f>
        <v/>
      </c>
      <c r="AU3102" s="65" t="str">
        <f>IFERROR(VLOOKUP(#REF!,[1]Lookup!$B$2:$E$115,3,FALSE),"")</f>
        <v/>
      </c>
    </row>
    <row r="3103" spans="31:47" x14ac:dyDescent="0.3">
      <c r="AE3103" s="204" t="s">
        <v>398</v>
      </c>
      <c r="AF3103" s="204" t="s">
        <v>398</v>
      </c>
      <c r="AG3103" s="204" t="s">
        <v>398</v>
      </c>
      <c r="AS3103" s="65" t="str">
        <f>IFERROR(VLOOKUP(#REF!,[1]Lookup!$B$2:$E$115,4,FALSE),"")</f>
        <v/>
      </c>
      <c r="AT3103" s="65" t="str">
        <f>IFERROR(VLOOKUP(#REF!,[1]Lookup!$B$2:$E$115,2,FALSE),"")</f>
        <v/>
      </c>
      <c r="AU3103" s="65" t="str">
        <f>IFERROR(VLOOKUP(#REF!,[1]Lookup!$B$2:$E$115,3,FALSE),"")</f>
        <v/>
      </c>
    </row>
    <row r="3104" spans="31:47" x14ac:dyDescent="0.3">
      <c r="AE3104" s="204" t="s">
        <v>398</v>
      </c>
      <c r="AF3104" s="204" t="s">
        <v>398</v>
      </c>
      <c r="AG3104" s="204" t="s">
        <v>398</v>
      </c>
      <c r="AS3104" s="65" t="str">
        <f>IFERROR(VLOOKUP(#REF!,[1]Lookup!$B$2:$E$115,4,FALSE),"")</f>
        <v/>
      </c>
      <c r="AT3104" s="65" t="str">
        <f>IFERROR(VLOOKUP(#REF!,[1]Lookup!$B$2:$E$115,2,FALSE),"")</f>
        <v/>
      </c>
      <c r="AU3104" s="65" t="str">
        <f>IFERROR(VLOOKUP(#REF!,[1]Lookup!$B$2:$E$115,3,FALSE),"")</f>
        <v/>
      </c>
    </row>
    <row r="3105" spans="31:47" x14ac:dyDescent="0.3">
      <c r="AE3105" s="204" t="s">
        <v>398</v>
      </c>
      <c r="AF3105" s="204" t="s">
        <v>398</v>
      </c>
      <c r="AG3105" s="204" t="s">
        <v>398</v>
      </c>
      <c r="AS3105" s="65" t="str">
        <f>IFERROR(VLOOKUP(#REF!,[1]Lookup!$B$2:$E$115,4,FALSE),"")</f>
        <v/>
      </c>
      <c r="AT3105" s="65" t="str">
        <f>IFERROR(VLOOKUP(#REF!,[1]Lookup!$B$2:$E$115,2,FALSE),"")</f>
        <v/>
      </c>
      <c r="AU3105" s="65" t="str">
        <f>IFERROR(VLOOKUP(#REF!,[1]Lookup!$B$2:$E$115,3,FALSE),"")</f>
        <v/>
      </c>
    </row>
    <row r="3106" spans="31:47" x14ac:dyDescent="0.3">
      <c r="AE3106" s="204" t="s">
        <v>398</v>
      </c>
      <c r="AF3106" s="204" t="s">
        <v>398</v>
      </c>
      <c r="AG3106" s="204" t="s">
        <v>398</v>
      </c>
      <c r="AS3106" s="65" t="str">
        <f>IFERROR(VLOOKUP(#REF!,[1]Lookup!$B$2:$E$115,4,FALSE),"")</f>
        <v/>
      </c>
      <c r="AT3106" s="65" t="str">
        <f>IFERROR(VLOOKUP(#REF!,[1]Lookup!$B$2:$E$115,2,FALSE),"")</f>
        <v/>
      </c>
      <c r="AU3106" s="65" t="str">
        <f>IFERROR(VLOOKUP(#REF!,[1]Lookup!$B$2:$E$115,3,FALSE),"")</f>
        <v/>
      </c>
    </row>
    <row r="3107" spans="31:47" x14ac:dyDescent="0.3">
      <c r="AE3107" s="204" t="s">
        <v>398</v>
      </c>
      <c r="AF3107" s="204" t="s">
        <v>398</v>
      </c>
      <c r="AG3107" s="204" t="s">
        <v>398</v>
      </c>
      <c r="AS3107" s="65" t="str">
        <f>IFERROR(VLOOKUP(#REF!,[1]Lookup!$B$2:$E$115,4,FALSE),"")</f>
        <v/>
      </c>
      <c r="AT3107" s="65" t="str">
        <f>IFERROR(VLOOKUP(#REF!,[1]Lookup!$B$2:$E$115,2,FALSE),"")</f>
        <v/>
      </c>
      <c r="AU3107" s="65" t="str">
        <f>IFERROR(VLOOKUP(#REF!,[1]Lookup!$B$2:$E$115,3,FALSE),"")</f>
        <v/>
      </c>
    </row>
    <row r="3108" spans="31:47" x14ac:dyDescent="0.3">
      <c r="AE3108" s="204" t="s">
        <v>398</v>
      </c>
      <c r="AF3108" s="204" t="s">
        <v>398</v>
      </c>
      <c r="AG3108" s="204" t="s">
        <v>398</v>
      </c>
      <c r="AS3108" s="65" t="str">
        <f>IFERROR(VLOOKUP(#REF!,[1]Lookup!$B$2:$E$115,4,FALSE),"")</f>
        <v/>
      </c>
      <c r="AT3108" s="65" t="str">
        <f>IFERROR(VLOOKUP(#REF!,[1]Lookup!$B$2:$E$115,2,FALSE),"")</f>
        <v/>
      </c>
      <c r="AU3108" s="65" t="str">
        <f>IFERROR(VLOOKUP(#REF!,[1]Lookup!$B$2:$E$115,3,FALSE),"")</f>
        <v/>
      </c>
    </row>
    <row r="3109" spans="31:47" x14ac:dyDescent="0.3">
      <c r="AE3109" s="204" t="s">
        <v>398</v>
      </c>
      <c r="AF3109" s="204" t="s">
        <v>398</v>
      </c>
      <c r="AG3109" s="204" t="s">
        <v>398</v>
      </c>
      <c r="AS3109" s="65" t="str">
        <f>IFERROR(VLOOKUP(#REF!,[1]Lookup!$B$2:$E$115,4,FALSE),"")</f>
        <v/>
      </c>
      <c r="AT3109" s="65" t="str">
        <f>IFERROR(VLOOKUP(#REF!,[1]Lookup!$B$2:$E$115,2,FALSE),"")</f>
        <v/>
      </c>
      <c r="AU3109" s="65" t="str">
        <f>IFERROR(VLOOKUP(#REF!,[1]Lookup!$B$2:$E$115,3,FALSE),"")</f>
        <v/>
      </c>
    </row>
    <row r="3110" spans="31:47" x14ac:dyDescent="0.3">
      <c r="AE3110" s="204" t="s">
        <v>398</v>
      </c>
      <c r="AF3110" s="204" t="s">
        <v>398</v>
      </c>
      <c r="AG3110" s="204" t="s">
        <v>398</v>
      </c>
      <c r="AS3110" s="65" t="str">
        <f>IFERROR(VLOOKUP(#REF!,[1]Lookup!$B$2:$E$115,4,FALSE),"")</f>
        <v/>
      </c>
      <c r="AT3110" s="65" t="str">
        <f>IFERROR(VLOOKUP(#REF!,[1]Lookup!$B$2:$E$115,2,FALSE),"")</f>
        <v/>
      </c>
      <c r="AU3110" s="65" t="str">
        <f>IFERROR(VLOOKUP(#REF!,[1]Lookup!$B$2:$E$115,3,FALSE),"")</f>
        <v/>
      </c>
    </row>
    <row r="3111" spans="31:47" x14ac:dyDescent="0.3">
      <c r="AE3111" s="204" t="s">
        <v>398</v>
      </c>
      <c r="AF3111" s="204" t="s">
        <v>398</v>
      </c>
      <c r="AG3111" s="204" t="s">
        <v>398</v>
      </c>
      <c r="AS3111" s="65" t="str">
        <f>IFERROR(VLOOKUP(#REF!,[1]Lookup!$B$2:$E$115,4,FALSE),"")</f>
        <v/>
      </c>
      <c r="AT3111" s="65" t="str">
        <f>IFERROR(VLOOKUP(#REF!,[1]Lookup!$B$2:$E$115,2,FALSE),"")</f>
        <v/>
      </c>
      <c r="AU3111" s="65" t="str">
        <f>IFERROR(VLOOKUP(#REF!,[1]Lookup!$B$2:$E$115,3,FALSE),"")</f>
        <v/>
      </c>
    </row>
    <row r="3112" spans="31:47" x14ac:dyDescent="0.3">
      <c r="AE3112" s="204" t="s">
        <v>398</v>
      </c>
      <c r="AF3112" s="204" t="s">
        <v>398</v>
      </c>
      <c r="AG3112" s="204" t="s">
        <v>398</v>
      </c>
      <c r="AS3112" s="65" t="str">
        <f>IFERROR(VLOOKUP(#REF!,[1]Lookup!$B$2:$E$115,4,FALSE),"")</f>
        <v/>
      </c>
      <c r="AT3112" s="65" t="str">
        <f>IFERROR(VLOOKUP(#REF!,[1]Lookup!$B$2:$E$115,2,FALSE),"")</f>
        <v/>
      </c>
      <c r="AU3112" s="65" t="str">
        <f>IFERROR(VLOOKUP(#REF!,[1]Lookup!$B$2:$E$115,3,FALSE),"")</f>
        <v/>
      </c>
    </row>
    <row r="3113" spans="31:47" x14ac:dyDescent="0.3">
      <c r="AE3113" s="204" t="s">
        <v>398</v>
      </c>
      <c r="AF3113" s="204" t="s">
        <v>398</v>
      </c>
      <c r="AG3113" s="204" t="s">
        <v>398</v>
      </c>
      <c r="AS3113" s="65" t="str">
        <f>IFERROR(VLOOKUP(#REF!,[1]Lookup!$B$2:$E$115,4,FALSE),"")</f>
        <v/>
      </c>
      <c r="AT3113" s="65" t="str">
        <f>IFERROR(VLOOKUP(#REF!,[1]Lookup!$B$2:$E$115,2,FALSE),"")</f>
        <v/>
      </c>
      <c r="AU3113" s="65" t="str">
        <f>IFERROR(VLOOKUP(#REF!,[1]Lookup!$B$2:$E$115,3,FALSE),"")</f>
        <v/>
      </c>
    </row>
    <row r="3114" spans="31:47" x14ac:dyDescent="0.3">
      <c r="AE3114" s="204" t="s">
        <v>398</v>
      </c>
      <c r="AF3114" s="204" t="s">
        <v>398</v>
      </c>
      <c r="AG3114" s="204" t="s">
        <v>398</v>
      </c>
      <c r="AS3114" s="65" t="str">
        <f>IFERROR(VLOOKUP(#REF!,[1]Lookup!$B$2:$E$115,4,FALSE),"")</f>
        <v/>
      </c>
      <c r="AT3114" s="65" t="str">
        <f>IFERROR(VLOOKUP(#REF!,[1]Lookup!$B$2:$E$115,2,FALSE),"")</f>
        <v/>
      </c>
      <c r="AU3114" s="65" t="str">
        <f>IFERROR(VLOOKUP(#REF!,[1]Lookup!$B$2:$E$115,3,FALSE),"")</f>
        <v/>
      </c>
    </row>
    <row r="3115" spans="31:47" x14ac:dyDescent="0.3">
      <c r="AE3115" s="204" t="s">
        <v>398</v>
      </c>
      <c r="AF3115" s="204" t="s">
        <v>398</v>
      </c>
      <c r="AG3115" s="204" t="s">
        <v>398</v>
      </c>
      <c r="AS3115" s="65" t="str">
        <f>IFERROR(VLOOKUP(#REF!,[1]Lookup!$B$2:$E$115,4,FALSE),"")</f>
        <v/>
      </c>
      <c r="AT3115" s="65" t="str">
        <f>IFERROR(VLOOKUP(#REF!,[1]Lookup!$B$2:$E$115,2,FALSE),"")</f>
        <v/>
      </c>
      <c r="AU3115" s="65" t="str">
        <f>IFERROR(VLOOKUP(#REF!,[1]Lookup!$B$2:$E$115,3,FALSE),"")</f>
        <v/>
      </c>
    </row>
    <row r="3116" spans="31:47" x14ac:dyDescent="0.3">
      <c r="AE3116" s="204" t="s">
        <v>398</v>
      </c>
      <c r="AF3116" s="204" t="s">
        <v>398</v>
      </c>
      <c r="AG3116" s="204" t="s">
        <v>398</v>
      </c>
      <c r="AS3116" s="65" t="str">
        <f>IFERROR(VLOOKUP(#REF!,[1]Lookup!$B$2:$E$115,4,FALSE),"")</f>
        <v/>
      </c>
      <c r="AT3116" s="65" t="str">
        <f>IFERROR(VLOOKUP(#REF!,[1]Lookup!$B$2:$E$115,2,FALSE),"")</f>
        <v/>
      </c>
      <c r="AU3116" s="65" t="str">
        <f>IFERROR(VLOOKUP(#REF!,[1]Lookup!$B$2:$E$115,3,FALSE),"")</f>
        <v/>
      </c>
    </row>
    <row r="3117" spans="31:47" x14ac:dyDescent="0.3">
      <c r="AE3117" s="204" t="s">
        <v>398</v>
      </c>
      <c r="AF3117" s="204" t="s">
        <v>398</v>
      </c>
      <c r="AG3117" s="204" t="s">
        <v>398</v>
      </c>
      <c r="AS3117" s="65" t="str">
        <f>IFERROR(VLOOKUP(#REF!,[1]Lookup!$B$2:$E$115,4,FALSE),"")</f>
        <v/>
      </c>
      <c r="AT3117" s="65" t="str">
        <f>IFERROR(VLOOKUP(#REF!,[1]Lookup!$B$2:$E$115,2,FALSE),"")</f>
        <v/>
      </c>
      <c r="AU3117" s="65" t="str">
        <f>IFERROR(VLOOKUP(#REF!,[1]Lookup!$B$2:$E$115,3,FALSE),"")</f>
        <v/>
      </c>
    </row>
    <row r="3118" spans="31:47" x14ac:dyDescent="0.3">
      <c r="AE3118" s="204" t="s">
        <v>398</v>
      </c>
      <c r="AF3118" s="204" t="s">
        <v>398</v>
      </c>
      <c r="AG3118" s="204" t="s">
        <v>398</v>
      </c>
      <c r="AS3118" s="65" t="str">
        <f>IFERROR(VLOOKUP(#REF!,[1]Lookup!$B$2:$E$115,4,FALSE),"")</f>
        <v/>
      </c>
      <c r="AT3118" s="65" t="str">
        <f>IFERROR(VLOOKUP(#REF!,[1]Lookup!$B$2:$E$115,2,FALSE),"")</f>
        <v/>
      </c>
      <c r="AU3118" s="65" t="str">
        <f>IFERROR(VLOOKUP(#REF!,[1]Lookup!$B$2:$E$115,3,FALSE),"")</f>
        <v/>
      </c>
    </row>
    <row r="3119" spans="31:47" x14ac:dyDescent="0.3">
      <c r="AE3119" s="204" t="s">
        <v>398</v>
      </c>
      <c r="AF3119" s="204" t="s">
        <v>398</v>
      </c>
      <c r="AG3119" s="204" t="s">
        <v>398</v>
      </c>
      <c r="AS3119" s="65" t="str">
        <f>IFERROR(VLOOKUP(#REF!,[1]Lookup!$B$2:$E$115,4,FALSE),"")</f>
        <v/>
      </c>
      <c r="AT3119" s="65" t="str">
        <f>IFERROR(VLOOKUP(#REF!,[1]Lookup!$B$2:$E$115,2,FALSE),"")</f>
        <v/>
      </c>
      <c r="AU3119" s="65" t="str">
        <f>IFERROR(VLOOKUP(#REF!,[1]Lookup!$B$2:$E$115,3,FALSE),"")</f>
        <v/>
      </c>
    </row>
    <row r="3120" spans="31:47" x14ac:dyDescent="0.3">
      <c r="AE3120" s="204" t="s">
        <v>398</v>
      </c>
      <c r="AF3120" s="204" t="s">
        <v>398</v>
      </c>
      <c r="AG3120" s="204" t="s">
        <v>398</v>
      </c>
      <c r="AS3120" s="65" t="str">
        <f>IFERROR(VLOOKUP(#REF!,[1]Lookup!$B$2:$E$115,4,FALSE),"")</f>
        <v/>
      </c>
      <c r="AT3120" s="65" t="str">
        <f>IFERROR(VLOOKUP(#REF!,[1]Lookup!$B$2:$E$115,2,FALSE),"")</f>
        <v/>
      </c>
      <c r="AU3120" s="65" t="str">
        <f>IFERROR(VLOOKUP(#REF!,[1]Lookup!$B$2:$E$115,3,FALSE),"")</f>
        <v/>
      </c>
    </row>
    <row r="3121" spans="31:47" x14ac:dyDescent="0.3">
      <c r="AE3121" s="204" t="s">
        <v>398</v>
      </c>
      <c r="AF3121" s="204" t="s">
        <v>398</v>
      </c>
      <c r="AG3121" s="204" t="s">
        <v>398</v>
      </c>
      <c r="AS3121" s="65" t="str">
        <f>IFERROR(VLOOKUP(#REF!,[1]Lookup!$B$2:$E$115,4,FALSE),"")</f>
        <v/>
      </c>
      <c r="AT3121" s="65" t="str">
        <f>IFERROR(VLOOKUP(#REF!,[1]Lookup!$B$2:$E$115,2,FALSE),"")</f>
        <v/>
      </c>
      <c r="AU3121" s="65" t="str">
        <f>IFERROR(VLOOKUP(#REF!,[1]Lookup!$B$2:$E$115,3,FALSE),"")</f>
        <v/>
      </c>
    </row>
    <row r="3122" spans="31:47" x14ac:dyDescent="0.3">
      <c r="AE3122" s="204" t="s">
        <v>398</v>
      </c>
      <c r="AF3122" s="204" t="s">
        <v>398</v>
      </c>
      <c r="AG3122" s="204" t="s">
        <v>398</v>
      </c>
      <c r="AS3122" s="65" t="str">
        <f>IFERROR(VLOOKUP(#REF!,[1]Lookup!$B$2:$E$115,4,FALSE),"")</f>
        <v/>
      </c>
      <c r="AT3122" s="65" t="str">
        <f>IFERROR(VLOOKUP(#REF!,[1]Lookup!$B$2:$E$115,2,FALSE),"")</f>
        <v/>
      </c>
      <c r="AU3122" s="65" t="str">
        <f>IFERROR(VLOOKUP(#REF!,[1]Lookup!$B$2:$E$115,3,FALSE),"")</f>
        <v/>
      </c>
    </row>
    <row r="3123" spans="31:47" x14ac:dyDescent="0.3">
      <c r="AE3123" s="204" t="s">
        <v>398</v>
      </c>
      <c r="AF3123" s="204" t="s">
        <v>398</v>
      </c>
      <c r="AG3123" s="204" t="s">
        <v>398</v>
      </c>
      <c r="AS3123" s="65" t="str">
        <f>IFERROR(VLOOKUP(#REF!,[1]Lookup!$B$2:$E$115,4,FALSE),"")</f>
        <v/>
      </c>
      <c r="AT3123" s="65" t="str">
        <f>IFERROR(VLOOKUP(#REF!,[1]Lookup!$B$2:$E$115,2,FALSE),"")</f>
        <v/>
      </c>
      <c r="AU3123" s="65" t="str">
        <f>IFERROR(VLOOKUP(#REF!,[1]Lookup!$B$2:$E$115,3,FALSE),"")</f>
        <v/>
      </c>
    </row>
    <row r="3124" spans="31:47" x14ac:dyDescent="0.3">
      <c r="AE3124" s="204" t="s">
        <v>398</v>
      </c>
      <c r="AF3124" s="204" t="s">
        <v>398</v>
      </c>
      <c r="AG3124" s="204" t="s">
        <v>398</v>
      </c>
      <c r="AS3124" s="65" t="str">
        <f>IFERROR(VLOOKUP(#REF!,[1]Lookup!$B$2:$E$115,4,FALSE),"")</f>
        <v/>
      </c>
      <c r="AT3124" s="65" t="str">
        <f>IFERROR(VLOOKUP(#REF!,[1]Lookup!$B$2:$E$115,2,FALSE),"")</f>
        <v/>
      </c>
      <c r="AU3124" s="65" t="str">
        <f>IFERROR(VLOOKUP(#REF!,[1]Lookup!$B$2:$E$115,3,FALSE),"")</f>
        <v/>
      </c>
    </row>
    <row r="3125" spans="31:47" x14ac:dyDescent="0.3">
      <c r="AE3125" s="204" t="s">
        <v>398</v>
      </c>
      <c r="AF3125" s="204" t="s">
        <v>398</v>
      </c>
      <c r="AG3125" s="204" t="s">
        <v>398</v>
      </c>
      <c r="AS3125" s="65" t="str">
        <f>IFERROR(VLOOKUP(#REF!,[1]Lookup!$B$2:$E$115,4,FALSE),"")</f>
        <v/>
      </c>
      <c r="AT3125" s="65" t="str">
        <f>IFERROR(VLOOKUP(#REF!,[1]Lookup!$B$2:$E$115,2,FALSE),"")</f>
        <v/>
      </c>
      <c r="AU3125" s="65" t="str">
        <f>IFERROR(VLOOKUP(#REF!,[1]Lookup!$B$2:$E$115,3,FALSE),"")</f>
        <v/>
      </c>
    </row>
    <row r="3126" spans="31:47" x14ac:dyDescent="0.3">
      <c r="AE3126" s="204" t="s">
        <v>398</v>
      </c>
      <c r="AF3126" s="204" t="s">
        <v>398</v>
      </c>
      <c r="AG3126" s="204" t="s">
        <v>398</v>
      </c>
      <c r="AS3126" s="65" t="str">
        <f>IFERROR(VLOOKUP(#REF!,[1]Lookup!$B$2:$E$115,4,FALSE),"")</f>
        <v/>
      </c>
      <c r="AT3126" s="65" t="str">
        <f>IFERROR(VLOOKUP(#REF!,[1]Lookup!$B$2:$E$115,2,FALSE),"")</f>
        <v/>
      </c>
      <c r="AU3126" s="65" t="str">
        <f>IFERROR(VLOOKUP(#REF!,[1]Lookup!$B$2:$E$115,3,FALSE),"")</f>
        <v/>
      </c>
    </row>
    <row r="3127" spans="31:47" x14ac:dyDescent="0.3">
      <c r="AE3127" s="204" t="s">
        <v>398</v>
      </c>
      <c r="AF3127" s="204" t="s">
        <v>398</v>
      </c>
      <c r="AG3127" s="204" t="s">
        <v>398</v>
      </c>
      <c r="AS3127" s="65" t="str">
        <f>IFERROR(VLOOKUP(#REF!,[1]Lookup!$B$2:$E$115,4,FALSE),"")</f>
        <v/>
      </c>
      <c r="AT3127" s="65" t="str">
        <f>IFERROR(VLOOKUP(#REF!,[1]Lookup!$B$2:$E$115,2,FALSE),"")</f>
        <v/>
      </c>
      <c r="AU3127" s="65" t="str">
        <f>IFERROR(VLOOKUP(#REF!,[1]Lookup!$B$2:$E$115,3,FALSE),"")</f>
        <v/>
      </c>
    </row>
    <row r="3128" spans="31:47" x14ac:dyDescent="0.3">
      <c r="AE3128" s="204" t="s">
        <v>398</v>
      </c>
      <c r="AF3128" s="204" t="s">
        <v>398</v>
      </c>
      <c r="AG3128" s="204" t="s">
        <v>398</v>
      </c>
      <c r="AS3128" s="65" t="str">
        <f>IFERROR(VLOOKUP(#REF!,[1]Lookup!$B$2:$E$115,4,FALSE),"")</f>
        <v/>
      </c>
      <c r="AT3128" s="65" t="str">
        <f>IFERROR(VLOOKUP(#REF!,[1]Lookup!$B$2:$E$115,2,FALSE),"")</f>
        <v/>
      </c>
      <c r="AU3128" s="65" t="str">
        <f>IFERROR(VLOOKUP(#REF!,[1]Lookup!$B$2:$E$115,3,FALSE),"")</f>
        <v/>
      </c>
    </row>
    <row r="3129" spans="31:47" x14ac:dyDescent="0.3">
      <c r="AE3129" s="204" t="s">
        <v>398</v>
      </c>
      <c r="AF3129" s="204" t="s">
        <v>398</v>
      </c>
      <c r="AG3129" s="204" t="s">
        <v>398</v>
      </c>
      <c r="AS3129" s="65" t="str">
        <f>IFERROR(VLOOKUP(#REF!,[1]Lookup!$B$2:$E$115,4,FALSE),"")</f>
        <v/>
      </c>
      <c r="AT3129" s="65" t="str">
        <f>IFERROR(VLOOKUP(#REF!,[1]Lookup!$B$2:$E$115,2,FALSE),"")</f>
        <v/>
      </c>
      <c r="AU3129" s="65" t="str">
        <f>IFERROR(VLOOKUP(#REF!,[1]Lookup!$B$2:$E$115,3,FALSE),"")</f>
        <v/>
      </c>
    </row>
    <row r="3130" spans="31:47" x14ac:dyDescent="0.3">
      <c r="AE3130" s="204" t="s">
        <v>398</v>
      </c>
      <c r="AF3130" s="204" t="s">
        <v>398</v>
      </c>
      <c r="AG3130" s="204" t="s">
        <v>398</v>
      </c>
      <c r="AS3130" s="65" t="str">
        <f>IFERROR(VLOOKUP(#REF!,[1]Lookup!$B$2:$E$115,4,FALSE),"")</f>
        <v/>
      </c>
      <c r="AT3130" s="65" t="str">
        <f>IFERROR(VLOOKUP(#REF!,[1]Lookup!$B$2:$E$115,2,FALSE),"")</f>
        <v/>
      </c>
      <c r="AU3130" s="65" t="str">
        <f>IFERROR(VLOOKUP(#REF!,[1]Lookup!$B$2:$E$115,3,FALSE),"")</f>
        <v/>
      </c>
    </row>
    <row r="3131" spans="31:47" x14ac:dyDescent="0.3">
      <c r="AE3131" s="204" t="s">
        <v>398</v>
      </c>
      <c r="AF3131" s="204" t="s">
        <v>398</v>
      </c>
      <c r="AG3131" s="204" t="s">
        <v>398</v>
      </c>
      <c r="AS3131" s="65" t="str">
        <f>IFERROR(VLOOKUP(#REF!,[1]Lookup!$B$2:$E$115,4,FALSE),"")</f>
        <v/>
      </c>
      <c r="AT3131" s="65" t="str">
        <f>IFERROR(VLOOKUP(#REF!,[1]Lookup!$B$2:$E$115,2,FALSE),"")</f>
        <v/>
      </c>
      <c r="AU3131" s="65" t="str">
        <f>IFERROR(VLOOKUP(#REF!,[1]Lookup!$B$2:$E$115,3,FALSE),"")</f>
        <v/>
      </c>
    </row>
    <row r="3132" spans="31:47" x14ac:dyDescent="0.3">
      <c r="AE3132" s="204" t="s">
        <v>398</v>
      </c>
      <c r="AF3132" s="204" t="s">
        <v>398</v>
      </c>
      <c r="AG3132" s="204" t="s">
        <v>398</v>
      </c>
      <c r="AS3132" s="65" t="str">
        <f>IFERROR(VLOOKUP(#REF!,[1]Lookup!$B$2:$E$115,4,FALSE),"")</f>
        <v/>
      </c>
      <c r="AT3132" s="65" t="str">
        <f>IFERROR(VLOOKUP(#REF!,[1]Lookup!$B$2:$E$115,2,FALSE),"")</f>
        <v/>
      </c>
      <c r="AU3132" s="65" t="str">
        <f>IFERROR(VLOOKUP(#REF!,[1]Lookup!$B$2:$E$115,3,FALSE),"")</f>
        <v/>
      </c>
    </row>
    <row r="3133" spans="31:47" x14ac:dyDescent="0.3">
      <c r="AE3133" s="204" t="s">
        <v>398</v>
      </c>
      <c r="AF3133" s="204" t="s">
        <v>398</v>
      </c>
      <c r="AG3133" s="204" t="s">
        <v>398</v>
      </c>
      <c r="AS3133" s="65" t="str">
        <f>IFERROR(VLOOKUP(#REF!,[1]Lookup!$B$2:$E$115,4,FALSE),"")</f>
        <v/>
      </c>
      <c r="AT3133" s="65" t="str">
        <f>IFERROR(VLOOKUP(#REF!,[1]Lookup!$B$2:$E$115,2,FALSE),"")</f>
        <v/>
      </c>
      <c r="AU3133" s="65" t="str">
        <f>IFERROR(VLOOKUP(#REF!,[1]Lookup!$B$2:$E$115,3,FALSE),"")</f>
        <v/>
      </c>
    </row>
    <row r="3134" spans="31:47" x14ac:dyDescent="0.3">
      <c r="AE3134" s="204" t="s">
        <v>398</v>
      </c>
      <c r="AF3134" s="204" t="s">
        <v>398</v>
      </c>
      <c r="AG3134" s="204" t="s">
        <v>398</v>
      </c>
      <c r="AS3134" s="65" t="str">
        <f>IFERROR(VLOOKUP(#REF!,[1]Lookup!$B$2:$E$115,4,FALSE),"")</f>
        <v/>
      </c>
      <c r="AT3134" s="65" t="str">
        <f>IFERROR(VLOOKUP(#REF!,[1]Lookup!$B$2:$E$115,2,FALSE),"")</f>
        <v/>
      </c>
      <c r="AU3134" s="65" t="str">
        <f>IFERROR(VLOOKUP(#REF!,[1]Lookup!$B$2:$E$115,3,FALSE),"")</f>
        <v/>
      </c>
    </row>
    <row r="3135" spans="31:47" x14ac:dyDescent="0.3">
      <c r="AE3135" s="204" t="s">
        <v>398</v>
      </c>
      <c r="AF3135" s="204" t="s">
        <v>398</v>
      </c>
      <c r="AG3135" s="204" t="s">
        <v>398</v>
      </c>
      <c r="AS3135" s="65" t="str">
        <f>IFERROR(VLOOKUP(#REF!,[1]Lookup!$B$2:$E$115,4,FALSE),"")</f>
        <v/>
      </c>
      <c r="AT3135" s="65" t="str">
        <f>IFERROR(VLOOKUP(#REF!,[1]Lookup!$B$2:$E$115,2,FALSE),"")</f>
        <v/>
      </c>
      <c r="AU3135" s="65" t="str">
        <f>IFERROR(VLOOKUP(#REF!,[1]Lookup!$B$2:$E$115,3,FALSE),"")</f>
        <v/>
      </c>
    </row>
    <row r="3136" spans="31:47" x14ac:dyDescent="0.3">
      <c r="AE3136" s="204" t="s">
        <v>398</v>
      </c>
      <c r="AF3136" s="204" t="s">
        <v>398</v>
      </c>
      <c r="AG3136" s="204" t="s">
        <v>398</v>
      </c>
      <c r="AS3136" s="65" t="str">
        <f>IFERROR(VLOOKUP(#REF!,[1]Lookup!$B$2:$E$115,4,FALSE),"")</f>
        <v/>
      </c>
      <c r="AT3136" s="65" t="str">
        <f>IFERROR(VLOOKUP(#REF!,[1]Lookup!$B$2:$E$115,2,FALSE),"")</f>
        <v/>
      </c>
      <c r="AU3136" s="65" t="str">
        <f>IFERROR(VLOOKUP(#REF!,[1]Lookup!$B$2:$E$115,3,FALSE),"")</f>
        <v/>
      </c>
    </row>
    <row r="3137" spans="31:47" x14ac:dyDescent="0.3">
      <c r="AE3137" s="204" t="s">
        <v>398</v>
      </c>
      <c r="AF3137" s="204" t="s">
        <v>398</v>
      </c>
      <c r="AG3137" s="204" t="s">
        <v>398</v>
      </c>
      <c r="AS3137" s="65" t="str">
        <f>IFERROR(VLOOKUP(#REF!,[1]Lookup!$B$2:$E$115,4,FALSE),"")</f>
        <v/>
      </c>
      <c r="AT3137" s="65" t="str">
        <f>IFERROR(VLOOKUP(#REF!,[1]Lookup!$B$2:$E$115,2,FALSE),"")</f>
        <v/>
      </c>
      <c r="AU3137" s="65" t="str">
        <f>IFERROR(VLOOKUP(#REF!,[1]Lookup!$B$2:$E$115,3,FALSE),"")</f>
        <v/>
      </c>
    </row>
    <row r="3138" spans="31:47" x14ac:dyDescent="0.3">
      <c r="AE3138" s="204" t="s">
        <v>398</v>
      </c>
      <c r="AF3138" s="204" t="s">
        <v>398</v>
      </c>
      <c r="AG3138" s="204" t="s">
        <v>398</v>
      </c>
      <c r="AS3138" s="65" t="str">
        <f>IFERROR(VLOOKUP(#REF!,[1]Lookup!$B$2:$E$115,4,FALSE),"")</f>
        <v/>
      </c>
      <c r="AT3138" s="65" t="str">
        <f>IFERROR(VLOOKUP(#REF!,[1]Lookup!$B$2:$E$115,2,FALSE),"")</f>
        <v/>
      </c>
      <c r="AU3138" s="65" t="str">
        <f>IFERROR(VLOOKUP(#REF!,[1]Lookup!$B$2:$E$115,3,FALSE),"")</f>
        <v/>
      </c>
    </row>
    <row r="3139" spans="31:47" x14ac:dyDescent="0.3">
      <c r="AE3139" s="204" t="s">
        <v>398</v>
      </c>
      <c r="AF3139" s="204" t="s">
        <v>398</v>
      </c>
      <c r="AG3139" s="204" t="s">
        <v>398</v>
      </c>
      <c r="AS3139" s="65" t="str">
        <f>IFERROR(VLOOKUP(#REF!,[1]Lookup!$B$2:$E$115,4,FALSE),"")</f>
        <v/>
      </c>
      <c r="AT3139" s="65" t="str">
        <f>IFERROR(VLOOKUP(#REF!,[1]Lookup!$B$2:$E$115,2,FALSE),"")</f>
        <v/>
      </c>
      <c r="AU3139" s="65" t="str">
        <f>IFERROR(VLOOKUP(#REF!,[1]Lookup!$B$2:$E$115,3,FALSE),"")</f>
        <v/>
      </c>
    </row>
    <row r="3140" spans="31:47" x14ac:dyDescent="0.3">
      <c r="AE3140" s="204" t="s">
        <v>398</v>
      </c>
      <c r="AF3140" s="204" t="s">
        <v>398</v>
      </c>
      <c r="AG3140" s="204" t="s">
        <v>398</v>
      </c>
      <c r="AS3140" s="65" t="str">
        <f>IFERROR(VLOOKUP(#REF!,[1]Lookup!$B$2:$E$115,4,FALSE),"")</f>
        <v/>
      </c>
      <c r="AT3140" s="65" t="str">
        <f>IFERROR(VLOOKUP(#REF!,[1]Lookup!$B$2:$E$115,2,FALSE),"")</f>
        <v/>
      </c>
      <c r="AU3140" s="65" t="str">
        <f>IFERROR(VLOOKUP(#REF!,[1]Lookup!$B$2:$E$115,3,FALSE),"")</f>
        <v/>
      </c>
    </row>
    <row r="3141" spans="31:47" x14ac:dyDescent="0.3">
      <c r="AE3141" s="204" t="s">
        <v>398</v>
      </c>
      <c r="AF3141" s="204" t="s">
        <v>398</v>
      </c>
      <c r="AG3141" s="204" t="s">
        <v>398</v>
      </c>
      <c r="AS3141" s="65" t="str">
        <f>IFERROR(VLOOKUP(#REF!,[1]Lookup!$B$2:$E$115,4,FALSE),"")</f>
        <v/>
      </c>
      <c r="AT3141" s="65" t="str">
        <f>IFERROR(VLOOKUP(#REF!,[1]Lookup!$B$2:$E$115,2,FALSE),"")</f>
        <v/>
      </c>
      <c r="AU3141" s="65" t="str">
        <f>IFERROR(VLOOKUP(#REF!,[1]Lookup!$B$2:$E$115,3,FALSE),"")</f>
        <v/>
      </c>
    </row>
    <row r="3142" spans="31:47" x14ac:dyDescent="0.3">
      <c r="AE3142" s="204" t="s">
        <v>398</v>
      </c>
      <c r="AF3142" s="204" t="s">
        <v>398</v>
      </c>
      <c r="AG3142" s="204" t="s">
        <v>398</v>
      </c>
      <c r="AS3142" s="65" t="str">
        <f>IFERROR(VLOOKUP(#REF!,[1]Lookup!$B$2:$E$115,4,FALSE),"")</f>
        <v/>
      </c>
      <c r="AT3142" s="65" t="str">
        <f>IFERROR(VLOOKUP(#REF!,[1]Lookup!$B$2:$E$115,2,FALSE),"")</f>
        <v/>
      </c>
      <c r="AU3142" s="65" t="str">
        <f>IFERROR(VLOOKUP(#REF!,[1]Lookup!$B$2:$E$115,3,FALSE),"")</f>
        <v/>
      </c>
    </row>
    <row r="3143" spans="31:47" x14ac:dyDescent="0.3">
      <c r="AE3143" s="204" t="s">
        <v>398</v>
      </c>
      <c r="AF3143" s="204" t="s">
        <v>398</v>
      </c>
      <c r="AG3143" s="204" t="s">
        <v>398</v>
      </c>
      <c r="AS3143" s="65" t="str">
        <f>IFERROR(VLOOKUP(#REF!,[1]Lookup!$B$2:$E$115,4,FALSE),"")</f>
        <v/>
      </c>
      <c r="AT3143" s="65" t="str">
        <f>IFERROR(VLOOKUP(#REF!,[1]Lookup!$B$2:$E$115,2,FALSE),"")</f>
        <v/>
      </c>
      <c r="AU3143" s="65" t="str">
        <f>IFERROR(VLOOKUP(#REF!,[1]Lookup!$B$2:$E$115,3,FALSE),"")</f>
        <v/>
      </c>
    </row>
    <row r="3144" spans="31:47" x14ac:dyDescent="0.3">
      <c r="AE3144" s="204" t="s">
        <v>398</v>
      </c>
      <c r="AF3144" s="204" t="s">
        <v>398</v>
      </c>
      <c r="AG3144" s="204" t="s">
        <v>398</v>
      </c>
      <c r="AS3144" s="65" t="str">
        <f>IFERROR(VLOOKUP(#REF!,[1]Lookup!$B$2:$E$115,4,FALSE),"")</f>
        <v/>
      </c>
      <c r="AT3144" s="65" t="str">
        <f>IFERROR(VLOOKUP(#REF!,[1]Lookup!$B$2:$E$115,2,FALSE),"")</f>
        <v/>
      </c>
      <c r="AU3144" s="65" t="str">
        <f>IFERROR(VLOOKUP(#REF!,[1]Lookup!$B$2:$E$115,3,FALSE),"")</f>
        <v/>
      </c>
    </row>
    <row r="3145" spans="31:47" x14ac:dyDescent="0.3">
      <c r="AE3145" s="204" t="s">
        <v>398</v>
      </c>
      <c r="AF3145" s="204" t="s">
        <v>398</v>
      </c>
      <c r="AG3145" s="204" t="s">
        <v>398</v>
      </c>
      <c r="AS3145" s="65" t="str">
        <f>IFERROR(VLOOKUP(#REF!,[1]Lookup!$B$2:$E$115,4,FALSE),"")</f>
        <v/>
      </c>
      <c r="AT3145" s="65" t="str">
        <f>IFERROR(VLOOKUP(#REF!,[1]Lookup!$B$2:$E$115,2,FALSE),"")</f>
        <v/>
      </c>
      <c r="AU3145" s="65" t="str">
        <f>IFERROR(VLOOKUP(#REF!,[1]Lookup!$B$2:$E$115,3,FALSE),"")</f>
        <v/>
      </c>
    </row>
    <row r="3146" spans="31:47" x14ac:dyDescent="0.3">
      <c r="AE3146" s="204" t="s">
        <v>398</v>
      </c>
      <c r="AF3146" s="204" t="s">
        <v>398</v>
      </c>
      <c r="AG3146" s="204" t="s">
        <v>398</v>
      </c>
      <c r="AS3146" s="65" t="str">
        <f>IFERROR(VLOOKUP(#REF!,[1]Lookup!$B$2:$E$115,4,FALSE),"")</f>
        <v/>
      </c>
      <c r="AT3146" s="65" t="str">
        <f>IFERROR(VLOOKUP(#REF!,[1]Lookup!$B$2:$E$115,2,FALSE),"")</f>
        <v/>
      </c>
      <c r="AU3146" s="65" t="str">
        <f>IFERROR(VLOOKUP(#REF!,[1]Lookup!$B$2:$E$115,3,FALSE),"")</f>
        <v/>
      </c>
    </row>
    <row r="3147" spans="31:47" x14ac:dyDescent="0.3">
      <c r="AE3147" s="204" t="s">
        <v>398</v>
      </c>
      <c r="AF3147" s="204" t="s">
        <v>398</v>
      </c>
      <c r="AG3147" s="204" t="s">
        <v>398</v>
      </c>
      <c r="AS3147" s="65" t="str">
        <f>IFERROR(VLOOKUP(#REF!,[1]Lookup!$B$2:$E$115,4,FALSE),"")</f>
        <v/>
      </c>
      <c r="AT3147" s="65" t="str">
        <f>IFERROR(VLOOKUP(#REF!,[1]Lookup!$B$2:$E$115,2,FALSE),"")</f>
        <v/>
      </c>
      <c r="AU3147" s="65" t="str">
        <f>IFERROR(VLOOKUP(#REF!,[1]Lookup!$B$2:$E$115,3,FALSE),"")</f>
        <v/>
      </c>
    </row>
    <row r="3148" spans="31:47" x14ac:dyDescent="0.3">
      <c r="AE3148" s="204" t="s">
        <v>398</v>
      </c>
      <c r="AF3148" s="204" t="s">
        <v>398</v>
      </c>
      <c r="AG3148" s="204" t="s">
        <v>398</v>
      </c>
      <c r="AS3148" s="65" t="str">
        <f>IFERROR(VLOOKUP(#REF!,[1]Lookup!$B$2:$E$115,4,FALSE),"")</f>
        <v/>
      </c>
      <c r="AT3148" s="65" t="str">
        <f>IFERROR(VLOOKUP(#REF!,[1]Lookup!$B$2:$E$115,2,FALSE),"")</f>
        <v/>
      </c>
      <c r="AU3148" s="65" t="str">
        <f>IFERROR(VLOOKUP(#REF!,[1]Lookup!$B$2:$E$115,3,FALSE),"")</f>
        <v/>
      </c>
    </row>
    <row r="3149" spans="31:47" x14ac:dyDescent="0.3">
      <c r="AE3149" s="204" t="s">
        <v>398</v>
      </c>
      <c r="AF3149" s="204" t="s">
        <v>398</v>
      </c>
      <c r="AG3149" s="204" t="s">
        <v>398</v>
      </c>
      <c r="AS3149" s="65" t="str">
        <f>IFERROR(VLOOKUP(#REF!,[1]Lookup!$B$2:$E$115,4,FALSE),"")</f>
        <v/>
      </c>
      <c r="AT3149" s="65" t="str">
        <f>IFERROR(VLOOKUP(#REF!,[1]Lookup!$B$2:$E$115,2,FALSE),"")</f>
        <v/>
      </c>
      <c r="AU3149" s="65" t="str">
        <f>IFERROR(VLOOKUP(#REF!,[1]Lookup!$B$2:$E$115,3,FALSE),"")</f>
        <v/>
      </c>
    </row>
    <row r="3150" spans="31:47" x14ac:dyDescent="0.3">
      <c r="AE3150" s="204" t="s">
        <v>398</v>
      </c>
      <c r="AF3150" s="204" t="s">
        <v>398</v>
      </c>
      <c r="AG3150" s="204" t="s">
        <v>398</v>
      </c>
      <c r="AS3150" s="65" t="str">
        <f>IFERROR(VLOOKUP(#REF!,[1]Lookup!$B$2:$E$115,4,FALSE),"")</f>
        <v/>
      </c>
      <c r="AT3150" s="65" t="str">
        <f>IFERROR(VLOOKUP(#REF!,[1]Lookup!$B$2:$E$115,2,FALSE),"")</f>
        <v/>
      </c>
      <c r="AU3150" s="65" t="str">
        <f>IFERROR(VLOOKUP(#REF!,[1]Lookup!$B$2:$E$115,3,FALSE),"")</f>
        <v/>
      </c>
    </row>
    <row r="3151" spans="31:47" x14ac:dyDescent="0.3">
      <c r="AE3151" s="204" t="s">
        <v>398</v>
      </c>
      <c r="AF3151" s="204" t="s">
        <v>398</v>
      </c>
      <c r="AG3151" s="204" t="s">
        <v>398</v>
      </c>
      <c r="AS3151" s="65" t="str">
        <f>IFERROR(VLOOKUP(#REF!,[1]Lookup!$B$2:$E$115,4,FALSE),"")</f>
        <v/>
      </c>
      <c r="AT3151" s="65" t="str">
        <f>IFERROR(VLOOKUP(#REF!,[1]Lookup!$B$2:$E$115,2,FALSE),"")</f>
        <v/>
      </c>
      <c r="AU3151" s="65" t="str">
        <f>IFERROR(VLOOKUP(#REF!,[1]Lookup!$B$2:$E$115,3,FALSE),"")</f>
        <v/>
      </c>
    </row>
    <row r="3152" spans="31:47" x14ac:dyDescent="0.3">
      <c r="AE3152" s="204" t="s">
        <v>398</v>
      </c>
      <c r="AF3152" s="204" t="s">
        <v>398</v>
      </c>
      <c r="AG3152" s="204" t="s">
        <v>398</v>
      </c>
      <c r="AS3152" s="65" t="str">
        <f>IFERROR(VLOOKUP(#REF!,[1]Lookup!$B$2:$E$115,4,FALSE),"")</f>
        <v/>
      </c>
      <c r="AT3152" s="65" t="str">
        <f>IFERROR(VLOOKUP(#REF!,[1]Lookup!$B$2:$E$115,2,FALSE),"")</f>
        <v/>
      </c>
      <c r="AU3152" s="65" t="str">
        <f>IFERROR(VLOOKUP(#REF!,[1]Lookup!$B$2:$E$115,3,FALSE),"")</f>
        <v/>
      </c>
    </row>
    <row r="3153" spans="31:47" x14ac:dyDescent="0.3">
      <c r="AE3153" s="204" t="s">
        <v>398</v>
      </c>
      <c r="AF3153" s="204" t="s">
        <v>398</v>
      </c>
      <c r="AG3153" s="204" t="s">
        <v>398</v>
      </c>
      <c r="AS3153" s="65" t="str">
        <f>IFERROR(VLOOKUP(#REF!,[1]Lookup!$B$2:$E$115,4,FALSE),"")</f>
        <v/>
      </c>
      <c r="AT3153" s="65" t="str">
        <f>IFERROR(VLOOKUP(#REF!,[1]Lookup!$B$2:$E$115,2,FALSE),"")</f>
        <v/>
      </c>
      <c r="AU3153" s="65" t="str">
        <f>IFERROR(VLOOKUP(#REF!,[1]Lookup!$B$2:$E$115,3,FALSE),"")</f>
        <v/>
      </c>
    </row>
    <row r="3154" spans="31:47" x14ac:dyDescent="0.3">
      <c r="AE3154" s="204" t="s">
        <v>398</v>
      </c>
      <c r="AF3154" s="204" t="s">
        <v>398</v>
      </c>
      <c r="AG3154" s="204" t="s">
        <v>398</v>
      </c>
      <c r="AS3154" s="65" t="str">
        <f>IFERROR(VLOOKUP(#REF!,[1]Lookup!$B$2:$E$115,4,FALSE),"")</f>
        <v/>
      </c>
      <c r="AT3154" s="65" t="str">
        <f>IFERROR(VLOOKUP(#REF!,[1]Lookup!$B$2:$E$115,2,FALSE),"")</f>
        <v/>
      </c>
      <c r="AU3154" s="65" t="str">
        <f>IFERROR(VLOOKUP(#REF!,[1]Lookup!$B$2:$E$115,3,FALSE),"")</f>
        <v/>
      </c>
    </row>
    <row r="3155" spans="31:47" x14ac:dyDescent="0.3">
      <c r="AE3155" s="204" t="s">
        <v>398</v>
      </c>
      <c r="AF3155" s="204" t="s">
        <v>398</v>
      </c>
      <c r="AG3155" s="204" t="s">
        <v>398</v>
      </c>
      <c r="AS3155" s="65" t="str">
        <f>IFERROR(VLOOKUP(#REF!,[1]Lookup!$B$2:$E$115,4,FALSE),"")</f>
        <v/>
      </c>
      <c r="AT3155" s="65" t="str">
        <f>IFERROR(VLOOKUP(#REF!,[1]Lookup!$B$2:$E$115,2,FALSE),"")</f>
        <v/>
      </c>
      <c r="AU3155" s="65" t="str">
        <f>IFERROR(VLOOKUP(#REF!,[1]Lookup!$B$2:$E$115,3,FALSE),"")</f>
        <v/>
      </c>
    </row>
    <row r="3156" spans="31:47" x14ac:dyDescent="0.3">
      <c r="AE3156" s="204" t="s">
        <v>398</v>
      </c>
      <c r="AF3156" s="204" t="s">
        <v>398</v>
      </c>
      <c r="AG3156" s="204" t="s">
        <v>398</v>
      </c>
      <c r="AS3156" s="65" t="str">
        <f>IFERROR(VLOOKUP(#REF!,[1]Lookup!$B$2:$E$115,4,FALSE),"")</f>
        <v/>
      </c>
      <c r="AT3156" s="65" t="str">
        <f>IFERROR(VLOOKUP(#REF!,[1]Lookup!$B$2:$E$115,2,FALSE),"")</f>
        <v/>
      </c>
      <c r="AU3156" s="65" t="str">
        <f>IFERROR(VLOOKUP(#REF!,[1]Lookup!$B$2:$E$115,3,FALSE),"")</f>
        <v/>
      </c>
    </row>
    <row r="3157" spans="31:47" x14ac:dyDescent="0.3">
      <c r="AE3157" s="204" t="s">
        <v>398</v>
      </c>
      <c r="AF3157" s="204" t="s">
        <v>398</v>
      </c>
      <c r="AG3157" s="204" t="s">
        <v>398</v>
      </c>
      <c r="AS3157" s="65" t="str">
        <f>IFERROR(VLOOKUP(#REF!,[1]Lookup!$B$2:$E$115,4,FALSE),"")</f>
        <v/>
      </c>
      <c r="AT3157" s="65" t="str">
        <f>IFERROR(VLOOKUP(#REF!,[1]Lookup!$B$2:$E$115,2,FALSE),"")</f>
        <v/>
      </c>
      <c r="AU3157" s="65" t="str">
        <f>IFERROR(VLOOKUP(#REF!,[1]Lookup!$B$2:$E$115,3,FALSE),"")</f>
        <v/>
      </c>
    </row>
    <row r="3158" spans="31:47" x14ac:dyDescent="0.3">
      <c r="AE3158" s="204" t="s">
        <v>398</v>
      </c>
      <c r="AF3158" s="204" t="s">
        <v>398</v>
      </c>
      <c r="AG3158" s="204" t="s">
        <v>398</v>
      </c>
      <c r="AS3158" s="65" t="str">
        <f>IFERROR(VLOOKUP(#REF!,[1]Lookup!$B$2:$E$115,4,FALSE),"")</f>
        <v/>
      </c>
      <c r="AT3158" s="65" t="str">
        <f>IFERROR(VLOOKUP(#REF!,[1]Lookup!$B$2:$E$115,2,FALSE),"")</f>
        <v/>
      </c>
      <c r="AU3158" s="65" t="str">
        <f>IFERROR(VLOOKUP(#REF!,[1]Lookup!$B$2:$E$115,3,FALSE),"")</f>
        <v/>
      </c>
    </row>
    <row r="3159" spans="31:47" x14ac:dyDescent="0.3">
      <c r="AE3159" s="204" t="s">
        <v>398</v>
      </c>
      <c r="AF3159" s="204" t="s">
        <v>398</v>
      </c>
      <c r="AG3159" s="204" t="s">
        <v>398</v>
      </c>
      <c r="AS3159" s="65" t="str">
        <f>IFERROR(VLOOKUP(#REF!,[1]Lookup!$B$2:$E$115,4,FALSE),"")</f>
        <v/>
      </c>
      <c r="AT3159" s="65" t="str">
        <f>IFERROR(VLOOKUP(#REF!,[1]Lookup!$B$2:$E$115,2,FALSE),"")</f>
        <v/>
      </c>
      <c r="AU3159" s="65" t="str">
        <f>IFERROR(VLOOKUP(#REF!,[1]Lookup!$B$2:$E$115,3,FALSE),"")</f>
        <v/>
      </c>
    </row>
    <row r="3160" spans="31:47" x14ac:dyDescent="0.3">
      <c r="AE3160" s="204" t="s">
        <v>398</v>
      </c>
      <c r="AF3160" s="204" t="s">
        <v>398</v>
      </c>
      <c r="AG3160" s="204" t="s">
        <v>398</v>
      </c>
      <c r="AS3160" s="65" t="str">
        <f>IFERROR(VLOOKUP(#REF!,[1]Lookup!$B$2:$E$115,4,FALSE),"")</f>
        <v/>
      </c>
      <c r="AT3160" s="65" t="str">
        <f>IFERROR(VLOOKUP(#REF!,[1]Lookup!$B$2:$E$115,2,FALSE),"")</f>
        <v/>
      </c>
      <c r="AU3160" s="65" t="str">
        <f>IFERROR(VLOOKUP(#REF!,[1]Lookup!$B$2:$E$115,3,FALSE),"")</f>
        <v/>
      </c>
    </row>
    <row r="3161" spans="31:47" x14ac:dyDescent="0.3">
      <c r="AE3161" s="204" t="s">
        <v>398</v>
      </c>
      <c r="AF3161" s="204" t="s">
        <v>398</v>
      </c>
      <c r="AG3161" s="204" t="s">
        <v>398</v>
      </c>
      <c r="AS3161" s="65" t="str">
        <f>IFERROR(VLOOKUP(#REF!,[1]Lookup!$B$2:$E$115,4,FALSE),"")</f>
        <v/>
      </c>
      <c r="AT3161" s="65" t="str">
        <f>IFERROR(VLOOKUP(#REF!,[1]Lookup!$B$2:$E$115,2,FALSE),"")</f>
        <v/>
      </c>
      <c r="AU3161" s="65" t="str">
        <f>IFERROR(VLOOKUP(#REF!,[1]Lookup!$B$2:$E$115,3,FALSE),"")</f>
        <v/>
      </c>
    </row>
    <row r="3162" spans="31:47" x14ac:dyDescent="0.3">
      <c r="AE3162" s="204" t="s">
        <v>398</v>
      </c>
      <c r="AF3162" s="204" t="s">
        <v>398</v>
      </c>
      <c r="AG3162" s="204" t="s">
        <v>398</v>
      </c>
      <c r="AS3162" s="65" t="str">
        <f>IFERROR(VLOOKUP(#REF!,[1]Lookup!$B$2:$E$115,4,FALSE),"")</f>
        <v/>
      </c>
      <c r="AT3162" s="65" t="str">
        <f>IFERROR(VLOOKUP(#REF!,[1]Lookup!$B$2:$E$115,2,FALSE),"")</f>
        <v/>
      </c>
      <c r="AU3162" s="65" t="str">
        <f>IFERROR(VLOOKUP(#REF!,[1]Lookup!$B$2:$E$115,3,FALSE),"")</f>
        <v/>
      </c>
    </row>
    <row r="3163" spans="31:47" x14ac:dyDescent="0.3">
      <c r="AE3163" s="204" t="s">
        <v>398</v>
      </c>
      <c r="AF3163" s="204" t="s">
        <v>398</v>
      </c>
      <c r="AG3163" s="204" t="s">
        <v>398</v>
      </c>
      <c r="AS3163" s="65" t="str">
        <f>IFERROR(VLOOKUP(#REF!,[1]Lookup!$B$2:$E$115,4,FALSE),"")</f>
        <v/>
      </c>
      <c r="AT3163" s="65" t="str">
        <f>IFERROR(VLOOKUP(#REF!,[1]Lookup!$B$2:$E$115,2,FALSE),"")</f>
        <v/>
      </c>
      <c r="AU3163" s="65" t="str">
        <f>IFERROR(VLOOKUP(#REF!,[1]Lookup!$B$2:$E$115,3,FALSE),"")</f>
        <v/>
      </c>
    </row>
    <row r="3164" spans="31:47" x14ac:dyDescent="0.3">
      <c r="AE3164" s="204" t="s">
        <v>398</v>
      </c>
      <c r="AF3164" s="204" t="s">
        <v>398</v>
      </c>
      <c r="AG3164" s="204" t="s">
        <v>398</v>
      </c>
      <c r="AS3164" s="65" t="str">
        <f>IFERROR(VLOOKUP(#REF!,[1]Lookup!$B$2:$E$115,4,FALSE),"")</f>
        <v/>
      </c>
      <c r="AT3164" s="65" t="str">
        <f>IFERROR(VLOOKUP(#REF!,[1]Lookup!$B$2:$E$115,2,FALSE),"")</f>
        <v/>
      </c>
      <c r="AU3164" s="65" t="str">
        <f>IFERROR(VLOOKUP(#REF!,[1]Lookup!$B$2:$E$115,3,FALSE),"")</f>
        <v/>
      </c>
    </row>
    <row r="3165" spans="31:47" x14ac:dyDescent="0.3">
      <c r="AE3165" s="204" t="s">
        <v>398</v>
      </c>
      <c r="AF3165" s="204" t="s">
        <v>398</v>
      </c>
      <c r="AG3165" s="204" t="s">
        <v>398</v>
      </c>
      <c r="AS3165" s="65" t="str">
        <f>IFERROR(VLOOKUP(#REF!,[1]Lookup!$B$2:$E$115,4,FALSE),"")</f>
        <v/>
      </c>
      <c r="AT3165" s="65" t="str">
        <f>IFERROR(VLOOKUP(#REF!,[1]Lookup!$B$2:$E$115,2,FALSE),"")</f>
        <v/>
      </c>
      <c r="AU3165" s="65" t="str">
        <f>IFERROR(VLOOKUP(#REF!,[1]Lookup!$B$2:$E$115,3,FALSE),"")</f>
        <v/>
      </c>
    </row>
    <row r="3166" spans="31:47" x14ac:dyDescent="0.3">
      <c r="AE3166" s="204" t="s">
        <v>398</v>
      </c>
      <c r="AF3166" s="204" t="s">
        <v>398</v>
      </c>
      <c r="AG3166" s="204" t="s">
        <v>398</v>
      </c>
      <c r="AS3166" s="65" t="str">
        <f>IFERROR(VLOOKUP(#REF!,[1]Lookup!$B$2:$E$115,4,FALSE),"")</f>
        <v/>
      </c>
      <c r="AT3166" s="65" t="str">
        <f>IFERROR(VLOOKUP(#REF!,[1]Lookup!$B$2:$E$115,2,FALSE),"")</f>
        <v/>
      </c>
      <c r="AU3166" s="65" t="str">
        <f>IFERROR(VLOOKUP(#REF!,[1]Lookup!$B$2:$E$115,3,FALSE),"")</f>
        <v/>
      </c>
    </row>
    <row r="3167" spans="31:47" x14ac:dyDescent="0.3">
      <c r="AE3167" s="204" t="s">
        <v>398</v>
      </c>
      <c r="AF3167" s="204" t="s">
        <v>398</v>
      </c>
      <c r="AG3167" s="204" t="s">
        <v>398</v>
      </c>
      <c r="AS3167" s="65" t="str">
        <f>IFERROR(VLOOKUP(#REF!,[1]Lookup!$B$2:$E$115,4,FALSE),"")</f>
        <v/>
      </c>
      <c r="AT3167" s="65" t="str">
        <f>IFERROR(VLOOKUP(#REF!,[1]Lookup!$B$2:$E$115,2,FALSE),"")</f>
        <v/>
      </c>
      <c r="AU3167" s="65" t="str">
        <f>IFERROR(VLOOKUP(#REF!,[1]Lookup!$B$2:$E$115,3,FALSE),"")</f>
        <v/>
      </c>
    </row>
    <row r="3168" spans="31:47" x14ac:dyDescent="0.3">
      <c r="AE3168" s="204" t="s">
        <v>398</v>
      </c>
      <c r="AF3168" s="204" t="s">
        <v>398</v>
      </c>
      <c r="AG3168" s="204" t="s">
        <v>398</v>
      </c>
      <c r="AS3168" s="65" t="str">
        <f>IFERROR(VLOOKUP(#REF!,[1]Lookup!$B$2:$E$115,4,FALSE),"")</f>
        <v/>
      </c>
      <c r="AT3168" s="65" t="str">
        <f>IFERROR(VLOOKUP(#REF!,[1]Lookup!$B$2:$E$115,2,FALSE),"")</f>
        <v/>
      </c>
      <c r="AU3168" s="65" t="str">
        <f>IFERROR(VLOOKUP(#REF!,[1]Lookup!$B$2:$E$115,3,FALSE),"")</f>
        <v/>
      </c>
    </row>
    <row r="3169" spans="31:47" x14ac:dyDescent="0.3">
      <c r="AE3169" s="204" t="s">
        <v>398</v>
      </c>
      <c r="AF3169" s="204" t="s">
        <v>398</v>
      </c>
      <c r="AG3169" s="204" t="s">
        <v>398</v>
      </c>
      <c r="AS3169" s="65" t="str">
        <f>IFERROR(VLOOKUP(#REF!,[1]Lookup!$B$2:$E$115,4,FALSE),"")</f>
        <v/>
      </c>
      <c r="AT3169" s="65" t="str">
        <f>IFERROR(VLOOKUP(#REF!,[1]Lookup!$B$2:$E$115,2,FALSE),"")</f>
        <v/>
      </c>
      <c r="AU3169" s="65" t="str">
        <f>IFERROR(VLOOKUP(#REF!,[1]Lookup!$B$2:$E$115,3,FALSE),"")</f>
        <v/>
      </c>
    </row>
    <row r="3170" spans="31:47" x14ac:dyDescent="0.3">
      <c r="AE3170" s="204" t="s">
        <v>398</v>
      </c>
      <c r="AF3170" s="204" t="s">
        <v>398</v>
      </c>
      <c r="AG3170" s="204" t="s">
        <v>398</v>
      </c>
      <c r="AS3170" s="65" t="str">
        <f>IFERROR(VLOOKUP(#REF!,[1]Lookup!$B$2:$E$115,4,FALSE),"")</f>
        <v/>
      </c>
      <c r="AT3170" s="65" t="str">
        <f>IFERROR(VLOOKUP(#REF!,[1]Lookup!$B$2:$E$115,2,FALSE),"")</f>
        <v/>
      </c>
      <c r="AU3170" s="65" t="str">
        <f>IFERROR(VLOOKUP(#REF!,[1]Lookup!$B$2:$E$115,3,FALSE),"")</f>
        <v/>
      </c>
    </row>
    <row r="3171" spans="31:47" x14ac:dyDescent="0.3">
      <c r="AE3171" s="204" t="s">
        <v>398</v>
      </c>
      <c r="AF3171" s="204" t="s">
        <v>398</v>
      </c>
      <c r="AG3171" s="204" t="s">
        <v>398</v>
      </c>
      <c r="AS3171" s="65" t="str">
        <f>IFERROR(VLOOKUP(#REF!,[1]Lookup!$B$2:$E$115,4,FALSE),"")</f>
        <v/>
      </c>
      <c r="AT3171" s="65" t="str">
        <f>IFERROR(VLOOKUP(#REF!,[1]Lookup!$B$2:$E$115,2,FALSE),"")</f>
        <v/>
      </c>
      <c r="AU3171" s="65" t="str">
        <f>IFERROR(VLOOKUP(#REF!,[1]Lookup!$B$2:$E$115,3,FALSE),"")</f>
        <v/>
      </c>
    </row>
    <row r="3172" spans="31:47" x14ac:dyDescent="0.3">
      <c r="AE3172" s="204" t="s">
        <v>398</v>
      </c>
      <c r="AF3172" s="204" t="s">
        <v>398</v>
      </c>
      <c r="AG3172" s="204" t="s">
        <v>398</v>
      </c>
      <c r="AS3172" s="65" t="str">
        <f>IFERROR(VLOOKUP(#REF!,[1]Lookup!$B$2:$E$115,4,FALSE),"")</f>
        <v/>
      </c>
      <c r="AT3172" s="65" t="str">
        <f>IFERROR(VLOOKUP(#REF!,[1]Lookup!$B$2:$E$115,2,FALSE),"")</f>
        <v/>
      </c>
      <c r="AU3172" s="65" t="str">
        <f>IFERROR(VLOOKUP(#REF!,[1]Lookup!$B$2:$E$115,3,FALSE),"")</f>
        <v/>
      </c>
    </row>
    <row r="3173" spans="31:47" x14ac:dyDescent="0.3">
      <c r="AE3173" s="204" t="s">
        <v>398</v>
      </c>
      <c r="AF3173" s="204" t="s">
        <v>398</v>
      </c>
      <c r="AG3173" s="204" t="s">
        <v>398</v>
      </c>
      <c r="AS3173" s="65" t="str">
        <f>IFERROR(VLOOKUP(#REF!,[1]Lookup!$B$2:$E$115,4,FALSE),"")</f>
        <v/>
      </c>
      <c r="AT3173" s="65" t="str">
        <f>IFERROR(VLOOKUP(#REF!,[1]Lookup!$B$2:$E$115,2,FALSE),"")</f>
        <v/>
      </c>
      <c r="AU3173" s="65" t="str">
        <f>IFERROR(VLOOKUP(#REF!,[1]Lookup!$B$2:$E$115,3,FALSE),"")</f>
        <v/>
      </c>
    </row>
    <row r="3174" spans="31:47" x14ac:dyDescent="0.3">
      <c r="AE3174" s="204" t="s">
        <v>398</v>
      </c>
      <c r="AF3174" s="204" t="s">
        <v>398</v>
      </c>
      <c r="AG3174" s="204" t="s">
        <v>398</v>
      </c>
      <c r="AS3174" s="65" t="str">
        <f>IFERROR(VLOOKUP(#REF!,[1]Lookup!$B$2:$E$115,4,FALSE),"")</f>
        <v/>
      </c>
      <c r="AT3174" s="65" t="str">
        <f>IFERROR(VLOOKUP(#REF!,[1]Lookup!$B$2:$E$115,2,FALSE),"")</f>
        <v/>
      </c>
      <c r="AU3174" s="65" t="str">
        <f>IFERROR(VLOOKUP(#REF!,[1]Lookup!$B$2:$E$115,3,FALSE),"")</f>
        <v/>
      </c>
    </row>
    <row r="3175" spans="31:47" x14ac:dyDescent="0.3">
      <c r="AE3175" s="204" t="s">
        <v>398</v>
      </c>
      <c r="AF3175" s="204" t="s">
        <v>398</v>
      </c>
      <c r="AG3175" s="204" t="s">
        <v>398</v>
      </c>
      <c r="AS3175" s="65" t="str">
        <f>IFERROR(VLOOKUP(#REF!,[1]Lookup!$B$2:$E$115,4,FALSE),"")</f>
        <v/>
      </c>
      <c r="AT3175" s="65" t="str">
        <f>IFERROR(VLOOKUP(#REF!,[1]Lookup!$B$2:$E$115,2,FALSE),"")</f>
        <v/>
      </c>
      <c r="AU3175" s="65" t="str">
        <f>IFERROR(VLOOKUP(#REF!,[1]Lookup!$B$2:$E$115,3,FALSE),"")</f>
        <v/>
      </c>
    </row>
    <row r="3176" spans="31:47" x14ac:dyDescent="0.3">
      <c r="AE3176" s="204" t="s">
        <v>398</v>
      </c>
      <c r="AF3176" s="204" t="s">
        <v>398</v>
      </c>
      <c r="AG3176" s="204" t="s">
        <v>398</v>
      </c>
      <c r="AS3176" s="65" t="str">
        <f>IFERROR(VLOOKUP(#REF!,[1]Lookup!$B$2:$E$115,4,FALSE),"")</f>
        <v/>
      </c>
      <c r="AT3176" s="65" t="str">
        <f>IFERROR(VLOOKUP(#REF!,[1]Lookup!$B$2:$E$115,2,FALSE),"")</f>
        <v/>
      </c>
      <c r="AU3176" s="65" t="str">
        <f>IFERROR(VLOOKUP(#REF!,[1]Lookup!$B$2:$E$115,3,FALSE),"")</f>
        <v/>
      </c>
    </row>
    <row r="3177" spans="31:47" x14ac:dyDescent="0.3">
      <c r="AE3177" s="204" t="s">
        <v>398</v>
      </c>
      <c r="AF3177" s="204" t="s">
        <v>398</v>
      </c>
      <c r="AG3177" s="204" t="s">
        <v>398</v>
      </c>
      <c r="AS3177" s="65" t="str">
        <f>IFERROR(VLOOKUP(#REF!,[1]Lookup!$B$2:$E$115,4,FALSE),"")</f>
        <v/>
      </c>
      <c r="AT3177" s="65" t="str">
        <f>IFERROR(VLOOKUP(#REF!,[1]Lookup!$B$2:$E$115,2,FALSE),"")</f>
        <v/>
      </c>
      <c r="AU3177" s="65" t="str">
        <f>IFERROR(VLOOKUP(#REF!,[1]Lookup!$B$2:$E$115,3,FALSE),"")</f>
        <v/>
      </c>
    </row>
    <row r="3178" spans="31:47" x14ac:dyDescent="0.3">
      <c r="AE3178" s="204" t="s">
        <v>398</v>
      </c>
      <c r="AF3178" s="204" t="s">
        <v>398</v>
      </c>
      <c r="AG3178" s="204" t="s">
        <v>398</v>
      </c>
      <c r="AS3178" s="65" t="str">
        <f>IFERROR(VLOOKUP(#REF!,[1]Lookup!$B$2:$E$115,4,FALSE),"")</f>
        <v/>
      </c>
      <c r="AT3178" s="65" t="str">
        <f>IFERROR(VLOOKUP(#REF!,[1]Lookup!$B$2:$E$115,2,FALSE),"")</f>
        <v/>
      </c>
      <c r="AU3178" s="65" t="str">
        <f>IFERROR(VLOOKUP(#REF!,[1]Lookup!$B$2:$E$115,3,FALSE),"")</f>
        <v/>
      </c>
    </row>
    <row r="3179" spans="31:47" x14ac:dyDescent="0.3">
      <c r="AE3179" s="204" t="s">
        <v>398</v>
      </c>
      <c r="AF3179" s="204" t="s">
        <v>398</v>
      </c>
      <c r="AG3179" s="204" t="s">
        <v>398</v>
      </c>
      <c r="AS3179" s="65" t="str">
        <f>IFERROR(VLOOKUP(#REF!,[1]Lookup!$B$2:$E$115,4,FALSE),"")</f>
        <v/>
      </c>
      <c r="AT3179" s="65" t="str">
        <f>IFERROR(VLOOKUP(#REF!,[1]Lookup!$B$2:$E$115,2,FALSE),"")</f>
        <v/>
      </c>
      <c r="AU3179" s="65" t="str">
        <f>IFERROR(VLOOKUP(#REF!,[1]Lookup!$B$2:$E$115,3,FALSE),"")</f>
        <v/>
      </c>
    </row>
    <row r="3180" spans="31:47" x14ac:dyDescent="0.3">
      <c r="AE3180" s="204" t="s">
        <v>398</v>
      </c>
      <c r="AF3180" s="204" t="s">
        <v>398</v>
      </c>
      <c r="AG3180" s="204" t="s">
        <v>398</v>
      </c>
      <c r="AS3180" s="65" t="str">
        <f>IFERROR(VLOOKUP(#REF!,[1]Lookup!$B$2:$E$115,4,FALSE),"")</f>
        <v/>
      </c>
      <c r="AT3180" s="65" t="str">
        <f>IFERROR(VLOOKUP(#REF!,[1]Lookup!$B$2:$E$115,2,FALSE),"")</f>
        <v/>
      </c>
      <c r="AU3180" s="65" t="str">
        <f>IFERROR(VLOOKUP(#REF!,[1]Lookup!$B$2:$E$115,3,FALSE),"")</f>
        <v/>
      </c>
    </row>
    <row r="3181" spans="31:47" x14ac:dyDescent="0.3">
      <c r="AE3181" s="204" t="s">
        <v>398</v>
      </c>
      <c r="AF3181" s="204" t="s">
        <v>398</v>
      </c>
      <c r="AG3181" s="204" t="s">
        <v>398</v>
      </c>
      <c r="AS3181" s="65" t="str">
        <f>IFERROR(VLOOKUP(#REF!,[1]Lookup!$B$2:$E$115,4,FALSE),"")</f>
        <v/>
      </c>
      <c r="AT3181" s="65" t="str">
        <f>IFERROR(VLOOKUP(#REF!,[1]Lookup!$B$2:$E$115,2,FALSE),"")</f>
        <v/>
      </c>
      <c r="AU3181" s="65" t="str">
        <f>IFERROR(VLOOKUP(#REF!,[1]Lookup!$B$2:$E$115,3,FALSE),"")</f>
        <v/>
      </c>
    </row>
    <row r="3182" spans="31:47" x14ac:dyDescent="0.3">
      <c r="AE3182" s="204" t="s">
        <v>398</v>
      </c>
      <c r="AF3182" s="204" t="s">
        <v>398</v>
      </c>
      <c r="AG3182" s="204" t="s">
        <v>398</v>
      </c>
      <c r="AS3182" s="65" t="str">
        <f>IFERROR(VLOOKUP(#REF!,[1]Lookup!$B$2:$E$115,4,FALSE),"")</f>
        <v/>
      </c>
      <c r="AT3182" s="65" t="str">
        <f>IFERROR(VLOOKUP(#REF!,[1]Lookup!$B$2:$E$115,2,FALSE),"")</f>
        <v/>
      </c>
      <c r="AU3182" s="65" t="str">
        <f>IFERROR(VLOOKUP(#REF!,[1]Lookup!$B$2:$E$115,3,FALSE),"")</f>
        <v/>
      </c>
    </row>
    <row r="3183" spans="31:47" x14ac:dyDescent="0.3">
      <c r="AE3183" s="204" t="s">
        <v>398</v>
      </c>
      <c r="AF3183" s="204" t="s">
        <v>398</v>
      </c>
      <c r="AG3183" s="204" t="s">
        <v>398</v>
      </c>
      <c r="AS3183" s="65" t="str">
        <f>IFERROR(VLOOKUP(#REF!,[1]Lookup!$B$2:$E$115,4,FALSE),"")</f>
        <v/>
      </c>
      <c r="AT3183" s="65" t="str">
        <f>IFERROR(VLOOKUP(#REF!,[1]Lookup!$B$2:$E$115,2,FALSE),"")</f>
        <v/>
      </c>
      <c r="AU3183" s="65" t="str">
        <f>IFERROR(VLOOKUP(#REF!,[1]Lookup!$B$2:$E$115,3,FALSE),"")</f>
        <v/>
      </c>
    </row>
    <row r="3184" spans="31:47" x14ac:dyDescent="0.3">
      <c r="AE3184" s="204" t="s">
        <v>398</v>
      </c>
      <c r="AF3184" s="204" t="s">
        <v>398</v>
      </c>
      <c r="AG3184" s="204" t="s">
        <v>398</v>
      </c>
      <c r="AS3184" s="65" t="str">
        <f>IFERROR(VLOOKUP(#REF!,[1]Lookup!$B$2:$E$115,4,FALSE),"")</f>
        <v/>
      </c>
      <c r="AT3184" s="65" t="str">
        <f>IFERROR(VLOOKUP(#REF!,[1]Lookup!$B$2:$E$115,2,FALSE),"")</f>
        <v/>
      </c>
      <c r="AU3184" s="65" t="str">
        <f>IFERROR(VLOOKUP(#REF!,[1]Lookup!$B$2:$E$115,3,FALSE),"")</f>
        <v/>
      </c>
    </row>
    <row r="3185" spans="31:47" x14ac:dyDescent="0.3">
      <c r="AE3185" s="204" t="s">
        <v>398</v>
      </c>
      <c r="AF3185" s="204" t="s">
        <v>398</v>
      </c>
      <c r="AG3185" s="204" t="s">
        <v>398</v>
      </c>
      <c r="AS3185" s="65" t="str">
        <f>IFERROR(VLOOKUP(#REF!,[1]Lookup!$B$2:$E$115,4,FALSE),"")</f>
        <v/>
      </c>
      <c r="AT3185" s="65" t="str">
        <f>IFERROR(VLOOKUP(#REF!,[1]Lookup!$B$2:$E$115,2,FALSE),"")</f>
        <v/>
      </c>
      <c r="AU3185" s="65" t="str">
        <f>IFERROR(VLOOKUP(#REF!,[1]Lookup!$B$2:$E$115,3,FALSE),"")</f>
        <v/>
      </c>
    </row>
    <row r="3186" spans="31:47" x14ac:dyDescent="0.3">
      <c r="AE3186" s="204" t="s">
        <v>398</v>
      </c>
      <c r="AF3186" s="204" t="s">
        <v>398</v>
      </c>
      <c r="AG3186" s="204" t="s">
        <v>398</v>
      </c>
      <c r="AS3186" s="65" t="str">
        <f>IFERROR(VLOOKUP(#REF!,[1]Lookup!$B$2:$E$115,4,FALSE),"")</f>
        <v/>
      </c>
      <c r="AT3186" s="65" t="str">
        <f>IFERROR(VLOOKUP(#REF!,[1]Lookup!$B$2:$E$115,2,FALSE),"")</f>
        <v/>
      </c>
      <c r="AU3186" s="65" t="str">
        <f>IFERROR(VLOOKUP(#REF!,[1]Lookup!$B$2:$E$115,3,FALSE),"")</f>
        <v/>
      </c>
    </row>
    <row r="3187" spans="31:47" x14ac:dyDescent="0.3">
      <c r="AE3187" s="204" t="s">
        <v>398</v>
      </c>
      <c r="AF3187" s="204" t="s">
        <v>398</v>
      </c>
      <c r="AG3187" s="204" t="s">
        <v>398</v>
      </c>
      <c r="AS3187" s="65" t="str">
        <f>IFERROR(VLOOKUP(#REF!,[1]Lookup!$B$2:$E$115,4,FALSE),"")</f>
        <v/>
      </c>
      <c r="AT3187" s="65" t="str">
        <f>IFERROR(VLOOKUP(#REF!,[1]Lookup!$B$2:$E$115,2,FALSE),"")</f>
        <v/>
      </c>
      <c r="AU3187" s="65" t="str">
        <f>IFERROR(VLOOKUP(#REF!,[1]Lookup!$B$2:$E$115,3,FALSE),"")</f>
        <v/>
      </c>
    </row>
    <row r="3188" spans="31:47" x14ac:dyDescent="0.3">
      <c r="AE3188" s="204" t="s">
        <v>398</v>
      </c>
      <c r="AF3188" s="204" t="s">
        <v>398</v>
      </c>
      <c r="AG3188" s="204" t="s">
        <v>398</v>
      </c>
      <c r="AS3188" s="65" t="str">
        <f>IFERROR(VLOOKUP(#REF!,[1]Lookup!$B$2:$E$115,4,FALSE),"")</f>
        <v/>
      </c>
      <c r="AT3188" s="65" t="str">
        <f>IFERROR(VLOOKUP(#REF!,[1]Lookup!$B$2:$E$115,2,FALSE),"")</f>
        <v/>
      </c>
      <c r="AU3188" s="65" t="str">
        <f>IFERROR(VLOOKUP(#REF!,[1]Lookup!$B$2:$E$115,3,FALSE),"")</f>
        <v/>
      </c>
    </row>
    <row r="3189" spans="31:47" x14ac:dyDescent="0.3">
      <c r="AE3189" s="204" t="s">
        <v>398</v>
      </c>
      <c r="AF3189" s="204" t="s">
        <v>398</v>
      </c>
      <c r="AG3189" s="204" t="s">
        <v>398</v>
      </c>
      <c r="AS3189" s="65" t="str">
        <f>IFERROR(VLOOKUP(#REF!,[1]Lookup!$B$2:$E$115,4,FALSE),"")</f>
        <v/>
      </c>
      <c r="AT3189" s="65" t="str">
        <f>IFERROR(VLOOKUP(#REF!,[1]Lookup!$B$2:$E$115,2,FALSE),"")</f>
        <v/>
      </c>
      <c r="AU3189" s="65" t="str">
        <f>IFERROR(VLOOKUP(#REF!,[1]Lookup!$B$2:$E$115,3,FALSE),"")</f>
        <v/>
      </c>
    </row>
    <row r="3190" spans="31:47" x14ac:dyDescent="0.3">
      <c r="AE3190" s="204" t="s">
        <v>398</v>
      </c>
      <c r="AF3190" s="204" t="s">
        <v>398</v>
      </c>
      <c r="AG3190" s="204" t="s">
        <v>398</v>
      </c>
      <c r="AS3190" s="65" t="str">
        <f>IFERROR(VLOOKUP(#REF!,[1]Lookup!$B$2:$E$115,4,FALSE),"")</f>
        <v/>
      </c>
      <c r="AT3190" s="65" t="str">
        <f>IFERROR(VLOOKUP(#REF!,[1]Lookup!$B$2:$E$115,2,FALSE),"")</f>
        <v/>
      </c>
      <c r="AU3190" s="65" t="str">
        <f>IFERROR(VLOOKUP(#REF!,[1]Lookup!$B$2:$E$115,3,FALSE),"")</f>
        <v/>
      </c>
    </row>
    <row r="3191" spans="31:47" x14ac:dyDescent="0.3">
      <c r="AE3191" s="204" t="s">
        <v>398</v>
      </c>
      <c r="AF3191" s="204" t="s">
        <v>398</v>
      </c>
      <c r="AG3191" s="204" t="s">
        <v>398</v>
      </c>
      <c r="AS3191" s="65" t="str">
        <f>IFERROR(VLOOKUP(#REF!,[1]Lookup!$B$2:$E$115,4,FALSE),"")</f>
        <v/>
      </c>
      <c r="AT3191" s="65" t="str">
        <f>IFERROR(VLOOKUP(#REF!,[1]Lookup!$B$2:$E$115,2,FALSE),"")</f>
        <v/>
      </c>
      <c r="AU3191" s="65" t="str">
        <f>IFERROR(VLOOKUP(#REF!,[1]Lookup!$B$2:$E$115,3,FALSE),"")</f>
        <v/>
      </c>
    </row>
    <row r="3192" spans="31:47" x14ac:dyDescent="0.3">
      <c r="AE3192" s="204" t="s">
        <v>398</v>
      </c>
      <c r="AF3192" s="204" t="s">
        <v>398</v>
      </c>
      <c r="AG3192" s="204" t="s">
        <v>398</v>
      </c>
      <c r="AS3192" s="65" t="str">
        <f>IFERROR(VLOOKUP(#REF!,[1]Lookup!$B$2:$E$115,4,FALSE),"")</f>
        <v/>
      </c>
      <c r="AT3192" s="65" t="str">
        <f>IFERROR(VLOOKUP(#REF!,[1]Lookup!$B$2:$E$115,2,FALSE),"")</f>
        <v/>
      </c>
      <c r="AU3192" s="65" t="str">
        <f>IFERROR(VLOOKUP(#REF!,[1]Lookup!$B$2:$E$115,3,FALSE),"")</f>
        <v/>
      </c>
    </row>
    <row r="3193" spans="31:47" x14ac:dyDescent="0.3">
      <c r="AE3193" s="204" t="s">
        <v>398</v>
      </c>
      <c r="AF3193" s="204" t="s">
        <v>398</v>
      </c>
      <c r="AG3193" s="204" t="s">
        <v>398</v>
      </c>
      <c r="AS3193" s="65" t="str">
        <f>IFERROR(VLOOKUP(#REF!,[1]Lookup!$B$2:$E$115,4,FALSE),"")</f>
        <v/>
      </c>
      <c r="AT3193" s="65" t="str">
        <f>IFERROR(VLOOKUP(#REF!,[1]Lookup!$B$2:$E$115,2,FALSE),"")</f>
        <v/>
      </c>
      <c r="AU3193" s="65" t="str">
        <f>IFERROR(VLOOKUP(#REF!,[1]Lookup!$B$2:$E$115,3,FALSE),"")</f>
        <v/>
      </c>
    </row>
    <row r="3194" spans="31:47" x14ac:dyDescent="0.3">
      <c r="AE3194" s="204" t="s">
        <v>398</v>
      </c>
      <c r="AF3194" s="204" t="s">
        <v>398</v>
      </c>
      <c r="AG3194" s="204" t="s">
        <v>398</v>
      </c>
      <c r="AS3194" s="65" t="str">
        <f>IFERROR(VLOOKUP(#REF!,[1]Lookup!$B$2:$E$115,4,FALSE),"")</f>
        <v/>
      </c>
      <c r="AT3194" s="65" t="str">
        <f>IFERROR(VLOOKUP(#REF!,[1]Lookup!$B$2:$E$115,2,FALSE),"")</f>
        <v/>
      </c>
      <c r="AU3194" s="65" t="str">
        <f>IFERROR(VLOOKUP(#REF!,[1]Lookup!$B$2:$E$115,3,FALSE),"")</f>
        <v/>
      </c>
    </row>
    <row r="3195" spans="31:47" x14ac:dyDescent="0.3">
      <c r="AE3195" s="204" t="s">
        <v>398</v>
      </c>
      <c r="AF3195" s="204" t="s">
        <v>398</v>
      </c>
      <c r="AG3195" s="204" t="s">
        <v>398</v>
      </c>
      <c r="AS3195" s="65" t="str">
        <f>IFERROR(VLOOKUP(#REF!,[1]Lookup!$B$2:$E$115,4,FALSE),"")</f>
        <v/>
      </c>
      <c r="AT3195" s="65" t="str">
        <f>IFERROR(VLOOKUP(#REF!,[1]Lookup!$B$2:$E$115,2,FALSE),"")</f>
        <v/>
      </c>
      <c r="AU3195" s="65" t="str">
        <f>IFERROR(VLOOKUP(#REF!,[1]Lookup!$B$2:$E$115,3,FALSE),"")</f>
        <v/>
      </c>
    </row>
    <row r="3196" spans="31:47" x14ac:dyDescent="0.3">
      <c r="AE3196" s="204" t="s">
        <v>398</v>
      </c>
      <c r="AF3196" s="204" t="s">
        <v>398</v>
      </c>
      <c r="AG3196" s="204" t="s">
        <v>398</v>
      </c>
      <c r="AS3196" s="65" t="str">
        <f>IFERROR(VLOOKUP(#REF!,[1]Lookup!$B$2:$E$115,4,FALSE),"")</f>
        <v/>
      </c>
      <c r="AT3196" s="65" t="str">
        <f>IFERROR(VLOOKUP(#REF!,[1]Lookup!$B$2:$E$115,2,FALSE),"")</f>
        <v/>
      </c>
      <c r="AU3196" s="65" t="str">
        <f>IFERROR(VLOOKUP(#REF!,[1]Lookup!$B$2:$E$115,3,FALSE),"")</f>
        <v/>
      </c>
    </row>
    <row r="3197" spans="31:47" x14ac:dyDescent="0.3">
      <c r="AE3197" s="204" t="s">
        <v>398</v>
      </c>
      <c r="AF3197" s="204" t="s">
        <v>398</v>
      </c>
      <c r="AG3197" s="204" t="s">
        <v>398</v>
      </c>
      <c r="AS3197" s="65" t="str">
        <f>IFERROR(VLOOKUP(#REF!,[1]Lookup!$B$2:$E$115,4,FALSE),"")</f>
        <v/>
      </c>
      <c r="AT3197" s="65" t="str">
        <f>IFERROR(VLOOKUP(#REF!,[1]Lookup!$B$2:$E$115,2,FALSE),"")</f>
        <v/>
      </c>
      <c r="AU3197" s="65" t="str">
        <f>IFERROR(VLOOKUP(#REF!,[1]Lookup!$B$2:$E$115,3,FALSE),"")</f>
        <v/>
      </c>
    </row>
    <row r="3198" spans="31:47" x14ac:dyDescent="0.3">
      <c r="AE3198" s="204" t="s">
        <v>398</v>
      </c>
      <c r="AF3198" s="204" t="s">
        <v>398</v>
      </c>
      <c r="AG3198" s="204" t="s">
        <v>398</v>
      </c>
      <c r="AS3198" s="65" t="str">
        <f>IFERROR(VLOOKUP(#REF!,[1]Lookup!$B$2:$E$115,4,FALSE),"")</f>
        <v/>
      </c>
      <c r="AT3198" s="65" t="str">
        <f>IFERROR(VLOOKUP(#REF!,[1]Lookup!$B$2:$E$115,2,FALSE),"")</f>
        <v/>
      </c>
      <c r="AU3198" s="65" t="str">
        <f>IFERROR(VLOOKUP(#REF!,[1]Lookup!$B$2:$E$115,3,FALSE),"")</f>
        <v/>
      </c>
    </row>
    <row r="3199" spans="31:47" x14ac:dyDescent="0.3">
      <c r="AE3199" s="204" t="s">
        <v>398</v>
      </c>
      <c r="AF3199" s="204" t="s">
        <v>398</v>
      </c>
      <c r="AG3199" s="204" t="s">
        <v>398</v>
      </c>
      <c r="AS3199" s="65" t="str">
        <f>IFERROR(VLOOKUP(#REF!,[1]Lookup!$B$2:$E$115,4,FALSE),"")</f>
        <v/>
      </c>
      <c r="AT3199" s="65" t="str">
        <f>IFERROR(VLOOKUP(#REF!,[1]Lookup!$B$2:$E$115,2,FALSE),"")</f>
        <v/>
      </c>
      <c r="AU3199" s="65" t="str">
        <f>IFERROR(VLOOKUP(#REF!,[1]Lookup!$B$2:$E$115,3,FALSE),"")</f>
        <v/>
      </c>
    </row>
    <row r="3200" spans="31:47" x14ac:dyDescent="0.3">
      <c r="AE3200" s="204" t="s">
        <v>398</v>
      </c>
      <c r="AF3200" s="204" t="s">
        <v>398</v>
      </c>
      <c r="AG3200" s="204" t="s">
        <v>398</v>
      </c>
      <c r="AS3200" s="65" t="str">
        <f>IFERROR(VLOOKUP(#REF!,[1]Lookup!$B$2:$E$115,4,FALSE),"")</f>
        <v/>
      </c>
      <c r="AT3200" s="65" t="str">
        <f>IFERROR(VLOOKUP(#REF!,[1]Lookup!$B$2:$E$115,2,FALSE),"")</f>
        <v/>
      </c>
      <c r="AU3200" s="65" t="str">
        <f>IFERROR(VLOOKUP(#REF!,[1]Lookup!$B$2:$E$115,3,FALSE),"")</f>
        <v/>
      </c>
    </row>
    <row r="3201" spans="31:47" x14ac:dyDescent="0.3">
      <c r="AE3201" s="204" t="s">
        <v>398</v>
      </c>
      <c r="AF3201" s="204" t="s">
        <v>398</v>
      </c>
      <c r="AG3201" s="204" t="s">
        <v>398</v>
      </c>
      <c r="AS3201" s="65" t="str">
        <f>IFERROR(VLOOKUP(#REF!,[1]Lookup!$B$2:$E$115,4,FALSE),"")</f>
        <v/>
      </c>
      <c r="AT3201" s="65" t="str">
        <f>IFERROR(VLOOKUP(#REF!,[1]Lookup!$B$2:$E$115,2,FALSE),"")</f>
        <v/>
      </c>
      <c r="AU3201" s="65" t="str">
        <f>IFERROR(VLOOKUP(#REF!,[1]Lookup!$B$2:$E$115,3,FALSE),"")</f>
        <v/>
      </c>
    </row>
    <row r="3202" spans="31:47" x14ac:dyDescent="0.3">
      <c r="AE3202" s="204" t="s">
        <v>398</v>
      </c>
      <c r="AF3202" s="204" t="s">
        <v>398</v>
      </c>
      <c r="AG3202" s="204" t="s">
        <v>398</v>
      </c>
      <c r="AS3202" s="65" t="str">
        <f>IFERROR(VLOOKUP(#REF!,[1]Lookup!$B$2:$E$115,4,FALSE),"")</f>
        <v/>
      </c>
      <c r="AT3202" s="65" t="str">
        <f>IFERROR(VLOOKUP(#REF!,[1]Lookup!$B$2:$E$115,2,FALSE),"")</f>
        <v/>
      </c>
      <c r="AU3202" s="65" t="str">
        <f>IFERROR(VLOOKUP(#REF!,[1]Lookup!$B$2:$E$115,3,FALSE),"")</f>
        <v/>
      </c>
    </row>
    <row r="3203" spans="31:47" x14ac:dyDescent="0.3">
      <c r="AE3203" s="204" t="s">
        <v>398</v>
      </c>
      <c r="AF3203" s="204" t="s">
        <v>398</v>
      </c>
      <c r="AG3203" s="204" t="s">
        <v>398</v>
      </c>
      <c r="AS3203" s="65" t="str">
        <f>IFERROR(VLOOKUP(#REF!,[1]Lookup!$B$2:$E$115,4,FALSE),"")</f>
        <v/>
      </c>
      <c r="AT3203" s="65" t="str">
        <f>IFERROR(VLOOKUP(#REF!,[1]Lookup!$B$2:$E$115,2,FALSE),"")</f>
        <v/>
      </c>
      <c r="AU3203" s="65" t="str">
        <f>IFERROR(VLOOKUP(#REF!,[1]Lookup!$B$2:$E$115,3,FALSE),"")</f>
        <v/>
      </c>
    </row>
    <row r="3204" spans="31:47" x14ac:dyDescent="0.3">
      <c r="AE3204" s="204" t="s">
        <v>398</v>
      </c>
      <c r="AF3204" s="204" t="s">
        <v>398</v>
      </c>
      <c r="AG3204" s="204" t="s">
        <v>398</v>
      </c>
      <c r="AS3204" s="65" t="str">
        <f>IFERROR(VLOOKUP(#REF!,[1]Lookup!$B$2:$E$115,4,FALSE),"")</f>
        <v/>
      </c>
      <c r="AT3204" s="65" t="str">
        <f>IFERROR(VLOOKUP(#REF!,[1]Lookup!$B$2:$E$115,2,FALSE),"")</f>
        <v/>
      </c>
      <c r="AU3204" s="65" t="str">
        <f>IFERROR(VLOOKUP(#REF!,[1]Lookup!$B$2:$E$115,3,FALSE),"")</f>
        <v/>
      </c>
    </row>
    <row r="3205" spans="31:47" x14ac:dyDescent="0.3">
      <c r="AE3205" s="204" t="s">
        <v>398</v>
      </c>
      <c r="AF3205" s="204" t="s">
        <v>398</v>
      </c>
      <c r="AG3205" s="204" t="s">
        <v>398</v>
      </c>
      <c r="AS3205" s="65" t="str">
        <f>IFERROR(VLOOKUP(#REF!,[1]Lookup!$B$2:$E$115,4,FALSE),"")</f>
        <v/>
      </c>
      <c r="AT3205" s="65" t="str">
        <f>IFERROR(VLOOKUP(#REF!,[1]Lookup!$B$2:$E$115,2,FALSE),"")</f>
        <v/>
      </c>
      <c r="AU3205" s="65" t="str">
        <f>IFERROR(VLOOKUP(#REF!,[1]Lookup!$B$2:$E$115,3,FALSE),"")</f>
        <v/>
      </c>
    </row>
    <row r="3206" spans="31:47" x14ac:dyDescent="0.3">
      <c r="AE3206" s="204" t="s">
        <v>398</v>
      </c>
      <c r="AF3206" s="204" t="s">
        <v>398</v>
      </c>
      <c r="AG3206" s="204" t="s">
        <v>398</v>
      </c>
      <c r="AS3206" s="65" t="str">
        <f>IFERROR(VLOOKUP(#REF!,[1]Lookup!$B$2:$E$115,4,FALSE),"")</f>
        <v/>
      </c>
      <c r="AT3206" s="65" t="str">
        <f>IFERROR(VLOOKUP(#REF!,[1]Lookup!$B$2:$E$115,2,FALSE),"")</f>
        <v/>
      </c>
      <c r="AU3206" s="65" t="str">
        <f>IFERROR(VLOOKUP(#REF!,[1]Lookup!$B$2:$E$115,3,FALSE),"")</f>
        <v/>
      </c>
    </row>
    <row r="3207" spans="31:47" x14ac:dyDescent="0.3">
      <c r="AE3207" s="204" t="s">
        <v>398</v>
      </c>
      <c r="AF3207" s="204" t="s">
        <v>398</v>
      </c>
      <c r="AG3207" s="204" t="s">
        <v>398</v>
      </c>
      <c r="AS3207" s="65" t="str">
        <f>IFERROR(VLOOKUP(#REF!,[1]Lookup!$B$2:$E$115,4,FALSE),"")</f>
        <v/>
      </c>
      <c r="AT3207" s="65" t="str">
        <f>IFERROR(VLOOKUP(#REF!,[1]Lookup!$B$2:$E$115,2,FALSE),"")</f>
        <v/>
      </c>
      <c r="AU3207" s="65" t="str">
        <f>IFERROR(VLOOKUP(#REF!,[1]Lookup!$B$2:$E$115,3,FALSE),"")</f>
        <v/>
      </c>
    </row>
    <row r="3208" spans="31:47" x14ac:dyDescent="0.3">
      <c r="AE3208" s="204" t="s">
        <v>398</v>
      </c>
      <c r="AF3208" s="204" t="s">
        <v>398</v>
      </c>
      <c r="AG3208" s="204" t="s">
        <v>398</v>
      </c>
      <c r="AS3208" s="65" t="str">
        <f>IFERROR(VLOOKUP(#REF!,[1]Lookup!$B$2:$E$115,4,FALSE),"")</f>
        <v/>
      </c>
      <c r="AT3208" s="65" t="str">
        <f>IFERROR(VLOOKUP(#REF!,[1]Lookup!$B$2:$E$115,2,FALSE),"")</f>
        <v/>
      </c>
      <c r="AU3208" s="65" t="str">
        <f>IFERROR(VLOOKUP(#REF!,[1]Lookup!$B$2:$E$115,3,FALSE),"")</f>
        <v/>
      </c>
    </row>
    <row r="3209" spans="31:47" x14ac:dyDescent="0.3">
      <c r="AE3209" s="204" t="s">
        <v>398</v>
      </c>
      <c r="AF3209" s="204" t="s">
        <v>398</v>
      </c>
      <c r="AG3209" s="204" t="s">
        <v>398</v>
      </c>
      <c r="AS3209" s="65" t="str">
        <f>IFERROR(VLOOKUP(#REF!,[1]Lookup!$B$2:$E$115,4,FALSE),"")</f>
        <v/>
      </c>
      <c r="AT3209" s="65" t="str">
        <f>IFERROR(VLOOKUP(#REF!,[1]Lookup!$B$2:$E$115,2,FALSE),"")</f>
        <v/>
      </c>
      <c r="AU3209" s="65" t="str">
        <f>IFERROR(VLOOKUP(#REF!,[1]Lookup!$B$2:$E$115,3,FALSE),"")</f>
        <v/>
      </c>
    </row>
    <row r="3210" spans="31:47" x14ac:dyDescent="0.3">
      <c r="AE3210" s="204" t="s">
        <v>398</v>
      </c>
      <c r="AF3210" s="204" t="s">
        <v>398</v>
      </c>
      <c r="AG3210" s="204" t="s">
        <v>398</v>
      </c>
      <c r="AS3210" s="65" t="str">
        <f>IFERROR(VLOOKUP(#REF!,[1]Lookup!$B$2:$E$115,4,FALSE),"")</f>
        <v/>
      </c>
      <c r="AT3210" s="65" t="str">
        <f>IFERROR(VLOOKUP(#REF!,[1]Lookup!$B$2:$E$115,2,FALSE),"")</f>
        <v/>
      </c>
      <c r="AU3210" s="65" t="str">
        <f>IFERROR(VLOOKUP(#REF!,[1]Lookup!$B$2:$E$115,3,FALSE),"")</f>
        <v/>
      </c>
    </row>
    <row r="3211" spans="31:47" x14ac:dyDescent="0.3">
      <c r="AE3211" s="204" t="s">
        <v>398</v>
      </c>
      <c r="AF3211" s="204" t="s">
        <v>398</v>
      </c>
      <c r="AG3211" s="204" t="s">
        <v>398</v>
      </c>
      <c r="AS3211" s="65" t="str">
        <f>IFERROR(VLOOKUP(#REF!,[1]Lookup!$B$2:$E$115,4,FALSE),"")</f>
        <v/>
      </c>
      <c r="AT3211" s="65" t="str">
        <f>IFERROR(VLOOKUP(#REF!,[1]Lookup!$B$2:$E$115,2,FALSE),"")</f>
        <v/>
      </c>
      <c r="AU3211" s="65" t="str">
        <f>IFERROR(VLOOKUP(#REF!,[1]Lookup!$B$2:$E$115,3,FALSE),"")</f>
        <v/>
      </c>
    </row>
    <row r="3212" spans="31:47" x14ac:dyDescent="0.3">
      <c r="AE3212" s="204" t="s">
        <v>398</v>
      </c>
      <c r="AF3212" s="204" t="s">
        <v>398</v>
      </c>
      <c r="AG3212" s="204" t="s">
        <v>398</v>
      </c>
      <c r="AS3212" s="65" t="str">
        <f>IFERROR(VLOOKUP(#REF!,[1]Lookup!$B$2:$E$115,4,FALSE),"")</f>
        <v/>
      </c>
      <c r="AT3212" s="65" t="str">
        <f>IFERROR(VLOOKUP(#REF!,[1]Lookup!$B$2:$E$115,2,FALSE),"")</f>
        <v/>
      </c>
      <c r="AU3212" s="65" t="str">
        <f>IFERROR(VLOOKUP(#REF!,[1]Lookup!$B$2:$E$115,3,FALSE),"")</f>
        <v/>
      </c>
    </row>
    <row r="3213" spans="31:47" x14ac:dyDescent="0.3">
      <c r="AE3213" s="204" t="s">
        <v>398</v>
      </c>
      <c r="AF3213" s="204" t="s">
        <v>398</v>
      </c>
      <c r="AG3213" s="204" t="s">
        <v>398</v>
      </c>
      <c r="AS3213" s="65" t="str">
        <f>IFERROR(VLOOKUP(#REF!,[1]Lookup!$B$2:$E$115,4,FALSE),"")</f>
        <v/>
      </c>
      <c r="AT3213" s="65" t="str">
        <f>IFERROR(VLOOKUP(#REF!,[1]Lookup!$B$2:$E$115,2,FALSE),"")</f>
        <v/>
      </c>
      <c r="AU3213" s="65" t="str">
        <f>IFERROR(VLOOKUP(#REF!,[1]Lookup!$B$2:$E$115,3,FALSE),"")</f>
        <v/>
      </c>
    </row>
    <row r="3214" spans="31:47" x14ac:dyDescent="0.3">
      <c r="AE3214" s="204" t="s">
        <v>398</v>
      </c>
      <c r="AF3214" s="204" t="s">
        <v>398</v>
      </c>
      <c r="AG3214" s="204" t="s">
        <v>398</v>
      </c>
      <c r="AS3214" s="65" t="str">
        <f>IFERROR(VLOOKUP(#REF!,[1]Lookup!$B$2:$E$115,4,FALSE),"")</f>
        <v/>
      </c>
      <c r="AT3214" s="65" t="str">
        <f>IFERROR(VLOOKUP(#REF!,[1]Lookup!$B$2:$E$115,2,FALSE),"")</f>
        <v/>
      </c>
      <c r="AU3214" s="65" t="str">
        <f>IFERROR(VLOOKUP(#REF!,[1]Lookup!$B$2:$E$115,3,FALSE),"")</f>
        <v/>
      </c>
    </row>
    <row r="3215" spans="31:47" x14ac:dyDescent="0.3">
      <c r="AE3215" s="204" t="s">
        <v>398</v>
      </c>
      <c r="AF3215" s="204" t="s">
        <v>398</v>
      </c>
      <c r="AG3215" s="204" t="s">
        <v>398</v>
      </c>
      <c r="AS3215" s="65" t="str">
        <f>IFERROR(VLOOKUP(#REF!,[1]Lookup!$B$2:$E$115,4,FALSE),"")</f>
        <v/>
      </c>
      <c r="AT3215" s="65" t="str">
        <f>IFERROR(VLOOKUP(#REF!,[1]Lookup!$B$2:$E$115,2,FALSE),"")</f>
        <v/>
      </c>
      <c r="AU3215" s="65" t="str">
        <f>IFERROR(VLOOKUP(#REF!,[1]Lookup!$B$2:$E$115,3,FALSE),"")</f>
        <v/>
      </c>
    </row>
    <row r="3216" spans="31:47" x14ac:dyDescent="0.3">
      <c r="AE3216" s="204" t="s">
        <v>398</v>
      </c>
      <c r="AF3216" s="204" t="s">
        <v>398</v>
      </c>
      <c r="AG3216" s="204" t="s">
        <v>398</v>
      </c>
      <c r="AS3216" s="65" t="str">
        <f>IFERROR(VLOOKUP(#REF!,[1]Lookup!$B$2:$E$115,4,FALSE),"")</f>
        <v/>
      </c>
      <c r="AT3216" s="65" t="str">
        <f>IFERROR(VLOOKUP(#REF!,[1]Lookup!$B$2:$E$115,2,FALSE),"")</f>
        <v/>
      </c>
      <c r="AU3216" s="65" t="str">
        <f>IFERROR(VLOOKUP(#REF!,[1]Lookup!$B$2:$E$115,3,FALSE),"")</f>
        <v/>
      </c>
    </row>
    <row r="3217" spans="31:47" x14ac:dyDescent="0.3">
      <c r="AE3217" s="204" t="s">
        <v>398</v>
      </c>
      <c r="AF3217" s="204" t="s">
        <v>398</v>
      </c>
      <c r="AG3217" s="204" t="s">
        <v>398</v>
      </c>
      <c r="AS3217" s="65" t="str">
        <f>IFERROR(VLOOKUP(#REF!,[1]Lookup!$B$2:$E$115,4,FALSE),"")</f>
        <v/>
      </c>
      <c r="AT3217" s="65" t="str">
        <f>IFERROR(VLOOKUP(#REF!,[1]Lookup!$B$2:$E$115,2,FALSE),"")</f>
        <v/>
      </c>
      <c r="AU3217" s="65" t="str">
        <f>IFERROR(VLOOKUP(#REF!,[1]Lookup!$B$2:$E$115,3,FALSE),"")</f>
        <v/>
      </c>
    </row>
    <row r="3218" spans="31:47" x14ac:dyDescent="0.3">
      <c r="AE3218" s="204" t="s">
        <v>398</v>
      </c>
      <c r="AF3218" s="204" t="s">
        <v>398</v>
      </c>
      <c r="AG3218" s="204" t="s">
        <v>398</v>
      </c>
      <c r="AS3218" s="65" t="str">
        <f>IFERROR(VLOOKUP(#REF!,[1]Lookup!$B$2:$E$115,4,FALSE),"")</f>
        <v/>
      </c>
      <c r="AT3218" s="65" t="str">
        <f>IFERROR(VLOOKUP(#REF!,[1]Lookup!$B$2:$E$115,2,FALSE),"")</f>
        <v/>
      </c>
      <c r="AU3218" s="65" t="str">
        <f>IFERROR(VLOOKUP(#REF!,[1]Lookup!$B$2:$E$115,3,FALSE),"")</f>
        <v/>
      </c>
    </row>
    <row r="3219" spans="31:47" x14ac:dyDescent="0.3">
      <c r="AE3219" s="204" t="s">
        <v>398</v>
      </c>
      <c r="AF3219" s="204" t="s">
        <v>398</v>
      </c>
      <c r="AG3219" s="204" t="s">
        <v>398</v>
      </c>
      <c r="AS3219" s="65" t="str">
        <f>IFERROR(VLOOKUP(#REF!,[1]Lookup!$B$2:$E$115,4,FALSE),"")</f>
        <v/>
      </c>
      <c r="AT3219" s="65" t="str">
        <f>IFERROR(VLOOKUP(#REF!,[1]Lookup!$B$2:$E$115,2,FALSE),"")</f>
        <v/>
      </c>
      <c r="AU3219" s="65" t="str">
        <f>IFERROR(VLOOKUP(#REF!,[1]Lookup!$B$2:$E$115,3,FALSE),"")</f>
        <v/>
      </c>
    </row>
    <row r="3220" spans="31:47" x14ac:dyDescent="0.3">
      <c r="AE3220" s="204" t="s">
        <v>398</v>
      </c>
      <c r="AF3220" s="204" t="s">
        <v>398</v>
      </c>
      <c r="AG3220" s="204" t="s">
        <v>398</v>
      </c>
      <c r="AS3220" s="65" t="str">
        <f>IFERROR(VLOOKUP(#REF!,[1]Lookup!$B$2:$E$115,4,FALSE),"")</f>
        <v/>
      </c>
      <c r="AT3220" s="65" t="str">
        <f>IFERROR(VLOOKUP(#REF!,[1]Lookup!$B$2:$E$115,2,FALSE),"")</f>
        <v/>
      </c>
      <c r="AU3220" s="65" t="str">
        <f>IFERROR(VLOOKUP(#REF!,[1]Lookup!$B$2:$E$115,3,FALSE),"")</f>
        <v/>
      </c>
    </row>
    <row r="3221" spans="31:47" x14ac:dyDescent="0.3">
      <c r="AE3221" s="204" t="s">
        <v>398</v>
      </c>
      <c r="AF3221" s="204" t="s">
        <v>398</v>
      </c>
      <c r="AG3221" s="204" t="s">
        <v>398</v>
      </c>
      <c r="AS3221" s="65" t="str">
        <f>IFERROR(VLOOKUP(#REF!,[1]Lookup!$B$2:$E$115,4,FALSE),"")</f>
        <v/>
      </c>
      <c r="AT3221" s="65" t="str">
        <f>IFERROR(VLOOKUP(#REF!,[1]Lookup!$B$2:$E$115,2,FALSE),"")</f>
        <v/>
      </c>
      <c r="AU3221" s="65" t="str">
        <f>IFERROR(VLOOKUP(#REF!,[1]Lookup!$B$2:$E$115,3,FALSE),"")</f>
        <v/>
      </c>
    </row>
    <row r="3222" spans="31:47" x14ac:dyDescent="0.3">
      <c r="AE3222" s="204" t="s">
        <v>398</v>
      </c>
      <c r="AF3222" s="204" t="s">
        <v>398</v>
      </c>
      <c r="AG3222" s="204" t="s">
        <v>398</v>
      </c>
      <c r="AS3222" s="65" t="str">
        <f>IFERROR(VLOOKUP(#REF!,[1]Lookup!$B$2:$E$115,4,FALSE),"")</f>
        <v/>
      </c>
      <c r="AT3222" s="65" t="str">
        <f>IFERROR(VLOOKUP(#REF!,[1]Lookup!$B$2:$E$115,2,FALSE),"")</f>
        <v/>
      </c>
      <c r="AU3222" s="65" t="str">
        <f>IFERROR(VLOOKUP(#REF!,[1]Lookup!$B$2:$E$115,3,FALSE),"")</f>
        <v/>
      </c>
    </row>
    <row r="3223" spans="31:47" x14ac:dyDescent="0.3">
      <c r="AE3223" s="204" t="s">
        <v>398</v>
      </c>
      <c r="AF3223" s="204" t="s">
        <v>398</v>
      </c>
      <c r="AG3223" s="204" t="s">
        <v>398</v>
      </c>
      <c r="AS3223" s="65" t="str">
        <f>IFERROR(VLOOKUP(#REF!,[1]Lookup!$B$2:$E$115,4,FALSE),"")</f>
        <v/>
      </c>
      <c r="AT3223" s="65" t="str">
        <f>IFERROR(VLOOKUP(#REF!,[1]Lookup!$B$2:$E$115,2,FALSE),"")</f>
        <v/>
      </c>
      <c r="AU3223" s="65" t="str">
        <f>IFERROR(VLOOKUP(#REF!,[1]Lookup!$B$2:$E$115,3,FALSE),"")</f>
        <v/>
      </c>
    </row>
    <row r="3224" spans="31:47" x14ac:dyDescent="0.3">
      <c r="AE3224" s="204" t="s">
        <v>398</v>
      </c>
      <c r="AF3224" s="204" t="s">
        <v>398</v>
      </c>
      <c r="AG3224" s="204" t="s">
        <v>398</v>
      </c>
      <c r="AS3224" s="65" t="str">
        <f>IFERROR(VLOOKUP(#REF!,[1]Lookup!$B$2:$E$115,4,FALSE),"")</f>
        <v/>
      </c>
      <c r="AT3224" s="65" t="str">
        <f>IFERROR(VLOOKUP(#REF!,[1]Lookup!$B$2:$E$115,2,FALSE),"")</f>
        <v/>
      </c>
      <c r="AU3224" s="65" t="str">
        <f>IFERROR(VLOOKUP(#REF!,[1]Lookup!$B$2:$E$115,3,FALSE),"")</f>
        <v/>
      </c>
    </row>
    <row r="3225" spans="31:47" x14ac:dyDescent="0.3">
      <c r="AE3225" s="204" t="s">
        <v>398</v>
      </c>
      <c r="AF3225" s="204" t="s">
        <v>398</v>
      </c>
      <c r="AG3225" s="204" t="s">
        <v>398</v>
      </c>
      <c r="AS3225" s="65" t="str">
        <f>IFERROR(VLOOKUP(#REF!,[1]Lookup!$B$2:$E$115,4,FALSE),"")</f>
        <v/>
      </c>
      <c r="AT3225" s="65" t="str">
        <f>IFERROR(VLOOKUP(#REF!,[1]Lookup!$B$2:$E$115,2,FALSE),"")</f>
        <v/>
      </c>
      <c r="AU3225" s="65" t="str">
        <f>IFERROR(VLOOKUP(#REF!,[1]Lookup!$B$2:$E$115,3,FALSE),"")</f>
        <v/>
      </c>
    </row>
    <row r="3226" spans="31:47" x14ac:dyDescent="0.3">
      <c r="AE3226" s="204" t="s">
        <v>398</v>
      </c>
      <c r="AF3226" s="204" t="s">
        <v>398</v>
      </c>
      <c r="AG3226" s="204" t="s">
        <v>398</v>
      </c>
      <c r="AS3226" s="65" t="str">
        <f>IFERROR(VLOOKUP(#REF!,[1]Lookup!$B$2:$E$115,4,FALSE),"")</f>
        <v/>
      </c>
      <c r="AT3226" s="65" t="str">
        <f>IFERROR(VLOOKUP(#REF!,[1]Lookup!$B$2:$E$115,2,FALSE),"")</f>
        <v/>
      </c>
      <c r="AU3226" s="65" t="str">
        <f>IFERROR(VLOOKUP(#REF!,[1]Lookup!$B$2:$E$115,3,FALSE),"")</f>
        <v/>
      </c>
    </row>
    <row r="3227" spans="31:47" x14ac:dyDescent="0.3">
      <c r="AE3227" s="204" t="s">
        <v>398</v>
      </c>
      <c r="AF3227" s="204" t="s">
        <v>398</v>
      </c>
      <c r="AG3227" s="204" t="s">
        <v>398</v>
      </c>
      <c r="AS3227" s="65" t="str">
        <f>IFERROR(VLOOKUP(#REF!,[1]Lookup!$B$2:$E$115,4,FALSE),"")</f>
        <v/>
      </c>
      <c r="AT3227" s="65" t="str">
        <f>IFERROR(VLOOKUP(#REF!,[1]Lookup!$B$2:$E$115,2,FALSE),"")</f>
        <v/>
      </c>
      <c r="AU3227" s="65" t="str">
        <f>IFERROR(VLOOKUP(#REF!,[1]Lookup!$B$2:$E$115,3,FALSE),"")</f>
        <v/>
      </c>
    </row>
    <row r="3228" spans="31:47" x14ac:dyDescent="0.3">
      <c r="AE3228" s="204" t="s">
        <v>398</v>
      </c>
      <c r="AF3228" s="204" t="s">
        <v>398</v>
      </c>
      <c r="AG3228" s="204" t="s">
        <v>398</v>
      </c>
      <c r="AS3228" s="65" t="str">
        <f>IFERROR(VLOOKUP(#REF!,[1]Lookup!$B$2:$E$115,4,FALSE),"")</f>
        <v/>
      </c>
      <c r="AT3228" s="65" t="str">
        <f>IFERROR(VLOOKUP(#REF!,[1]Lookup!$B$2:$E$115,2,FALSE),"")</f>
        <v/>
      </c>
      <c r="AU3228" s="65" t="str">
        <f>IFERROR(VLOOKUP(#REF!,[1]Lookup!$B$2:$E$115,3,FALSE),"")</f>
        <v/>
      </c>
    </row>
    <row r="3229" spans="31:47" x14ac:dyDescent="0.3">
      <c r="AE3229" s="204" t="s">
        <v>398</v>
      </c>
      <c r="AF3229" s="204" t="s">
        <v>398</v>
      </c>
      <c r="AG3229" s="204" t="s">
        <v>398</v>
      </c>
      <c r="AS3229" s="65" t="str">
        <f>IFERROR(VLOOKUP(#REF!,[1]Lookup!$B$2:$E$115,4,FALSE),"")</f>
        <v/>
      </c>
      <c r="AT3229" s="65" t="str">
        <f>IFERROR(VLOOKUP(#REF!,[1]Lookup!$B$2:$E$115,2,FALSE),"")</f>
        <v/>
      </c>
      <c r="AU3229" s="65" t="str">
        <f>IFERROR(VLOOKUP(#REF!,[1]Lookup!$B$2:$E$115,3,FALSE),"")</f>
        <v/>
      </c>
    </row>
    <row r="3230" spans="31:47" x14ac:dyDescent="0.3">
      <c r="AE3230" s="204" t="s">
        <v>398</v>
      </c>
      <c r="AF3230" s="204" t="s">
        <v>398</v>
      </c>
      <c r="AG3230" s="204" t="s">
        <v>398</v>
      </c>
      <c r="AS3230" s="65" t="str">
        <f>IFERROR(VLOOKUP(#REF!,[1]Lookup!$B$2:$E$115,4,FALSE),"")</f>
        <v/>
      </c>
      <c r="AT3230" s="65" t="str">
        <f>IFERROR(VLOOKUP(#REF!,[1]Lookup!$B$2:$E$115,2,FALSE),"")</f>
        <v/>
      </c>
      <c r="AU3230" s="65" t="str">
        <f>IFERROR(VLOOKUP(#REF!,[1]Lookup!$B$2:$E$115,3,FALSE),"")</f>
        <v/>
      </c>
    </row>
    <row r="3231" spans="31:47" x14ac:dyDescent="0.3">
      <c r="AE3231" s="204" t="s">
        <v>398</v>
      </c>
      <c r="AF3231" s="204" t="s">
        <v>398</v>
      </c>
      <c r="AG3231" s="204" t="s">
        <v>398</v>
      </c>
      <c r="AS3231" s="65" t="str">
        <f>IFERROR(VLOOKUP(#REF!,[1]Lookup!$B$2:$E$115,4,FALSE),"")</f>
        <v/>
      </c>
      <c r="AT3231" s="65" t="str">
        <f>IFERROR(VLOOKUP(#REF!,[1]Lookup!$B$2:$E$115,2,FALSE),"")</f>
        <v/>
      </c>
      <c r="AU3231" s="65" t="str">
        <f>IFERROR(VLOOKUP(#REF!,[1]Lookup!$B$2:$E$115,3,FALSE),"")</f>
        <v/>
      </c>
    </row>
    <row r="3232" spans="31:47" x14ac:dyDescent="0.3">
      <c r="AE3232" s="204" t="s">
        <v>398</v>
      </c>
      <c r="AF3232" s="204" t="s">
        <v>398</v>
      </c>
      <c r="AG3232" s="204" t="s">
        <v>398</v>
      </c>
      <c r="AS3232" s="65" t="str">
        <f>IFERROR(VLOOKUP(#REF!,[1]Lookup!$B$2:$E$115,4,FALSE),"")</f>
        <v/>
      </c>
      <c r="AT3232" s="65" t="str">
        <f>IFERROR(VLOOKUP(#REF!,[1]Lookup!$B$2:$E$115,2,FALSE),"")</f>
        <v/>
      </c>
      <c r="AU3232" s="65" t="str">
        <f>IFERROR(VLOOKUP(#REF!,[1]Lookup!$B$2:$E$115,3,FALSE),"")</f>
        <v/>
      </c>
    </row>
    <row r="3233" spans="31:47" x14ac:dyDescent="0.3">
      <c r="AE3233" s="204" t="s">
        <v>398</v>
      </c>
      <c r="AF3233" s="204" t="s">
        <v>398</v>
      </c>
      <c r="AG3233" s="204" t="s">
        <v>398</v>
      </c>
      <c r="AS3233" s="65" t="str">
        <f>IFERROR(VLOOKUP(#REF!,[1]Lookup!$B$2:$E$115,4,FALSE),"")</f>
        <v/>
      </c>
      <c r="AT3233" s="65" t="str">
        <f>IFERROR(VLOOKUP(#REF!,[1]Lookup!$B$2:$E$115,2,FALSE),"")</f>
        <v/>
      </c>
      <c r="AU3233" s="65" t="str">
        <f>IFERROR(VLOOKUP(#REF!,[1]Lookup!$B$2:$E$115,3,FALSE),"")</f>
        <v/>
      </c>
    </row>
    <row r="3234" spans="31:47" x14ac:dyDescent="0.3">
      <c r="AE3234" s="204" t="s">
        <v>398</v>
      </c>
      <c r="AF3234" s="204" t="s">
        <v>398</v>
      </c>
      <c r="AG3234" s="204" t="s">
        <v>398</v>
      </c>
      <c r="AS3234" s="65" t="str">
        <f>IFERROR(VLOOKUP(#REF!,[1]Lookup!$B$2:$E$115,4,FALSE),"")</f>
        <v/>
      </c>
      <c r="AT3234" s="65" t="str">
        <f>IFERROR(VLOOKUP(#REF!,[1]Lookup!$B$2:$E$115,2,FALSE),"")</f>
        <v/>
      </c>
      <c r="AU3234" s="65" t="str">
        <f>IFERROR(VLOOKUP(#REF!,[1]Lookup!$B$2:$E$115,3,FALSE),"")</f>
        <v/>
      </c>
    </row>
    <row r="3235" spans="31:47" x14ac:dyDescent="0.3">
      <c r="AE3235" s="204" t="s">
        <v>398</v>
      </c>
      <c r="AF3235" s="204" t="s">
        <v>398</v>
      </c>
      <c r="AG3235" s="204" t="s">
        <v>398</v>
      </c>
      <c r="AS3235" s="65" t="str">
        <f>IFERROR(VLOOKUP(#REF!,[1]Lookup!$B$2:$E$115,4,FALSE),"")</f>
        <v/>
      </c>
      <c r="AT3235" s="65" t="str">
        <f>IFERROR(VLOOKUP(#REF!,[1]Lookup!$B$2:$E$115,2,FALSE),"")</f>
        <v/>
      </c>
      <c r="AU3235" s="65" t="str">
        <f>IFERROR(VLOOKUP(#REF!,[1]Lookup!$B$2:$E$115,3,FALSE),"")</f>
        <v/>
      </c>
    </row>
    <row r="3236" spans="31:47" x14ac:dyDescent="0.3">
      <c r="AE3236" s="204" t="s">
        <v>398</v>
      </c>
      <c r="AF3236" s="204" t="s">
        <v>398</v>
      </c>
      <c r="AG3236" s="204" t="s">
        <v>398</v>
      </c>
      <c r="AS3236" s="65" t="str">
        <f>IFERROR(VLOOKUP(#REF!,[1]Lookup!$B$2:$E$115,4,FALSE),"")</f>
        <v/>
      </c>
      <c r="AT3236" s="65" t="str">
        <f>IFERROR(VLOOKUP(#REF!,[1]Lookup!$B$2:$E$115,2,FALSE),"")</f>
        <v/>
      </c>
      <c r="AU3236" s="65" t="str">
        <f>IFERROR(VLOOKUP(#REF!,[1]Lookup!$B$2:$E$115,3,FALSE),"")</f>
        <v/>
      </c>
    </row>
    <row r="3237" spans="31:47" x14ac:dyDescent="0.3">
      <c r="AE3237" s="204" t="s">
        <v>398</v>
      </c>
      <c r="AF3237" s="204" t="s">
        <v>398</v>
      </c>
      <c r="AG3237" s="204" t="s">
        <v>398</v>
      </c>
      <c r="AS3237" s="65" t="str">
        <f>IFERROR(VLOOKUP(#REF!,[1]Lookup!$B$2:$E$115,4,FALSE),"")</f>
        <v/>
      </c>
      <c r="AT3237" s="65" t="str">
        <f>IFERROR(VLOOKUP(#REF!,[1]Lookup!$B$2:$E$115,2,FALSE),"")</f>
        <v/>
      </c>
      <c r="AU3237" s="65" t="str">
        <f>IFERROR(VLOOKUP(#REF!,[1]Lookup!$B$2:$E$115,3,FALSE),"")</f>
        <v/>
      </c>
    </row>
    <row r="3238" spans="31:47" x14ac:dyDescent="0.3">
      <c r="AE3238" s="204" t="s">
        <v>398</v>
      </c>
      <c r="AF3238" s="204" t="s">
        <v>398</v>
      </c>
      <c r="AG3238" s="204" t="s">
        <v>398</v>
      </c>
      <c r="AS3238" s="65" t="str">
        <f>IFERROR(VLOOKUP(#REF!,[1]Lookup!$B$2:$E$115,4,FALSE),"")</f>
        <v/>
      </c>
      <c r="AT3238" s="65" t="str">
        <f>IFERROR(VLOOKUP(#REF!,[1]Lookup!$B$2:$E$115,2,FALSE),"")</f>
        <v/>
      </c>
      <c r="AU3238" s="65" t="str">
        <f>IFERROR(VLOOKUP(#REF!,[1]Lookup!$B$2:$E$115,3,FALSE),"")</f>
        <v/>
      </c>
    </row>
    <row r="3239" spans="31:47" x14ac:dyDescent="0.3">
      <c r="AE3239" s="204" t="s">
        <v>398</v>
      </c>
      <c r="AF3239" s="204" t="s">
        <v>398</v>
      </c>
      <c r="AG3239" s="204" t="s">
        <v>398</v>
      </c>
      <c r="AS3239" s="65" t="str">
        <f>IFERROR(VLOOKUP(#REF!,[1]Lookup!$B$2:$E$115,4,FALSE),"")</f>
        <v/>
      </c>
      <c r="AT3239" s="65" t="str">
        <f>IFERROR(VLOOKUP(#REF!,[1]Lookup!$B$2:$E$115,2,FALSE),"")</f>
        <v/>
      </c>
      <c r="AU3239" s="65" t="str">
        <f>IFERROR(VLOOKUP(#REF!,[1]Lookup!$B$2:$E$115,3,FALSE),"")</f>
        <v/>
      </c>
    </row>
    <row r="3240" spans="31:47" x14ac:dyDescent="0.3">
      <c r="AE3240" s="204" t="s">
        <v>398</v>
      </c>
      <c r="AF3240" s="204" t="s">
        <v>398</v>
      </c>
      <c r="AG3240" s="204" t="s">
        <v>398</v>
      </c>
      <c r="AS3240" s="65" t="str">
        <f>IFERROR(VLOOKUP(#REF!,[1]Lookup!$B$2:$E$115,4,FALSE),"")</f>
        <v/>
      </c>
      <c r="AT3240" s="65" t="str">
        <f>IFERROR(VLOOKUP(#REF!,[1]Lookup!$B$2:$E$115,2,FALSE),"")</f>
        <v/>
      </c>
      <c r="AU3240" s="65" t="str">
        <f>IFERROR(VLOOKUP(#REF!,[1]Lookup!$B$2:$E$115,3,FALSE),"")</f>
        <v/>
      </c>
    </row>
    <row r="3241" spans="31:47" x14ac:dyDescent="0.3">
      <c r="AE3241" s="204" t="s">
        <v>398</v>
      </c>
      <c r="AF3241" s="204" t="s">
        <v>398</v>
      </c>
      <c r="AG3241" s="204" t="s">
        <v>398</v>
      </c>
      <c r="AS3241" s="65" t="str">
        <f>IFERROR(VLOOKUP(#REF!,[1]Lookup!$B$2:$E$115,4,FALSE),"")</f>
        <v/>
      </c>
      <c r="AT3241" s="65" t="str">
        <f>IFERROR(VLOOKUP(#REF!,[1]Lookup!$B$2:$E$115,2,FALSE),"")</f>
        <v/>
      </c>
      <c r="AU3241" s="65" t="str">
        <f>IFERROR(VLOOKUP(#REF!,[1]Lookup!$B$2:$E$115,3,FALSE),"")</f>
        <v/>
      </c>
    </row>
    <row r="3242" spans="31:47" x14ac:dyDescent="0.3">
      <c r="AE3242" s="204" t="s">
        <v>398</v>
      </c>
      <c r="AF3242" s="204" t="s">
        <v>398</v>
      </c>
      <c r="AG3242" s="204" t="s">
        <v>398</v>
      </c>
      <c r="AS3242" s="65" t="str">
        <f>IFERROR(VLOOKUP(#REF!,[1]Lookup!$B$2:$E$115,4,FALSE),"")</f>
        <v/>
      </c>
      <c r="AT3242" s="65" t="str">
        <f>IFERROR(VLOOKUP(#REF!,[1]Lookup!$B$2:$E$115,2,FALSE),"")</f>
        <v/>
      </c>
      <c r="AU3242" s="65" t="str">
        <f>IFERROR(VLOOKUP(#REF!,[1]Lookup!$B$2:$E$115,3,FALSE),"")</f>
        <v/>
      </c>
    </row>
    <row r="3243" spans="31:47" x14ac:dyDescent="0.3">
      <c r="AE3243" s="204" t="s">
        <v>398</v>
      </c>
      <c r="AF3243" s="204" t="s">
        <v>398</v>
      </c>
      <c r="AG3243" s="204" t="s">
        <v>398</v>
      </c>
      <c r="AS3243" s="65" t="str">
        <f>IFERROR(VLOOKUP(#REF!,[1]Lookup!$B$2:$E$115,4,FALSE),"")</f>
        <v/>
      </c>
      <c r="AT3243" s="65" t="str">
        <f>IFERROR(VLOOKUP(#REF!,[1]Lookup!$B$2:$E$115,2,FALSE),"")</f>
        <v/>
      </c>
      <c r="AU3243" s="65" t="str">
        <f>IFERROR(VLOOKUP(#REF!,[1]Lookup!$B$2:$E$115,3,FALSE),"")</f>
        <v/>
      </c>
    </row>
    <row r="3244" spans="31:47" x14ac:dyDescent="0.3">
      <c r="AE3244" s="204" t="s">
        <v>398</v>
      </c>
      <c r="AF3244" s="204" t="s">
        <v>398</v>
      </c>
      <c r="AG3244" s="204" t="s">
        <v>398</v>
      </c>
      <c r="AS3244" s="65" t="str">
        <f>IFERROR(VLOOKUP(#REF!,[1]Lookup!$B$2:$E$115,4,FALSE),"")</f>
        <v/>
      </c>
      <c r="AT3244" s="65" t="str">
        <f>IFERROR(VLOOKUP(#REF!,[1]Lookup!$B$2:$E$115,2,FALSE),"")</f>
        <v/>
      </c>
      <c r="AU3244" s="65" t="str">
        <f>IFERROR(VLOOKUP(#REF!,[1]Lookup!$B$2:$E$115,3,FALSE),"")</f>
        <v/>
      </c>
    </row>
    <row r="3245" spans="31:47" x14ac:dyDescent="0.3">
      <c r="AE3245" s="204" t="s">
        <v>398</v>
      </c>
      <c r="AF3245" s="204" t="s">
        <v>398</v>
      </c>
      <c r="AG3245" s="204" t="s">
        <v>398</v>
      </c>
      <c r="AS3245" s="65" t="str">
        <f>IFERROR(VLOOKUP(#REF!,[1]Lookup!$B$2:$E$115,4,FALSE),"")</f>
        <v/>
      </c>
      <c r="AT3245" s="65" t="str">
        <f>IFERROR(VLOOKUP(#REF!,[1]Lookup!$B$2:$E$115,2,FALSE),"")</f>
        <v/>
      </c>
      <c r="AU3245" s="65" t="str">
        <f>IFERROR(VLOOKUP(#REF!,[1]Lookup!$B$2:$E$115,3,FALSE),"")</f>
        <v/>
      </c>
    </row>
    <row r="3246" spans="31:47" x14ac:dyDescent="0.3">
      <c r="AE3246" s="204" t="s">
        <v>398</v>
      </c>
      <c r="AF3246" s="204" t="s">
        <v>398</v>
      </c>
      <c r="AG3246" s="204" t="s">
        <v>398</v>
      </c>
      <c r="AS3246" s="65" t="str">
        <f>IFERROR(VLOOKUP(#REF!,[1]Lookup!$B$2:$E$115,4,FALSE),"")</f>
        <v/>
      </c>
      <c r="AT3246" s="65" t="str">
        <f>IFERROR(VLOOKUP(#REF!,[1]Lookup!$B$2:$E$115,2,FALSE),"")</f>
        <v/>
      </c>
      <c r="AU3246" s="65" t="str">
        <f>IFERROR(VLOOKUP(#REF!,[1]Lookup!$B$2:$E$115,3,FALSE),"")</f>
        <v/>
      </c>
    </row>
    <row r="3247" spans="31:47" x14ac:dyDescent="0.3">
      <c r="AE3247" s="204" t="s">
        <v>398</v>
      </c>
      <c r="AF3247" s="204" t="s">
        <v>398</v>
      </c>
      <c r="AG3247" s="204" t="s">
        <v>398</v>
      </c>
      <c r="AS3247" s="65" t="str">
        <f>IFERROR(VLOOKUP(#REF!,[1]Lookup!$B$2:$E$115,4,FALSE),"")</f>
        <v/>
      </c>
      <c r="AT3247" s="65" t="str">
        <f>IFERROR(VLOOKUP(#REF!,[1]Lookup!$B$2:$E$115,2,FALSE),"")</f>
        <v/>
      </c>
      <c r="AU3247" s="65" t="str">
        <f>IFERROR(VLOOKUP(#REF!,[1]Lookup!$B$2:$E$115,3,FALSE),"")</f>
        <v/>
      </c>
    </row>
    <row r="3248" spans="31:47" x14ac:dyDescent="0.3">
      <c r="AE3248" s="204" t="s">
        <v>398</v>
      </c>
      <c r="AF3248" s="204" t="s">
        <v>398</v>
      </c>
      <c r="AG3248" s="204" t="s">
        <v>398</v>
      </c>
      <c r="AS3248" s="65" t="str">
        <f>IFERROR(VLOOKUP(#REF!,[1]Lookup!$B$2:$E$115,4,FALSE),"")</f>
        <v/>
      </c>
      <c r="AT3248" s="65" t="str">
        <f>IFERROR(VLOOKUP(#REF!,[1]Lookup!$B$2:$E$115,2,FALSE),"")</f>
        <v/>
      </c>
      <c r="AU3248" s="65" t="str">
        <f>IFERROR(VLOOKUP(#REF!,[1]Lookup!$B$2:$E$115,3,FALSE),"")</f>
        <v/>
      </c>
    </row>
    <row r="3249" spans="31:47" x14ac:dyDescent="0.3">
      <c r="AE3249" s="204" t="s">
        <v>398</v>
      </c>
      <c r="AF3249" s="204" t="s">
        <v>398</v>
      </c>
      <c r="AG3249" s="204" t="s">
        <v>398</v>
      </c>
      <c r="AS3249" s="65" t="str">
        <f>IFERROR(VLOOKUP(#REF!,[1]Lookup!$B$2:$E$115,4,FALSE),"")</f>
        <v/>
      </c>
      <c r="AT3249" s="65" t="str">
        <f>IFERROR(VLOOKUP(#REF!,[1]Lookup!$B$2:$E$115,2,FALSE),"")</f>
        <v/>
      </c>
      <c r="AU3249" s="65" t="str">
        <f>IFERROR(VLOOKUP(#REF!,[1]Lookup!$B$2:$E$115,3,FALSE),"")</f>
        <v/>
      </c>
    </row>
    <row r="3250" spans="31:47" x14ac:dyDescent="0.3">
      <c r="AE3250" s="204" t="s">
        <v>398</v>
      </c>
      <c r="AF3250" s="204" t="s">
        <v>398</v>
      </c>
      <c r="AG3250" s="204" t="s">
        <v>398</v>
      </c>
      <c r="AS3250" s="65" t="str">
        <f>IFERROR(VLOOKUP(#REF!,[1]Lookup!$B$2:$E$115,4,FALSE),"")</f>
        <v/>
      </c>
      <c r="AT3250" s="65" t="str">
        <f>IFERROR(VLOOKUP(#REF!,[1]Lookup!$B$2:$E$115,2,FALSE),"")</f>
        <v/>
      </c>
      <c r="AU3250" s="65" t="str">
        <f>IFERROR(VLOOKUP(#REF!,[1]Lookup!$B$2:$E$115,3,FALSE),"")</f>
        <v/>
      </c>
    </row>
    <row r="3251" spans="31:47" x14ac:dyDescent="0.3">
      <c r="AE3251" s="204" t="s">
        <v>398</v>
      </c>
      <c r="AF3251" s="204" t="s">
        <v>398</v>
      </c>
      <c r="AG3251" s="204" t="s">
        <v>398</v>
      </c>
      <c r="AS3251" s="65" t="str">
        <f>IFERROR(VLOOKUP(#REF!,[1]Lookup!$B$2:$E$115,4,FALSE),"")</f>
        <v/>
      </c>
      <c r="AT3251" s="65" t="str">
        <f>IFERROR(VLOOKUP(#REF!,[1]Lookup!$B$2:$E$115,2,FALSE),"")</f>
        <v/>
      </c>
      <c r="AU3251" s="65" t="str">
        <f>IFERROR(VLOOKUP(#REF!,[1]Lookup!$B$2:$E$115,3,FALSE),"")</f>
        <v/>
      </c>
    </row>
    <row r="3252" spans="31:47" x14ac:dyDescent="0.3">
      <c r="AE3252" s="204" t="s">
        <v>398</v>
      </c>
      <c r="AF3252" s="204" t="s">
        <v>398</v>
      </c>
      <c r="AG3252" s="204" t="s">
        <v>398</v>
      </c>
      <c r="AS3252" s="65" t="str">
        <f>IFERROR(VLOOKUP(#REF!,[1]Lookup!$B$2:$E$115,4,FALSE),"")</f>
        <v/>
      </c>
      <c r="AT3252" s="65" t="str">
        <f>IFERROR(VLOOKUP(#REF!,[1]Lookup!$B$2:$E$115,2,FALSE),"")</f>
        <v/>
      </c>
      <c r="AU3252" s="65" t="str">
        <f>IFERROR(VLOOKUP(#REF!,[1]Lookup!$B$2:$E$115,3,FALSE),"")</f>
        <v/>
      </c>
    </row>
    <row r="3253" spans="31:47" x14ac:dyDescent="0.3">
      <c r="AE3253" s="204" t="s">
        <v>398</v>
      </c>
      <c r="AF3253" s="204" t="s">
        <v>398</v>
      </c>
      <c r="AG3253" s="204" t="s">
        <v>398</v>
      </c>
      <c r="AS3253" s="65" t="str">
        <f>IFERROR(VLOOKUP(#REF!,[1]Lookup!$B$2:$E$115,4,FALSE),"")</f>
        <v/>
      </c>
      <c r="AT3253" s="65" t="str">
        <f>IFERROR(VLOOKUP(#REF!,[1]Lookup!$B$2:$E$115,2,FALSE),"")</f>
        <v/>
      </c>
      <c r="AU3253" s="65" t="str">
        <f>IFERROR(VLOOKUP(#REF!,[1]Lookup!$B$2:$E$115,3,FALSE),"")</f>
        <v/>
      </c>
    </row>
    <row r="3254" spans="31:47" x14ac:dyDescent="0.3">
      <c r="AE3254" s="204" t="s">
        <v>398</v>
      </c>
      <c r="AF3254" s="204" t="s">
        <v>398</v>
      </c>
      <c r="AG3254" s="204" t="s">
        <v>398</v>
      </c>
      <c r="AS3254" s="65" t="str">
        <f>IFERROR(VLOOKUP(#REF!,[1]Lookup!$B$2:$E$115,4,FALSE),"")</f>
        <v/>
      </c>
      <c r="AT3254" s="65" t="str">
        <f>IFERROR(VLOOKUP(#REF!,[1]Lookup!$B$2:$E$115,2,FALSE),"")</f>
        <v/>
      </c>
      <c r="AU3254" s="65" t="str">
        <f>IFERROR(VLOOKUP(#REF!,[1]Lookup!$B$2:$E$115,3,FALSE),"")</f>
        <v/>
      </c>
    </row>
    <row r="3255" spans="31:47" x14ac:dyDescent="0.3">
      <c r="AE3255" s="204" t="s">
        <v>398</v>
      </c>
      <c r="AF3255" s="204" t="s">
        <v>398</v>
      </c>
      <c r="AG3255" s="204" t="s">
        <v>398</v>
      </c>
      <c r="AS3255" s="65" t="str">
        <f>IFERROR(VLOOKUP(#REF!,[1]Lookup!$B$2:$E$115,4,FALSE),"")</f>
        <v/>
      </c>
      <c r="AT3255" s="65" t="str">
        <f>IFERROR(VLOOKUP(#REF!,[1]Lookup!$B$2:$E$115,2,FALSE),"")</f>
        <v/>
      </c>
      <c r="AU3255" s="65" t="str">
        <f>IFERROR(VLOOKUP(#REF!,[1]Lookup!$B$2:$E$115,3,FALSE),"")</f>
        <v/>
      </c>
    </row>
    <row r="3256" spans="31:47" x14ac:dyDescent="0.3">
      <c r="AE3256" s="204" t="s">
        <v>398</v>
      </c>
      <c r="AF3256" s="204" t="s">
        <v>398</v>
      </c>
      <c r="AG3256" s="204" t="s">
        <v>398</v>
      </c>
      <c r="AS3256" s="65" t="str">
        <f>IFERROR(VLOOKUP(#REF!,[1]Lookup!$B$2:$E$115,4,FALSE),"")</f>
        <v/>
      </c>
      <c r="AT3256" s="65" t="str">
        <f>IFERROR(VLOOKUP(#REF!,[1]Lookup!$B$2:$E$115,2,FALSE),"")</f>
        <v/>
      </c>
      <c r="AU3256" s="65" t="str">
        <f>IFERROR(VLOOKUP(#REF!,[1]Lookup!$B$2:$E$115,3,FALSE),"")</f>
        <v/>
      </c>
    </row>
    <row r="3257" spans="31:47" x14ac:dyDescent="0.3">
      <c r="AE3257" s="204" t="s">
        <v>398</v>
      </c>
      <c r="AF3257" s="204" t="s">
        <v>398</v>
      </c>
      <c r="AG3257" s="204" t="s">
        <v>398</v>
      </c>
      <c r="AS3257" s="65" t="str">
        <f>IFERROR(VLOOKUP(#REF!,[1]Lookup!$B$2:$E$115,4,FALSE),"")</f>
        <v/>
      </c>
      <c r="AT3257" s="65" t="str">
        <f>IFERROR(VLOOKUP(#REF!,[1]Lookup!$B$2:$E$115,2,FALSE),"")</f>
        <v/>
      </c>
      <c r="AU3257" s="65" t="str">
        <f>IFERROR(VLOOKUP(#REF!,[1]Lookup!$B$2:$E$115,3,FALSE),"")</f>
        <v/>
      </c>
    </row>
    <row r="3258" spans="31:47" x14ac:dyDescent="0.3">
      <c r="AE3258" s="204" t="s">
        <v>398</v>
      </c>
      <c r="AF3258" s="204" t="s">
        <v>398</v>
      </c>
      <c r="AG3258" s="204" t="s">
        <v>398</v>
      </c>
      <c r="AS3258" s="65" t="str">
        <f>IFERROR(VLOOKUP(#REF!,[1]Lookup!$B$2:$E$115,4,FALSE),"")</f>
        <v/>
      </c>
      <c r="AT3258" s="65" t="str">
        <f>IFERROR(VLOOKUP(#REF!,[1]Lookup!$B$2:$E$115,2,FALSE),"")</f>
        <v/>
      </c>
      <c r="AU3258" s="65" t="str">
        <f>IFERROR(VLOOKUP(#REF!,[1]Lookup!$B$2:$E$115,3,FALSE),"")</f>
        <v/>
      </c>
    </row>
    <row r="3259" spans="31:47" x14ac:dyDescent="0.3">
      <c r="AE3259" s="204" t="s">
        <v>398</v>
      </c>
      <c r="AF3259" s="204" t="s">
        <v>398</v>
      </c>
      <c r="AG3259" s="204" t="s">
        <v>398</v>
      </c>
      <c r="AS3259" s="65" t="str">
        <f>IFERROR(VLOOKUP(#REF!,[1]Lookup!$B$2:$E$115,4,FALSE),"")</f>
        <v/>
      </c>
      <c r="AT3259" s="65" t="str">
        <f>IFERROR(VLOOKUP(#REF!,[1]Lookup!$B$2:$E$115,2,FALSE),"")</f>
        <v/>
      </c>
      <c r="AU3259" s="65" t="str">
        <f>IFERROR(VLOOKUP(#REF!,[1]Lookup!$B$2:$E$115,3,FALSE),"")</f>
        <v/>
      </c>
    </row>
    <row r="3260" spans="31:47" x14ac:dyDescent="0.3">
      <c r="AE3260" s="204" t="s">
        <v>398</v>
      </c>
      <c r="AF3260" s="204" t="s">
        <v>398</v>
      </c>
      <c r="AG3260" s="204" t="s">
        <v>398</v>
      </c>
      <c r="AS3260" s="65" t="str">
        <f>IFERROR(VLOOKUP(#REF!,[1]Lookup!$B$2:$E$115,4,FALSE),"")</f>
        <v/>
      </c>
      <c r="AT3260" s="65" t="str">
        <f>IFERROR(VLOOKUP(#REF!,[1]Lookup!$B$2:$E$115,2,FALSE),"")</f>
        <v/>
      </c>
      <c r="AU3260" s="65" t="str">
        <f>IFERROR(VLOOKUP(#REF!,[1]Lookup!$B$2:$E$115,3,FALSE),"")</f>
        <v/>
      </c>
    </row>
    <row r="3261" spans="31:47" x14ac:dyDescent="0.3">
      <c r="AE3261" s="204" t="s">
        <v>398</v>
      </c>
      <c r="AF3261" s="204" t="s">
        <v>398</v>
      </c>
      <c r="AG3261" s="204" t="s">
        <v>398</v>
      </c>
      <c r="AS3261" s="65" t="str">
        <f>IFERROR(VLOOKUP(#REF!,[1]Lookup!$B$2:$E$115,4,FALSE),"")</f>
        <v/>
      </c>
      <c r="AT3261" s="65" t="str">
        <f>IFERROR(VLOOKUP(#REF!,[1]Lookup!$B$2:$E$115,2,FALSE),"")</f>
        <v/>
      </c>
      <c r="AU3261" s="65" t="str">
        <f>IFERROR(VLOOKUP(#REF!,[1]Lookup!$B$2:$E$115,3,FALSE),"")</f>
        <v/>
      </c>
    </row>
    <row r="3262" spans="31:47" x14ac:dyDescent="0.3">
      <c r="AE3262" s="204" t="s">
        <v>398</v>
      </c>
      <c r="AF3262" s="204" t="s">
        <v>398</v>
      </c>
      <c r="AG3262" s="204" t="s">
        <v>398</v>
      </c>
      <c r="AS3262" s="65" t="str">
        <f>IFERROR(VLOOKUP(#REF!,[1]Lookup!$B$2:$E$115,4,FALSE),"")</f>
        <v/>
      </c>
      <c r="AT3262" s="65" t="str">
        <f>IFERROR(VLOOKUP(#REF!,[1]Lookup!$B$2:$E$115,2,FALSE),"")</f>
        <v/>
      </c>
      <c r="AU3262" s="65" t="str">
        <f>IFERROR(VLOOKUP(#REF!,[1]Lookup!$B$2:$E$115,3,FALSE),"")</f>
        <v/>
      </c>
    </row>
    <row r="3263" spans="31:47" x14ac:dyDescent="0.3">
      <c r="AE3263" s="204" t="s">
        <v>398</v>
      </c>
      <c r="AF3263" s="204" t="s">
        <v>398</v>
      </c>
      <c r="AG3263" s="204" t="s">
        <v>398</v>
      </c>
      <c r="AS3263" s="65" t="str">
        <f>IFERROR(VLOOKUP(#REF!,[1]Lookup!$B$2:$E$115,4,FALSE),"")</f>
        <v/>
      </c>
      <c r="AT3263" s="65" t="str">
        <f>IFERROR(VLOOKUP(#REF!,[1]Lookup!$B$2:$E$115,2,FALSE),"")</f>
        <v/>
      </c>
      <c r="AU3263" s="65" t="str">
        <f>IFERROR(VLOOKUP(#REF!,[1]Lookup!$B$2:$E$115,3,FALSE),"")</f>
        <v/>
      </c>
    </row>
    <row r="3264" spans="31:47" x14ac:dyDescent="0.3">
      <c r="AE3264" s="204" t="s">
        <v>398</v>
      </c>
      <c r="AF3264" s="204" t="s">
        <v>398</v>
      </c>
      <c r="AG3264" s="204" t="s">
        <v>398</v>
      </c>
      <c r="AS3264" s="65" t="str">
        <f>IFERROR(VLOOKUP(#REF!,[1]Lookup!$B$2:$E$115,4,FALSE),"")</f>
        <v/>
      </c>
      <c r="AT3264" s="65" t="str">
        <f>IFERROR(VLOOKUP(#REF!,[1]Lookup!$B$2:$E$115,2,FALSE),"")</f>
        <v/>
      </c>
      <c r="AU3264" s="65" t="str">
        <f>IFERROR(VLOOKUP(#REF!,[1]Lookup!$B$2:$E$115,3,FALSE),"")</f>
        <v/>
      </c>
    </row>
    <row r="3265" spans="31:47" x14ac:dyDescent="0.3">
      <c r="AE3265" s="204" t="s">
        <v>398</v>
      </c>
      <c r="AF3265" s="204" t="s">
        <v>398</v>
      </c>
      <c r="AG3265" s="204" t="s">
        <v>398</v>
      </c>
      <c r="AS3265" s="65" t="str">
        <f>IFERROR(VLOOKUP(#REF!,[1]Lookup!$B$2:$E$115,4,FALSE),"")</f>
        <v/>
      </c>
      <c r="AT3265" s="65" t="str">
        <f>IFERROR(VLOOKUP(#REF!,[1]Lookup!$B$2:$E$115,2,FALSE),"")</f>
        <v/>
      </c>
      <c r="AU3265" s="65" t="str">
        <f>IFERROR(VLOOKUP(#REF!,[1]Lookup!$B$2:$E$115,3,FALSE),"")</f>
        <v/>
      </c>
    </row>
    <row r="3266" spans="31:47" x14ac:dyDescent="0.3">
      <c r="AE3266" s="204" t="s">
        <v>398</v>
      </c>
      <c r="AF3266" s="204" t="s">
        <v>398</v>
      </c>
      <c r="AG3266" s="204" t="s">
        <v>398</v>
      </c>
      <c r="AS3266" s="65" t="str">
        <f>IFERROR(VLOOKUP(#REF!,[1]Lookup!$B$2:$E$115,4,FALSE),"")</f>
        <v/>
      </c>
      <c r="AT3266" s="65" t="str">
        <f>IFERROR(VLOOKUP(#REF!,[1]Lookup!$B$2:$E$115,2,FALSE),"")</f>
        <v/>
      </c>
      <c r="AU3266" s="65" t="str">
        <f>IFERROR(VLOOKUP(#REF!,[1]Lookup!$B$2:$E$115,3,FALSE),"")</f>
        <v/>
      </c>
    </row>
    <row r="3267" spans="31:47" x14ac:dyDescent="0.3">
      <c r="AE3267" s="204" t="s">
        <v>398</v>
      </c>
      <c r="AF3267" s="204" t="s">
        <v>398</v>
      </c>
      <c r="AG3267" s="204" t="s">
        <v>398</v>
      </c>
      <c r="AS3267" s="65" t="str">
        <f>IFERROR(VLOOKUP(#REF!,[1]Lookup!$B$2:$E$115,4,FALSE),"")</f>
        <v/>
      </c>
      <c r="AT3267" s="65" t="str">
        <f>IFERROR(VLOOKUP(#REF!,[1]Lookup!$B$2:$E$115,2,FALSE),"")</f>
        <v/>
      </c>
      <c r="AU3267" s="65" t="str">
        <f>IFERROR(VLOOKUP(#REF!,[1]Lookup!$B$2:$E$115,3,FALSE),"")</f>
        <v/>
      </c>
    </row>
    <row r="3268" spans="31:47" x14ac:dyDescent="0.3">
      <c r="AE3268" s="204" t="s">
        <v>398</v>
      </c>
      <c r="AF3268" s="204" t="s">
        <v>398</v>
      </c>
      <c r="AG3268" s="204" t="s">
        <v>398</v>
      </c>
      <c r="AS3268" s="65" t="str">
        <f>IFERROR(VLOOKUP(#REF!,[1]Lookup!$B$2:$E$115,4,FALSE),"")</f>
        <v/>
      </c>
      <c r="AT3268" s="65" t="str">
        <f>IFERROR(VLOOKUP(#REF!,[1]Lookup!$B$2:$E$115,2,FALSE),"")</f>
        <v/>
      </c>
      <c r="AU3268" s="65" t="str">
        <f>IFERROR(VLOOKUP(#REF!,[1]Lookup!$B$2:$E$115,3,FALSE),"")</f>
        <v/>
      </c>
    </row>
    <row r="3269" spans="31:47" x14ac:dyDescent="0.3">
      <c r="AE3269" s="204" t="s">
        <v>398</v>
      </c>
      <c r="AF3269" s="204" t="s">
        <v>398</v>
      </c>
      <c r="AG3269" s="204" t="s">
        <v>398</v>
      </c>
      <c r="AS3269" s="65" t="str">
        <f>IFERROR(VLOOKUP(#REF!,[1]Lookup!$B$2:$E$115,4,FALSE),"")</f>
        <v/>
      </c>
      <c r="AT3269" s="65" t="str">
        <f>IFERROR(VLOOKUP(#REF!,[1]Lookup!$B$2:$E$115,2,FALSE),"")</f>
        <v/>
      </c>
      <c r="AU3269" s="65" t="str">
        <f>IFERROR(VLOOKUP(#REF!,[1]Lookup!$B$2:$E$115,3,FALSE),"")</f>
        <v/>
      </c>
    </row>
    <row r="3270" spans="31:47" x14ac:dyDescent="0.3">
      <c r="AE3270" s="204" t="s">
        <v>398</v>
      </c>
      <c r="AF3270" s="204" t="s">
        <v>398</v>
      </c>
      <c r="AG3270" s="204" t="s">
        <v>398</v>
      </c>
      <c r="AS3270" s="65" t="str">
        <f>IFERROR(VLOOKUP(#REF!,[1]Lookup!$B$2:$E$115,4,FALSE),"")</f>
        <v/>
      </c>
      <c r="AT3270" s="65" t="str">
        <f>IFERROR(VLOOKUP(#REF!,[1]Lookup!$B$2:$E$115,2,FALSE),"")</f>
        <v/>
      </c>
      <c r="AU3270" s="65" t="str">
        <f>IFERROR(VLOOKUP(#REF!,[1]Lookup!$B$2:$E$115,3,FALSE),"")</f>
        <v/>
      </c>
    </row>
    <row r="3271" spans="31:47" x14ac:dyDescent="0.3">
      <c r="AE3271" s="204" t="s">
        <v>398</v>
      </c>
      <c r="AF3271" s="204" t="s">
        <v>398</v>
      </c>
      <c r="AG3271" s="204" t="s">
        <v>398</v>
      </c>
      <c r="AS3271" s="65" t="str">
        <f>IFERROR(VLOOKUP(#REF!,[1]Lookup!$B$2:$E$115,4,FALSE),"")</f>
        <v/>
      </c>
      <c r="AT3271" s="65" t="str">
        <f>IFERROR(VLOOKUP(#REF!,[1]Lookup!$B$2:$E$115,2,FALSE),"")</f>
        <v/>
      </c>
      <c r="AU3271" s="65" t="str">
        <f>IFERROR(VLOOKUP(#REF!,[1]Lookup!$B$2:$E$115,3,FALSE),"")</f>
        <v/>
      </c>
    </row>
    <row r="3272" spans="31:47" x14ac:dyDescent="0.3">
      <c r="AE3272" s="204" t="s">
        <v>398</v>
      </c>
      <c r="AF3272" s="204" t="s">
        <v>398</v>
      </c>
      <c r="AG3272" s="204" t="s">
        <v>398</v>
      </c>
      <c r="AS3272" s="65" t="str">
        <f>IFERROR(VLOOKUP(#REF!,[1]Lookup!$B$2:$E$115,4,FALSE),"")</f>
        <v/>
      </c>
      <c r="AT3272" s="65" t="str">
        <f>IFERROR(VLOOKUP(#REF!,[1]Lookup!$B$2:$E$115,2,FALSE),"")</f>
        <v/>
      </c>
      <c r="AU3272" s="65" t="str">
        <f>IFERROR(VLOOKUP(#REF!,[1]Lookup!$B$2:$E$115,3,FALSE),"")</f>
        <v/>
      </c>
    </row>
    <row r="3273" spans="31:47" x14ac:dyDescent="0.3">
      <c r="AE3273" s="204" t="s">
        <v>398</v>
      </c>
      <c r="AF3273" s="204" t="s">
        <v>398</v>
      </c>
      <c r="AG3273" s="204" t="s">
        <v>398</v>
      </c>
      <c r="AS3273" s="65" t="str">
        <f>IFERROR(VLOOKUP(#REF!,[1]Lookup!$B$2:$E$115,4,FALSE),"")</f>
        <v/>
      </c>
      <c r="AT3273" s="65" t="str">
        <f>IFERROR(VLOOKUP(#REF!,[1]Lookup!$B$2:$E$115,2,FALSE),"")</f>
        <v/>
      </c>
      <c r="AU3273" s="65" t="str">
        <f>IFERROR(VLOOKUP(#REF!,[1]Lookup!$B$2:$E$115,3,FALSE),"")</f>
        <v/>
      </c>
    </row>
    <row r="3274" spans="31:47" x14ac:dyDescent="0.3">
      <c r="AE3274" s="204" t="s">
        <v>398</v>
      </c>
      <c r="AF3274" s="204" t="s">
        <v>398</v>
      </c>
      <c r="AG3274" s="204" t="s">
        <v>398</v>
      </c>
      <c r="AS3274" s="65" t="str">
        <f>IFERROR(VLOOKUP(#REF!,[1]Lookup!$B$2:$E$115,4,FALSE),"")</f>
        <v/>
      </c>
      <c r="AT3274" s="65" t="str">
        <f>IFERROR(VLOOKUP(#REF!,[1]Lookup!$B$2:$E$115,2,FALSE),"")</f>
        <v/>
      </c>
      <c r="AU3274" s="65" t="str">
        <f>IFERROR(VLOOKUP(#REF!,[1]Lookup!$B$2:$E$115,3,FALSE),"")</f>
        <v/>
      </c>
    </row>
    <row r="3275" spans="31:47" x14ac:dyDescent="0.3">
      <c r="AE3275" s="204" t="s">
        <v>398</v>
      </c>
      <c r="AF3275" s="204" t="s">
        <v>398</v>
      </c>
      <c r="AG3275" s="204" t="s">
        <v>398</v>
      </c>
      <c r="AS3275" s="65" t="str">
        <f>IFERROR(VLOOKUP(#REF!,[1]Lookup!$B$2:$E$115,4,FALSE),"")</f>
        <v/>
      </c>
      <c r="AT3275" s="65" t="str">
        <f>IFERROR(VLOOKUP(#REF!,[1]Lookup!$B$2:$E$115,2,FALSE),"")</f>
        <v/>
      </c>
      <c r="AU3275" s="65" t="str">
        <f>IFERROR(VLOOKUP(#REF!,[1]Lookup!$B$2:$E$115,3,FALSE),"")</f>
        <v/>
      </c>
    </row>
    <row r="3276" spans="31:47" x14ac:dyDescent="0.3">
      <c r="AE3276" s="204" t="s">
        <v>398</v>
      </c>
      <c r="AF3276" s="204" t="s">
        <v>398</v>
      </c>
      <c r="AG3276" s="204" t="s">
        <v>398</v>
      </c>
      <c r="AS3276" s="65" t="str">
        <f>IFERROR(VLOOKUP(#REF!,[1]Lookup!$B$2:$E$115,4,FALSE),"")</f>
        <v/>
      </c>
      <c r="AT3276" s="65" t="str">
        <f>IFERROR(VLOOKUP(#REF!,[1]Lookup!$B$2:$E$115,2,FALSE),"")</f>
        <v/>
      </c>
      <c r="AU3276" s="65" t="str">
        <f>IFERROR(VLOOKUP(#REF!,[1]Lookup!$B$2:$E$115,3,FALSE),"")</f>
        <v/>
      </c>
    </row>
    <row r="3277" spans="31:47" x14ac:dyDescent="0.3">
      <c r="AE3277" s="204" t="s">
        <v>398</v>
      </c>
      <c r="AF3277" s="204" t="s">
        <v>398</v>
      </c>
      <c r="AG3277" s="204" t="s">
        <v>398</v>
      </c>
      <c r="AS3277" s="65" t="str">
        <f>IFERROR(VLOOKUP(#REF!,[1]Lookup!$B$2:$E$115,4,FALSE),"")</f>
        <v/>
      </c>
      <c r="AT3277" s="65" t="str">
        <f>IFERROR(VLOOKUP(#REF!,[1]Lookup!$B$2:$E$115,2,FALSE),"")</f>
        <v/>
      </c>
      <c r="AU3277" s="65" t="str">
        <f>IFERROR(VLOOKUP(#REF!,[1]Lookup!$B$2:$E$115,3,FALSE),"")</f>
        <v/>
      </c>
    </row>
    <row r="3278" spans="31:47" x14ac:dyDescent="0.3">
      <c r="AE3278" s="204" t="s">
        <v>398</v>
      </c>
      <c r="AF3278" s="204" t="s">
        <v>398</v>
      </c>
      <c r="AG3278" s="204" t="s">
        <v>398</v>
      </c>
      <c r="AS3278" s="65" t="str">
        <f>IFERROR(VLOOKUP(#REF!,[1]Lookup!$B$2:$E$115,4,FALSE),"")</f>
        <v/>
      </c>
      <c r="AT3278" s="65" t="str">
        <f>IFERROR(VLOOKUP(#REF!,[1]Lookup!$B$2:$E$115,2,FALSE),"")</f>
        <v/>
      </c>
      <c r="AU3278" s="65" t="str">
        <f>IFERROR(VLOOKUP(#REF!,[1]Lookup!$B$2:$E$115,3,FALSE),"")</f>
        <v/>
      </c>
    </row>
    <row r="3279" spans="31:47" x14ac:dyDescent="0.3">
      <c r="AE3279" s="204" t="s">
        <v>398</v>
      </c>
      <c r="AF3279" s="204" t="s">
        <v>398</v>
      </c>
      <c r="AG3279" s="204" t="s">
        <v>398</v>
      </c>
      <c r="AS3279" s="65" t="str">
        <f>IFERROR(VLOOKUP(#REF!,[1]Lookup!$B$2:$E$115,4,FALSE),"")</f>
        <v/>
      </c>
      <c r="AT3279" s="65" t="str">
        <f>IFERROR(VLOOKUP(#REF!,[1]Lookup!$B$2:$E$115,2,FALSE),"")</f>
        <v/>
      </c>
      <c r="AU3279" s="65" t="str">
        <f>IFERROR(VLOOKUP(#REF!,[1]Lookup!$B$2:$E$115,3,FALSE),"")</f>
        <v/>
      </c>
    </row>
    <row r="3280" spans="31:47" x14ac:dyDescent="0.3">
      <c r="AE3280" s="204" t="s">
        <v>398</v>
      </c>
      <c r="AF3280" s="204" t="s">
        <v>398</v>
      </c>
      <c r="AG3280" s="204" t="s">
        <v>398</v>
      </c>
      <c r="AS3280" s="65" t="str">
        <f>IFERROR(VLOOKUP(#REF!,[1]Lookup!$B$2:$E$115,4,FALSE),"")</f>
        <v/>
      </c>
      <c r="AT3280" s="65" t="str">
        <f>IFERROR(VLOOKUP(#REF!,[1]Lookup!$B$2:$E$115,2,FALSE),"")</f>
        <v/>
      </c>
      <c r="AU3280" s="65" t="str">
        <f>IFERROR(VLOOKUP(#REF!,[1]Lookup!$B$2:$E$115,3,FALSE),"")</f>
        <v/>
      </c>
    </row>
    <row r="3281" spans="31:47" x14ac:dyDescent="0.3">
      <c r="AE3281" s="204" t="s">
        <v>398</v>
      </c>
      <c r="AF3281" s="204" t="s">
        <v>398</v>
      </c>
      <c r="AG3281" s="204" t="s">
        <v>398</v>
      </c>
      <c r="AS3281" s="65" t="str">
        <f>IFERROR(VLOOKUP(#REF!,[1]Lookup!$B$2:$E$115,4,FALSE),"")</f>
        <v/>
      </c>
      <c r="AT3281" s="65" t="str">
        <f>IFERROR(VLOOKUP(#REF!,[1]Lookup!$B$2:$E$115,2,FALSE),"")</f>
        <v/>
      </c>
      <c r="AU3281" s="65" t="str">
        <f>IFERROR(VLOOKUP(#REF!,[1]Lookup!$B$2:$E$115,3,FALSE),"")</f>
        <v/>
      </c>
    </row>
    <row r="3282" spans="31:47" x14ac:dyDescent="0.3">
      <c r="AE3282" s="204" t="s">
        <v>398</v>
      </c>
      <c r="AF3282" s="204" t="s">
        <v>398</v>
      </c>
      <c r="AG3282" s="204" t="s">
        <v>398</v>
      </c>
      <c r="AS3282" s="65" t="str">
        <f>IFERROR(VLOOKUP(#REF!,[1]Lookup!$B$2:$E$115,4,FALSE),"")</f>
        <v/>
      </c>
      <c r="AT3282" s="65" t="str">
        <f>IFERROR(VLOOKUP(#REF!,[1]Lookup!$B$2:$E$115,2,FALSE),"")</f>
        <v/>
      </c>
      <c r="AU3282" s="65" t="str">
        <f>IFERROR(VLOOKUP(#REF!,[1]Lookup!$B$2:$E$115,3,FALSE),"")</f>
        <v/>
      </c>
    </row>
    <row r="3283" spans="31:47" x14ac:dyDescent="0.3">
      <c r="AE3283" s="204" t="s">
        <v>398</v>
      </c>
      <c r="AF3283" s="204" t="s">
        <v>398</v>
      </c>
      <c r="AG3283" s="204" t="s">
        <v>398</v>
      </c>
      <c r="AS3283" s="65" t="str">
        <f>IFERROR(VLOOKUP(#REF!,[1]Lookup!$B$2:$E$115,4,FALSE),"")</f>
        <v/>
      </c>
      <c r="AT3283" s="65" t="str">
        <f>IFERROR(VLOOKUP(#REF!,[1]Lookup!$B$2:$E$115,2,FALSE),"")</f>
        <v/>
      </c>
      <c r="AU3283" s="65" t="str">
        <f>IFERROR(VLOOKUP(#REF!,[1]Lookup!$B$2:$E$115,3,FALSE),"")</f>
        <v/>
      </c>
    </row>
    <row r="3284" spans="31:47" x14ac:dyDescent="0.3">
      <c r="AE3284" s="204" t="s">
        <v>398</v>
      </c>
      <c r="AF3284" s="204" t="s">
        <v>398</v>
      </c>
      <c r="AG3284" s="204" t="s">
        <v>398</v>
      </c>
      <c r="AS3284" s="65" t="str">
        <f>IFERROR(VLOOKUP(#REF!,[1]Lookup!$B$2:$E$115,4,FALSE),"")</f>
        <v/>
      </c>
      <c r="AT3284" s="65" t="str">
        <f>IFERROR(VLOOKUP(#REF!,[1]Lookup!$B$2:$E$115,2,FALSE),"")</f>
        <v/>
      </c>
      <c r="AU3284" s="65" t="str">
        <f>IFERROR(VLOOKUP(#REF!,[1]Lookup!$B$2:$E$115,3,FALSE),"")</f>
        <v/>
      </c>
    </row>
    <row r="3285" spans="31:47" x14ac:dyDescent="0.3">
      <c r="AE3285" s="204" t="s">
        <v>398</v>
      </c>
      <c r="AF3285" s="204" t="s">
        <v>398</v>
      </c>
      <c r="AG3285" s="204" t="s">
        <v>398</v>
      </c>
      <c r="AS3285" s="65" t="str">
        <f>IFERROR(VLOOKUP(#REF!,[1]Lookup!$B$2:$E$115,4,FALSE),"")</f>
        <v/>
      </c>
      <c r="AT3285" s="65" t="str">
        <f>IFERROR(VLOOKUP(#REF!,[1]Lookup!$B$2:$E$115,2,FALSE),"")</f>
        <v/>
      </c>
      <c r="AU3285" s="65" t="str">
        <f>IFERROR(VLOOKUP(#REF!,[1]Lookup!$B$2:$E$115,3,FALSE),"")</f>
        <v/>
      </c>
    </row>
    <row r="3286" spans="31:47" x14ac:dyDescent="0.3">
      <c r="AE3286" s="204" t="s">
        <v>398</v>
      </c>
      <c r="AF3286" s="204" t="s">
        <v>398</v>
      </c>
      <c r="AG3286" s="204" t="s">
        <v>398</v>
      </c>
      <c r="AS3286" s="65" t="str">
        <f>IFERROR(VLOOKUP(#REF!,[1]Lookup!$B$2:$E$115,4,FALSE),"")</f>
        <v/>
      </c>
      <c r="AT3286" s="65" t="str">
        <f>IFERROR(VLOOKUP(#REF!,[1]Lookup!$B$2:$E$115,2,FALSE),"")</f>
        <v/>
      </c>
      <c r="AU3286" s="65" t="str">
        <f>IFERROR(VLOOKUP(#REF!,[1]Lookup!$B$2:$E$115,3,FALSE),"")</f>
        <v/>
      </c>
    </row>
    <row r="3287" spans="31:47" x14ac:dyDescent="0.3">
      <c r="AE3287" s="204" t="s">
        <v>398</v>
      </c>
      <c r="AF3287" s="204" t="s">
        <v>398</v>
      </c>
      <c r="AG3287" s="204" t="s">
        <v>398</v>
      </c>
      <c r="AS3287" s="65" t="str">
        <f>IFERROR(VLOOKUP(#REF!,[1]Lookup!$B$2:$E$115,4,FALSE),"")</f>
        <v/>
      </c>
      <c r="AT3287" s="65" t="str">
        <f>IFERROR(VLOOKUP(#REF!,[1]Lookup!$B$2:$E$115,2,FALSE),"")</f>
        <v/>
      </c>
      <c r="AU3287" s="65" t="str">
        <f>IFERROR(VLOOKUP(#REF!,[1]Lookup!$B$2:$E$115,3,FALSE),"")</f>
        <v/>
      </c>
    </row>
    <row r="3288" spans="31:47" x14ac:dyDescent="0.3">
      <c r="AE3288" s="204" t="s">
        <v>398</v>
      </c>
      <c r="AF3288" s="204" t="s">
        <v>398</v>
      </c>
      <c r="AG3288" s="204" t="s">
        <v>398</v>
      </c>
      <c r="AS3288" s="65" t="str">
        <f>IFERROR(VLOOKUP(#REF!,[1]Lookup!$B$2:$E$115,4,FALSE),"")</f>
        <v/>
      </c>
      <c r="AT3288" s="65" t="str">
        <f>IFERROR(VLOOKUP(#REF!,[1]Lookup!$B$2:$E$115,2,FALSE),"")</f>
        <v/>
      </c>
      <c r="AU3288" s="65" t="str">
        <f>IFERROR(VLOOKUP(#REF!,[1]Lookup!$B$2:$E$115,3,FALSE),"")</f>
        <v/>
      </c>
    </row>
    <row r="3289" spans="31:47" x14ac:dyDescent="0.3">
      <c r="AE3289" s="204" t="s">
        <v>398</v>
      </c>
      <c r="AF3289" s="204" t="s">
        <v>398</v>
      </c>
      <c r="AG3289" s="204" t="s">
        <v>398</v>
      </c>
      <c r="AS3289" s="65" t="str">
        <f>IFERROR(VLOOKUP(#REF!,[1]Lookup!$B$2:$E$115,4,FALSE),"")</f>
        <v/>
      </c>
      <c r="AT3289" s="65" t="str">
        <f>IFERROR(VLOOKUP(#REF!,[1]Lookup!$B$2:$E$115,2,FALSE),"")</f>
        <v/>
      </c>
      <c r="AU3289" s="65" t="str">
        <f>IFERROR(VLOOKUP(#REF!,[1]Lookup!$B$2:$E$115,3,FALSE),"")</f>
        <v/>
      </c>
    </row>
    <row r="3290" spans="31:47" x14ac:dyDescent="0.3">
      <c r="AE3290" s="204" t="s">
        <v>398</v>
      </c>
      <c r="AF3290" s="204" t="s">
        <v>398</v>
      </c>
      <c r="AG3290" s="204" t="s">
        <v>398</v>
      </c>
      <c r="AS3290" s="65" t="str">
        <f>IFERROR(VLOOKUP(#REF!,[1]Lookup!$B$2:$E$115,4,FALSE),"")</f>
        <v/>
      </c>
      <c r="AT3290" s="65" t="str">
        <f>IFERROR(VLOOKUP(#REF!,[1]Lookup!$B$2:$E$115,2,FALSE),"")</f>
        <v/>
      </c>
      <c r="AU3290" s="65" t="str">
        <f>IFERROR(VLOOKUP(#REF!,[1]Lookup!$B$2:$E$115,3,FALSE),"")</f>
        <v/>
      </c>
    </row>
    <row r="3291" spans="31:47" x14ac:dyDescent="0.3">
      <c r="AE3291" s="204" t="s">
        <v>398</v>
      </c>
      <c r="AF3291" s="204" t="s">
        <v>398</v>
      </c>
      <c r="AG3291" s="204" t="s">
        <v>398</v>
      </c>
      <c r="AS3291" s="65" t="str">
        <f>IFERROR(VLOOKUP(#REF!,[1]Lookup!$B$2:$E$115,4,FALSE),"")</f>
        <v/>
      </c>
      <c r="AT3291" s="65" t="str">
        <f>IFERROR(VLOOKUP(#REF!,[1]Lookup!$B$2:$E$115,2,FALSE),"")</f>
        <v/>
      </c>
      <c r="AU3291" s="65" t="str">
        <f>IFERROR(VLOOKUP(#REF!,[1]Lookup!$B$2:$E$115,3,FALSE),"")</f>
        <v/>
      </c>
    </row>
    <row r="3292" spans="31:47" x14ac:dyDescent="0.3">
      <c r="AE3292" s="204" t="s">
        <v>398</v>
      </c>
      <c r="AF3292" s="204" t="s">
        <v>398</v>
      </c>
      <c r="AG3292" s="204" t="s">
        <v>398</v>
      </c>
      <c r="AS3292" s="65" t="str">
        <f>IFERROR(VLOOKUP(#REF!,[1]Lookup!$B$2:$E$115,4,FALSE),"")</f>
        <v/>
      </c>
      <c r="AT3292" s="65" t="str">
        <f>IFERROR(VLOOKUP(#REF!,[1]Lookup!$B$2:$E$115,2,FALSE),"")</f>
        <v/>
      </c>
      <c r="AU3292" s="65" t="str">
        <f>IFERROR(VLOOKUP(#REF!,[1]Lookup!$B$2:$E$115,3,FALSE),"")</f>
        <v/>
      </c>
    </row>
    <row r="3293" spans="31:47" x14ac:dyDescent="0.3">
      <c r="AE3293" s="204" t="s">
        <v>398</v>
      </c>
      <c r="AF3293" s="204" t="s">
        <v>398</v>
      </c>
      <c r="AG3293" s="204" t="s">
        <v>398</v>
      </c>
      <c r="AS3293" s="65" t="str">
        <f>IFERROR(VLOOKUP(#REF!,[1]Lookup!$B$2:$E$115,4,FALSE),"")</f>
        <v/>
      </c>
      <c r="AT3293" s="65" t="str">
        <f>IFERROR(VLOOKUP(#REF!,[1]Lookup!$B$2:$E$115,2,FALSE),"")</f>
        <v/>
      </c>
      <c r="AU3293" s="65" t="str">
        <f>IFERROR(VLOOKUP(#REF!,[1]Lookup!$B$2:$E$115,3,FALSE),"")</f>
        <v/>
      </c>
    </row>
    <row r="3294" spans="31:47" x14ac:dyDescent="0.3">
      <c r="AE3294" s="204" t="s">
        <v>398</v>
      </c>
      <c r="AF3294" s="204" t="s">
        <v>398</v>
      </c>
      <c r="AG3294" s="204" t="s">
        <v>398</v>
      </c>
      <c r="AS3294" s="65" t="str">
        <f>IFERROR(VLOOKUP(#REF!,[1]Lookup!$B$2:$E$115,4,FALSE),"")</f>
        <v/>
      </c>
      <c r="AT3294" s="65" t="str">
        <f>IFERROR(VLOOKUP(#REF!,[1]Lookup!$B$2:$E$115,2,FALSE),"")</f>
        <v/>
      </c>
      <c r="AU3294" s="65" t="str">
        <f>IFERROR(VLOOKUP(#REF!,[1]Lookup!$B$2:$E$115,3,FALSE),"")</f>
        <v/>
      </c>
    </row>
    <row r="3295" spans="31:47" x14ac:dyDescent="0.3">
      <c r="AE3295" s="204" t="s">
        <v>398</v>
      </c>
      <c r="AF3295" s="204" t="s">
        <v>398</v>
      </c>
      <c r="AG3295" s="204" t="s">
        <v>398</v>
      </c>
      <c r="AS3295" s="65" t="str">
        <f>IFERROR(VLOOKUP(#REF!,[1]Lookup!$B$2:$E$115,4,FALSE),"")</f>
        <v/>
      </c>
      <c r="AT3295" s="65" t="str">
        <f>IFERROR(VLOOKUP(#REF!,[1]Lookup!$B$2:$E$115,2,FALSE),"")</f>
        <v/>
      </c>
      <c r="AU3295" s="65" t="str">
        <f>IFERROR(VLOOKUP(#REF!,[1]Lookup!$B$2:$E$115,3,FALSE),"")</f>
        <v/>
      </c>
    </row>
    <row r="3296" spans="31:47" x14ac:dyDescent="0.3">
      <c r="AE3296" s="204" t="s">
        <v>398</v>
      </c>
      <c r="AF3296" s="204" t="s">
        <v>398</v>
      </c>
      <c r="AG3296" s="204" t="s">
        <v>398</v>
      </c>
      <c r="AS3296" s="65" t="str">
        <f>IFERROR(VLOOKUP(#REF!,[1]Lookup!$B$2:$E$115,4,FALSE),"")</f>
        <v/>
      </c>
      <c r="AT3296" s="65" t="str">
        <f>IFERROR(VLOOKUP(#REF!,[1]Lookup!$B$2:$E$115,2,FALSE),"")</f>
        <v/>
      </c>
      <c r="AU3296" s="65" t="str">
        <f>IFERROR(VLOOKUP(#REF!,[1]Lookup!$B$2:$E$115,3,FALSE),"")</f>
        <v/>
      </c>
    </row>
    <row r="3297" spans="31:47" x14ac:dyDescent="0.3">
      <c r="AE3297" s="204" t="s">
        <v>398</v>
      </c>
      <c r="AF3297" s="204" t="s">
        <v>398</v>
      </c>
      <c r="AG3297" s="204" t="s">
        <v>398</v>
      </c>
      <c r="AS3297" s="65" t="str">
        <f>IFERROR(VLOOKUP(#REF!,[1]Lookup!$B$2:$E$115,4,FALSE),"")</f>
        <v/>
      </c>
      <c r="AT3297" s="65" t="str">
        <f>IFERROR(VLOOKUP(#REF!,[1]Lookup!$B$2:$E$115,2,FALSE),"")</f>
        <v/>
      </c>
      <c r="AU3297" s="65" t="str">
        <f>IFERROR(VLOOKUP(#REF!,[1]Lookup!$B$2:$E$115,3,FALSE),"")</f>
        <v/>
      </c>
    </row>
    <row r="3298" spans="31:47" x14ac:dyDescent="0.3">
      <c r="AE3298" s="204" t="s">
        <v>398</v>
      </c>
      <c r="AF3298" s="204" t="s">
        <v>398</v>
      </c>
      <c r="AG3298" s="204" t="s">
        <v>398</v>
      </c>
      <c r="AS3298" s="65" t="str">
        <f>IFERROR(VLOOKUP(#REF!,[1]Lookup!$B$2:$E$115,4,FALSE),"")</f>
        <v/>
      </c>
      <c r="AT3298" s="65" t="str">
        <f>IFERROR(VLOOKUP(#REF!,[1]Lookup!$B$2:$E$115,2,FALSE),"")</f>
        <v/>
      </c>
      <c r="AU3298" s="65" t="str">
        <f>IFERROR(VLOOKUP(#REF!,[1]Lookup!$B$2:$E$115,3,FALSE),"")</f>
        <v/>
      </c>
    </row>
    <row r="3299" spans="31:47" x14ac:dyDescent="0.3">
      <c r="AE3299" s="204" t="s">
        <v>398</v>
      </c>
      <c r="AF3299" s="204" t="s">
        <v>398</v>
      </c>
      <c r="AG3299" s="204" t="s">
        <v>398</v>
      </c>
      <c r="AS3299" s="65" t="str">
        <f>IFERROR(VLOOKUP(#REF!,[1]Lookup!$B$2:$E$115,4,FALSE),"")</f>
        <v/>
      </c>
      <c r="AT3299" s="65" t="str">
        <f>IFERROR(VLOOKUP(#REF!,[1]Lookup!$B$2:$E$115,2,FALSE),"")</f>
        <v/>
      </c>
      <c r="AU3299" s="65" t="str">
        <f>IFERROR(VLOOKUP(#REF!,[1]Lookup!$B$2:$E$115,3,FALSE),"")</f>
        <v/>
      </c>
    </row>
    <row r="3300" spans="31:47" x14ac:dyDescent="0.3">
      <c r="AE3300" s="204" t="s">
        <v>398</v>
      </c>
      <c r="AF3300" s="204" t="s">
        <v>398</v>
      </c>
      <c r="AG3300" s="204" t="s">
        <v>398</v>
      </c>
      <c r="AS3300" s="65" t="str">
        <f>IFERROR(VLOOKUP(#REF!,[1]Lookup!$B$2:$E$115,4,FALSE),"")</f>
        <v/>
      </c>
      <c r="AT3300" s="65" t="str">
        <f>IFERROR(VLOOKUP(#REF!,[1]Lookup!$B$2:$E$115,2,FALSE),"")</f>
        <v/>
      </c>
      <c r="AU3300" s="65" t="str">
        <f>IFERROR(VLOOKUP(#REF!,[1]Lookup!$B$2:$E$115,3,FALSE),"")</f>
        <v/>
      </c>
    </row>
    <row r="3301" spans="31:47" x14ac:dyDescent="0.3">
      <c r="AE3301" s="204" t="s">
        <v>398</v>
      </c>
      <c r="AF3301" s="204" t="s">
        <v>398</v>
      </c>
      <c r="AG3301" s="204" t="s">
        <v>398</v>
      </c>
      <c r="AS3301" s="65" t="str">
        <f>IFERROR(VLOOKUP(#REF!,[1]Lookup!$B$2:$E$115,4,FALSE),"")</f>
        <v/>
      </c>
      <c r="AT3301" s="65" t="str">
        <f>IFERROR(VLOOKUP(#REF!,[1]Lookup!$B$2:$E$115,2,FALSE),"")</f>
        <v/>
      </c>
      <c r="AU3301" s="65" t="str">
        <f>IFERROR(VLOOKUP(#REF!,[1]Lookup!$B$2:$E$115,3,FALSE),"")</f>
        <v/>
      </c>
    </row>
    <row r="3302" spans="31:47" x14ac:dyDescent="0.3">
      <c r="AE3302" s="204" t="s">
        <v>398</v>
      </c>
      <c r="AF3302" s="204" t="s">
        <v>398</v>
      </c>
      <c r="AG3302" s="204" t="s">
        <v>398</v>
      </c>
      <c r="AS3302" s="65" t="str">
        <f>IFERROR(VLOOKUP(#REF!,[1]Lookup!$B$2:$E$115,4,FALSE),"")</f>
        <v/>
      </c>
      <c r="AT3302" s="65" t="str">
        <f>IFERROR(VLOOKUP(#REF!,[1]Lookup!$B$2:$E$115,2,FALSE),"")</f>
        <v/>
      </c>
      <c r="AU3302" s="65" t="str">
        <f>IFERROR(VLOOKUP(#REF!,[1]Lookup!$B$2:$E$115,3,FALSE),"")</f>
        <v/>
      </c>
    </row>
    <row r="3303" spans="31:47" x14ac:dyDescent="0.3">
      <c r="AE3303" s="204" t="s">
        <v>398</v>
      </c>
      <c r="AF3303" s="204" t="s">
        <v>398</v>
      </c>
      <c r="AG3303" s="204" t="s">
        <v>398</v>
      </c>
      <c r="AS3303" s="65" t="str">
        <f>IFERROR(VLOOKUP(#REF!,[1]Lookup!$B$2:$E$115,4,FALSE),"")</f>
        <v/>
      </c>
      <c r="AT3303" s="65" t="str">
        <f>IFERROR(VLOOKUP(#REF!,[1]Lookup!$B$2:$E$115,2,FALSE),"")</f>
        <v/>
      </c>
      <c r="AU3303" s="65" t="str">
        <f>IFERROR(VLOOKUP(#REF!,[1]Lookup!$B$2:$E$115,3,FALSE),"")</f>
        <v/>
      </c>
    </row>
    <row r="3304" spans="31:47" x14ac:dyDescent="0.3">
      <c r="AE3304" s="204" t="s">
        <v>398</v>
      </c>
      <c r="AF3304" s="204" t="s">
        <v>398</v>
      </c>
      <c r="AG3304" s="204" t="s">
        <v>398</v>
      </c>
      <c r="AS3304" s="65" t="str">
        <f>IFERROR(VLOOKUP(#REF!,[1]Lookup!$B$2:$E$115,4,FALSE),"")</f>
        <v/>
      </c>
      <c r="AT3304" s="65" t="str">
        <f>IFERROR(VLOOKUP(#REF!,[1]Lookup!$B$2:$E$115,2,FALSE),"")</f>
        <v/>
      </c>
      <c r="AU3304" s="65" t="str">
        <f>IFERROR(VLOOKUP(#REF!,[1]Lookup!$B$2:$E$115,3,FALSE),"")</f>
        <v/>
      </c>
    </row>
    <row r="3305" spans="31:47" x14ac:dyDescent="0.3">
      <c r="AE3305" s="204" t="s">
        <v>398</v>
      </c>
      <c r="AF3305" s="204" t="s">
        <v>398</v>
      </c>
      <c r="AG3305" s="204" t="s">
        <v>398</v>
      </c>
      <c r="AS3305" s="65" t="str">
        <f>IFERROR(VLOOKUP(#REF!,[1]Lookup!$B$2:$E$115,4,FALSE),"")</f>
        <v/>
      </c>
      <c r="AT3305" s="65" t="str">
        <f>IFERROR(VLOOKUP(#REF!,[1]Lookup!$B$2:$E$115,2,FALSE),"")</f>
        <v/>
      </c>
      <c r="AU3305" s="65" t="str">
        <f>IFERROR(VLOOKUP(#REF!,[1]Lookup!$B$2:$E$115,3,FALSE),"")</f>
        <v/>
      </c>
    </row>
    <row r="3306" spans="31:47" x14ac:dyDescent="0.3">
      <c r="AE3306" s="204" t="s">
        <v>398</v>
      </c>
      <c r="AF3306" s="204" t="s">
        <v>398</v>
      </c>
      <c r="AG3306" s="204" t="s">
        <v>398</v>
      </c>
      <c r="AS3306" s="65" t="str">
        <f>IFERROR(VLOOKUP(#REF!,[1]Lookup!$B$2:$E$115,4,FALSE),"")</f>
        <v/>
      </c>
      <c r="AT3306" s="65" t="str">
        <f>IFERROR(VLOOKUP(#REF!,[1]Lookup!$B$2:$E$115,2,FALSE),"")</f>
        <v/>
      </c>
      <c r="AU3306" s="65" t="str">
        <f>IFERROR(VLOOKUP(#REF!,[1]Lookup!$B$2:$E$115,3,FALSE),"")</f>
        <v/>
      </c>
    </row>
    <row r="3307" spans="31:47" x14ac:dyDescent="0.3">
      <c r="AE3307" s="204" t="s">
        <v>398</v>
      </c>
      <c r="AF3307" s="204" t="s">
        <v>398</v>
      </c>
      <c r="AG3307" s="204" t="s">
        <v>398</v>
      </c>
      <c r="AS3307" s="65" t="str">
        <f>IFERROR(VLOOKUP(#REF!,[1]Lookup!$B$2:$E$115,4,FALSE),"")</f>
        <v/>
      </c>
      <c r="AT3307" s="65" t="str">
        <f>IFERROR(VLOOKUP(#REF!,[1]Lookup!$B$2:$E$115,2,FALSE),"")</f>
        <v/>
      </c>
      <c r="AU3307" s="65" t="str">
        <f>IFERROR(VLOOKUP(#REF!,[1]Lookup!$B$2:$E$115,3,FALSE),"")</f>
        <v/>
      </c>
    </row>
    <row r="3308" spans="31:47" x14ac:dyDescent="0.3">
      <c r="AE3308" s="204" t="s">
        <v>398</v>
      </c>
      <c r="AF3308" s="204" t="s">
        <v>398</v>
      </c>
      <c r="AG3308" s="204" t="s">
        <v>398</v>
      </c>
      <c r="AS3308" s="65" t="str">
        <f>IFERROR(VLOOKUP(#REF!,[1]Lookup!$B$2:$E$115,4,FALSE),"")</f>
        <v/>
      </c>
      <c r="AT3308" s="65" t="str">
        <f>IFERROR(VLOOKUP(#REF!,[1]Lookup!$B$2:$E$115,2,FALSE),"")</f>
        <v/>
      </c>
      <c r="AU3308" s="65" t="str">
        <f>IFERROR(VLOOKUP(#REF!,[1]Lookup!$B$2:$E$115,3,FALSE),"")</f>
        <v/>
      </c>
    </row>
    <row r="3309" spans="31:47" x14ac:dyDescent="0.3">
      <c r="AE3309" s="204" t="s">
        <v>398</v>
      </c>
      <c r="AF3309" s="204" t="s">
        <v>398</v>
      </c>
      <c r="AG3309" s="204" t="s">
        <v>398</v>
      </c>
      <c r="AS3309" s="65" t="str">
        <f>IFERROR(VLOOKUP(#REF!,[1]Lookup!$B$2:$E$115,4,FALSE),"")</f>
        <v/>
      </c>
      <c r="AT3309" s="65" t="str">
        <f>IFERROR(VLOOKUP(#REF!,[1]Lookup!$B$2:$E$115,2,FALSE),"")</f>
        <v/>
      </c>
      <c r="AU3309" s="65" t="str">
        <f>IFERROR(VLOOKUP(#REF!,[1]Lookup!$B$2:$E$115,3,FALSE),"")</f>
        <v/>
      </c>
    </row>
    <row r="3310" spans="31:47" x14ac:dyDescent="0.3">
      <c r="AE3310" s="204" t="s">
        <v>398</v>
      </c>
      <c r="AF3310" s="204" t="s">
        <v>398</v>
      </c>
      <c r="AG3310" s="204" t="s">
        <v>398</v>
      </c>
      <c r="AS3310" s="65" t="str">
        <f>IFERROR(VLOOKUP(#REF!,[1]Lookup!$B$2:$E$115,4,FALSE),"")</f>
        <v/>
      </c>
      <c r="AT3310" s="65" t="str">
        <f>IFERROR(VLOOKUP(#REF!,[1]Lookup!$B$2:$E$115,2,FALSE),"")</f>
        <v/>
      </c>
      <c r="AU3310" s="65" t="str">
        <f>IFERROR(VLOOKUP(#REF!,[1]Lookup!$B$2:$E$115,3,FALSE),"")</f>
        <v/>
      </c>
    </row>
    <row r="3311" spans="31:47" x14ac:dyDescent="0.3">
      <c r="AE3311" s="204" t="s">
        <v>398</v>
      </c>
      <c r="AF3311" s="204" t="s">
        <v>398</v>
      </c>
      <c r="AG3311" s="204" t="s">
        <v>398</v>
      </c>
      <c r="AS3311" s="65" t="str">
        <f>IFERROR(VLOOKUP(#REF!,[1]Lookup!$B$2:$E$115,4,FALSE),"")</f>
        <v/>
      </c>
      <c r="AT3311" s="65" t="str">
        <f>IFERROR(VLOOKUP(#REF!,[1]Lookup!$B$2:$E$115,2,FALSE),"")</f>
        <v/>
      </c>
      <c r="AU3311" s="65" t="str">
        <f>IFERROR(VLOOKUP(#REF!,[1]Lookup!$B$2:$E$115,3,FALSE),"")</f>
        <v/>
      </c>
    </row>
    <row r="3312" spans="31:47" x14ac:dyDescent="0.3">
      <c r="AE3312" s="204" t="s">
        <v>398</v>
      </c>
      <c r="AF3312" s="204" t="s">
        <v>398</v>
      </c>
      <c r="AG3312" s="204" t="s">
        <v>398</v>
      </c>
      <c r="AS3312" s="65" t="str">
        <f>IFERROR(VLOOKUP(#REF!,[1]Lookup!$B$2:$E$115,4,FALSE),"")</f>
        <v/>
      </c>
      <c r="AT3312" s="65" t="str">
        <f>IFERROR(VLOOKUP(#REF!,[1]Lookup!$B$2:$E$115,2,FALSE),"")</f>
        <v/>
      </c>
      <c r="AU3312" s="65" t="str">
        <f>IFERROR(VLOOKUP(#REF!,[1]Lookup!$B$2:$E$115,3,FALSE),"")</f>
        <v/>
      </c>
    </row>
    <row r="3313" spans="31:47" x14ac:dyDescent="0.3">
      <c r="AE3313" s="204" t="s">
        <v>398</v>
      </c>
      <c r="AF3313" s="204" t="s">
        <v>398</v>
      </c>
      <c r="AG3313" s="204" t="s">
        <v>398</v>
      </c>
      <c r="AS3313" s="65" t="str">
        <f>IFERROR(VLOOKUP(#REF!,[1]Lookup!$B$2:$E$115,4,FALSE),"")</f>
        <v/>
      </c>
      <c r="AT3313" s="65" t="str">
        <f>IFERROR(VLOOKUP(#REF!,[1]Lookup!$B$2:$E$115,2,FALSE),"")</f>
        <v/>
      </c>
      <c r="AU3313" s="65" t="str">
        <f>IFERROR(VLOOKUP(#REF!,[1]Lookup!$B$2:$E$115,3,FALSE),"")</f>
        <v/>
      </c>
    </row>
    <row r="3314" spans="31:47" x14ac:dyDescent="0.3">
      <c r="AE3314" s="204" t="s">
        <v>398</v>
      </c>
      <c r="AF3314" s="204" t="s">
        <v>398</v>
      </c>
      <c r="AG3314" s="204" t="s">
        <v>398</v>
      </c>
      <c r="AS3314" s="65" t="str">
        <f>IFERROR(VLOOKUP(#REF!,[1]Lookup!$B$2:$E$115,4,FALSE),"")</f>
        <v/>
      </c>
      <c r="AT3314" s="65" t="str">
        <f>IFERROR(VLOOKUP(#REF!,[1]Lookup!$B$2:$E$115,2,FALSE),"")</f>
        <v/>
      </c>
      <c r="AU3314" s="65" t="str">
        <f>IFERROR(VLOOKUP(#REF!,[1]Lookup!$B$2:$E$115,3,FALSE),"")</f>
        <v/>
      </c>
    </row>
    <row r="3315" spans="31:47" x14ac:dyDescent="0.3">
      <c r="AE3315" s="204" t="s">
        <v>398</v>
      </c>
      <c r="AF3315" s="204" t="s">
        <v>398</v>
      </c>
      <c r="AG3315" s="204" t="s">
        <v>398</v>
      </c>
      <c r="AS3315" s="65" t="str">
        <f>IFERROR(VLOOKUP(#REF!,[1]Lookup!$B$2:$E$115,4,FALSE),"")</f>
        <v/>
      </c>
      <c r="AT3315" s="65" t="str">
        <f>IFERROR(VLOOKUP(#REF!,[1]Lookup!$B$2:$E$115,2,FALSE),"")</f>
        <v/>
      </c>
      <c r="AU3315" s="65" t="str">
        <f>IFERROR(VLOOKUP(#REF!,[1]Lookup!$B$2:$E$115,3,FALSE),"")</f>
        <v/>
      </c>
    </row>
    <row r="3316" spans="31:47" x14ac:dyDescent="0.3">
      <c r="AE3316" s="204" t="s">
        <v>398</v>
      </c>
      <c r="AF3316" s="204" t="s">
        <v>398</v>
      </c>
      <c r="AG3316" s="204" t="s">
        <v>398</v>
      </c>
      <c r="AS3316" s="65" t="str">
        <f>IFERROR(VLOOKUP(#REF!,[1]Lookup!$B$2:$E$115,4,FALSE),"")</f>
        <v/>
      </c>
      <c r="AT3316" s="65" t="str">
        <f>IFERROR(VLOOKUP(#REF!,[1]Lookup!$B$2:$E$115,2,FALSE),"")</f>
        <v/>
      </c>
      <c r="AU3316" s="65" t="str">
        <f>IFERROR(VLOOKUP(#REF!,[1]Lookup!$B$2:$E$115,3,FALSE),"")</f>
        <v/>
      </c>
    </row>
    <row r="3317" spans="31:47" x14ac:dyDescent="0.3">
      <c r="AE3317" s="204" t="s">
        <v>398</v>
      </c>
      <c r="AF3317" s="204" t="s">
        <v>398</v>
      </c>
      <c r="AG3317" s="204" t="s">
        <v>398</v>
      </c>
      <c r="AS3317" s="65" t="str">
        <f>IFERROR(VLOOKUP(#REF!,[1]Lookup!$B$2:$E$115,4,FALSE),"")</f>
        <v/>
      </c>
      <c r="AT3317" s="65" t="str">
        <f>IFERROR(VLOOKUP(#REF!,[1]Lookup!$B$2:$E$115,2,FALSE),"")</f>
        <v/>
      </c>
      <c r="AU3317" s="65" t="str">
        <f>IFERROR(VLOOKUP(#REF!,[1]Lookup!$B$2:$E$115,3,FALSE),"")</f>
        <v/>
      </c>
    </row>
    <row r="3318" spans="31:47" x14ac:dyDescent="0.3">
      <c r="AE3318" s="204" t="s">
        <v>398</v>
      </c>
      <c r="AF3318" s="204" t="s">
        <v>398</v>
      </c>
      <c r="AG3318" s="204" t="s">
        <v>398</v>
      </c>
      <c r="AS3318" s="65" t="str">
        <f>IFERROR(VLOOKUP(#REF!,[1]Lookup!$B$2:$E$115,4,FALSE),"")</f>
        <v/>
      </c>
      <c r="AT3318" s="65" t="str">
        <f>IFERROR(VLOOKUP(#REF!,[1]Lookup!$B$2:$E$115,2,FALSE),"")</f>
        <v/>
      </c>
      <c r="AU3318" s="65" t="str">
        <f>IFERROR(VLOOKUP(#REF!,[1]Lookup!$B$2:$E$115,3,FALSE),"")</f>
        <v/>
      </c>
    </row>
    <row r="3319" spans="31:47" x14ac:dyDescent="0.3">
      <c r="AE3319" s="204" t="s">
        <v>398</v>
      </c>
      <c r="AF3319" s="204" t="s">
        <v>398</v>
      </c>
      <c r="AG3319" s="204" t="s">
        <v>398</v>
      </c>
      <c r="AS3319" s="65" t="str">
        <f>IFERROR(VLOOKUP(#REF!,[1]Lookup!$B$2:$E$115,4,FALSE),"")</f>
        <v/>
      </c>
      <c r="AT3319" s="65" t="str">
        <f>IFERROR(VLOOKUP(#REF!,[1]Lookup!$B$2:$E$115,2,FALSE),"")</f>
        <v/>
      </c>
      <c r="AU3319" s="65" t="str">
        <f>IFERROR(VLOOKUP(#REF!,[1]Lookup!$B$2:$E$115,3,FALSE),"")</f>
        <v/>
      </c>
    </row>
    <row r="3320" spans="31:47" x14ac:dyDescent="0.3">
      <c r="AE3320" s="204" t="s">
        <v>398</v>
      </c>
      <c r="AF3320" s="204" t="s">
        <v>398</v>
      </c>
      <c r="AG3320" s="204" t="s">
        <v>398</v>
      </c>
      <c r="AS3320" s="65" t="str">
        <f>IFERROR(VLOOKUP(#REF!,[1]Lookup!$B$2:$E$115,4,FALSE),"")</f>
        <v/>
      </c>
      <c r="AT3320" s="65" t="str">
        <f>IFERROR(VLOOKUP(#REF!,[1]Lookup!$B$2:$E$115,2,FALSE),"")</f>
        <v/>
      </c>
      <c r="AU3320" s="65" t="str">
        <f>IFERROR(VLOOKUP(#REF!,[1]Lookup!$B$2:$E$115,3,FALSE),"")</f>
        <v/>
      </c>
    </row>
    <row r="3321" spans="31:47" x14ac:dyDescent="0.3">
      <c r="AE3321" s="204" t="s">
        <v>398</v>
      </c>
      <c r="AF3321" s="204" t="s">
        <v>398</v>
      </c>
      <c r="AG3321" s="204" t="s">
        <v>398</v>
      </c>
      <c r="AS3321" s="65" t="str">
        <f>IFERROR(VLOOKUP(#REF!,[1]Lookup!$B$2:$E$115,4,FALSE),"")</f>
        <v/>
      </c>
      <c r="AT3321" s="65" t="str">
        <f>IFERROR(VLOOKUP(#REF!,[1]Lookup!$B$2:$E$115,2,FALSE),"")</f>
        <v/>
      </c>
      <c r="AU3321" s="65" t="str">
        <f>IFERROR(VLOOKUP(#REF!,[1]Lookup!$B$2:$E$115,3,FALSE),"")</f>
        <v/>
      </c>
    </row>
    <row r="3322" spans="31:47" x14ac:dyDescent="0.3">
      <c r="AE3322" s="204" t="s">
        <v>398</v>
      </c>
      <c r="AF3322" s="204" t="s">
        <v>398</v>
      </c>
      <c r="AG3322" s="204" t="s">
        <v>398</v>
      </c>
      <c r="AS3322" s="65" t="str">
        <f>IFERROR(VLOOKUP(#REF!,[1]Lookup!$B$2:$E$115,4,FALSE),"")</f>
        <v/>
      </c>
      <c r="AT3322" s="65" t="str">
        <f>IFERROR(VLOOKUP(#REF!,[1]Lookup!$B$2:$E$115,2,FALSE),"")</f>
        <v/>
      </c>
      <c r="AU3322" s="65" t="str">
        <f>IFERROR(VLOOKUP(#REF!,[1]Lookup!$B$2:$E$115,3,FALSE),"")</f>
        <v/>
      </c>
    </row>
    <row r="3323" spans="31:47" x14ac:dyDescent="0.3">
      <c r="AE3323" s="204" t="s">
        <v>398</v>
      </c>
      <c r="AF3323" s="204" t="s">
        <v>398</v>
      </c>
      <c r="AG3323" s="204" t="s">
        <v>398</v>
      </c>
      <c r="AS3323" s="65" t="str">
        <f>IFERROR(VLOOKUP(#REF!,[1]Lookup!$B$2:$E$115,4,FALSE),"")</f>
        <v/>
      </c>
      <c r="AT3323" s="65" t="str">
        <f>IFERROR(VLOOKUP(#REF!,[1]Lookup!$B$2:$E$115,2,FALSE),"")</f>
        <v/>
      </c>
      <c r="AU3323" s="65" t="str">
        <f>IFERROR(VLOOKUP(#REF!,[1]Lookup!$B$2:$E$115,3,FALSE),"")</f>
        <v/>
      </c>
    </row>
    <row r="3324" spans="31:47" x14ac:dyDescent="0.3">
      <c r="AE3324" s="204" t="s">
        <v>398</v>
      </c>
      <c r="AF3324" s="204" t="s">
        <v>398</v>
      </c>
      <c r="AG3324" s="204" t="s">
        <v>398</v>
      </c>
      <c r="AS3324" s="65" t="str">
        <f>IFERROR(VLOOKUP(#REF!,[1]Lookup!$B$2:$E$115,4,FALSE),"")</f>
        <v/>
      </c>
      <c r="AT3324" s="65" t="str">
        <f>IFERROR(VLOOKUP(#REF!,[1]Lookup!$B$2:$E$115,2,FALSE),"")</f>
        <v/>
      </c>
      <c r="AU3324" s="65" t="str">
        <f>IFERROR(VLOOKUP(#REF!,[1]Lookup!$B$2:$E$115,3,FALSE),"")</f>
        <v/>
      </c>
    </row>
    <row r="3325" spans="31:47" x14ac:dyDescent="0.3">
      <c r="AE3325" s="204" t="s">
        <v>398</v>
      </c>
      <c r="AF3325" s="204" t="s">
        <v>398</v>
      </c>
      <c r="AG3325" s="204" t="s">
        <v>398</v>
      </c>
      <c r="AS3325" s="65" t="str">
        <f>IFERROR(VLOOKUP(#REF!,[1]Lookup!$B$2:$E$115,4,FALSE),"")</f>
        <v/>
      </c>
      <c r="AT3325" s="65" t="str">
        <f>IFERROR(VLOOKUP(#REF!,[1]Lookup!$B$2:$E$115,2,FALSE),"")</f>
        <v/>
      </c>
      <c r="AU3325" s="65" t="str">
        <f>IFERROR(VLOOKUP(#REF!,[1]Lookup!$B$2:$E$115,3,FALSE),"")</f>
        <v/>
      </c>
    </row>
    <row r="3326" spans="31:47" x14ac:dyDescent="0.3">
      <c r="AE3326" s="204" t="s">
        <v>398</v>
      </c>
      <c r="AF3326" s="204" t="s">
        <v>398</v>
      </c>
      <c r="AG3326" s="204" t="s">
        <v>398</v>
      </c>
      <c r="AS3326" s="65" t="str">
        <f>IFERROR(VLOOKUP(#REF!,[1]Lookup!$B$2:$E$115,4,FALSE),"")</f>
        <v/>
      </c>
      <c r="AT3326" s="65" t="str">
        <f>IFERROR(VLOOKUP(#REF!,[1]Lookup!$B$2:$E$115,2,FALSE),"")</f>
        <v/>
      </c>
      <c r="AU3326" s="65" t="str">
        <f>IFERROR(VLOOKUP(#REF!,[1]Lookup!$B$2:$E$115,3,FALSE),"")</f>
        <v/>
      </c>
    </row>
    <row r="3327" spans="31:47" x14ac:dyDescent="0.3">
      <c r="AE3327" s="204" t="s">
        <v>398</v>
      </c>
      <c r="AF3327" s="204" t="s">
        <v>398</v>
      </c>
      <c r="AG3327" s="204" t="s">
        <v>398</v>
      </c>
      <c r="AS3327" s="65" t="str">
        <f>IFERROR(VLOOKUP(#REF!,[1]Lookup!$B$2:$E$115,4,FALSE),"")</f>
        <v/>
      </c>
      <c r="AT3327" s="65" t="str">
        <f>IFERROR(VLOOKUP(#REF!,[1]Lookup!$B$2:$E$115,2,FALSE),"")</f>
        <v/>
      </c>
      <c r="AU3327" s="65" t="str">
        <f>IFERROR(VLOOKUP(#REF!,[1]Lookup!$B$2:$E$115,3,FALSE),"")</f>
        <v/>
      </c>
    </row>
    <row r="3328" spans="31:47" x14ac:dyDescent="0.3">
      <c r="AE3328" s="204" t="s">
        <v>398</v>
      </c>
      <c r="AF3328" s="204" t="s">
        <v>398</v>
      </c>
      <c r="AG3328" s="204" t="s">
        <v>398</v>
      </c>
      <c r="AS3328" s="65" t="str">
        <f>IFERROR(VLOOKUP(#REF!,[1]Lookup!$B$2:$E$115,4,FALSE),"")</f>
        <v/>
      </c>
      <c r="AT3328" s="65" t="str">
        <f>IFERROR(VLOOKUP(#REF!,[1]Lookup!$B$2:$E$115,2,FALSE),"")</f>
        <v/>
      </c>
      <c r="AU3328" s="65" t="str">
        <f>IFERROR(VLOOKUP(#REF!,[1]Lookup!$B$2:$E$115,3,FALSE),"")</f>
        <v/>
      </c>
    </row>
    <row r="3329" spans="31:47" x14ac:dyDescent="0.3">
      <c r="AE3329" s="204" t="s">
        <v>398</v>
      </c>
      <c r="AF3329" s="204" t="s">
        <v>398</v>
      </c>
      <c r="AG3329" s="204" t="s">
        <v>398</v>
      </c>
      <c r="AS3329" s="65" t="str">
        <f>IFERROR(VLOOKUP(#REF!,[1]Lookup!$B$2:$E$115,4,FALSE),"")</f>
        <v/>
      </c>
      <c r="AT3329" s="65" t="str">
        <f>IFERROR(VLOOKUP(#REF!,[1]Lookup!$B$2:$E$115,2,FALSE),"")</f>
        <v/>
      </c>
      <c r="AU3329" s="65" t="str">
        <f>IFERROR(VLOOKUP(#REF!,[1]Lookup!$B$2:$E$115,3,FALSE),"")</f>
        <v/>
      </c>
    </row>
    <row r="3330" spans="31:47" x14ac:dyDescent="0.3">
      <c r="AE3330" s="204" t="s">
        <v>398</v>
      </c>
      <c r="AF3330" s="204" t="s">
        <v>398</v>
      </c>
      <c r="AG3330" s="204" t="s">
        <v>398</v>
      </c>
      <c r="AS3330" s="65" t="str">
        <f>IFERROR(VLOOKUP(#REF!,[1]Lookup!$B$2:$E$115,4,FALSE),"")</f>
        <v/>
      </c>
      <c r="AT3330" s="65" t="str">
        <f>IFERROR(VLOOKUP(#REF!,[1]Lookup!$B$2:$E$115,2,FALSE),"")</f>
        <v/>
      </c>
      <c r="AU3330" s="65" t="str">
        <f>IFERROR(VLOOKUP(#REF!,[1]Lookup!$B$2:$E$115,3,FALSE),"")</f>
        <v/>
      </c>
    </row>
    <row r="3331" spans="31:47" x14ac:dyDescent="0.3">
      <c r="AE3331" s="204" t="s">
        <v>398</v>
      </c>
      <c r="AF3331" s="204" t="s">
        <v>398</v>
      </c>
      <c r="AG3331" s="204" t="s">
        <v>398</v>
      </c>
      <c r="AS3331" s="65" t="str">
        <f>IFERROR(VLOOKUP(#REF!,[1]Lookup!$B$2:$E$115,4,FALSE),"")</f>
        <v/>
      </c>
      <c r="AT3331" s="65" t="str">
        <f>IFERROR(VLOOKUP(#REF!,[1]Lookup!$B$2:$E$115,2,FALSE),"")</f>
        <v/>
      </c>
      <c r="AU3331" s="65" t="str">
        <f>IFERROR(VLOOKUP(#REF!,[1]Lookup!$B$2:$E$115,3,FALSE),"")</f>
        <v/>
      </c>
    </row>
    <row r="3332" spans="31:47" x14ac:dyDescent="0.3">
      <c r="AE3332" s="204" t="s">
        <v>398</v>
      </c>
      <c r="AF3332" s="204" t="s">
        <v>398</v>
      </c>
      <c r="AG3332" s="204" t="s">
        <v>398</v>
      </c>
      <c r="AS3332" s="65" t="str">
        <f>IFERROR(VLOOKUP(#REF!,[1]Lookup!$B$2:$E$115,4,FALSE),"")</f>
        <v/>
      </c>
      <c r="AT3332" s="65" t="str">
        <f>IFERROR(VLOOKUP(#REF!,[1]Lookup!$B$2:$E$115,2,FALSE),"")</f>
        <v/>
      </c>
      <c r="AU3332" s="65" t="str">
        <f>IFERROR(VLOOKUP(#REF!,[1]Lookup!$B$2:$E$115,3,FALSE),"")</f>
        <v/>
      </c>
    </row>
    <row r="3333" spans="31:47" x14ac:dyDescent="0.3">
      <c r="AE3333" s="204" t="s">
        <v>398</v>
      </c>
      <c r="AF3333" s="204" t="s">
        <v>398</v>
      </c>
      <c r="AG3333" s="204" t="s">
        <v>398</v>
      </c>
      <c r="AS3333" s="65" t="str">
        <f>IFERROR(VLOOKUP(#REF!,[1]Lookup!$B$2:$E$115,4,FALSE),"")</f>
        <v/>
      </c>
      <c r="AT3333" s="65" t="str">
        <f>IFERROR(VLOOKUP(#REF!,[1]Lookup!$B$2:$E$115,2,FALSE),"")</f>
        <v/>
      </c>
      <c r="AU3333" s="65" t="str">
        <f>IFERROR(VLOOKUP(#REF!,[1]Lookup!$B$2:$E$115,3,FALSE),"")</f>
        <v/>
      </c>
    </row>
    <row r="3334" spans="31:47" x14ac:dyDescent="0.3">
      <c r="AE3334" s="204" t="s">
        <v>398</v>
      </c>
      <c r="AF3334" s="204" t="s">
        <v>398</v>
      </c>
      <c r="AG3334" s="204" t="s">
        <v>398</v>
      </c>
      <c r="AS3334" s="65" t="str">
        <f>IFERROR(VLOOKUP(#REF!,[1]Lookup!$B$2:$E$115,4,FALSE),"")</f>
        <v/>
      </c>
      <c r="AT3334" s="65" t="str">
        <f>IFERROR(VLOOKUP(#REF!,[1]Lookup!$B$2:$E$115,2,FALSE),"")</f>
        <v/>
      </c>
      <c r="AU3334" s="65" t="str">
        <f>IFERROR(VLOOKUP(#REF!,[1]Lookup!$B$2:$E$115,3,FALSE),"")</f>
        <v/>
      </c>
    </row>
    <row r="3335" spans="31:47" x14ac:dyDescent="0.3">
      <c r="AE3335" s="204" t="s">
        <v>398</v>
      </c>
      <c r="AF3335" s="204" t="s">
        <v>398</v>
      </c>
      <c r="AG3335" s="204" t="s">
        <v>398</v>
      </c>
      <c r="AS3335" s="65" t="str">
        <f>IFERROR(VLOOKUP(#REF!,[1]Lookup!$B$2:$E$115,4,FALSE),"")</f>
        <v/>
      </c>
      <c r="AT3335" s="65" t="str">
        <f>IFERROR(VLOOKUP(#REF!,[1]Lookup!$B$2:$E$115,2,FALSE),"")</f>
        <v/>
      </c>
      <c r="AU3335" s="65" t="str">
        <f>IFERROR(VLOOKUP(#REF!,[1]Lookup!$B$2:$E$115,3,FALSE),"")</f>
        <v/>
      </c>
    </row>
    <row r="3336" spans="31:47" x14ac:dyDescent="0.3">
      <c r="AE3336" s="204" t="s">
        <v>398</v>
      </c>
      <c r="AF3336" s="204" t="s">
        <v>398</v>
      </c>
      <c r="AG3336" s="204" t="s">
        <v>398</v>
      </c>
      <c r="AS3336" s="65" t="str">
        <f>IFERROR(VLOOKUP(#REF!,[1]Lookup!$B$2:$E$115,4,FALSE),"")</f>
        <v/>
      </c>
      <c r="AT3336" s="65" t="str">
        <f>IFERROR(VLOOKUP(#REF!,[1]Lookup!$B$2:$E$115,2,FALSE),"")</f>
        <v/>
      </c>
      <c r="AU3336" s="65" t="str">
        <f>IFERROR(VLOOKUP(#REF!,[1]Lookup!$B$2:$E$115,3,FALSE),"")</f>
        <v/>
      </c>
    </row>
    <row r="3337" spans="31:47" x14ac:dyDescent="0.3">
      <c r="AE3337" s="204" t="s">
        <v>398</v>
      </c>
      <c r="AF3337" s="204" t="s">
        <v>398</v>
      </c>
      <c r="AG3337" s="204" t="s">
        <v>398</v>
      </c>
      <c r="AS3337" s="65" t="str">
        <f>IFERROR(VLOOKUP(#REF!,[1]Lookup!$B$2:$E$115,4,FALSE),"")</f>
        <v/>
      </c>
      <c r="AT3337" s="65" t="str">
        <f>IFERROR(VLOOKUP(#REF!,[1]Lookup!$B$2:$E$115,2,FALSE),"")</f>
        <v/>
      </c>
      <c r="AU3337" s="65" t="str">
        <f>IFERROR(VLOOKUP(#REF!,[1]Lookup!$B$2:$E$115,3,FALSE),"")</f>
        <v/>
      </c>
    </row>
    <row r="3338" spans="31:47" x14ac:dyDescent="0.3">
      <c r="AE3338" s="204" t="s">
        <v>398</v>
      </c>
      <c r="AF3338" s="204" t="s">
        <v>398</v>
      </c>
      <c r="AG3338" s="204" t="s">
        <v>398</v>
      </c>
      <c r="AS3338" s="65" t="str">
        <f>IFERROR(VLOOKUP(#REF!,[1]Lookup!$B$2:$E$115,4,FALSE),"")</f>
        <v/>
      </c>
      <c r="AT3338" s="65" t="str">
        <f>IFERROR(VLOOKUP(#REF!,[1]Lookup!$B$2:$E$115,2,FALSE),"")</f>
        <v/>
      </c>
      <c r="AU3338" s="65" t="str">
        <f>IFERROR(VLOOKUP(#REF!,[1]Lookup!$B$2:$E$115,3,FALSE),"")</f>
        <v/>
      </c>
    </row>
    <row r="3339" spans="31:47" x14ac:dyDescent="0.3">
      <c r="AE3339" s="204" t="s">
        <v>398</v>
      </c>
      <c r="AF3339" s="204" t="s">
        <v>398</v>
      </c>
      <c r="AG3339" s="204" t="s">
        <v>398</v>
      </c>
      <c r="AS3339" s="65" t="str">
        <f>IFERROR(VLOOKUP(#REF!,[1]Lookup!$B$2:$E$115,4,FALSE),"")</f>
        <v/>
      </c>
      <c r="AT3339" s="65" t="str">
        <f>IFERROR(VLOOKUP(#REF!,[1]Lookup!$B$2:$E$115,2,FALSE),"")</f>
        <v/>
      </c>
      <c r="AU3339" s="65" t="str">
        <f>IFERROR(VLOOKUP(#REF!,[1]Lookup!$B$2:$E$115,3,FALSE),"")</f>
        <v/>
      </c>
    </row>
    <row r="3340" spans="31:47" x14ac:dyDescent="0.3">
      <c r="AE3340" s="204" t="s">
        <v>398</v>
      </c>
      <c r="AF3340" s="204" t="s">
        <v>398</v>
      </c>
      <c r="AG3340" s="204" t="s">
        <v>398</v>
      </c>
      <c r="AS3340" s="65" t="str">
        <f>IFERROR(VLOOKUP(#REF!,[1]Lookup!$B$2:$E$115,4,FALSE),"")</f>
        <v/>
      </c>
      <c r="AT3340" s="65" t="str">
        <f>IFERROR(VLOOKUP(#REF!,[1]Lookup!$B$2:$E$115,2,FALSE),"")</f>
        <v/>
      </c>
      <c r="AU3340" s="65" t="str">
        <f>IFERROR(VLOOKUP(#REF!,[1]Lookup!$B$2:$E$115,3,FALSE),"")</f>
        <v/>
      </c>
    </row>
    <row r="3341" spans="31:47" x14ac:dyDescent="0.3">
      <c r="AE3341" s="204" t="s">
        <v>398</v>
      </c>
      <c r="AF3341" s="204" t="s">
        <v>398</v>
      </c>
      <c r="AG3341" s="204" t="s">
        <v>398</v>
      </c>
      <c r="AS3341" s="65" t="str">
        <f>IFERROR(VLOOKUP(#REF!,[1]Lookup!$B$2:$E$115,4,FALSE),"")</f>
        <v/>
      </c>
      <c r="AT3341" s="65" t="str">
        <f>IFERROR(VLOOKUP(#REF!,[1]Lookup!$B$2:$E$115,2,FALSE),"")</f>
        <v/>
      </c>
      <c r="AU3341" s="65" t="str">
        <f>IFERROR(VLOOKUP(#REF!,[1]Lookup!$B$2:$E$115,3,FALSE),"")</f>
        <v/>
      </c>
    </row>
    <row r="3342" spans="31:47" x14ac:dyDescent="0.3">
      <c r="AE3342" s="204" t="s">
        <v>398</v>
      </c>
      <c r="AF3342" s="204" t="s">
        <v>398</v>
      </c>
      <c r="AG3342" s="204" t="s">
        <v>398</v>
      </c>
      <c r="AS3342" s="65" t="str">
        <f>IFERROR(VLOOKUP(#REF!,[1]Lookup!$B$2:$E$115,4,FALSE),"")</f>
        <v/>
      </c>
      <c r="AT3342" s="65" t="str">
        <f>IFERROR(VLOOKUP(#REF!,[1]Lookup!$B$2:$E$115,2,FALSE),"")</f>
        <v/>
      </c>
      <c r="AU3342" s="65" t="str">
        <f>IFERROR(VLOOKUP(#REF!,[1]Lookup!$B$2:$E$115,3,FALSE),"")</f>
        <v/>
      </c>
    </row>
    <row r="3343" spans="31:47" x14ac:dyDescent="0.3">
      <c r="AE3343" s="204" t="s">
        <v>398</v>
      </c>
      <c r="AF3343" s="204" t="s">
        <v>398</v>
      </c>
      <c r="AG3343" s="204" t="s">
        <v>398</v>
      </c>
      <c r="AS3343" s="65" t="str">
        <f>IFERROR(VLOOKUP(#REF!,[1]Lookup!$B$2:$E$115,4,FALSE),"")</f>
        <v/>
      </c>
      <c r="AT3343" s="65" t="str">
        <f>IFERROR(VLOOKUP(#REF!,[1]Lookup!$B$2:$E$115,2,FALSE),"")</f>
        <v/>
      </c>
      <c r="AU3343" s="65" t="str">
        <f>IFERROR(VLOOKUP(#REF!,[1]Lookup!$B$2:$E$115,3,FALSE),"")</f>
        <v/>
      </c>
    </row>
    <row r="3344" spans="31:47" x14ac:dyDescent="0.3">
      <c r="AE3344" s="204" t="s">
        <v>398</v>
      </c>
      <c r="AF3344" s="204" t="s">
        <v>398</v>
      </c>
      <c r="AG3344" s="204" t="s">
        <v>398</v>
      </c>
      <c r="AS3344" s="65" t="str">
        <f>IFERROR(VLOOKUP(#REF!,[1]Lookup!$B$2:$E$115,4,FALSE),"")</f>
        <v/>
      </c>
      <c r="AT3344" s="65" t="str">
        <f>IFERROR(VLOOKUP(#REF!,[1]Lookup!$B$2:$E$115,2,FALSE),"")</f>
        <v/>
      </c>
      <c r="AU3344" s="65" t="str">
        <f>IFERROR(VLOOKUP(#REF!,[1]Lookup!$B$2:$E$115,3,FALSE),"")</f>
        <v/>
      </c>
    </row>
    <row r="3345" spans="31:47" x14ac:dyDescent="0.3">
      <c r="AE3345" s="204" t="s">
        <v>398</v>
      </c>
      <c r="AF3345" s="204" t="s">
        <v>398</v>
      </c>
      <c r="AG3345" s="204" t="s">
        <v>398</v>
      </c>
      <c r="AS3345" s="65" t="str">
        <f>IFERROR(VLOOKUP(#REF!,[1]Lookup!$B$2:$E$115,4,FALSE),"")</f>
        <v/>
      </c>
      <c r="AT3345" s="65" t="str">
        <f>IFERROR(VLOOKUP(#REF!,[1]Lookup!$B$2:$E$115,2,FALSE),"")</f>
        <v/>
      </c>
      <c r="AU3345" s="65" t="str">
        <f>IFERROR(VLOOKUP(#REF!,[1]Lookup!$B$2:$E$115,3,FALSE),"")</f>
        <v/>
      </c>
    </row>
    <row r="3346" spans="31:47" x14ac:dyDescent="0.3">
      <c r="AE3346" s="204" t="s">
        <v>398</v>
      </c>
      <c r="AF3346" s="204" t="s">
        <v>398</v>
      </c>
      <c r="AG3346" s="204" t="s">
        <v>398</v>
      </c>
      <c r="AS3346" s="65" t="str">
        <f>IFERROR(VLOOKUP(#REF!,[1]Lookup!$B$2:$E$115,4,FALSE),"")</f>
        <v/>
      </c>
      <c r="AT3346" s="65" t="str">
        <f>IFERROR(VLOOKUP(#REF!,[1]Lookup!$B$2:$E$115,2,FALSE),"")</f>
        <v/>
      </c>
      <c r="AU3346" s="65" t="str">
        <f>IFERROR(VLOOKUP(#REF!,[1]Lookup!$B$2:$E$115,3,FALSE),"")</f>
        <v/>
      </c>
    </row>
    <row r="3347" spans="31:47" x14ac:dyDescent="0.3">
      <c r="AE3347" s="204" t="s">
        <v>398</v>
      </c>
      <c r="AF3347" s="204" t="s">
        <v>398</v>
      </c>
      <c r="AG3347" s="204" t="s">
        <v>398</v>
      </c>
      <c r="AS3347" s="65" t="str">
        <f>IFERROR(VLOOKUP(#REF!,[1]Lookup!$B$2:$E$115,4,FALSE),"")</f>
        <v/>
      </c>
      <c r="AT3347" s="65" t="str">
        <f>IFERROR(VLOOKUP(#REF!,[1]Lookup!$B$2:$E$115,2,FALSE),"")</f>
        <v/>
      </c>
      <c r="AU3347" s="65" t="str">
        <f>IFERROR(VLOOKUP(#REF!,[1]Lookup!$B$2:$E$115,3,FALSE),"")</f>
        <v/>
      </c>
    </row>
    <row r="3348" spans="31:47" x14ac:dyDescent="0.3">
      <c r="AE3348" s="204" t="s">
        <v>398</v>
      </c>
      <c r="AF3348" s="204" t="s">
        <v>398</v>
      </c>
      <c r="AG3348" s="204" t="s">
        <v>398</v>
      </c>
      <c r="AS3348" s="65" t="str">
        <f>IFERROR(VLOOKUP(#REF!,[1]Lookup!$B$2:$E$115,4,FALSE),"")</f>
        <v/>
      </c>
      <c r="AT3348" s="65" t="str">
        <f>IFERROR(VLOOKUP(#REF!,[1]Lookup!$B$2:$E$115,2,FALSE),"")</f>
        <v/>
      </c>
      <c r="AU3348" s="65" t="str">
        <f>IFERROR(VLOOKUP(#REF!,[1]Lookup!$B$2:$E$115,3,FALSE),"")</f>
        <v/>
      </c>
    </row>
    <row r="3349" spans="31:47" x14ac:dyDescent="0.3">
      <c r="AE3349" s="204" t="s">
        <v>398</v>
      </c>
      <c r="AF3349" s="204" t="s">
        <v>398</v>
      </c>
      <c r="AG3349" s="204" t="s">
        <v>398</v>
      </c>
      <c r="AS3349" s="65" t="str">
        <f>IFERROR(VLOOKUP(#REF!,[1]Lookup!$B$2:$E$115,4,FALSE),"")</f>
        <v/>
      </c>
      <c r="AT3349" s="65" t="str">
        <f>IFERROR(VLOOKUP(#REF!,[1]Lookup!$B$2:$E$115,2,FALSE),"")</f>
        <v/>
      </c>
      <c r="AU3349" s="65" t="str">
        <f>IFERROR(VLOOKUP(#REF!,[1]Lookup!$B$2:$E$115,3,FALSE),"")</f>
        <v/>
      </c>
    </row>
    <row r="3350" spans="31:47" x14ac:dyDescent="0.3">
      <c r="AE3350" s="204" t="s">
        <v>398</v>
      </c>
      <c r="AF3350" s="204" t="s">
        <v>398</v>
      </c>
      <c r="AG3350" s="204" t="s">
        <v>398</v>
      </c>
      <c r="AS3350" s="65" t="str">
        <f>IFERROR(VLOOKUP(#REF!,[1]Lookup!$B$2:$E$115,4,FALSE),"")</f>
        <v/>
      </c>
      <c r="AT3350" s="65" t="str">
        <f>IFERROR(VLOOKUP(#REF!,[1]Lookup!$B$2:$E$115,2,FALSE),"")</f>
        <v/>
      </c>
      <c r="AU3350" s="65" t="str">
        <f>IFERROR(VLOOKUP(#REF!,[1]Lookup!$B$2:$E$115,3,FALSE),"")</f>
        <v/>
      </c>
    </row>
    <row r="3351" spans="31:47" x14ac:dyDescent="0.3">
      <c r="AE3351" s="204" t="s">
        <v>398</v>
      </c>
      <c r="AF3351" s="204" t="s">
        <v>398</v>
      </c>
      <c r="AG3351" s="204" t="s">
        <v>398</v>
      </c>
      <c r="AS3351" s="65" t="str">
        <f>IFERROR(VLOOKUP(#REF!,[1]Lookup!$B$2:$E$115,4,FALSE),"")</f>
        <v/>
      </c>
      <c r="AT3351" s="65" t="str">
        <f>IFERROR(VLOOKUP(#REF!,[1]Lookup!$B$2:$E$115,2,FALSE),"")</f>
        <v/>
      </c>
      <c r="AU3351" s="65" t="str">
        <f>IFERROR(VLOOKUP(#REF!,[1]Lookup!$B$2:$E$115,3,FALSE),"")</f>
        <v/>
      </c>
    </row>
    <row r="3352" spans="31:47" x14ac:dyDescent="0.3">
      <c r="AE3352" s="204" t="s">
        <v>398</v>
      </c>
      <c r="AF3352" s="204" t="s">
        <v>398</v>
      </c>
      <c r="AG3352" s="204" t="s">
        <v>398</v>
      </c>
      <c r="AS3352" s="65" t="str">
        <f>IFERROR(VLOOKUP(#REF!,[1]Lookup!$B$2:$E$115,4,FALSE),"")</f>
        <v/>
      </c>
      <c r="AT3352" s="65" t="str">
        <f>IFERROR(VLOOKUP(#REF!,[1]Lookup!$B$2:$E$115,2,FALSE),"")</f>
        <v/>
      </c>
      <c r="AU3352" s="65" t="str">
        <f>IFERROR(VLOOKUP(#REF!,[1]Lookup!$B$2:$E$115,3,FALSE),"")</f>
        <v/>
      </c>
    </row>
    <row r="3353" spans="31:47" x14ac:dyDescent="0.3">
      <c r="AE3353" s="204" t="s">
        <v>398</v>
      </c>
      <c r="AF3353" s="204" t="s">
        <v>398</v>
      </c>
      <c r="AG3353" s="204" t="s">
        <v>398</v>
      </c>
      <c r="AS3353" s="65" t="str">
        <f>IFERROR(VLOOKUP(#REF!,[1]Lookup!$B$2:$E$115,4,FALSE),"")</f>
        <v/>
      </c>
      <c r="AT3353" s="65" t="str">
        <f>IFERROR(VLOOKUP(#REF!,[1]Lookup!$B$2:$E$115,2,FALSE),"")</f>
        <v/>
      </c>
      <c r="AU3353" s="65" t="str">
        <f>IFERROR(VLOOKUP(#REF!,[1]Lookup!$B$2:$E$115,3,FALSE),"")</f>
        <v/>
      </c>
    </row>
    <row r="3354" spans="31:47" x14ac:dyDescent="0.3">
      <c r="AE3354" s="204" t="s">
        <v>398</v>
      </c>
      <c r="AF3354" s="204" t="s">
        <v>398</v>
      </c>
      <c r="AG3354" s="204" t="s">
        <v>398</v>
      </c>
      <c r="AS3354" s="65" t="str">
        <f>IFERROR(VLOOKUP(#REF!,[1]Lookup!$B$2:$E$115,4,FALSE),"")</f>
        <v/>
      </c>
      <c r="AT3354" s="65" t="str">
        <f>IFERROR(VLOOKUP(#REF!,[1]Lookup!$B$2:$E$115,2,FALSE),"")</f>
        <v/>
      </c>
      <c r="AU3354" s="65" t="str">
        <f>IFERROR(VLOOKUP(#REF!,[1]Lookup!$B$2:$E$115,3,FALSE),"")</f>
        <v/>
      </c>
    </row>
    <row r="3355" spans="31:47" x14ac:dyDescent="0.3">
      <c r="AE3355" s="204" t="s">
        <v>398</v>
      </c>
      <c r="AF3355" s="204" t="s">
        <v>398</v>
      </c>
      <c r="AG3355" s="204" t="s">
        <v>398</v>
      </c>
      <c r="AS3355" s="65" t="str">
        <f>IFERROR(VLOOKUP(#REF!,[1]Lookup!$B$2:$E$115,4,FALSE),"")</f>
        <v/>
      </c>
      <c r="AT3355" s="65" t="str">
        <f>IFERROR(VLOOKUP(#REF!,[1]Lookup!$B$2:$E$115,2,FALSE),"")</f>
        <v/>
      </c>
      <c r="AU3355" s="65" t="str">
        <f>IFERROR(VLOOKUP(#REF!,[1]Lookup!$B$2:$E$115,3,FALSE),"")</f>
        <v/>
      </c>
    </row>
    <row r="3356" spans="31:47" x14ac:dyDescent="0.3">
      <c r="AE3356" s="204" t="s">
        <v>398</v>
      </c>
      <c r="AF3356" s="204" t="s">
        <v>398</v>
      </c>
      <c r="AG3356" s="204" t="s">
        <v>398</v>
      </c>
      <c r="AS3356" s="65" t="str">
        <f>IFERROR(VLOOKUP(#REF!,[1]Lookup!$B$2:$E$115,4,FALSE),"")</f>
        <v/>
      </c>
      <c r="AT3356" s="65" t="str">
        <f>IFERROR(VLOOKUP(#REF!,[1]Lookup!$B$2:$E$115,2,FALSE),"")</f>
        <v/>
      </c>
      <c r="AU3356" s="65" t="str">
        <f>IFERROR(VLOOKUP(#REF!,[1]Lookup!$B$2:$E$115,3,FALSE),"")</f>
        <v/>
      </c>
    </row>
    <row r="3357" spans="31:47" x14ac:dyDescent="0.3">
      <c r="AE3357" s="204" t="s">
        <v>398</v>
      </c>
      <c r="AF3357" s="204" t="s">
        <v>398</v>
      </c>
      <c r="AG3357" s="204" t="s">
        <v>398</v>
      </c>
      <c r="AS3357" s="65" t="str">
        <f>IFERROR(VLOOKUP(#REF!,[1]Lookup!$B$2:$E$115,4,FALSE),"")</f>
        <v/>
      </c>
      <c r="AT3357" s="65" t="str">
        <f>IFERROR(VLOOKUP(#REF!,[1]Lookup!$B$2:$E$115,2,FALSE),"")</f>
        <v/>
      </c>
      <c r="AU3357" s="65" t="str">
        <f>IFERROR(VLOOKUP(#REF!,[1]Lookup!$B$2:$E$115,3,FALSE),"")</f>
        <v/>
      </c>
    </row>
    <row r="3358" spans="31:47" x14ac:dyDescent="0.3">
      <c r="AE3358" s="204" t="s">
        <v>398</v>
      </c>
      <c r="AF3358" s="204" t="s">
        <v>398</v>
      </c>
      <c r="AG3358" s="204" t="s">
        <v>398</v>
      </c>
      <c r="AS3358" s="65" t="str">
        <f>IFERROR(VLOOKUP(#REF!,[1]Lookup!$B$2:$E$115,4,FALSE),"")</f>
        <v/>
      </c>
      <c r="AT3358" s="65" t="str">
        <f>IFERROR(VLOOKUP(#REF!,[1]Lookup!$B$2:$E$115,2,FALSE),"")</f>
        <v/>
      </c>
      <c r="AU3358" s="65" t="str">
        <f>IFERROR(VLOOKUP(#REF!,[1]Lookup!$B$2:$E$115,3,FALSE),"")</f>
        <v/>
      </c>
    </row>
    <row r="3359" spans="31:47" x14ac:dyDescent="0.3">
      <c r="AE3359" s="204" t="s">
        <v>398</v>
      </c>
      <c r="AF3359" s="204" t="s">
        <v>398</v>
      </c>
      <c r="AG3359" s="204" t="s">
        <v>398</v>
      </c>
      <c r="AS3359" s="65" t="str">
        <f>IFERROR(VLOOKUP(#REF!,[1]Lookup!$B$2:$E$115,4,FALSE),"")</f>
        <v/>
      </c>
      <c r="AT3359" s="65" t="str">
        <f>IFERROR(VLOOKUP(#REF!,[1]Lookup!$B$2:$E$115,2,FALSE),"")</f>
        <v/>
      </c>
      <c r="AU3359" s="65" t="str">
        <f>IFERROR(VLOOKUP(#REF!,[1]Lookup!$B$2:$E$115,3,FALSE),"")</f>
        <v/>
      </c>
    </row>
    <row r="3360" spans="31:47" x14ac:dyDescent="0.3">
      <c r="AE3360" s="204" t="s">
        <v>398</v>
      </c>
      <c r="AF3360" s="204" t="s">
        <v>398</v>
      </c>
      <c r="AG3360" s="204" t="s">
        <v>398</v>
      </c>
      <c r="AS3360" s="65" t="str">
        <f>IFERROR(VLOOKUP(#REF!,[1]Lookup!$B$2:$E$115,4,FALSE),"")</f>
        <v/>
      </c>
      <c r="AT3360" s="65" t="str">
        <f>IFERROR(VLOOKUP(#REF!,[1]Lookup!$B$2:$E$115,2,FALSE),"")</f>
        <v/>
      </c>
      <c r="AU3360" s="65" t="str">
        <f>IFERROR(VLOOKUP(#REF!,[1]Lookup!$B$2:$E$115,3,FALSE),"")</f>
        <v/>
      </c>
    </row>
    <row r="3361" spans="31:47" x14ac:dyDescent="0.3">
      <c r="AE3361" s="204" t="s">
        <v>398</v>
      </c>
      <c r="AF3361" s="204" t="s">
        <v>398</v>
      </c>
      <c r="AG3361" s="204" t="s">
        <v>398</v>
      </c>
      <c r="AS3361" s="65" t="str">
        <f>IFERROR(VLOOKUP(#REF!,[1]Lookup!$B$2:$E$115,4,FALSE),"")</f>
        <v/>
      </c>
      <c r="AT3361" s="65" t="str">
        <f>IFERROR(VLOOKUP(#REF!,[1]Lookup!$B$2:$E$115,2,FALSE),"")</f>
        <v/>
      </c>
      <c r="AU3361" s="65" t="str">
        <f>IFERROR(VLOOKUP(#REF!,[1]Lookup!$B$2:$E$115,3,FALSE),"")</f>
        <v/>
      </c>
    </row>
    <row r="3362" spans="31:47" x14ac:dyDescent="0.3">
      <c r="AE3362" s="204" t="s">
        <v>398</v>
      </c>
      <c r="AF3362" s="204" t="s">
        <v>398</v>
      </c>
      <c r="AG3362" s="204" t="s">
        <v>398</v>
      </c>
      <c r="AS3362" s="65" t="str">
        <f>IFERROR(VLOOKUP(#REF!,[1]Lookup!$B$2:$E$115,4,FALSE),"")</f>
        <v/>
      </c>
      <c r="AT3362" s="65" t="str">
        <f>IFERROR(VLOOKUP(#REF!,[1]Lookup!$B$2:$E$115,2,FALSE),"")</f>
        <v/>
      </c>
      <c r="AU3362" s="65" t="str">
        <f>IFERROR(VLOOKUP(#REF!,[1]Lookup!$B$2:$E$115,3,FALSE),"")</f>
        <v/>
      </c>
    </row>
    <row r="3363" spans="31:47" x14ac:dyDescent="0.3">
      <c r="AE3363" s="204" t="s">
        <v>398</v>
      </c>
      <c r="AF3363" s="204" t="s">
        <v>398</v>
      </c>
      <c r="AG3363" s="204" t="s">
        <v>398</v>
      </c>
      <c r="AS3363" s="65" t="str">
        <f>IFERROR(VLOOKUP(#REF!,[1]Lookup!$B$2:$E$115,4,FALSE),"")</f>
        <v/>
      </c>
      <c r="AT3363" s="65" t="str">
        <f>IFERROR(VLOOKUP(#REF!,[1]Lookup!$B$2:$E$115,2,FALSE),"")</f>
        <v/>
      </c>
      <c r="AU3363" s="65" t="str">
        <f>IFERROR(VLOOKUP(#REF!,[1]Lookup!$B$2:$E$115,3,FALSE),"")</f>
        <v/>
      </c>
    </row>
    <row r="3364" spans="31:47" x14ac:dyDescent="0.3">
      <c r="AE3364" s="204" t="s">
        <v>398</v>
      </c>
      <c r="AF3364" s="204" t="s">
        <v>398</v>
      </c>
      <c r="AG3364" s="204" t="s">
        <v>398</v>
      </c>
      <c r="AS3364" s="65" t="str">
        <f>IFERROR(VLOOKUP(#REF!,[1]Lookup!$B$2:$E$115,4,FALSE),"")</f>
        <v/>
      </c>
      <c r="AT3364" s="65" t="str">
        <f>IFERROR(VLOOKUP(#REF!,[1]Lookup!$B$2:$E$115,2,FALSE),"")</f>
        <v/>
      </c>
      <c r="AU3364" s="65" t="str">
        <f>IFERROR(VLOOKUP(#REF!,[1]Lookup!$B$2:$E$115,3,FALSE),"")</f>
        <v/>
      </c>
    </row>
    <row r="3365" spans="31:47" x14ac:dyDescent="0.3">
      <c r="AE3365" s="204" t="s">
        <v>398</v>
      </c>
      <c r="AF3365" s="204" t="s">
        <v>398</v>
      </c>
      <c r="AG3365" s="204" t="s">
        <v>398</v>
      </c>
      <c r="AS3365" s="65" t="str">
        <f>IFERROR(VLOOKUP(#REF!,[1]Lookup!$B$2:$E$115,4,FALSE),"")</f>
        <v/>
      </c>
      <c r="AT3365" s="65" t="str">
        <f>IFERROR(VLOOKUP(#REF!,[1]Lookup!$B$2:$E$115,2,FALSE),"")</f>
        <v/>
      </c>
      <c r="AU3365" s="65" t="str">
        <f>IFERROR(VLOOKUP(#REF!,[1]Lookup!$B$2:$E$115,3,FALSE),"")</f>
        <v/>
      </c>
    </row>
    <row r="3366" spans="31:47" x14ac:dyDescent="0.3">
      <c r="AE3366" s="204" t="s">
        <v>398</v>
      </c>
      <c r="AF3366" s="204" t="s">
        <v>398</v>
      </c>
      <c r="AG3366" s="204" t="s">
        <v>398</v>
      </c>
      <c r="AS3366" s="65" t="str">
        <f>IFERROR(VLOOKUP(#REF!,[1]Lookup!$B$2:$E$115,4,FALSE),"")</f>
        <v/>
      </c>
      <c r="AT3366" s="65" t="str">
        <f>IFERROR(VLOOKUP(#REF!,[1]Lookup!$B$2:$E$115,2,FALSE),"")</f>
        <v/>
      </c>
      <c r="AU3366" s="65" t="str">
        <f>IFERROR(VLOOKUP(#REF!,[1]Lookup!$B$2:$E$115,3,FALSE),"")</f>
        <v/>
      </c>
    </row>
    <row r="3367" spans="31:47" x14ac:dyDescent="0.3">
      <c r="AE3367" s="204" t="s">
        <v>398</v>
      </c>
      <c r="AF3367" s="204" t="s">
        <v>398</v>
      </c>
      <c r="AG3367" s="204" t="s">
        <v>398</v>
      </c>
      <c r="AS3367" s="65" t="str">
        <f>IFERROR(VLOOKUP(#REF!,[1]Lookup!$B$2:$E$115,4,FALSE),"")</f>
        <v/>
      </c>
      <c r="AT3367" s="65" t="str">
        <f>IFERROR(VLOOKUP(#REF!,[1]Lookup!$B$2:$E$115,2,FALSE),"")</f>
        <v/>
      </c>
      <c r="AU3367" s="65" t="str">
        <f>IFERROR(VLOOKUP(#REF!,[1]Lookup!$B$2:$E$115,3,FALSE),"")</f>
        <v/>
      </c>
    </row>
    <row r="3368" spans="31:47" x14ac:dyDescent="0.3">
      <c r="AE3368" s="204" t="s">
        <v>398</v>
      </c>
      <c r="AF3368" s="204" t="s">
        <v>398</v>
      </c>
      <c r="AG3368" s="204" t="s">
        <v>398</v>
      </c>
      <c r="AS3368" s="65" t="str">
        <f>IFERROR(VLOOKUP(#REF!,[1]Lookup!$B$2:$E$115,4,FALSE),"")</f>
        <v/>
      </c>
      <c r="AT3368" s="65" t="str">
        <f>IFERROR(VLOOKUP(#REF!,[1]Lookup!$B$2:$E$115,2,FALSE),"")</f>
        <v/>
      </c>
      <c r="AU3368" s="65" t="str">
        <f>IFERROR(VLOOKUP(#REF!,[1]Lookup!$B$2:$E$115,3,FALSE),"")</f>
        <v/>
      </c>
    </row>
    <row r="3369" spans="31:47" x14ac:dyDescent="0.3">
      <c r="AE3369" s="204" t="s">
        <v>398</v>
      </c>
      <c r="AF3369" s="204" t="s">
        <v>398</v>
      </c>
      <c r="AG3369" s="204" t="s">
        <v>398</v>
      </c>
      <c r="AS3369" s="65" t="str">
        <f>IFERROR(VLOOKUP(#REF!,[1]Lookup!$B$2:$E$115,4,FALSE),"")</f>
        <v/>
      </c>
      <c r="AT3369" s="65" t="str">
        <f>IFERROR(VLOOKUP(#REF!,[1]Lookup!$B$2:$E$115,2,FALSE),"")</f>
        <v/>
      </c>
      <c r="AU3369" s="65" t="str">
        <f>IFERROR(VLOOKUP(#REF!,[1]Lookup!$B$2:$E$115,3,FALSE),"")</f>
        <v/>
      </c>
    </row>
    <row r="3370" spans="31:47" x14ac:dyDescent="0.3">
      <c r="AE3370" s="204" t="s">
        <v>398</v>
      </c>
      <c r="AF3370" s="204" t="s">
        <v>398</v>
      </c>
      <c r="AG3370" s="204" t="s">
        <v>398</v>
      </c>
      <c r="AS3370" s="65" t="str">
        <f>IFERROR(VLOOKUP(#REF!,[1]Lookup!$B$2:$E$115,4,FALSE),"")</f>
        <v/>
      </c>
      <c r="AT3370" s="65" t="str">
        <f>IFERROR(VLOOKUP(#REF!,[1]Lookup!$B$2:$E$115,2,FALSE),"")</f>
        <v/>
      </c>
      <c r="AU3370" s="65" t="str">
        <f>IFERROR(VLOOKUP(#REF!,[1]Lookup!$B$2:$E$115,3,FALSE),"")</f>
        <v/>
      </c>
    </row>
    <row r="3371" spans="31:47" x14ac:dyDescent="0.3">
      <c r="AE3371" s="204" t="s">
        <v>398</v>
      </c>
      <c r="AF3371" s="204" t="s">
        <v>398</v>
      </c>
      <c r="AG3371" s="204" t="s">
        <v>398</v>
      </c>
      <c r="AS3371" s="65" t="str">
        <f>IFERROR(VLOOKUP(#REF!,[1]Lookup!$B$2:$E$115,4,FALSE),"")</f>
        <v/>
      </c>
      <c r="AT3371" s="65" t="str">
        <f>IFERROR(VLOOKUP(#REF!,[1]Lookup!$B$2:$E$115,2,FALSE),"")</f>
        <v/>
      </c>
      <c r="AU3371" s="65" t="str">
        <f>IFERROR(VLOOKUP(#REF!,[1]Lookup!$B$2:$E$115,3,FALSE),"")</f>
        <v/>
      </c>
    </row>
    <row r="3372" spans="31:47" x14ac:dyDescent="0.3">
      <c r="AE3372" s="204" t="s">
        <v>398</v>
      </c>
      <c r="AF3372" s="204" t="s">
        <v>398</v>
      </c>
      <c r="AG3372" s="204" t="s">
        <v>398</v>
      </c>
      <c r="AS3372" s="65" t="str">
        <f>IFERROR(VLOOKUP(#REF!,[1]Lookup!$B$2:$E$115,4,FALSE),"")</f>
        <v/>
      </c>
      <c r="AT3372" s="65" t="str">
        <f>IFERROR(VLOOKUP(#REF!,[1]Lookup!$B$2:$E$115,2,FALSE),"")</f>
        <v/>
      </c>
      <c r="AU3372" s="65" t="str">
        <f>IFERROR(VLOOKUP(#REF!,[1]Lookup!$B$2:$E$115,3,FALSE),"")</f>
        <v/>
      </c>
    </row>
    <row r="3373" spans="31:47" x14ac:dyDescent="0.3">
      <c r="AE3373" s="204" t="s">
        <v>398</v>
      </c>
      <c r="AF3373" s="204" t="s">
        <v>398</v>
      </c>
      <c r="AG3373" s="204" t="s">
        <v>398</v>
      </c>
      <c r="AS3373" s="65" t="str">
        <f>IFERROR(VLOOKUP(#REF!,[1]Lookup!$B$2:$E$115,4,FALSE),"")</f>
        <v/>
      </c>
      <c r="AT3373" s="65" t="str">
        <f>IFERROR(VLOOKUP(#REF!,[1]Lookup!$B$2:$E$115,2,FALSE),"")</f>
        <v/>
      </c>
      <c r="AU3373" s="65" t="str">
        <f>IFERROR(VLOOKUP(#REF!,[1]Lookup!$B$2:$E$115,3,FALSE),"")</f>
        <v/>
      </c>
    </row>
    <row r="3374" spans="31:47" x14ac:dyDescent="0.3">
      <c r="AE3374" s="204" t="s">
        <v>398</v>
      </c>
      <c r="AF3374" s="204" t="s">
        <v>398</v>
      </c>
      <c r="AG3374" s="204" t="s">
        <v>398</v>
      </c>
      <c r="AS3374" s="65" t="str">
        <f>IFERROR(VLOOKUP(#REF!,[1]Lookup!$B$2:$E$115,4,FALSE),"")</f>
        <v/>
      </c>
      <c r="AT3374" s="65" t="str">
        <f>IFERROR(VLOOKUP(#REF!,[1]Lookup!$B$2:$E$115,2,FALSE),"")</f>
        <v/>
      </c>
      <c r="AU3374" s="65" t="str">
        <f>IFERROR(VLOOKUP(#REF!,[1]Lookup!$B$2:$E$115,3,FALSE),"")</f>
        <v/>
      </c>
    </row>
    <row r="3375" spans="31:47" x14ac:dyDescent="0.3">
      <c r="AE3375" s="204" t="s">
        <v>398</v>
      </c>
      <c r="AF3375" s="204" t="s">
        <v>398</v>
      </c>
      <c r="AG3375" s="204" t="s">
        <v>398</v>
      </c>
      <c r="AS3375" s="65" t="str">
        <f>IFERROR(VLOOKUP(#REF!,[1]Lookup!$B$2:$E$115,4,FALSE),"")</f>
        <v/>
      </c>
      <c r="AT3375" s="65" t="str">
        <f>IFERROR(VLOOKUP(#REF!,[1]Lookup!$B$2:$E$115,2,FALSE),"")</f>
        <v/>
      </c>
      <c r="AU3375" s="65" t="str">
        <f>IFERROR(VLOOKUP(#REF!,[1]Lookup!$B$2:$E$115,3,FALSE),"")</f>
        <v/>
      </c>
    </row>
    <row r="3376" spans="31:47" x14ac:dyDescent="0.3">
      <c r="AE3376" s="204" t="s">
        <v>398</v>
      </c>
      <c r="AF3376" s="204" t="s">
        <v>398</v>
      </c>
      <c r="AG3376" s="204" t="s">
        <v>398</v>
      </c>
      <c r="AS3376" s="65" t="str">
        <f>IFERROR(VLOOKUP(#REF!,[1]Lookup!$B$2:$E$115,4,FALSE),"")</f>
        <v/>
      </c>
      <c r="AT3376" s="65" t="str">
        <f>IFERROR(VLOOKUP(#REF!,[1]Lookup!$B$2:$E$115,2,FALSE),"")</f>
        <v/>
      </c>
      <c r="AU3376" s="65" t="str">
        <f>IFERROR(VLOOKUP(#REF!,[1]Lookup!$B$2:$E$115,3,FALSE),"")</f>
        <v/>
      </c>
    </row>
    <row r="3377" spans="31:47" x14ac:dyDescent="0.3">
      <c r="AE3377" s="204" t="s">
        <v>398</v>
      </c>
      <c r="AF3377" s="204" t="s">
        <v>398</v>
      </c>
      <c r="AG3377" s="204" t="s">
        <v>398</v>
      </c>
      <c r="AS3377" s="65" t="str">
        <f>IFERROR(VLOOKUP(#REF!,[1]Lookup!$B$2:$E$115,4,FALSE),"")</f>
        <v/>
      </c>
      <c r="AT3377" s="65" t="str">
        <f>IFERROR(VLOOKUP(#REF!,[1]Lookup!$B$2:$E$115,2,FALSE),"")</f>
        <v/>
      </c>
      <c r="AU3377" s="65" t="str">
        <f>IFERROR(VLOOKUP(#REF!,[1]Lookup!$B$2:$E$115,3,FALSE),"")</f>
        <v/>
      </c>
    </row>
    <row r="3378" spans="31:47" x14ac:dyDescent="0.3">
      <c r="AE3378" s="204" t="s">
        <v>398</v>
      </c>
      <c r="AF3378" s="204" t="s">
        <v>398</v>
      </c>
      <c r="AG3378" s="204" t="s">
        <v>398</v>
      </c>
      <c r="AS3378" s="65" t="str">
        <f>IFERROR(VLOOKUP(#REF!,[1]Lookup!$B$2:$E$115,4,FALSE),"")</f>
        <v/>
      </c>
      <c r="AT3378" s="65" t="str">
        <f>IFERROR(VLOOKUP(#REF!,[1]Lookup!$B$2:$E$115,2,FALSE),"")</f>
        <v/>
      </c>
      <c r="AU3378" s="65" t="str">
        <f>IFERROR(VLOOKUP(#REF!,[1]Lookup!$B$2:$E$115,3,FALSE),"")</f>
        <v/>
      </c>
    </row>
    <row r="3379" spans="31:47" x14ac:dyDescent="0.3">
      <c r="AE3379" s="204" t="s">
        <v>398</v>
      </c>
      <c r="AF3379" s="204" t="s">
        <v>398</v>
      </c>
      <c r="AG3379" s="204" t="s">
        <v>398</v>
      </c>
      <c r="AS3379" s="65" t="str">
        <f>IFERROR(VLOOKUP(#REF!,[1]Lookup!$B$2:$E$115,4,FALSE),"")</f>
        <v/>
      </c>
      <c r="AT3379" s="65" t="str">
        <f>IFERROR(VLOOKUP(#REF!,[1]Lookup!$B$2:$E$115,2,FALSE),"")</f>
        <v/>
      </c>
      <c r="AU3379" s="65" t="str">
        <f>IFERROR(VLOOKUP(#REF!,[1]Lookup!$B$2:$E$115,3,FALSE),"")</f>
        <v/>
      </c>
    </row>
    <row r="3380" spans="31:47" x14ac:dyDescent="0.3">
      <c r="AE3380" s="204" t="s">
        <v>398</v>
      </c>
      <c r="AF3380" s="204" t="s">
        <v>398</v>
      </c>
      <c r="AG3380" s="204" t="s">
        <v>398</v>
      </c>
      <c r="AS3380" s="65" t="str">
        <f>IFERROR(VLOOKUP(#REF!,[1]Lookup!$B$2:$E$115,4,FALSE),"")</f>
        <v/>
      </c>
      <c r="AT3380" s="65" t="str">
        <f>IFERROR(VLOOKUP(#REF!,[1]Lookup!$B$2:$E$115,2,FALSE),"")</f>
        <v/>
      </c>
      <c r="AU3380" s="65" t="str">
        <f>IFERROR(VLOOKUP(#REF!,[1]Lookup!$B$2:$E$115,3,FALSE),"")</f>
        <v/>
      </c>
    </row>
    <row r="3381" spans="31:47" x14ac:dyDescent="0.3">
      <c r="AE3381" s="204" t="s">
        <v>398</v>
      </c>
      <c r="AF3381" s="204" t="s">
        <v>398</v>
      </c>
      <c r="AG3381" s="204" t="s">
        <v>398</v>
      </c>
      <c r="AS3381" s="65" t="str">
        <f>IFERROR(VLOOKUP(#REF!,[1]Lookup!$B$2:$E$115,4,FALSE),"")</f>
        <v/>
      </c>
      <c r="AT3381" s="65" t="str">
        <f>IFERROR(VLOOKUP(#REF!,[1]Lookup!$B$2:$E$115,2,FALSE),"")</f>
        <v/>
      </c>
      <c r="AU3381" s="65" t="str">
        <f>IFERROR(VLOOKUP(#REF!,[1]Lookup!$B$2:$E$115,3,FALSE),"")</f>
        <v/>
      </c>
    </row>
    <row r="3382" spans="31:47" x14ac:dyDescent="0.3">
      <c r="AE3382" s="204" t="s">
        <v>398</v>
      </c>
      <c r="AF3382" s="204" t="s">
        <v>398</v>
      </c>
      <c r="AG3382" s="204" t="s">
        <v>398</v>
      </c>
      <c r="AS3382" s="65" t="str">
        <f>IFERROR(VLOOKUP(#REF!,[1]Lookup!$B$2:$E$115,4,FALSE),"")</f>
        <v/>
      </c>
      <c r="AT3382" s="65" t="str">
        <f>IFERROR(VLOOKUP(#REF!,[1]Lookup!$B$2:$E$115,2,FALSE),"")</f>
        <v/>
      </c>
      <c r="AU3382" s="65" t="str">
        <f>IFERROR(VLOOKUP(#REF!,[1]Lookup!$B$2:$E$115,3,FALSE),"")</f>
        <v/>
      </c>
    </row>
    <row r="3383" spans="31:47" x14ac:dyDescent="0.3">
      <c r="AE3383" s="204" t="s">
        <v>398</v>
      </c>
      <c r="AF3383" s="204" t="s">
        <v>398</v>
      </c>
      <c r="AG3383" s="204" t="s">
        <v>398</v>
      </c>
      <c r="AS3383" s="65" t="str">
        <f>IFERROR(VLOOKUP(#REF!,[1]Lookup!$B$2:$E$115,4,FALSE),"")</f>
        <v/>
      </c>
      <c r="AT3383" s="65" t="str">
        <f>IFERROR(VLOOKUP(#REF!,[1]Lookup!$B$2:$E$115,2,FALSE),"")</f>
        <v/>
      </c>
      <c r="AU3383" s="65" t="str">
        <f>IFERROR(VLOOKUP(#REF!,[1]Lookup!$B$2:$E$115,3,FALSE),"")</f>
        <v/>
      </c>
    </row>
    <row r="3384" spans="31:47" x14ac:dyDescent="0.3">
      <c r="AE3384" s="204" t="s">
        <v>398</v>
      </c>
      <c r="AF3384" s="204" t="s">
        <v>398</v>
      </c>
      <c r="AG3384" s="204" t="s">
        <v>398</v>
      </c>
      <c r="AS3384" s="65" t="str">
        <f>IFERROR(VLOOKUP(#REF!,[1]Lookup!$B$2:$E$115,4,FALSE),"")</f>
        <v/>
      </c>
      <c r="AT3384" s="65" t="str">
        <f>IFERROR(VLOOKUP(#REF!,[1]Lookup!$B$2:$E$115,2,FALSE),"")</f>
        <v/>
      </c>
      <c r="AU3384" s="65" t="str">
        <f>IFERROR(VLOOKUP(#REF!,[1]Lookup!$B$2:$E$115,3,FALSE),"")</f>
        <v/>
      </c>
    </row>
    <row r="3385" spans="31:47" x14ac:dyDescent="0.3">
      <c r="AE3385" s="204" t="s">
        <v>398</v>
      </c>
      <c r="AF3385" s="204" t="s">
        <v>398</v>
      </c>
      <c r="AG3385" s="204" t="s">
        <v>398</v>
      </c>
      <c r="AS3385" s="65" t="str">
        <f>IFERROR(VLOOKUP(#REF!,[1]Lookup!$B$2:$E$115,4,FALSE),"")</f>
        <v/>
      </c>
      <c r="AT3385" s="65" t="str">
        <f>IFERROR(VLOOKUP(#REF!,[1]Lookup!$B$2:$E$115,2,FALSE),"")</f>
        <v/>
      </c>
      <c r="AU3385" s="65" t="str">
        <f>IFERROR(VLOOKUP(#REF!,[1]Lookup!$B$2:$E$115,3,FALSE),"")</f>
        <v/>
      </c>
    </row>
    <row r="3386" spans="31:47" x14ac:dyDescent="0.3">
      <c r="AE3386" s="204" t="s">
        <v>398</v>
      </c>
      <c r="AF3386" s="204" t="s">
        <v>398</v>
      </c>
      <c r="AG3386" s="204" t="s">
        <v>398</v>
      </c>
      <c r="AS3386" s="65" t="str">
        <f>IFERROR(VLOOKUP(#REF!,[1]Lookup!$B$2:$E$115,4,FALSE),"")</f>
        <v/>
      </c>
      <c r="AT3386" s="65" t="str">
        <f>IFERROR(VLOOKUP(#REF!,[1]Lookup!$B$2:$E$115,2,FALSE),"")</f>
        <v/>
      </c>
      <c r="AU3386" s="65" t="str">
        <f>IFERROR(VLOOKUP(#REF!,[1]Lookup!$B$2:$E$115,3,FALSE),"")</f>
        <v/>
      </c>
    </row>
    <row r="3387" spans="31:47" x14ac:dyDescent="0.3">
      <c r="AE3387" s="204" t="s">
        <v>398</v>
      </c>
      <c r="AF3387" s="204" t="s">
        <v>398</v>
      </c>
      <c r="AG3387" s="204" t="s">
        <v>398</v>
      </c>
      <c r="AS3387" s="65" t="str">
        <f>IFERROR(VLOOKUP(#REF!,[1]Lookup!$B$2:$E$115,4,FALSE),"")</f>
        <v/>
      </c>
      <c r="AT3387" s="65" t="str">
        <f>IFERROR(VLOOKUP(#REF!,[1]Lookup!$B$2:$E$115,2,FALSE),"")</f>
        <v/>
      </c>
      <c r="AU3387" s="65" t="str">
        <f>IFERROR(VLOOKUP(#REF!,[1]Lookup!$B$2:$E$115,3,FALSE),"")</f>
        <v/>
      </c>
    </row>
    <row r="3388" spans="31:47" x14ac:dyDescent="0.3">
      <c r="AE3388" s="204" t="s">
        <v>398</v>
      </c>
      <c r="AF3388" s="204" t="s">
        <v>398</v>
      </c>
      <c r="AG3388" s="204" t="s">
        <v>398</v>
      </c>
      <c r="AS3388" s="65" t="str">
        <f>IFERROR(VLOOKUP(#REF!,[1]Lookup!$B$2:$E$115,4,FALSE),"")</f>
        <v/>
      </c>
      <c r="AT3388" s="65" t="str">
        <f>IFERROR(VLOOKUP(#REF!,[1]Lookup!$B$2:$E$115,2,FALSE),"")</f>
        <v/>
      </c>
      <c r="AU3388" s="65" t="str">
        <f>IFERROR(VLOOKUP(#REF!,[1]Lookup!$B$2:$E$115,3,FALSE),"")</f>
        <v/>
      </c>
    </row>
    <row r="3389" spans="31:47" x14ac:dyDescent="0.3">
      <c r="AE3389" s="204" t="s">
        <v>398</v>
      </c>
      <c r="AF3389" s="204" t="s">
        <v>398</v>
      </c>
      <c r="AG3389" s="204" t="s">
        <v>398</v>
      </c>
      <c r="AS3389" s="65" t="str">
        <f>IFERROR(VLOOKUP(#REF!,[1]Lookup!$B$2:$E$115,4,FALSE),"")</f>
        <v/>
      </c>
      <c r="AT3389" s="65" t="str">
        <f>IFERROR(VLOOKUP(#REF!,[1]Lookup!$B$2:$E$115,2,FALSE),"")</f>
        <v/>
      </c>
      <c r="AU3389" s="65" t="str">
        <f>IFERROR(VLOOKUP(#REF!,[1]Lookup!$B$2:$E$115,3,FALSE),"")</f>
        <v/>
      </c>
    </row>
    <row r="3390" spans="31:47" x14ac:dyDescent="0.3">
      <c r="AE3390" s="204" t="s">
        <v>398</v>
      </c>
      <c r="AF3390" s="204" t="s">
        <v>398</v>
      </c>
      <c r="AG3390" s="204" t="s">
        <v>398</v>
      </c>
      <c r="AS3390" s="65" t="str">
        <f>IFERROR(VLOOKUP(#REF!,[1]Lookup!$B$2:$E$115,4,FALSE),"")</f>
        <v/>
      </c>
      <c r="AT3390" s="65" t="str">
        <f>IFERROR(VLOOKUP(#REF!,[1]Lookup!$B$2:$E$115,2,FALSE),"")</f>
        <v/>
      </c>
      <c r="AU3390" s="65" t="str">
        <f>IFERROR(VLOOKUP(#REF!,[1]Lookup!$B$2:$E$115,3,FALSE),"")</f>
        <v/>
      </c>
    </row>
    <row r="3391" spans="31:47" x14ac:dyDescent="0.3">
      <c r="AE3391" s="204" t="s">
        <v>398</v>
      </c>
      <c r="AF3391" s="204" t="s">
        <v>398</v>
      </c>
      <c r="AG3391" s="204" t="s">
        <v>398</v>
      </c>
      <c r="AS3391" s="65" t="str">
        <f>IFERROR(VLOOKUP(#REF!,[1]Lookup!$B$2:$E$115,4,FALSE),"")</f>
        <v/>
      </c>
      <c r="AT3391" s="65" t="str">
        <f>IFERROR(VLOOKUP(#REF!,[1]Lookup!$B$2:$E$115,2,FALSE),"")</f>
        <v/>
      </c>
      <c r="AU3391" s="65" t="str">
        <f>IFERROR(VLOOKUP(#REF!,[1]Lookup!$B$2:$E$115,3,FALSE),"")</f>
        <v/>
      </c>
    </row>
    <row r="3392" spans="31:47" x14ac:dyDescent="0.3">
      <c r="AE3392" s="204" t="s">
        <v>398</v>
      </c>
      <c r="AF3392" s="204" t="s">
        <v>398</v>
      </c>
      <c r="AG3392" s="204" t="s">
        <v>398</v>
      </c>
      <c r="AS3392" s="65" t="str">
        <f>IFERROR(VLOOKUP(#REF!,[1]Lookup!$B$2:$E$115,4,FALSE),"")</f>
        <v/>
      </c>
      <c r="AT3392" s="65" t="str">
        <f>IFERROR(VLOOKUP(#REF!,[1]Lookup!$B$2:$E$115,2,FALSE),"")</f>
        <v/>
      </c>
      <c r="AU3392" s="65" t="str">
        <f>IFERROR(VLOOKUP(#REF!,[1]Lookup!$B$2:$E$115,3,FALSE),"")</f>
        <v/>
      </c>
    </row>
    <row r="3393" spans="31:47" x14ac:dyDescent="0.3">
      <c r="AE3393" s="204" t="s">
        <v>398</v>
      </c>
      <c r="AF3393" s="204" t="s">
        <v>398</v>
      </c>
      <c r="AG3393" s="204" t="s">
        <v>398</v>
      </c>
      <c r="AS3393" s="65" t="str">
        <f>IFERROR(VLOOKUP(#REF!,[1]Lookup!$B$2:$E$115,4,FALSE),"")</f>
        <v/>
      </c>
      <c r="AT3393" s="65" t="str">
        <f>IFERROR(VLOOKUP(#REF!,[1]Lookup!$B$2:$E$115,2,FALSE),"")</f>
        <v/>
      </c>
      <c r="AU3393" s="65" t="str">
        <f>IFERROR(VLOOKUP(#REF!,[1]Lookup!$B$2:$E$115,3,FALSE),"")</f>
        <v/>
      </c>
    </row>
    <row r="3394" spans="31:47" x14ac:dyDescent="0.3">
      <c r="AE3394" s="204" t="s">
        <v>398</v>
      </c>
      <c r="AF3394" s="204" t="s">
        <v>398</v>
      </c>
      <c r="AG3394" s="204" t="s">
        <v>398</v>
      </c>
      <c r="AS3394" s="65" t="str">
        <f>IFERROR(VLOOKUP(#REF!,[1]Lookup!$B$2:$E$115,4,FALSE),"")</f>
        <v/>
      </c>
      <c r="AT3394" s="65" t="str">
        <f>IFERROR(VLOOKUP(#REF!,[1]Lookup!$B$2:$E$115,2,FALSE),"")</f>
        <v/>
      </c>
      <c r="AU3394" s="65" t="str">
        <f>IFERROR(VLOOKUP(#REF!,[1]Lookup!$B$2:$E$115,3,FALSE),"")</f>
        <v/>
      </c>
    </row>
    <row r="3395" spans="31:47" x14ac:dyDescent="0.3">
      <c r="AE3395" s="204" t="s">
        <v>398</v>
      </c>
      <c r="AF3395" s="204" t="s">
        <v>398</v>
      </c>
      <c r="AG3395" s="204" t="s">
        <v>398</v>
      </c>
      <c r="AS3395" s="65" t="str">
        <f>IFERROR(VLOOKUP(#REF!,[1]Lookup!$B$2:$E$115,4,FALSE),"")</f>
        <v/>
      </c>
      <c r="AT3395" s="65" t="str">
        <f>IFERROR(VLOOKUP(#REF!,[1]Lookup!$B$2:$E$115,2,FALSE),"")</f>
        <v/>
      </c>
      <c r="AU3395" s="65" t="str">
        <f>IFERROR(VLOOKUP(#REF!,[1]Lookup!$B$2:$E$115,3,FALSE),"")</f>
        <v/>
      </c>
    </row>
    <row r="3396" spans="31:47" x14ac:dyDescent="0.3">
      <c r="AE3396" s="204" t="s">
        <v>398</v>
      </c>
      <c r="AF3396" s="204" t="s">
        <v>398</v>
      </c>
      <c r="AG3396" s="204" t="s">
        <v>398</v>
      </c>
      <c r="AS3396" s="65" t="str">
        <f>IFERROR(VLOOKUP(#REF!,[1]Lookup!$B$2:$E$115,4,FALSE),"")</f>
        <v/>
      </c>
      <c r="AT3396" s="65" t="str">
        <f>IFERROR(VLOOKUP(#REF!,[1]Lookup!$B$2:$E$115,2,FALSE),"")</f>
        <v/>
      </c>
      <c r="AU3396" s="65" t="str">
        <f>IFERROR(VLOOKUP(#REF!,[1]Lookup!$B$2:$E$115,3,FALSE),"")</f>
        <v/>
      </c>
    </row>
    <row r="3397" spans="31:47" x14ac:dyDescent="0.3">
      <c r="AE3397" s="204" t="s">
        <v>398</v>
      </c>
      <c r="AF3397" s="204" t="s">
        <v>398</v>
      </c>
      <c r="AG3397" s="204" t="s">
        <v>398</v>
      </c>
      <c r="AS3397" s="65" t="str">
        <f>IFERROR(VLOOKUP(#REF!,[1]Lookup!$B$2:$E$115,4,FALSE),"")</f>
        <v/>
      </c>
      <c r="AT3397" s="65" t="str">
        <f>IFERROR(VLOOKUP(#REF!,[1]Lookup!$B$2:$E$115,2,FALSE),"")</f>
        <v/>
      </c>
      <c r="AU3397" s="65" t="str">
        <f>IFERROR(VLOOKUP(#REF!,[1]Lookup!$B$2:$E$115,3,FALSE),"")</f>
        <v/>
      </c>
    </row>
    <row r="3398" spans="31:47" x14ac:dyDescent="0.3">
      <c r="AE3398" s="204" t="s">
        <v>398</v>
      </c>
      <c r="AF3398" s="204" t="s">
        <v>398</v>
      </c>
      <c r="AG3398" s="204" t="s">
        <v>398</v>
      </c>
      <c r="AS3398" s="65" t="str">
        <f>IFERROR(VLOOKUP(#REF!,[1]Lookup!$B$2:$E$115,4,FALSE),"")</f>
        <v/>
      </c>
      <c r="AT3398" s="65" t="str">
        <f>IFERROR(VLOOKUP(#REF!,[1]Lookup!$B$2:$E$115,2,FALSE),"")</f>
        <v/>
      </c>
      <c r="AU3398" s="65" t="str">
        <f>IFERROR(VLOOKUP(#REF!,[1]Lookup!$B$2:$E$115,3,FALSE),"")</f>
        <v/>
      </c>
    </row>
    <row r="3399" spans="31:47" x14ac:dyDescent="0.3">
      <c r="AE3399" s="204" t="s">
        <v>398</v>
      </c>
      <c r="AF3399" s="204" t="s">
        <v>398</v>
      </c>
      <c r="AG3399" s="204" t="s">
        <v>398</v>
      </c>
      <c r="AS3399" s="65" t="str">
        <f>IFERROR(VLOOKUP(#REF!,[1]Lookup!$B$2:$E$115,4,FALSE),"")</f>
        <v/>
      </c>
      <c r="AT3399" s="65" t="str">
        <f>IFERROR(VLOOKUP(#REF!,[1]Lookup!$B$2:$E$115,2,FALSE),"")</f>
        <v/>
      </c>
      <c r="AU3399" s="65" t="str">
        <f>IFERROR(VLOOKUP(#REF!,[1]Lookup!$B$2:$E$115,3,FALSE),"")</f>
        <v/>
      </c>
    </row>
    <row r="3400" spans="31:47" x14ac:dyDescent="0.3">
      <c r="AE3400" s="204" t="s">
        <v>398</v>
      </c>
      <c r="AF3400" s="204" t="s">
        <v>398</v>
      </c>
      <c r="AG3400" s="204" t="s">
        <v>398</v>
      </c>
      <c r="AS3400" s="65" t="str">
        <f>IFERROR(VLOOKUP(#REF!,[1]Lookup!$B$2:$E$115,4,FALSE),"")</f>
        <v/>
      </c>
      <c r="AT3400" s="65" t="str">
        <f>IFERROR(VLOOKUP(#REF!,[1]Lookup!$B$2:$E$115,2,FALSE),"")</f>
        <v/>
      </c>
      <c r="AU3400" s="65" t="str">
        <f>IFERROR(VLOOKUP(#REF!,[1]Lookup!$B$2:$E$115,3,FALSE),"")</f>
        <v/>
      </c>
    </row>
    <row r="3401" spans="31:47" x14ac:dyDescent="0.3">
      <c r="AE3401" s="204" t="s">
        <v>398</v>
      </c>
      <c r="AF3401" s="204" t="s">
        <v>398</v>
      </c>
      <c r="AG3401" s="204" t="s">
        <v>398</v>
      </c>
      <c r="AS3401" s="65" t="str">
        <f>IFERROR(VLOOKUP(#REF!,[1]Lookup!$B$2:$E$115,4,FALSE),"")</f>
        <v/>
      </c>
      <c r="AT3401" s="65" t="str">
        <f>IFERROR(VLOOKUP(#REF!,[1]Lookup!$B$2:$E$115,2,FALSE),"")</f>
        <v/>
      </c>
      <c r="AU3401" s="65" t="str">
        <f>IFERROR(VLOOKUP(#REF!,[1]Lookup!$B$2:$E$115,3,FALSE),"")</f>
        <v/>
      </c>
    </row>
    <row r="3402" spans="31:47" x14ac:dyDescent="0.3">
      <c r="AE3402" s="204" t="s">
        <v>398</v>
      </c>
      <c r="AF3402" s="204" t="s">
        <v>398</v>
      </c>
      <c r="AG3402" s="204" t="s">
        <v>398</v>
      </c>
      <c r="AS3402" s="65" t="str">
        <f>IFERROR(VLOOKUP(#REF!,[1]Lookup!$B$2:$E$115,4,FALSE),"")</f>
        <v/>
      </c>
      <c r="AT3402" s="65" t="str">
        <f>IFERROR(VLOOKUP(#REF!,[1]Lookup!$B$2:$E$115,2,FALSE),"")</f>
        <v/>
      </c>
      <c r="AU3402" s="65" t="str">
        <f>IFERROR(VLOOKUP(#REF!,[1]Lookup!$B$2:$E$115,3,FALSE),"")</f>
        <v/>
      </c>
    </row>
    <row r="3403" spans="31:47" x14ac:dyDescent="0.3">
      <c r="AE3403" s="204" t="s">
        <v>398</v>
      </c>
      <c r="AF3403" s="204" t="s">
        <v>398</v>
      </c>
      <c r="AG3403" s="204" t="s">
        <v>398</v>
      </c>
      <c r="AS3403" s="65" t="str">
        <f>IFERROR(VLOOKUP(#REF!,[1]Lookup!$B$2:$E$115,4,FALSE),"")</f>
        <v/>
      </c>
      <c r="AT3403" s="65" t="str">
        <f>IFERROR(VLOOKUP(#REF!,[1]Lookup!$B$2:$E$115,2,FALSE),"")</f>
        <v/>
      </c>
      <c r="AU3403" s="65" t="str">
        <f>IFERROR(VLOOKUP(#REF!,[1]Lookup!$B$2:$E$115,3,FALSE),"")</f>
        <v/>
      </c>
    </row>
    <row r="3404" spans="31:47" x14ac:dyDescent="0.3">
      <c r="AE3404" s="204" t="s">
        <v>398</v>
      </c>
      <c r="AF3404" s="204" t="s">
        <v>398</v>
      </c>
      <c r="AG3404" s="204" t="s">
        <v>398</v>
      </c>
      <c r="AS3404" s="65" t="str">
        <f>IFERROR(VLOOKUP(#REF!,[1]Lookup!$B$2:$E$115,4,FALSE),"")</f>
        <v/>
      </c>
      <c r="AT3404" s="65" t="str">
        <f>IFERROR(VLOOKUP(#REF!,[1]Lookup!$B$2:$E$115,2,FALSE),"")</f>
        <v/>
      </c>
      <c r="AU3404" s="65" t="str">
        <f>IFERROR(VLOOKUP(#REF!,[1]Lookup!$B$2:$E$115,3,FALSE),"")</f>
        <v/>
      </c>
    </row>
    <row r="3405" spans="31:47" x14ac:dyDescent="0.3">
      <c r="AE3405" s="204" t="s">
        <v>398</v>
      </c>
      <c r="AF3405" s="204" t="s">
        <v>398</v>
      </c>
      <c r="AG3405" s="204" t="s">
        <v>398</v>
      </c>
      <c r="AS3405" s="65" t="str">
        <f>IFERROR(VLOOKUP(#REF!,[1]Lookup!$B$2:$E$115,4,FALSE),"")</f>
        <v/>
      </c>
      <c r="AT3405" s="65" t="str">
        <f>IFERROR(VLOOKUP(#REF!,[1]Lookup!$B$2:$E$115,2,FALSE),"")</f>
        <v/>
      </c>
      <c r="AU3405" s="65" t="str">
        <f>IFERROR(VLOOKUP(#REF!,[1]Lookup!$B$2:$E$115,3,FALSE),"")</f>
        <v/>
      </c>
    </row>
    <row r="3406" spans="31:47" x14ac:dyDescent="0.3">
      <c r="AE3406" s="204" t="s">
        <v>398</v>
      </c>
      <c r="AF3406" s="204" t="s">
        <v>398</v>
      </c>
      <c r="AG3406" s="204" t="s">
        <v>398</v>
      </c>
      <c r="AS3406" s="65" t="str">
        <f>IFERROR(VLOOKUP(#REF!,[1]Lookup!$B$2:$E$115,4,FALSE),"")</f>
        <v/>
      </c>
      <c r="AT3406" s="65" t="str">
        <f>IFERROR(VLOOKUP(#REF!,[1]Lookup!$B$2:$E$115,2,FALSE),"")</f>
        <v/>
      </c>
      <c r="AU3406" s="65" t="str">
        <f>IFERROR(VLOOKUP(#REF!,[1]Lookup!$B$2:$E$115,3,FALSE),"")</f>
        <v/>
      </c>
    </row>
    <row r="3407" spans="31:47" x14ac:dyDescent="0.3">
      <c r="AE3407" s="204" t="s">
        <v>398</v>
      </c>
      <c r="AF3407" s="204" t="s">
        <v>398</v>
      </c>
      <c r="AG3407" s="204" t="s">
        <v>398</v>
      </c>
      <c r="AS3407" s="65" t="str">
        <f>IFERROR(VLOOKUP(#REF!,[1]Lookup!$B$2:$E$115,4,FALSE),"")</f>
        <v/>
      </c>
      <c r="AT3407" s="65" t="str">
        <f>IFERROR(VLOOKUP(#REF!,[1]Lookup!$B$2:$E$115,2,FALSE),"")</f>
        <v/>
      </c>
      <c r="AU3407" s="65" t="str">
        <f>IFERROR(VLOOKUP(#REF!,[1]Lookup!$B$2:$E$115,3,FALSE),"")</f>
        <v/>
      </c>
    </row>
    <row r="3408" spans="31:47" x14ac:dyDescent="0.3">
      <c r="AE3408" s="204" t="s">
        <v>398</v>
      </c>
      <c r="AF3408" s="204" t="s">
        <v>398</v>
      </c>
      <c r="AG3408" s="204" t="s">
        <v>398</v>
      </c>
      <c r="AS3408" s="65" t="str">
        <f>IFERROR(VLOOKUP(#REF!,[1]Lookup!$B$2:$E$115,4,FALSE),"")</f>
        <v/>
      </c>
      <c r="AT3408" s="65" t="str">
        <f>IFERROR(VLOOKUP(#REF!,[1]Lookup!$B$2:$E$115,2,FALSE),"")</f>
        <v/>
      </c>
      <c r="AU3408" s="65" t="str">
        <f>IFERROR(VLOOKUP(#REF!,[1]Lookup!$B$2:$E$115,3,FALSE),"")</f>
        <v/>
      </c>
    </row>
    <row r="3409" spans="31:47" x14ac:dyDescent="0.3">
      <c r="AE3409" s="204" t="s">
        <v>398</v>
      </c>
      <c r="AF3409" s="204" t="s">
        <v>398</v>
      </c>
      <c r="AG3409" s="204" t="s">
        <v>398</v>
      </c>
      <c r="AS3409" s="65" t="str">
        <f>IFERROR(VLOOKUP(#REF!,[1]Lookup!$B$2:$E$115,4,FALSE),"")</f>
        <v/>
      </c>
      <c r="AT3409" s="65" t="str">
        <f>IFERROR(VLOOKUP(#REF!,[1]Lookup!$B$2:$E$115,2,FALSE),"")</f>
        <v/>
      </c>
      <c r="AU3409" s="65" t="str">
        <f>IFERROR(VLOOKUP(#REF!,[1]Lookup!$B$2:$E$115,3,FALSE),"")</f>
        <v/>
      </c>
    </row>
    <row r="3410" spans="31:47" x14ac:dyDescent="0.3">
      <c r="AE3410" s="204" t="s">
        <v>398</v>
      </c>
      <c r="AF3410" s="204" t="s">
        <v>398</v>
      </c>
      <c r="AG3410" s="204" t="s">
        <v>398</v>
      </c>
      <c r="AS3410" s="65" t="str">
        <f>IFERROR(VLOOKUP(#REF!,[1]Lookup!$B$2:$E$115,4,FALSE),"")</f>
        <v/>
      </c>
      <c r="AT3410" s="65" t="str">
        <f>IFERROR(VLOOKUP(#REF!,[1]Lookup!$B$2:$E$115,2,FALSE),"")</f>
        <v/>
      </c>
      <c r="AU3410" s="65" t="str">
        <f>IFERROR(VLOOKUP(#REF!,[1]Lookup!$B$2:$E$115,3,FALSE),"")</f>
        <v/>
      </c>
    </row>
    <row r="3411" spans="31:47" x14ac:dyDescent="0.3">
      <c r="AE3411" s="204" t="s">
        <v>398</v>
      </c>
      <c r="AF3411" s="204" t="s">
        <v>398</v>
      </c>
      <c r="AG3411" s="204" t="s">
        <v>398</v>
      </c>
      <c r="AS3411" s="65" t="str">
        <f>IFERROR(VLOOKUP(#REF!,[1]Lookup!$B$2:$E$115,4,FALSE),"")</f>
        <v/>
      </c>
      <c r="AT3411" s="65" t="str">
        <f>IFERROR(VLOOKUP(#REF!,[1]Lookup!$B$2:$E$115,2,FALSE),"")</f>
        <v/>
      </c>
      <c r="AU3411" s="65" t="str">
        <f>IFERROR(VLOOKUP(#REF!,[1]Lookup!$B$2:$E$115,3,FALSE),"")</f>
        <v/>
      </c>
    </row>
    <row r="3412" spans="31:47" x14ac:dyDescent="0.3">
      <c r="AE3412" s="204" t="s">
        <v>398</v>
      </c>
      <c r="AF3412" s="204" t="s">
        <v>398</v>
      </c>
      <c r="AG3412" s="204" t="s">
        <v>398</v>
      </c>
      <c r="AS3412" s="65" t="str">
        <f>IFERROR(VLOOKUP(#REF!,[1]Lookup!$B$2:$E$115,4,FALSE),"")</f>
        <v/>
      </c>
      <c r="AT3412" s="65" t="str">
        <f>IFERROR(VLOOKUP(#REF!,[1]Lookup!$B$2:$E$115,2,FALSE),"")</f>
        <v/>
      </c>
      <c r="AU3412" s="65" t="str">
        <f>IFERROR(VLOOKUP(#REF!,[1]Lookup!$B$2:$E$115,3,FALSE),"")</f>
        <v/>
      </c>
    </row>
    <row r="3413" spans="31:47" x14ac:dyDescent="0.3">
      <c r="AE3413" s="204" t="s">
        <v>398</v>
      </c>
      <c r="AF3413" s="204" t="s">
        <v>398</v>
      </c>
      <c r="AG3413" s="204" t="s">
        <v>398</v>
      </c>
      <c r="AS3413" s="65" t="str">
        <f>IFERROR(VLOOKUP(#REF!,[1]Lookup!$B$2:$E$115,4,FALSE),"")</f>
        <v/>
      </c>
      <c r="AT3413" s="65" t="str">
        <f>IFERROR(VLOOKUP(#REF!,[1]Lookup!$B$2:$E$115,2,FALSE),"")</f>
        <v/>
      </c>
      <c r="AU3413" s="65" t="str">
        <f>IFERROR(VLOOKUP(#REF!,[1]Lookup!$B$2:$E$115,3,FALSE),"")</f>
        <v/>
      </c>
    </row>
    <row r="3414" spans="31:47" x14ac:dyDescent="0.3">
      <c r="AE3414" s="204" t="s">
        <v>398</v>
      </c>
      <c r="AF3414" s="204" t="s">
        <v>398</v>
      </c>
      <c r="AG3414" s="204" t="s">
        <v>398</v>
      </c>
      <c r="AS3414" s="65" t="str">
        <f>IFERROR(VLOOKUP(#REF!,[1]Lookup!$B$2:$E$115,4,FALSE),"")</f>
        <v/>
      </c>
      <c r="AT3414" s="65" t="str">
        <f>IFERROR(VLOOKUP(#REF!,[1]Lookup!$B$2:$E$115,2,FALSE),"")</f>
        <v/>
      </c>
      <c r="AU3414" s="65" t="str">
        <f>IFERROR(VLOOKUP(#REF!,[1]Lookup!$B$2:$E$115,3,FALSE),"")</f>
        <v/>
      </c>
    </row>
    <row r="3415" spans="31:47" x14ac:dyDescent="0.3">
      <c r="AE3415" s="204" t="s">
        <v>398</v>
      </c>
      <c r="AF3415" s="204" t="s">
        <v>398</v>
      </c>
      <c r="AG3415" s="204" t="s">
        <v>398</v>
      </c>
      <c r="AS3415" s="65" t="str">
        <f>IFERROR(VLOOKUP(#REF!,[1]Lookup!$B$2:$E$115,4,FALSE),"")</f>
        <v/>
      </c>
      <c r="AT3415" s="65" t="str">
        <f>IFERROR(VLOOKUP(#REF!,[1]Lookup!$B$2:$E$115,2,FALSE),"")</f>
        <v/>
      </c>
      <c r="AU3415" s="65" t="str">
        <f>IFERROR(VLOOKUP(#REF!,[1]Lookup!$B$2:$E$115,3,FALSE),"")</f>
        <v/>
      </c>
    </row>
    <row r="3416" spans="31:47" x14ac:dyDescent="0.3">
      <c r="AE3416" s="204" t="s">
        <v>398</v>
      </c>
      <c r="AF3416" s="204" t="s">
        <v>398</v>
      </c>
      <c r="AG3416" s="204" t="s">
        <v>398</v>
      </c>
      <c r="AS3416" s="65" t="str">
        <f>IFERROR(VLOOKUP(#REF!,[1]Lookup!$B$2:$E$115,4,FALSE),"")</f>
        <v/>
      </c>
      <c r="AT3416" s="65" t="str">
        <f>IFERROR(VLOOKUP(#REF!,[1]Lookup!$B$2:$E$115,2,FALSE),"")</f>
        <v/>
      </c>
      <c r="AU3416" s="65" t="str">
        <f>IFERROR(VLOOKUP(#REF!,[1]Lookup!$B$2:$E$115,3,FALSE),"")</f>
        <v/>
      </c>
    </row>
    <row r="3417" spans="31:47" x14ac:dyDescent="0.3">
      <c r="AE3417" s="204" t="s">
        <v>398</v>
      </c>
      <c r="AF3417" s="204" t="s">
        <v>398</v>
      </c>
      <c r="AG3417" s="204" t="s">
        <v>398</v>
      </c>
      <c r="AS3417" s="65" t="str">
        <f>IFERROR(VLOOKUP(#REF!,[1]Lookup!$B$2:$E$115,4,FALSE),"")</f>
        <v/>
      </c>
      <c r="AT3417" s="65" t="str">
        <f>IFERROR(VLOOKUP(#REF!,[1]Lookup!$B$2:$E$115,2,FALSE),"")</f>
        <v/>
      </c>
      <c r="AU3417" s="65" t="str">
        <f>IFERROR(VLOOKUP(#REF!,[1]Lookup!$B$2:$E$115,3,FALSE),"")</f>
        <v/>
      </c>
    </row>
    <row r="3418" spans="31:47" x14ac:dyDescent="0.3">
      <c r="AE3418" s="204" t="s">
        <v>398</v>
      </c>
      <c r="AF3418" s="204" t="s">
        <v>398</v>
      </c>
      <c r="AG3418" s="204" t="s">
        <v>398</v>
      </c>
      <c r="AS3418" s="65" t="str">
        <f>IFERROR(VLOOKUP(#REF!,[1]Lookup!$B$2:$E$115,4,FALSE),"")</f>
        <v/>
      </c>
      <c r="AT3418" s="65" t="str">
        <f>IFERROR(VLOOKUP(#REF!,[1]Lookup!$B$2:$E$115,2,FALSE),"")</f>
        <v/>
      </c>
      <c r="AU3418" s="65" t="str">
        <f>IFERROR(VLOOKUP(#REF!,[1]Lookup!$B$2:$E$115,3,FALSE),"")</f>
        <v/>
      </c>
    </row>
    <row r="3419" spans="31:47" x14ac:dyDescent="0.3">
      <c r="AE3419" s="204" t="s">
        <v>398</v>
      </c>
      <c r="AF3419" s="204" t="s">
        <v>398</v>
      </c>
      <c r="AG3419" s="204" t="s">
        <v>398</v>
      </c>
      <c r="AS3419" s="65" t="str">
        <f>IFERROR(VLOOKUP(#REF!,[1]Lookup!$B$2:$E$115,4,FALSE),"")</f>
        <v/>
      </c>
      <c r="AT3419" s="65" t="str">
        <f>IFERROR(VLOOKUP(#REF!,[1]Lookup!$B$2:$E$115,2,FALSE),"")</f>
        <v/>
      </c>
      <c r="AU3419" s="65" t="str">
        <f>IFERROR(VLOOKUP(#REF!,[1]Lookup!$B$2:$E$115,3,FALSE),"")</f>
        <v/>
      </c>
    </row>
    <row r="3420" spans="31:47" x14ac:dyDescent="0.3">
      <c r="AE3420" s="204" t="s">
        <v>398</v>
      </c>
      <c r="AF3420" s="204" t="s">
        <v>398</v>
      </c>
      <c r="AG3420" s="204" t="s">
        <v>398</v>
      </c>
      <c r="AS3420" s="65" t="str">
        <f>IFERROR(VLOOKUP(#REF!,[1]Lookup!$B$2:$E$115,4,FALSE),"")</f>
        <v/>
      </c>
      <c r="AT3420" s="65" t="str">
        <f>IFERROR(VLOOKUP(#REF!,[1]Lookup!$B$2:$E$115,2,FALSE),"")</f>
        <v/>
      </c>
      <c r="AU3420" s="65" t="str">
        <f>IFERROR(VLOOKUP(#REF!,[1]Lookup!$B$2:$E$115,3,FALSE),"")</f>
        <v/>
      </c>
    </row>
    <row r="3421" spans="31:47" x14ac:dyDescent="0.3">
      <c r="AE3421" s="204" t="s">
        <v>398</v>
      </c>
      <c r="AF3421" s="204" t="s">
        <v>398</v>
      </c>
      <c r="AG3421" s="204" t="s">
        <v>398</v>
      </c>
      <c r="AS3421" s="65" t="str">
        <f>IFERROR(VLOOKUP(#REF!,[1]Lookup!$B$2:$E$115,4,FALSE),"")</f>
        <v/>
      </c>
      <c r="AT3421" s="65" t="str">
        <f>IFERROR(VLOOKUP(#REF!,[1]Lookup!$B$2:$E$115,2,FALSE),"")</f>
        <v/>
      </c>
      <c r="AU3421" s="65" t="str">
        <f>IFERROR(VLOOKUP(#REF!,[1]Lookup!$B$2:$E$115,3,FALSE),"")</f>
        <v/>
      </c>
    </row>
    <row r="3422" spans="31:47" x14ac:dyDescent="0.3">
      <c r="AE3422" s="204" t="s">
        <v>398</v>
      </c>
      <c r="AF3422" s="204" t="s">
        <v>398</v>
      </c>
      <c r="AG3422" s="204" t="s">
        <v>398</v>
      </c>
      <c r="AS3422" s="65" t="str">
        <f>IFERROR(VLOOKUP(#REF!,[1]Lookup!$B$2:$E$115,4,FALSE),"")</f>
        <v/>
      </c>
      <c r="AT3422" s="65" t="str">
        <f>IFERROR(VLOOKUP(#REF!,[1]Lookup!$B$2:$E$115,2,FALSE),"")</f>
        <v/>
      </c>
      <c r="AU3422" s="65" t="str">
        <f>IFERROR(VLOOKUP(#REF!,[1]Lookup!$B$2:$E$115,3,FALSE),"")</f>
        <v/>
      </c>
    </row>
    <row r="3423" spans="31:47" x14ac:dyDescent="0.3">
      <c r="AE3423" s="204" t="s">
        <v>398</v>
      </c>
      <c r="AF3423" s="204" t="s">
        <v>398</v>
      </c>
      <c r="AG3423" s="204" t="s">
        <v>398</v>
      </c>
      <c r="AS3423" s="65" t="str">
        <f>IFERROR(VLOOKUP(#REF!,[1]Lookup!$B$2:$E$115,4,FALSE),"")</f>
        <v/>
      </c>
      <c r="AT3423" s="65" t="str">
        <f>IFERROR(VLOOKUP(#REF!,[1]Lookup!$B$2:$E$115,2,FALSE),"")</f>
        <v/>
      </c>
      <c r="AU3423" s="65" t="str">
        <f>IFERROR(VLOOKUP(#REF!,[1]Lookup!$B$2:$E$115,3,FALSE),"")</f>
        <v/>
      </c>
    </row>
    <row r="3424" spans="31:47" x14ac:dyDescent="0.3">
      <c r="AE3424" s="204" t="s">
        <v>398</v>
      </c>
      <c r="AF3424" s="204" t="s">
        <v>398</v>
      </c>
      <c r="AG3424" s="204" t="s">
        <v>398</v>
      </c>
      <c r="AS3424" s="65" t="str">
        <f>IFERROR(VLOOKUP(#REF!,[1]Lookup!$B$2:$E$115,4,FALSE),"")</f>
        <v/>
      </c>
      <c r="AT3424" s="65" t="str">
        <f>IFERROR(VLOOKUP(#REF!,[1]Lookup!$B$2:$E$115,2,FALSE),"")</f>
        <v/>
      </c>
      <c r="AU3424" s="65" t="str">
        <f>IFERROR(VLOOKUP(#REF!,[1]Lookup!$B$2:$E$115,3,FALSE),"")</f>
        <v/>
      </c>
    </row>
    <row r="3425" spans="31:47" x14ac:dyDescent="0.3">
      <c r="AE3425" s="204" t="s">
        <v>398</v>
      </c>
      <c r="AF3425" s="204" t="s">
        <v>398</v>
      </c>
      <c r="AG3425" s="204" t="s">
        <v>398</v>
      </c>
      <c r="AS3425" s="65" t="str">
        <f>IFERROR(VLOOKUP(#REF!,[1]Lookup!$B$2:$E$115,4,FALSE),"")</f>
        <v/>
      </c>
      <c r="AT3425" s="65" t="str">
        <f>IFERROR(VLOOKUP(#REF!,[1]Lookup!$B$2:$E$115,2,FALSE),"")</f>
        <v/>
      </c>
      <c r="AU3425" s="65" t="str">
        <f>IFERROR(VLOOKUP(#REF!,[1]Lookup!$B$2:$E$115,3,FALSE),"")</f>
        <v/>
      </c>
    </row>
    <row r="3426" spans="31:47" x14ac:dyDescent="0.3">
      <c r="AE3426" s="204" t="s">
        <v>398</v>
      </c>
      <c r="AF3426" s="204" t="s">
        <v>398</v>
      </c>
      <c r="AG3426" s="204" t="s">
        <v>398</v>
      </c>
      <c r="AS3426" s="65" t="str">
        <f>IFERROR(VLOOKUP(#REF!,[1]Lookup!$B$2:$E$115,4,FALSE),"")</f>
        <v/>
      </c>
      <c r="AT3426" s="65" t="str">
        <f>IFERROR(VLOOKUP(#REF!,[1]Lookup!$B$2:$E$115,2,FALSE),"")</f>
        <v/>
      </c>
      <c r="AU3426" s="65" t="str">
        <f>IFERROR(VLOOKUP(#REF!,[1]Lookup!$B$2:$E$115,3,FALSE),"")</f>
        <v/>
      </c>
    </row>
    <row r="3427" spans="31:47" x14ac:dyDescent="0.3">
      <c r="AE3427" s="204" t="s">
        <v>398</v>
      </c>
      <c r="AF3427" s="204" t="s">
        <v>398</v>
      </c>
      <c r="AG3427" s="204" t="s">
        <v>398</v>
      </c>
      <c r="AS3427" s="65" t="str">
        <f>IFERROR(VLOOKUP(#REF!,[1]Lookup!$B$2:$E$115,4,FALSE),"")</f>
        <v/>
      </c>
      <c r="AT3427" s="65" t="str">
        <f>IFERROR(VLOOKUP(#REF!,[1]Lookup!$B$2:$E$115,2,FALSE),"")</f>
        <v/>
      </c>
      <c r="AU3427" s="65" t="str">
        <f>IFERROR(VLOOKUP(#REF!,[1]Lookup!$B$2:$E$115,3,FALSE),"")</f>
        <v/>
      </c>
    </row>
    <row r="3428" spans="31:47" x14ac:dyDescent="0.3">
      <c r="AE3428" s="204" t="s">
        <v>398</v>
      </c>
      <c r="AF3428" s="204" t="s">
        <v>398</v>
      </c>
      <c r="AG3428" s="204" t="s">
        <v>398</v>
      </c>
      <c r="AS3428" s="65" t="str">
        <f>IFERROR(VLOOKUP(#REF!,[1]Lookup!$B$2:$E$115,4,FALSE),"")</f>
        <v/>
      </c>
      <c r="AT3428" s="65" t="str">
        <f>IFERROR(VLOOKUP(#REF!,[1]Lookup!$B$2:$E$115,2,FALSE),"")</f>
        <v/>
      </c>
      <c r="AU3428" s="65" t="str">
        <f>IFERROR(VLOOKUP(#REF!,[1]Lookup!$B$2:$E$115,3,FALSE),"")</f>
        <v/>
      </c>
    </row>
    <row r="3429" spans="31:47" x14ac:dyDescent="0.3">
      <c r="AE3429" s="204" t="s">
        <v>398</v>
      </c>
      <c r="AF3429" s="204" t="s">
        <v>398</v>
      </c>
      <c r="AG3429" s="204" t="s">
        <v>398</v>
      </c>
      <c r="AS3429" s="65" t="str">
        <f>IFERROR(VLOOKUP(#REF!,[1]Lookup!$B$2:$E$115,4,FALSE),"")</f>
        <v/>
      </c>
      <c r="AT3429" s="65" t="str">
        <f>IFERROR(VLOOKUP(#REF!,[1]Lookup!$B$2:$E$115,2,FALSE),"")</f>
        <v/>
      </c>
      <c r="AU3429" s="65" t="str">
        <f>IFERROR(VLOOKUP(#REF!,[1]Lookup!$B$2:$E$115,3,FALSE),"")</f>
        <v/>
      </c>
    </row>
    <row r="3430" spans="31:47" x14ac:dyDescent="0.3">
      <c r="AE3430" s="204" t="s">
        <v>398</v>
      </c>
      <c r="AF3430" s="204" t="s">
        <v>398</v>
      </c>
      <c r="AG3430" s="204" t="s">
        <v>398</v>
      </c>
      <c r="AS3430" s="65" t="str">
        <f>IFERROR(VLOOKUP(#REF!,[1]Lookup!$B$2:$E$115,4,FALSE),"")</f>
        <v/>
      </c>
      <c r="AT3430" s="65" t="str">
        <f>IFERROR(VLOOKUP(#REF!,[1]Lookup!$B$2:$E$115,2,FALSE),"")</f>
        <v/>
      </c>
      <c r="AU3430" s="65" t="str">
        <f>IFERROR(VLOOKUP(#REF!,[1]Lookup!$B$2:$E$115,3,FALSE),"")</f>
        <v/>
      </c>
    </row>
    <row r="3431" spans="31:47" x14ac:dyDescent="0.3">
      <c r="AE3431" s="204" t="s">
        <v>398</v>
      </c>
      <c r="AF3431" s="204" t="s">
        <v>398</v>
      </c>
      <c r="AG3431" s="204" t="s">
        <v>398</v>
      </c>
      <c r="AS3431" s="65" t="str">
        <f>IFERROR(VLOOKUP(#REF!,[1]Lookup!$B$2:$E$115,4,FALSE),"")</f>
        <v/>
      </c>
      <c r="AT3431" s="65" t="str">
        <f>IFERROR(VLOOKUP(#REF!,[1]Lookup!$B$2:$E$115,2,FALSE),"")</f>
        <v/>
      </c>
      <c r="AU3431" s="65" t="str">
        <f>IFERROR(VLOOKUP(#REF!,[1]Lookup!$B$2:$E$115,3,FALSE),"")</f>
        <v/>
      </c>
    </row>
    <row r="3432" spans="31:47" x14ac:dyDescent="0.3">
      <c r="AE3432" s="204" t="s">
        <v>398</v>
      </c>
      <c r="AF3432" s="204" t="s">
        <v>398</v>
      </c>
      <c r="AG3432" s="204" t="s">
        <v>398</v>
      </c>
      <c r="AS3432" s="65" t="str">
        <f>IFERROR(VLOOKUP(#REF!,[1]Lookup!$B$2:$E$115,4,FALSE),"")</f>
        <v/>
      </c>
      <c r="AT3432" s="65" t="str">
        <f>IFERROR(VLOOKUP(#REF!,[1]Lookup!$B$2:$E$115,2,FALSE),"")</f>
        <v/>
      </c>
      <c r="AU3432" s="65" t="str">
        <f>IFERROR(VLOOKUP(#REF!,[1]Lookup!$B$2:$E$115,3,FALSE),"")</f>
        <v/>
      </c>
    </row>
    <row r="3433" spans="31:47" x14ac:dyDescent="0.3">
      <c r="AE3433" s="204" t="s">
        <v>398</v>
      </c>
      <c r="AF3433" s="204" t="s">
        <v>398</v>
      </c>
      <c r="AG3433" s="204" t="s">
        <v>398</v>
      </c>
      <c r="AS3433" s="65" t="str">
        <f>IFERROR(VLOOKUP(#REF!,[1]Lookup!$B$2:$E$115,4,FALSE),"")</f>
        <v/>
      </c>
      <c r="AT3433" s="65" t="str">
        <f>IFERROR(VLOOKUP(#REF!,[1]Lookup!$B$2:$E$115,2,FALSE),"")</f>
        <v/>
      </c>
      <c r="AU3433" s="65" t="str">
        <f>IFERROR(VLOOKUP(#REF!,[1]Lookup!$B$2:$E$115,3,FALSE),"")</f>
        <v/>
      </c>
    </row>
    <row r="3434" spans="31:47" x14ac:dyDescent="0.3">
      <c r="AE3434" s="204" t="s">
        <v>398</v>
      </c>
      <c r="AF3434" s="204" t="s">
        <v>398</v>
      </c>
      <c r="AG3434" s="204" t="s">
        <v>398</v>
      </c>
      <c r="AS3434" s="65" t="str">
        <f>IFERROR(VLOOKUP(#REF!,[1]Lookup!$B$2:$E$115,4,FALSE),"")</f>
        <v/>
      </c>
      <c r="AT3434" s="65" t="str">
        <f>IFERROR(VLOOKUP(#REF!,[1]Lookup!$B$2:$E$115,2,FALSE),"")</f>
        <v/>
      </c>
      <c r="AU3434" s="65" t="str">
        <f>IFERROR(VLOOKUP(#REF!,[1]Lookup!$B$2:$E$115,3,FALSE),"")</f>
        <v/>
      </c>
    </row>
    <row r="3435" spans="31:47" x14ac:dyDescent="0.3">
      <c r="AE3435" s="204" t="s">
        <v>398</v>
      </c>
      <c r="AF3435" s="204" t="s">
        <v>398</v>
      </c>
      <c r="AG3435" s="204" t="s">
        <v>398</v>
      </c>
      <c r="AS3435" s="65" t="str">
        <f>IFERROR(VLOOKUP(#REF!,[1]Lookup!$B$2:$E$115,4,FALSE),"")</f>
        <v/>
      </c>
      <c r="AT3435" s="65" t="str">
        <f>IFERROR(VLOOKUP(#REF!,[1]Lookup!$B$2:$E$115,2,FALSE),"")</f>
        <v/>
      </c>
      <c r="AU3435" s="65" t="str">
        <f>IFERROR(VLOOKUP(#REF!,[1]Lookup!$B$2:$E$115,3,FALSE),"")</f>
        <v/>
      </c>
    </row>
    <row r="3436" spans="31:47" x14ac:dyDescent="0.3">
      <c r="AE3436" s="204" t="s">
        <v>398</v>
      </c>
      <c r="AF3436" s="204" t="s">
        <v>398</v>
      </c>
      <c r="AG3436" s="204" t="s">
        <v>398</v>
      </c>
      <c r="AS3436" s="65" t="str">
        <f>IFERROR(VLOOKUP(#REF!,[1]Lookup!$B$2:$E$115,4,FALSE),"")</f>
        <v/>
      </c>
      <c r="AT3436" s="65" t="str">
        <f>IFERROR(VLOOKUP(#REF!,[1]Lookup!$B$2:$E$115,2,FALSE),"")</f>
        <v/>
      </c>
      <c r="AU3436" s="65" t="str">
        <f>IFERROR(VLOOKUP(#REF!,[1]Lookup!$B$2:$E$115,3,FALSE),"")</f>
        <v/>
      </c>
    </row>
    <row r="3437" spans="31:47" x14ac:dyDescent="0.3">
      <c r="AE3437" s="204" t="s">
        <v>398</v>
      </c>
      <c r="AF3437" s="204" t="s">
        <v>398</v>
      </c>
      <c r="AG3437" s="204" t="s">
        <v>398</v>
      </c>
      <c r="AS3437" s="65" t="str">
        <f>IFERROR(VLOOKUP(#REF!,[1]Lookup!$B$2:$E$115,4,FALSE),"")</f>
        <v/>
      </c>
      <c r="AT3437" s="65" t="str">
        <f>IFERROR(VLOOKUP(#REF!,[1]Lookup!$B$2:$E$115,2,FALSE),"")</f>
        <v/>
      </c>
      <c r="AU3437" s="65" t="str">
        <f>IFERROR(VLOOKUP(#REF!,[1]Lookup!$B$2:$E$115,3,FALSE),"")</f>
        <v/>
      </c>
    </row>
    <row r="3438" spans="31:47" x14ac:dyDescent="0.3">
      <c r="AE3438" s="204" t="s">
        <v>398</v>
      </c>
      <c r="AF3438" s="204" t="s">
        <v>398</v>
      </c>
      <c r="AG3438" s="204" t="s">
        <v>398</v>
      </c>
      <c r="AS3438" s="65" t="str">
        <f>IFERROR(VLOOKUP(#REF!,[1]Lookup!$B$2:$E$115,4,FALSE),"")</f>
        <v/>
      </c>
      <c r="AT3438" s="65" t="str">
        <f>IFERROR(VLOOKUP(#REF!,[1]Lookup!$B$2:$E$115,2,FALSE),"")</f>
        <v/>
      </c>
      <c r="AU3438" s="65" t="str">
        <f>IFERROR(VLOOKUP(#REF!,[1]Lookup!$B$2:$E$115,3,FALSE),"")</f>
        <v/>
      </c>
    </row>
    <row r="3439" spans="31:47" x14ac:dyDescent="0.3">
      <c r="AE3439" s="204" t="s">
        <v>398</v>
      </c>
      <c r="AF3439" s="204" t="s">
        <v>398</v>
      </c>
      <c r="AG3439" s="204" t="s">
        <v>398</v>
      </c>
      <c r="AS3439" s="65" t="str">
        <f>IFERROR(VLOOKUP(#REF!,[1]Lookup!$B$2:$E$115,4,FALSE),"")</f>
        <v/>
      </c>
      <c r="AT3439" s="65" t="str">
        <f>IFERROR(VLOOKUP(#REF!,[1]Lookup!$B$2:$E$115,2,FALSE),"")</f>
        <v/>
      </c>
      <c r="AU3439" s="65" t="str">
        <f>IFERROR(VLOOKUP(#REF!,[1]Lookup!$B$2:$E$115,3,FALSE),"")</f>
        <v/>
      </c>
    </row>
    <row r="3440" spans="31:47" x14ac:dyDescent="0.3">
      <c r="AE3440" s="204" t="s">
        <v>398</v>
      </c>
      <c r="AF3440" s="204" t="s">
        <v>398</v>
      </c>
      <c r="AG3440" s="204" t="s">
        <v>398</v>
      </c>
      <c r="AS3440" s="65" t="str">
        <f>IFERROR(VLOOKUP(#REF!,[1]Lookup!$B$2:$E$115,4,FALSE),"")</f>
        <v/>
      </c>
      <c r="AT3440" s="65" t="str">
        <f>IFERROR(VLOOKUP(#REF!,[1]Lookup!$B$2:$E$115,2,FALSE),"")</f>
        <v/>
      </c>
      <c r="AU3440" s="65" t="str">
        <f>IFERROR(VLOOKUP(#REF!,[1]Lookup!$B$2:$E$115,3,FALSE),"")</f>
        <v/>
      </c>
    </row>
    <row r="3441" spans="31:47" x14ac:dyDescent="0.3">
      <c r="AE3441" s="204" t="s">
        <v>398</v>
      </c>
      <c r="AF3441" s="204" t="s">
        <v>398</v>
      </c>
      <c r="AG3441" s="204" t="s">
        <v>398</v>
      </c>
      <c r="AS3441" s="65" t="str">
        <f>IFERROR(VLOOKUP(#REF!,[1]Lookup!$B$2:$E$115,4,FALSE),"")</f>
        <v/>
      </c>
      <c r="AT3441" s="65" t="str">
        <f>IFERROR(VLOOKUP(#REF!,[1]Lookup!$B$2:$E$115,2,FALSE),"")</f>
        <v/>
      </c>
      <c r="AU3441" s="65" t="str">
        <f>IFERROR(VLOOKUP(#REF!,[1]Lookup!$B$2:$E$115,3,FALSE),"")</f>
        <v/>
      </c>
    </row>
    <row r="3442" spans="31:47" x14ac:dyDescent="0.3">
      <c r="AE3442" s="204" t="s">
        <v>398</v>
      </c>
      <c r="AF3442" s="204" t="s">
        <v>398</v>
      </c>
      <c r="AG3442" s="204" t="s">
        <v>398</v>
      </c>
      <c r="AS3442" s="65" t="str">
        <f>IFERROR(VLOOKUP(#REF!,[1]Lookup!$B$2:$E$115,4,FALSE),"")</f>
        <v/>
      </c>
      <c r="AT3442" s="65" t="str">
        <f>IFERROR(VLOOKUP(#REF!,[1]Lookup!$B$2:$E$115,2,FALSE),"")</f>
        <v/>
      </c>
      <c r="AU3442" s="65" t="str">
        <f>IFERROR(VLOOKUP(#REF!,[1]Lookup!$B$2:$E$115,3,FALSE),"")</f>
        <v/>
      </c>
    </row>
    <row r="3443" spans="31:47" x14ac:dyDescent="0.3">
      <c r="AE3443" s="204" t="s">
        <v>398</v>
      </c>
      <c r="AF3443" s="204" t="s">
        <v>398</v>
      </c>
      <c r="AG3443" s="204" t="s">
        <v>398</v>
      </c>
      <c r="AS3443" s="65" t="str">
        <f>IFERROR(VLOOKUP(#REF!,[1]Lookup!$B$2:$E$115,4,FALSE),"")</f>
        <v/>
      </c>
      <c r="AT3443" s="65" t="str">
        <f>IFERROR(VLOOKUP(#REF!,[1]Lookup!$B$2:$E$115,2,FALSE),"")</f>
        <v/>
      </c>
      <c r="AU3443" s="65" t="str">
        <f>IFERROR(VLOOKUP(#REF!,[1]Lookup!$B$2:$E$115,3,FALSE),"")</f>
        <v/>
      </c>
    </row>
    <row r="3444" spans="31:47" x14ac:dyDescent="0.3">
      <c r="AE3444" s="204" t="s">
        <v>398</v>
      </c>
      <c r="AF3444" s="204" t="s">
        <v>398</v>
      </c>
      <c r="AG3444" s="204" t="s">
        <v>398</v>
      </c>
      <c r="AS3444" s="65" t="str">
        <f>IFERROR(VLOOKUP(#REF!,[1]Lookup!$B$2:$E$115,4,FALSE),"")</f>
        <v/>
      </c>
      <c r="AT3444" s="65" t="str">
        <f>IFERROR(VLOOKUP(#REF!,[1]Lookup!$B$2:$E$115,2,FALSE),"")</f>
        <v/>
      </c>
      <c r="AU3444" s="65" t="str">
        <f>IFERROR(VLOOKUP(#REF!,[1]Lookup!$B$2:$E$115,3,FALSE),"")</f>
        <v/>
      </c>
    </row>
    <row r="3445" spans="31:47" x14ac:dyDescent="0.3">
      <c r="AE3445" s="204" t="s">
        <v>398</v>
      </c>
      <c r="AF3445" s="204" t="s">
        <v>398</v>
      </c>
      <c r="AG3445" s="204" t="s">
        <v>398</v>
      </c>
      <c r="AS3445" s="65" t="str">
        <f>IFERROR(VLOOKUP(#REF!,[1]Lookup!$B$2:$E$115,4,FALSE),"")</f>
        <v/>
      </c>
      <c r="AT3445" s="65" t="str">
        <f>IFERROR(VLOOKUP(#REF!,[1]Lookup!$B$2:$E$115,2,FALSE),"")</f>
        <v/>
      </c>
      <c r="AU3445" s="65" t="str">
        <f>IFERROR(VLOOKUP(#REF!,[1]Lookup!$B$2:$E$115,3,FALSE),"")</f>
        <v/>
      </c>
    </row>
    <row r="3446" spans="31:47" x14ac:dyDescent="0.3">
      <c r="AE3446" s="204" t="s">
        <v>398</v>
      </c>
      <c r="AF3446" s="204" t="s">
        <v>398</v>
      </c>
      <c r="AG3446" s="204" t="s">
        <v>398</v>
      </c>
      <c r="AS3446" s="65" t="str">
        <f>IFERROR(VLOOKUP(#REF!,[1]Lookup!$B$2:$E$115,4,FALSE),"")</f>
        <v/>
      </c>
      <c r="AT3446" s="65" t="str">
        <f>IFERROR(VLOOKUP(#REF!,[1]Lookup!$B$2:$E$115,2,FALSE),"")</f>
        <v/>
      </c>
      <c r="AU3446" s="65" t="str">
        <f>IFERROR(VLOOKUP(#REF!,[1]Lookup!$B$2:$E$115,3,FALSE),"")</f>
        <v/>
      </c>
    </row>
    <row r="3447" spans="31:47" x14ac:dyDescent="0.3">
      <c r="AE3447" s="204" t="s">
        <v>398</v>
      </c>
      <c r="AF3447" s="204" t="s">
        <v>398</v>
      </c>
      <c r="AG3447" s="204" t="s">
        <v>398</v>
      </c>
      <c r="AS3447" s="65" t="str">
        <f>IFERROR(VLOOKUP(#REF!,[1]Lookup!$B$2:$E$115,4,FALSE),"")</f>
        <v/>
      </c>
      <c r="AT3447" s="65" t="str">
        <f>IFERROR(VLOOKUP(#REF!,[1]Lookup!$B$2:$E$115,2,FALSE),"")</f>
        <v/>
      </c>
      <c r="AU3447" s="65" t="str">
        <f>IFERROR(VLOOKUP(#REF!,[1]Lookup!$B$2:$E$115,3,FALSE),"")</f>
        <v/>
      </c>
    </row>
    <row r="3448" spans="31:47" x14ac:dyDescent="0.3">
      <c r="AE3448" s="204" t="s">
        <v>398</v>
      </c>
      <c r="AF3448" s="204" t="s">
        <v>398</v>
      </c>
      <c r="AG3448" s="204" t="s">
        <v>398</v>
      </c>
      <c r="AS3448" s="65" t="str">
        <f>IFERROR(VLOOKUP(#REF!,[1]Lookup!$B$2:$E$115,4,FALSE),"")</f>
        <v/>
      </c>
      <c r="AT3448" s="65" t="str">
        <f>IFERROR(VLOOKUP(#REF!,[1]Lookup!$B$2:$E$115,2,FALSE),"")</f>
        <v/>
      </c>
      <c r="AU3448" s="65" t="str">
        <f>IFERROR(VLOOKUP(#REF!,[1]Lookup!$B$2:$E$115,3,FALSE),"")</f>
        <v/>
      </c>
    </row>
    <row r="3449" spans="31:47" x14ac:dyDescent="0.3">
      <c r="AE3449" s="204" t="s">
        <v>398</v>
      </c>
      <c r="AF3449" s="204" t="s">
        <v>398</v>
      </c>
      <c r="AG3449" s="204" t="s">
        <v>398</v>
      </c>
      <c r="AS3449" s="65" t="str">
        <f>IFERROR(VLOOKUP(#REF!,[1]Lookup!$B$2:$E$115,4,FALSE),"")</f>
        <v/>
      </c>
      <c r="AT3449" s="65" t="str">
        <f>IFERROR(VLOOKUP(#REF!,[1]Lookup!$B$2:$E$115,2,FALSE),"")</f>
        <v/>
      </c>
      <c r="AU3449" s="65" t="str">
        <f>IFERROR(VLOOKUP(#REF!,[1]Lookup!$B$2:$E$115,3,FALSE),"")</f>
        <v/>
      </c>
    </row>
    <row r="3450" spans="31:47" x14ac:dyDescent="0.3">
      <c r="AE3450" s="204" t="s">
        <v>398</v>
      </c>
      <c r="AF3450" s="204" t="s">
        <v>398</v>
      </c>
      <c r="AG3450" s="204" t="s">
        <v>398</v>
      </c>
      <c r="AS3450" s="65" t="str">
        <f>IFERROR(VLOOKUP(#REF!,[1]Lookup!$B$2:$E$115,4,FALSE),"")</f>
        <v/>
      </c>
      <c r="AT3450" s="65" t="str">
        <f>IFERROR(VLOOKUP(#REF!,[1]Lookup!$B$2:$E$115,2,FALSE),"")</f>
        <v/>
      </c>
      <c r="AU3450" s="65" t="str">
        <f>IFERROR(VLOOKUP(#REF!,[1]Lookup!$B$2:$E$115,3,FALSE),"")</f>
        <v/>
      </c>
    </row>
    <row r="3451" spans="31:47" x14ac:dyDescent="0.3">
      <c r="AE3451" s="204" t="s">
        <v>398</v>
      </c>
      <c r="AF3451" s="204" t="s">
        <v>398</v>
      </c>
      <c r="AG3451" s="204" t="s">
        <v>398</v>
      </c>
      <c r="AS3451" s="65" t="str">
        <f>IFERROR(VLOOKUP(#REF!,[1]Lookup!$B$2:$E$115,4,FALSE),"")</f>
        <v/>
      </c>
      <c r="AT3451" s="65" t="str">
        <f>IFERROR(VLOOKUP(#REF!,[1]Lookup!$B$2:$E$115,2,FALSE),"")</f>
        <v/>
      </c>
      <c r="AU3451" s="65" t="str">
        <f>IFERROR(VLOOKUP(#REF!,[1]Lookup!$B$2:$E$115,3,FALSE),"")</f>
        <v/>
      </c>
    </row>
    <row r="3452" spans="31:47" x14ac:dyDescent="0.3">
      <c r="AE3452" s="204" t="s">
        <v>398</v>
      </c>
      <c r="AF3452" s="204" t="s">
        <v>398</v>
      </c>
      <c r="AG3452" s="204" t="s">
        <v>398</v>
      </c>
      <c r="AS3452" s="65" t="str">
        <f>IFERROR(VLOOKUP(#REF!,[1]Lookup!$B$2:$E$115,4,FALSE),"")</f>
        <v/>
      </c>
      <c r="AT3452" s="65" t="str">
        <f>IFERROR(VLOOKUP(#REF!,[1]Lookup!$B$2:$E$115,2,FALSE),"")</f>
        <v/>
      </c>
      <c r="AU3452" s="65" t="str">
        <f>IFERROR(VLOOKUP(#REF!,[1]Lookup!$B$2:$E$115,3,FALSE),"")</f>
        <v/>
      </c>
    </row>
    <row r="3453" spans="31:47" x14ac:dyDescent="0.3">
      <c r="AE3453" s="204" t="s">
        <v>398</v>
      </c>
      <c r="AF3453" s="204" t="s">
        <v>398</v>
      </c>
      <c r="AG3453" s="204" t="s">
        <v>398</v>
      </c>
      <c r="AS3453" s="65" t="str">
        <f>IFERROR(VLOOKUP(#REF!,[1]Lookup!$B$2:$E$115,4,FALSE),"")</f>
        <v/>
      </c>
      <c r="AT3453" s="65" t="str">
        <f>IFERROR(VLOOKUP(#REF!,[1]Lookup!$B$2:$E$115,2,FALSE),"")</f>
        <v/>
      </c>
      <c r="AU3453" s="65" t="str">
        <f>IFERROR(VLOOKUP(#REF!,[1]Lookup!$B$2:$E$115,3,FALSE),"")</f>
        <v/>
      </c>
    </row>
    <row r="3454" spans="31:47" x14ac:dyDescent="0.3">
      <c r="AE3454" s="204" t="s">
        <v>398</v>
      </c>
      <c r="AF3454" s="204" t="s">
        <v>398</v>
      </c>
      <c r="AG3454" s="204" t="s">
        <v>398</v>
      </c>
      <c r="AS3454" s="65" t="str">
        <f>IFERROR(VLOOKUP(#REF!,[1]Lookup!$B$2:$E$115,4,FALSE),"")</f>
        <v/>
      </c>
      <c r="AT3454" s="65" t="str">
        <f>IFERROR(VLOOKUP(#REF!,[1]Lookup!$B$2:$E$115,2,FALSE),"")</f>
        <v/>
      </c>
      <c r="AU3454" s="65" t="str">
        <f>IFERROR(VLOOKUP(#REF!,[1]Lookup!$B$2:$E$115,3,FALSE),"")</f>
        <v/>
      </c>
    </row>
    <row r="3455" spans="31:47" x14ac:dyDescent="0.3">
      <c r="AE3455" s="204" t="s">
        <v>398</v>
      </c>
      <c r="AF3455" s="204" t="s">
        <v>398</v>
      </c>
      <c r="AG3455" s="204" t="s">
        <v>398</v>
      </c>
      <c r="AS3455" s="65" t="str">
        <f>IFERROR(VLOOKUP(#REF!,[1]Lookup!$B$2:$E$115,4,FALSE),"")</f>
        <v/>
      </c>
      <c r="AT3455" s="65" t="str">
        <f>IFERROR(VLOOKUP(#REF!,[1]Lookup!$B$2:$E$115,2,FALSE),"")</f>
        <v/>
      </c>
      <c r="AU3455" s="65" t="str">
        <f>IFERROR(VLOOKUP(#REF!,[1]Lookup!$B$2:$E$115,3,FALSE),"")</f>
        <v/>
      </c>
    </row>
    <row r="3456" spans="31:47" x14ac:dyDescent="0.3">
      <c r="AE3456" s="204" t="s">
        <v>398</v>
      </c>
      <c r="AF3456" s="204" t="s">
        <v>398</v>
      </c>
      <c r="AG3456" s="204" t="s">
        <v>398</v>
      </c>
      <c r="AS3456" s="65" t="str">
        <f>IFERROR(VLOOKUP(#REF!,[1]Lookup!$B$2:$E$115,4,FALSE),"")</f>
        <v/>
      </c>
      <c r="AT3456" s="65" t="str">
        <f>IFERROR(VLOOKUP(#REF!,[1]Lookup!$B$2:$E$115,2,FALSE),"")</f>
        <v/>
      </c>
      <c r="AU3456" s="65" t="str">
        <f>IFERROR(VLOOKUP(#REF!,[1]Lookup!$B$2:$E$115,3,FALSE),"")</f>
        <v/>
      </c>
    </row>
    <row r="3457" spans="31:47" x14ac:dyDescent="0.3">
      <c r="AE3457" s="204" t="s">
        <v>398</v>
      </c>
      <c r="AF3457" s="204" t="s">
        <v>398</v>
      </c>
      <c r="AG3457" s="204" t="s">
        <v>398</v>
      </c>
      <c r="AS3457" s="65" t="str">
        <f>IFERROR(VLOOKUP(#REF!,[1]Lookup!$B$2:$E$115,4,FALSE),"")</f>
        <v/>
      </c>
      <c r="AT3457" s="65" t="str">
        <f>IFERROR(VLOOKUP(#REF!,[1]Lookup!$B$2:$E$115,2,FALSE),"")</f>
        <v/>
      </c>
      <c r="AU3457" s="65" t="str">
        <f>IFERROR(VLOOKUP(#REF!,[1]Lookup!$B$2:$E$115,3,FALSE),"")</f>
        <v/>
      </c>
    </row>
    <row r="3458" spans="31:47" x14ac:dyDescent="0.3">
      <c r="AE3458" s="204" t="s">
        <v>398</v>
      </c>
      <c r="AF3458" s="204" t="s">
        <v>398</v>
      </c>
      <c r="AG3458" s="204" t="s">
        <v>398</v>
      </c>
      <c r="AS3458" s="65" t="str">
        <f>IFERROR(VLOOKUP(#REF!,[1]Lookup!$B$2:$E$115,4,FALSE),"")</f>
        <v/>
      </c>
      <c r="AT3458" s="65" t="str">
        <f>IFERROR(VLOOKUP(#REF!,[1]Lookup!$B$2:$E$115,2,FALSE),"")</f>
        <v/>
      </c>
      <c r="AU3458" s="65" t="str">
        <f>IFERROR(VLOOKUP(#REF!,[1]Lookup!$B$2:$E$115,3,FALSE),"")</f>
        <v/>
      </c>
    </row>
    <row r="3459" spans="31:47" x14ac:dyDescent="0.3">
      <c r="AE3459" s="204" t="s">
        <v>398</v>
      </c>
      <c r="AF3459" s="204" t="s">
        <v>398</v>
      </c>
      <c r="AG3459" s="204" t="s">
        <v>398</v>
      </c>
      <c r="AS3459" s="65" t="str">
        <f>IFERROR(VLOOKUP(#REF!,[1]Lookup!$B$2:$E$115,4,FALSE),"")</f>
        <v/>
      </c>
      <c r="AT3459" s="65" t="str">
        <f>IFERROR(VLOOKUP(#REF!,[1]Lookup!$B$2:$E$115,2,FALSE),"")</f>
        <v/>
      </c>
      <c r="AU3459" s="65" t="str">
        <f>IFERROR(VLOOKUP(#REF!,[1]Lookup!$B$2:$E$115,3,FALSE),"")</f>
        <v/>
      </c>
    </row>
    <row r="3460" spans="31:47" x14ac:dyDescent="0.3">
      <c r="AE3460" s="204" t="s">
        <v>398</v>
      </c>
      <c r="AF3460" s="204" t="s">
        <v>398</v>
      </c>
      <c r="AG3460" s="204" t="s">
        <v>398</v>
      </c>
      <c r="AS3460" s="65" t="str">
        <f>IFERROR(VLOOKUP(#REF!,[1]Lookup!$B$2:$E$115,4,FALSE),"")</f>
        <v/>
      </c>
      <c r="AT3460" s="65" t="str">
        <f>IFERROR(VLOOKUP(#REF!,[1]Lookup!$B$2:$E$115,2,FALSE),"")</f>
        <v/>
      </c>
      <c r="AU3460" s="65" t="str">
        <f>IFERROR(VLOOKUP(#REF!,[1]Lookup!$B$2:$E$115,3,FALSE),"")</f>
        <v/>
      </c>
    </row>
    <row r="3461" spans="31:47" x14ac:dyDescent="0.3">
      <c r="AE3461" s="204" t="s">
        <v>398</v>
      </c>
      <c r="AF3461" s="204" t="s">
        <v>398</v>
      </c>
      <c r="AG3461" s="204" t="s">
        <v>398</v>
      </c>
      <c r="AS3461" s="65" t="str">
        <f>IFERROR(VLOOKUP(#REF!,[1]Lookup!$B$2:$E$115,4,FALSE),"")</f>
        <v/>
      </c>
      <c r="AT3461" s="65" t="str">
        <f>IFERROR(VLOOKUP(#REF!,[1]Lookup!$B$2:$E$115,2,FALSE),"")</f>
        <v/>
      </c>
      <c r="AU3461" s="65" t="str">
        <f>IFERROR(VLOOKUP(#REF!,[1]Lookup!$B$2:$E$115,3,FALSE),"")</f>
        <v/>
      </c>
    </row>
    <row r="3462" spans="31:47" x14ac:dyDescent="0.3">
      <c r="AE3462" s="204" t="s">
        <v>398</v>
      </c>
      <c r="AF3462" s="204" t="s">
        <v>398</v>
      </c>
      <c r="AG3462" s="204" t="s">
        <v>398</v>
      </c>
      <c r="AS3462" s="65" t="str">
        <f>IFERROR(VLOOKUP(#REF!,[1]Lookup!$B$2:$E$115,4,FALSE),"")</f>
        <v/>
      </c>
      <c r="AT3462" s="65" t="str">
        <f>IFERROR(VLOOKUP(#REF!,[1]Lookup!$B$2:$E$115,2,FALSE),"")</f>
        <v/>
      </c>
      <c r="AU3462" s="65" t="str">
        <f>IFERROR(VLOOKUP(#REF!,[1]Lookup!$B$2:$E$115,3,FALSE),"")</f>
        <v/>
      </c>
    </row>
    <row r="3463" spans="31:47" x14ac:dyDescent="0.3">
      <c r="AE3463" s="204" t="s">
        <v>398</v>
      </c>
      <c r="AF3463" s="204" t="s">
        <v>398</v>
      </c>
      <c r="AG3463" s="204" t="s">
        <v>398</v>
      </c>
      <c r="AS3463" s="65" t="str">
        <f>IFERROR(VLOOKUP(#REF!,[1]Lookup!$B$2:$E$115,4,FALSE),"")</f>
        <v/>
      </c>
      <c r="AT3463" s="65" t="str">
        <f>IFERROR(VLOOKUP(#REF!,[1]Lookup!$B$2:$E$115,2,FALSE),"")</f>
        <v/>
      </c>
      <c r="AU3463" s="65" t="str">
        <f>IFERROR(VLOOKUP(#REF!,[1]Lookup!$B$2:$E$115,3,FALSE),"")</f>
        <v/>
      </c>
    </row>
    <row r="3464" spans="31:47" x14ac:dyDescent="0.3">
      <c r="AE3464" s="204" t="s">
        <v>398</v>
      </c>
      <c r="AF3464" s="204" t="s">
        <v>398</v>
      </c>
      <c r="AG3464" s="204" t="s">
        <v>398</v>
      </c>
      <c r="AS3464" s="65" t="str">
        <f>IFERROR(VLOOKUP(#REF!,[1]Lookup!$B$2:$E$115,4,FALSE),"")</f>
        <v/>
      </c>
      <c r="AT3464" s="65" t="str">
        <f>IFERROR(VLOOKUP(#REF!,[1]Lookup!$B$2:$E$115,2,FALSE),"")</f>
        <v/>
      </c>
      <c r="AU3464" s="65" t="str">
        <f>IFERROR(VLOOKUP(#REF!,[1]Lookup!$B$2:$E$115,3,FALSE),"")</f>
        <v/>
      </c>
    </row>
    <row r="3465" spans="31:47" x14ac:dyDescent="0.3">
      <c r="AE3465" s="204" t="s">
        <v>398</v>
      </c>
      <c r="AF3465" s="204" t="s">
        <v>398</v>
      </c>
      <c r="AG3465" s="204" t="s">
        <v>398</v>
      </c>
      <c r="AS3465" s="65" t="str">
        <f>IFERROR(VLOOKUP(#REF!,[1]Lookup!$B$2:$E$115,4,FALSE),"")</f>
        <v/>
      </c>
      <c r="AT3465" s="65" t="str">
        <f>IFERROR(VLOOKUP(#REF!,[1]Lookup!$B$2:$E$115,2,FALSE),"")</f>
        <v/>
      </c>
      <c r="AU3465" s="65" t="str">
        <f>IFERROR(VLOOKUP(#REF!,[1]Lookup!$B$2:$E$115,3,FALSE),"")</f>
        <v/>
      </c>
    </row>
    <row r="3466" spans="31:47" x14ac:dyDescent="0.3">
      <c r="AE3466" s="204" t="s">
        <v>398</v>
      </c>
      <c r="AF3466" s="204" t="s">
        <v>398</v>
      </c>
      <c r="AG3466" s="204" t="s">
        <v>398</v>
      </c>
      <c r="AS3466" s="65" t="str">
        <f>IFERROR(VLOOKUP(#REF!,[1]Lookup!$B$2:$E$115,4,FALSE),"")</f>
        <v/>
      </c>
      <c r="AT3466" s="65" t="str">
        <f>IFERROR(VLOOKUP(#REF!,[1]Lookup!$B$2:$E$115,2,FALSE),"")</f>
        <v/>
      </c>
      <c r="AU3466" s="65" t="str">
        <f>IFERROR(VLOOKUP(#REF!,[1]Lookup!$B$2:$E$115,3,FALSE),"")</f>
        <v/>
      </c>
    </row>
    <row r="3467" spans="31:47" x14ac:dyDescent="0.3">
      <c r="AE3467" s="204" t="s">
        <v>398</v>
      </c>
      <c r="AF3467" s="204" t="s">
        <v>398</v>
      </c>
      <c r="AG3467" s="204" t="s">
        <v>398</v>
      </c>
      <c r="AS3467" s="65" t="str">
        <f>IFERROR(VLOOKUP(#REF!,[1]Lookup!$B$2:$E$115,4,FALSE),"")</f>
        <v/>
      </c>
      <c r="AT3467" s="65" t="str">
        <f>IFERROR(VLOOKUP(#REF!,[1]Lookup!$B$2:$E$115,2,FALSE),"")</f>
        <v/>
      </c>
      <c r="AU3467" s="65" t="str">
        <f>IFERROR(VLOOKUP(#REF!,[1]Lookup!$B$2:$E$115,3,FALSE),"")</f>
        <v/>
      </c>
    </row>
    <row r="3468" spans="31:47" x14ac:dyDescent="0.3">
      <c r="AE3468" s="204" t="s">
        <v>398</v>
      </c>
      <c r="AF3468" s="204" t="s">
        <v>398</v>
      </c>
      <c r="AG3468" s="204" t="s">
        <v>398</v>
      </c>
      <c r="AS3468" s="65" t="str">
        <f>IFERROR(VLOOKUP(#REF!,[1]Lookup!$B$2:$E$115,4,FALSE),"")</f>
        <v/>
      </c>
      <c r="AT3468" s="65" t="str">
        <f>IFERROR(VLOOKUP(#REF!,[1]Lookup!$B$2:$E$115,2,FALSE),"")</f>
        <v/>
      </c>
      <c r="AU3468" s="65" t="str">
        <f>IFERROR(VLOOKUP(#REF!,[1]Lookup!$B$2:$E$115,3,FALSE),"")</f>
        <v/>
      </c>
    </row>
    <row r="3469" spans="31:47" x14ac:dyDescent="0.3">
      <c r="AE3469" s="204" t="s">
        <v>398</v>
      </c>
      <c r="AF3469" s="204" t="s">
        <v>398</v>
      </c>
      <c r="AG3469" s="204" t="s">
        <v>398</v>
      </c>
      <c r="AS3469" s="65" t="str">
        <f>IFERROR(VLOOKUP(#REF!,[1]Lookup!$B$2:$E$115,4,FALSE),"")</f>
        <v/>
      </c>
      <c r="AT3469" s="65" t="str">
        <f>IFERROR(VLOOKUP(#REF!,[1]Lookup!$B$2:$E$115,2,FALSE),"")</f>
        <v/>
      </c>
      <c r="AU3469" s="65" t="str">
        <f>IFERROR(VLOOKUP(#REF!,[1]Lookup!$B$2:$E$115,3,FALSE),"")</f>
        <v/>
      </c>
    </row>
    <row r="3470" spans="31:47" x14ac:dyDescent="0.3">
      <c r="AE3470" s="204" t="s">
        <v>398</v>
      </c>
      <c r="AF3470" s="204" t="s">
        <v>398</v>
      </c>
      <c r="AG3470" s="204" t="s">
        <v>398</v>
      </c>
      <c r="AS3470" s="65" t="str">
        <f>IFERROR(VLOOKUP(#REF!,[1]Lookup!$B$2:$E$115,4,FALSE),"")</f>
        <v/>
      </c>
      <c r="AT3470" s="65" t="str">
        <f>IFERROR(VLOOKUP(#REF!,[1]Lookup!$B$2:$E$115,2,FALSE),"")</f>
        <v/>
      </c>
      <c r="AU3470" s="65" t="str">
        <f>IFERROR(VLOOKUP(#REF!,[1]Lookup!$B$2:$E$115,3,FALSE),"")</f>
        <v/>
      </c>
    </row>
    <row r="3471" spans="31:47" x14ac:dyDescent="0.3">
      <c r="AE3471" s="204" t="s">
        <v>398</v>
      </c>
      <c r="AF3471" s="204" t="s">
        <v>398</v>
      </c>
      <c r="AG3471" s="204" t="s">
        <v>398</v>
      </c>
      <c r="AS3471" s="65" t="str">
        <f>IFERROR(VLOOKUP(#REF!,[1]Lookup!$B$2:$E$115,4,FALSE),"")</f>
        <v/>
      </c>
      <c r="AT3471" s="65" t="str">
        <f>IFERROR(VLOOKUP(#REF!,[1]Lookup!$B$2:$E$115,2,FALSE),"")</f>
        <v/>
      </c>
      <c r="AU3471" s="65" t="str">
        <f>IFERROR(VLOOKUP(#REF!,[1]Lookup!$B$2:$E$115,3,FALSE),"")</f>
        <v/>
      </c>
    </row>
    <row r="3472" spans="31:47" x14ac:dyDescent="0.3">
      <c r="AE3472" s="204" t="s">
        <v>398</v>
      </c>
      <c r="AF3472" s="204" t="s">
        <v>398</v>
      </c>
      <c r="AG3472" s="204" t="s">
        <v>398</v>
      </c>
      <c r="AS3472" s="65" t="str">
        <f>IFERROR(VLOOKUP(#REF!,[1]Lookup!$B$2:$E$115,4,FALSE),"")</f>
        <v/>
      </c>
      <c r="AT3472" s="65" t="str">
        <f>IFERROR(VLOOKUP(#REF!,[1]Lookup!$B$2:$E$115,2,FALSE),"")</f>
        <v/>
      </c>
      <c r="AU3472" s="65" t="str">
        <f>IFERROR(VLOOKUP(#REF!,[1]Lookup!$B$2:$E$115,3,FALSE),"")</f>
        <v/>
      </c>
    </row>
    <row r="3473" spans="31:47" x14ac:dyDescent="0.3">
      <c r="AE3473" s="204" t="s">
        <v>398</v>
      </c>
      <c r="AF3473" s="204" t="s">
        <v>398</v>
      </c>
      <c r="AG3473" s="204" t="s">
        <v>398</v>
      </c>
      <c r="AS3473" s="65" t="str">
        <f>IFERROR(VLOOKUP(#REF!,[1]Lookup!$B$2:$E$115,4,FALSE),"")</f>
        <v/>
      </c>
      <c r="AT3473" s="65" t="str">
        <f>IFERROR(VLOOKUP(#REF!,[1]Lookup!$B$2:$E$115,2,FALSE),"")</f>
        <v/>
      </c>
      <c r="AU3473" s="65" t="str">
        <f>IFERROR(VLOOKUP(#REF!,[1]Lookup!$B$2:$E$115,3,FALSE),"")</f>
        <v/>
      </c>
    </row>
    <row r="3474" spans="31:47" x14ac:dyDescent="0.3">
      <c r="AE3474" s="204" t="s">
        <v>398</v>
      </c>
      <c r="AF3474" s="204" t="s">
        <v>398</v>
      </c>
      <c r="AG3474" s="204" t="s">
        <v>398</v>
      </c>
      <c r="AS3474" s="65" t="str">
        <f>IFERROR(VLOOKUP(#REF!,[1]Lookup!$B$2:$E$115,4,FALSE),"")</f>
        <v/>
      </c>
      <c r="AT3474" s="65" t="str">
        <f>IFERROR(VLOOKUP(#REF!,[1]Lookup!$B$2:$E$115,2,FALSE),"")</f>
        <v/>
      </c>
      <c r="AU3474" s="65" t="str">
        <f>IFERROR(VLOOKUP(#REF!,[1]Lookup!$B$2:$E$115,3,FALSE),"")</f>
        <v/>
      </c>
    </row>
    <row r="3475" spans="31:47" x14ac:dyDescent="0.3">
      <c r="AE3475" s="204" t="s">
        <v>398</v>
      </c>
      <c r="AF3475" s="204" t="s">
        <v>398</v>
      </c>
      <c r="AG3475" s="204" t="s">
        <v>398</v>
      </c>
      <c r="AS3475" s="65" t="str">
        <f>IFERROR(VLOOKUP(#REF!,[1]Lookup!$B$2:$E$115,4,FALSE),"")</f>
        <v/>
      </c>
      <c r="AT3475" s="65" t="str">
        <f>IFERROR(VLOOKUP(#REF!,[1]Lookup!$B$2:$E$115,2,FALSE),"")</f>
        <v/>
      </c>
      <c r="AU3475" s="65" t="str">
        <f>IFERROR(VLOOKUP(#REF!,[1]Lookup!$B$2:$E$115,3,FALSE),"")</f>
        <v/>
      </c>
    </row>
    <row r="3476" spans="31:47" x14ac:dyDescent="0.3">
      <c r="AE3476" s="204" t="s">
        <v>398</v>
      </c>
      <c r="AF3476" s="204" t="s">
        <v>398</v>
      </c>
      <c r="AG3476" s="204" t="s">
        <v>398</v>
      </c>
      <c r="AS3476" s="65" t="str">
        <f>IFERROR(VLOOKUP(#REF!,[1]Lookup!$B$2:$E$115,4,FALSE),"")</f>
        <v/>
      </c>
      <c r="AT3476" s="65" t="str">
        <f>IFERROR(VLOOKUP(#REF!,[1]Lookup!$B$2:$E$115,2,FALSE),"")</f>
        <v/>
      </c>
      <c r="AU3476" s="65" t="str">
        <f>IFERROR(VLOOKUP(#REF!,[1]Lookup!$B$2:$E$115,3,FALSE),"")</f>
        <v/>
      </c>
    </row>
    <row r="3477" spans="31:47" x14ac:dyDescent="0.3">
      <c r="AE3477" s="204" t="s">
        <v>398</v>
      </c>
      <c r="AF3477" s="204" t="s">
        <v>398</v>
      </c>
      <c r="AG3477" s="204" t="s">
        <v>398</v>
      </c>
      <c r="AS3477" s="65" t="str">
        <f>IFERROR(VLOOKUP(#REF!,[1]Lookup!$B$2:$E$115,4,FALSE),"")</f>
        <v/>
      </c>
      <c r="AT3477" s="65" t="str">
        <f>IFERROR(VLOOKUP(#REF!,[1]Lookup!$B$2:$E$115,2,FALSE),"")</f>
        <v/>
      </c>
      <c r="AU3477" s="65" t="str">
        <f>IFERROR(VLOOKUP(#REF!,[1]Lookup!$B$2:$E$115,3,FALSE),"")</f>
        <v/>
      </c>
    </row>
    <row r="3478" spans="31:47" x14ac:dyDescent="0.3">
      <c r="AE3478" s="204" t="s">
        <v>398</v>
      </c>
      <c r="AF3478" s="204" t="s">
        <v>398</v>
      </c>
      <c r="AG3478" s="204" t="s">
        <v>398</v>
      </c>
      <c r="AS3478" s="65" t="str">
        <f>IFERROR(VLOOKUP(#REF!,[1]Lookup!$B$2:$E$115,4,FALSE),"")</f>
        <v/>
      </c>
      <c r="AT3478" s="65" t="str">
        <f>IFERROR(VLOOKUP(#REF!,[1]Lookup!$B$2:$E$115,2,FALSE),"")</f>
        <v/>
      </c>
      <c r="AU3478" s="65" t="str">
        <f>IFERROR(VLOOKUP(#REF!,[1]Lookup!$B$2:$E$115,3,FALSE),"")</f>
        <v/>
      </c>
    </row>
    <row r="3479" spans="31:47" x14ac:dyDescent="0.3">
      <c r="AE3479" s="204" t="s">
        <v>398</v>
      </c>
      <c r="AF3479" s="204" t="s">
        <v>398</v>
      </c>
      <c r="AG3479" s="204" t="s">
        <v>398</v>
      </c>
      <c r="AS3479" s="65" t="str">
        <f>IFERROR(VLOOKUP(#REF!,[1]Lookup!$B$2:$E$115,4,FALSE),"")</f>
        <v/>
      </c>
      <c r="AT3479" s="65" t="str">
        <f>IFERROR(VLOOKUP(#REF!,[1]Lookup!$B$2:$E$115,2,FALSE),"")</f>
        <v/>
      </c>
      <c r="AU3479" s="65" t="str">
        <f>IFERROR(VLOOKUP(#REF!,[1]Lookup!$B$2:$E$115,3,FALSE),"")</f>
        <v/>
      </c>
    </row>
    <row r="3480" spans="31:47" x14ac:dyDescent="0.3">
      <c r="AE3480" s="204" t="s">
        <v>398</v>
      </c>
      <c r="AF3480" s="204" t="s">
        <v>398</v>
      </c>
      <c r="AG3480" s="204" t="s">
        <v>398</v>
      </c>
      <c r="AS3480" s="65" t="str">
        <f>IFERROR(VLOOKUP(#REF!,[1]Lookup!$B$2:$E$115,4,FALSE),"")</f>
        <v/>
      </c>
      <c r="AT3480" s="65" t="str">
        <f>IFERROR(VLOOKUP(#REF!,[1]Lookup!$B$2:$E$115,2,FALSE),"")</f>
        <v/>
      </c>
      <c r="AU3480" s="65" t="str">
        <f>IFERROR(VLOOKUP(#REF!,[1]Lookup!$B$2:$E$115,3,FALSE),"")</f>
        <v/>
      </c>
    </row>
    <row r="3481" spans="31:47" x14ac:dyDescent="0.3">
      <c r="AE3481" s="204" t="s">
        <v>398</v>
      </c>
      <c r="AF3481" s="204" t="s">
        <v>398</v>
      </c>
      <c r="AG3481" s="204" t="s">
        <v>398</v>
      </c>
      <c r="AS3481" s="65" t="str">
        <f>IFERROR(VLOOKUP(#REF!,[1]Lookup!$B$2:$E$115,4,FALSE),"")</f>
        <v/>
      </c>
      <c r="AT3481" s="65" t="str">
        <f>IFERROR(VLOOKUP(#REF!,[1]Lookup!$B$2:$E$115,2,FALSE),"")</f>
        <v/>
      </c>
      <c r="AU3481" s="65" t="str">
        <f>IFERROR(VLOOKUP(#REF!,[1]Lookup!$B$2:$E$115,3,FALSE),"")</f>
        <v/>
      </c>
    </row>
    <row r="3482" spans="31:47" x14ac:dyDescent="0.3">
      <c r="AE3482" s="204" t="s">
        <v>398</v>
      </c>
      <c r="AF3482" s="204" t="s">
        <v>398</v>
      </c>
      <c r="AG3482" s="204" t="s">
        <v>398</v>
      </c>
      <c r="AS3482" s="65" t="str">
        <f>IFERROR(VLOOKUP(#REF!,[1]Lookup!$B$2:$E$115,4,FALSE),"")</f>
        <v/>
      </c>
      <c r="AT3482" s="65" t="str">
        <f>IFERROR(VLOOKUP(#REF!,[1]Lookup!$B$2:$E$115,2,FALSE),"")</f>
        <v/>
      </c>
      <c r="AU3482" s="65" t="str">
        <f>IFERROR(VLOOKUP(#REF!,[1]Lookup!$B$2:$E$115,3,FALSE),"")</f>
        <v/>
      </c>
    </row>
    <row r="3483" spans="31:47" x14ac:dyDescent="0.3">
      <c r="AE3483" s="204" t="s">
        <v>398</v>
      </c>
      <c r="AF3483" s="204" t="s">
        <v>398</v>
      </c>
      <c r="AG3483" s="204" t="s">
        <v>398</v>
      </c>
      <c r="AS3483" s="65" t="str">
        <f>IFERROR(VLOOKUP(#REF!,[1]Lookup!$B$2:$E$115,4,FALSE),"")</f>
        <v/>
      </c>
      <c r="AT3483" s="65" t="str">
        <f>IFERROR(VLOOKUP(#REF!,[1]Lookup!$B$2:$E$115,2,FALSE),"")</f>
        <v/>
      </c>
      <c r="AU3483" s="65" t="str">
        <f>IFERROR(VLOOKUP(#REF!,[1]Lookup!$B$2:$E$115,3,FALSE),"")</f>
        <v/>
      </c>
    </row>
    <row r="3484" spans="31:47" x14ac:dyDescent="0.3">
      <c r="AE3484" s="204" t="s">
        <v>398</v>
      </c>
      <c r="AF3484" s="204" t="s">
        <v>398</v>
      </c>
      <c r="AG3484" s="204" t="s">
        <v>398</v>
      </c>
      <c r="AS3484" s="65" t="str">
        <f>IFERROR(VLOOKUP(#REF!,[1]Lookup!$B$2:$E$115,4,FALSE),"")</f>
        <v/>
      </c>
      <c r="AT3484" s="65" t="str">
        <f>IFERROR(VLOOKUP(#REF!,[1]Lookup!$B$2:$E$115,2,FALSE),"")</f>
        <v/>
      </c>
      <c r="AU3484" s="65" t="str">
        <f>IFERROR(VLOOKUP(#REF!,[1]Lookup!$B$2:$E$115,3,FALSE),"")</f>
        <v/>
      </c>
    </row>
    <row r="3485" spans="31:47" x14ac:dyDescent="0.3">
      <c r="AE3485" s="204" t="s">
        <v>398</v>
      </c>
      <c r="AF3485" s="204" t="s">
        <v>398</v>
      </c>
      <c r="AG3485" s="204" t="s">
        <v>398</v>
      </c>
      <c r="AS3485" s="65" t="str">
        <f>IFERROR(VLOOKUP(#REF!,[1]Lookup!$B$2:$E$115,4,FALSE),"")</f>
        <v/>
      </c>
      <c r="AT3485" s="65" t="str">
        <f>IFERROR(VLOOKUP(#REF!,[1]Lookup!$B$2:$E$115,2,FALSE),"")</f>
        <v/>
      </c>
      <c r="AU3485" s="65" t="str">
        <f>IFERROR(VLOOKUP(#REF!,[1]Lookup!$B$2:$E$115,3,FALSE),"")</f>
        <v/>
      </c>
    </row>
    <row r="3486" spans="31:47" x14ac:dyDescent="0.3">
      <c r="AE3486" s="204" t="s">
        <v>398</v>
      </c>
      <c r="AF3486" s="204" t="s">
        <v>398</v>
      </c>
      <c r="AG3486" s="204" t="s">
        <v>398</v>
      </c>
      <c r="AS3486" s="65" t="str">
        <f>IFERROR(VLOOKUP(#REF!,[1]Lookup!$B$2:$E$115,4,FALSE),"")</f>
        <v/>
      </c>
      <c r="AT3486" s="65" t="str">
        <f>IFERROR(VLOOKUP(#REF!,[1]Lookup!$B$2:$E$115,2,FALSE),"")</f>
        <v/>
      </c>
      <c r="AU3486" s="65" t="str">
        <f>IFERROR(VLOOKUP(#REF!,[1]Lookup!$B$2:$E$115,3,FALSE),"")</f>
        <v/>
      </c>
    </row>
    <row r="3487" spans="31:47" x14ac:dyDescent="0.3">
      <c r="AE3487" s="204" t="s">
        <v>398</v>
      </c>
      <c r="AF3487" s="204" t="s">
        <v>398</v>
      </c>
      <c r="AG3487" s="204" t="s">
        <v>398</v>
      </c>
      <c r="AS3487" s="65" t="str">
        <f>IFERROR(VLOOKUP(#REF!,[1]Lookup!$B$2:$E$115,4,FALSE),"")</f>
        <v/>
      </c>
      <c r="AT3487" s="65" t="str">
        <f>IFERROR(VLOOKUP(#REF!,[1]Lookup!$B$2:$E$115,2,FALSE),"")</f>
        <v/>
      </c>
      <c r="AU3487" s="65" t="str">
        <f>IFERROR(VLOOKUP(#REF!,[1]Lookup!$B$2:$E$115,3,FALSE),"")</f>
        <v/>
      </c>
    </row>
    <row r="3488" spans="31:47" x14ac:dyDescent="0.3">
      <c r="AE3488" s="204" t="s">
        <v>398</v>
      </c>
      <c r="AF3488" s="204" t="s">
        <v>398</v>
      </c>
      <c r="AG3488" s="204" t="s">
        <v>398</v>
      </c>
      <c r="AS3488" s="65" t="str">
        <f>IFERROR(VLOOKUP(#REF!,[1]Lookup!$B$2:$E$115,4,FALSE),"")</f>
        <v/>
      </c>
      <c r="AT3488" s="65" t="str">
        <f>IFERROR(VLOOKUP(#REF!,[1]Lookup!$B$2:$E$115,2,FALSE),"")</f>
        <v/>
      </c>
      <c r="AU3488" s="65" t="str">
        <f>IFERROR(VLOOKUP(#REF!,[1]Lookup!$B$2:$E$115,3,FALSE),"")</f>
        <v/>
      </c>
    </row>
    <row r="3489" spans="31:47" x14ac:dyDescent="0.3">
      <c r="AE3489" s="204" t="s">
        <v>398</v>
      </c>
      <c r="AF3489" s="204" t="s">
        <v>398</v>
      </c>
      <c r="AG3489" s="204" t="s">
        <v>398</v>
      </c>
      <c r="AS3489" s="65" t="str">
        <f>IFERROR(VLOOKUP(#REF!,[1]Lookup!$B$2:$E$115,4,FALSE),"")</f>
        <v/>
      </c>
      <c r="AT3489" s="65" t="str">
        <f>IFERROR(VLOOKUP(#REF!,[1]Lookup!$B$2:$E$115,2,FALSE),"")</f>
        <v/>
      </c>
      <c r="AU3489" s="65" t="str">
        <f>IFERROR(VLOOKUP(#REF!,[1]Lookup!$B$2:$E$115,3,FALSE),"")</f>
        <v/>
      </c>
    </row>
    <row r="3490" spans="31:47" x14ac:dyDescent="0.3">
      <c r="AE3490" s="204" t="s">
        <v>398</v>
      </c>
      <c r="AF3490" s="204" t="s">
        <v>398</v>
      </c>
      <c r="AG3490" s="204" t="s">
        <v>398</v>
      </c>
      <c r="AS3490" s="65" t="str">
        <f>IFERROR(VLOOKUP(#REF!,[1]Lookup!$B$2:$E$115,4,FALSE),"")</f>
        <v/>
      </c>
      <c r="AT3490" s="65" t="str">
        <f>IFERROR(VLOOKUP(#REF!,[1]Lookup!$B$2:$E$115,2,FALSE),"")</f>
        <v/>
      </c>
      <c r="AU3490" s="65" t="str">
        <f>IFERROR(VLOOKUP(#REF!,[1]Lookup!$B$2:$E$115,3,FALSE),"")</f>
        <v/>
      </c>
    </row>
    <row r="3491" spans="31:47" x14ac:dyDescent="0.3">
      <c r="AE3491" s="204" t="s">
        <v>398</v>
      </c>
      <c r="AF3491" s="204" t="s">
        <v>398</v>
      </c>
      <c r="AG3491" s="204" t="s">
        <v>398</v>
      </c>
      <c r="AS3491" s="65" t="str">
        <f>IFERROR(VLOOKUP(#REF!,[1]Lookup!$B$2:$E$115,4,FALSE),"")</f>
        <v/>
      </c>
      <c r="AT3491" s="65" t="str">
        <f>IFERROR(VLOOKUP(#REF!,[1]Lookup!$B$2:$E$115,2,FALSE),"")</f>
        <v/>
      </c>
      <c r="AU3491" s="65" t="str">
        <f>IFERROR(VLOOKUP(#REF!,[1]Lookup!$B$2:$E$115,3,FALSE),"")</f>
        <v/>
      </c>
    </row>
    <row r="3492" spans="31:47" x14ac:dyDescent="0.3">
      <c r="AE3492" s="204" t="s">
        <v>398</v>
      </c>
      <c r="AF3492" s="204" t="s">
        <v>398</v>
      </c>
      <c r="AG3492" s="204" t="s">
        <v>398</v>
      </c>
      <c r="AS3492" s="65" t="str">
        <f>IFERROR(VLOOKUP(#REF!,[1]Lookup!$B$2:$E$115,4,FALSE),"")</f>
        <v/>
      </c>
      <c r="AT3492" s="65" t="str">
        <f>IFERROR(VLOOKUP(#REF!,[1]Lookup!$B$2:$E$115,2,FALSE),"")</f>
        <v/>
      </c>
      <c r="AU3492" s="65" t="str">
        <f>IFERROR(VLOOKUP(#REF!,[1]Lookup!$B$2:$E$115,3,FALSE),"")</f>
        <v/>
      </c>
    </row>
    <row r="3493" spans="31:47" x14ac:dyDescent="0.3">
      <c r="AE3493" s="204" t="s">
        <v>398</v>
      </c>
      <c r="AF3493" s="204" t="s">
        <v>398</v>
      </c>
      <c r="AG3493" s="204" t="s">
        <v>398</v>
      </c>
      <c r="AS3493" s="65" t="str">
        <f>IFERROR(VLOOKUP(#REF!,[1]Lookup!$B$2:$E$115,4,FALSE),"")</f>
        <v/>
      </c>
      <c r="AT3493" s="65" t="str">
        <f>IFERROR(VLOOKUP(#REF!,[1]Lookup!$B$2:$E$115,2,FALSE),"")</f>
        <v/>
      </c>
      <c r="AU3493" s="65" t="str">
        <f>IFERROR(VLOOKUP(#REF!,[1]Lookup!$B$2:$E$115,3,FALSE),"")</f>
        <v/>
      </c>
    </row>
    <row r="3494" spans="31:47" x14ac:dyDescent="0.3">
      <c r="AE3494" s="204" t="s">
        <v>398</v>
      </c>
      <c r="AF3494" s="204" t="s">
        <v>398</v>
      </c>
      <c r="AG3494" s="204" t="s">
        <v>398</v>
      </c>
      <c r="AS3494" s="65" t="str">
        <f>IFERROR(VLOOKUP(#REF!,[1]Lookup!$B$2:$E$115,4,FALSE),"")</f>
        <v/>
      </c>
      <c r="AT3494" s="65" t="str">
        <f>IFERROR(VLOOKUP(#REF!,[1]Lookup!$B$2:$E$115,2,FALSE),"")</f>
        <v/>
      </c>
      <c r="AU3494" s="65" t="str">
        <f>IFERROR(VLOOKUP(#REF!,[1]Lookup!$B$2:$E$115,3,FALSE),"")</f>
        <v/>
      </c>
    </row>
    <row r="3495" spans="31:47" x14ac:dyDescent="0.3">
      <c r="AE3495" s="204" t="s">
        <v>398</v>
      </c>
      <c r="AF3495" s="204" t="s">
        <v>398</v>
      </c>
      <c r="AG3495" s="204" t="s">
        <v>398</v>
      </c>
      <c r="AS3495" s="65" t="str">
        <f>IFERROR(VLOOKUP(#REF!,[1]Lookup!$B$2:$E$115,4,FALSE),"")</f>
        <v/>
      </c>
      <c r="AT3495" s="65" t="str">
        <f>IFERROR(VLOOKUP(#REF!,[1]Lookup!$B$2:$E$115,2,FALSE),"")</f>
        <v/>
      </c>
      <c r="AU3495" s="65" t="str">
        <f>IFERROR(VLOOKUP(#REF!,[1]Lookup!$B$2:$E$115,3,FALSE),"")</f>
        <v/>
      </c>
    </row>
    <row r="3496" spans="31:47" x14ac:dyDescent="0.3">
      <c r="AE3496" s="204" t="s">
        <v>398</v>
      </c>
      <c r="AF3496" s="204" t="s">
        <v>398</v>
      </c>
      <c r="AG3496" s="204" t="s">
        <v>398</v>
      </c>
      <c r="AS3496" s="65" t="str">
        <f>IFERROR(VLOOKUP(#REF!,[1]Lookup!$B$2:$E$115,4,FALSE),"")</f>
        <v/>
      </c>
      <c r="AT3496" s="65" t="str">
        <f>IFERROR(VLOOKUP(#REF!,[1]Lookup!$B$2:$E$115,2,FALSE),"")</f>
        <v/>
      </c>
      <c r="AU3496" s="65" t="str">
        <f>IFERROR(VLOOKUP(#REF!,[1]Lookup!$B$2:$E$115,3,FALSE),"")</f>
        <v/>
      </c>
    </row>
    <row r="3497" spans="31:47" x14ac:dyDescent="0.3">
      <c r="AE3497" s="204" t="s">
        <v>398</v>
      </c>
      <c r="AF3497" s="204" t="s">
        <v>398</v>
      </c>
      <c r="AG3497" s="204" t="s">
        <v>398</v>
      </c>
      <c r="AS3497" s="65" t="str">
        <f>IFERROR(VLOOKUP(#REF!,[1]Lookup!$B$2:$E$115,4,FALSE),"")</f>
        <v/>
      </c>
      <c r="AT3497" s="65" t="str">
        <f>IFERROR(VLOOKUP(#REF!,[1]Lookup!$B$2:$E$115,2,FALSE),"")</f>
        <v/>
      </c>
      <c r="AU3497" s="65" t="str">
        <f>IFERROR(VLOOKUP(#REF!,[1]Lookup!$B$2:$E$115,3,FALSE),"")</f>
        <v/>
      </c>
    </row>
    <row r="3498" spans="31:47" x14ac:dyDescent="0.3">
      <c r="AE3498" s="204" t="s">
        <v>398</v>
      </c>
      <c r="AF3498" s="204" t="s">
        <v>398</v>
      </c>
      <c r="AG3498" s="204" t="s">
        <v>398</v>
      </c>
      <c r="AS3498" s="65" t="str">
        <f>IFERROR(VLOOKUP(#REF!,[1]Lookup!$B$2:$E$115,4,FALSE),"")</f>
        <v/>
      </c>
      <c r="AT3498" s="65" t="str">
        <f>IFERROR(VLOOKUP(#REF!,[1]Lookup!$B$2:$E$115,2,FALSE),"")</f>
        <v/>
      </c>
      <c r="AU3498" s="65" t="str">
        <f>IFERROR(VLOOKUP(#REF!,[1]Lookup!$B$2:$E$115,3,FALSE),"")</f>
        <v/>
      </c>
    </row>
    <row r="3499" spans="31:47" x14ac:dyDescent="0.3">
      <c r="AE3499" s="204" t="s">
        <v>398</v>
      </c>
      <c r="AF3499" s="204" t="s">
        <v>398</v>
      </c>
      <c r="AG3499" s="204" t="s">
        <v>398</v>
      </c>
      <c r="AS3499" s="65" t="str">
        <f>IFERROR(VLOOKUP(#REF!,[1]Lookup!$B$2:$E$115,4,FALSE),"")</f>
        <v/>
      </c>
      <c r="AT3499" s="65" t="str">
        <f>IFERROR(VLOOKUP(#REF!,[1]Lookup!$B$2:$E$115,2,FALSE),"")</f>
        <v/>
      </c>
      <c r="AU3499" s="65" t="str">
        <f>IFERROR(VLOOKUP(#REF!,[1]Lookup!$B$2:$E$115,3,FALSE),"")</f>
        <v/>
      </c>
    </row>
    <row r="3500" spans="31:47" x14ac:dyDescent="0.3">
      <c r="AE3500" s="204" t="s">
        <v>398</v>
      </c>
      <c r="AF3500" s="204" t="s">
        <v>398</v>
      </c>
      <c r="AG3500" s="204" t="s">
        <v>398</v>
      </c>
      <c r="AS3500" s="65" t="str">
        <f>IFERROR(VLOOKUP(#REF!,[1]Lookup!$B$2:$E$115,4,FALSE),"")</f>
        <v/>
      </c>
      <c r="AT3500" s="65" t="str">
        <f>IFERROR(VLOOKUP(#REF!,[1]Lookup!$B$2:$E$115,2,FALSE),"")</f>
        <v/>
      </c>
      <c r="AU3500" s="65" t="str">
        <f>IFERROR(VLOOKUP(#REF!,[1]Lookup!$B$2:$E$115,3,FALSE),"")</f>
        <v/>
      </c>
    </row>
    <row r="3501" spans="31:47" x14ac:dyDescent="0.3">
      <c r="AE3501" s="204" t="s">
        <v>398</v>
      </c>
      <c r="AF3501" s="204" t="s">
        <v>398</v>
      </c>
      <c r="AG3501" s="204" t="s">
        <v>398</v>
      </c>
      <c r="AS3501" s="65" t="str">
        <f>IFERROR(VLOOKUP(#REF!,[1]Lookup!$B$2:$E$115,4,FALSE),"")</f>
        <v/>
      </c>
      <c r="AT3501" s="65" t="str">
        <f>IFERROR(VLOOKUP(#REF!,[1]Lookup!$B$2:$E$115,2,FALSE),"")</f>
        <v/>
      </c>
      <c r="AU3501" s="65" t="str">
        <f>IFERROR(VLOOKUP(#REF!,[1]Lookup!$B$2:$E$115,3,FALSE),"")</f>
        <v/>
      </c>
    </row>
    <row r="3502" spans="31:47" x14ac:dyDescent="0.3">
      <c r="AE3502" s="204" t="s">
        <v>398</v>
      </c>
      <c r="AF3502" s="204" t="s">
        <v>398</v>
      </c>
      <c r="AG3502" s="204" t="s">
        <v>398</v>
      </c>
      <c r="AS3502" s="65" t="str">
        <f>IFERROR(VLOOKUP(#REF!,[1]Lookup!$B$2:$E$115,4,FALSE),"")</f>
        <v/>
      </c>
      <c r="AT3502" s="65" t="str">
        <f>IFERROR(VLOOKUP(#REF!,[1]Lookup!$B$2:$E$115,2,FALSE),"")</f>
        <v/>
      </c>
      <c r="AU3502" s="65" t="str">
        <f>IFERROR(VLOOKUP(#REF!,[1]Lookup!$B$2:$E$115,3,FALSE),"")</f>
        <v/>
      </c>
    </row>
    <row r="3503" spans="31:47" x14ac:dyDescent="0.3">
      <c r="AE3503" s="204" t="s">
        <v>398</v>
      </c>
      <c r="AF3503" s="204" t="s">
        <v>398</v>
      </c>
      <c r="AG3503" s="204" t="s">
        <v>398</v>
      </c>
      <c r="AS3503" s="65" t="str">
        <f>IFERROR(VLOOKUP(#REF!,[1]Lookup!$B$2:$E$115,4,FALSE),"")</f>
        <v/>
      </c>
      <c r="AT3503" s="65" t="str">
        <f>IFERROR(VLOOKUP(#REF!,[1]Lookup!$B$2:$E$115,2,FALSE),"")</f>
        <v/>
      </c>
      <c r="AU3503" s="65" t="str">
        <f>IFERROR(VLOOKUP(#REF!,[1]Lookup!$B$2:$E$115,3,FALSE),"")</f>
        <v/>
      </c>
    </row>
    <row r="3504" spans="31:47" x14ac:dyDescent="0.3">
      <c r="AE3504" s="204" t="s">
        <v>398</v>
      </c>
      <c r="AF3504" s="204" t="s">
        <v>398</v>
      </c>
      <c r="AG3504" s="204" t="s">
        <v>398</v>
      </c>
      <c r="AS3504" s="65" t="str">
        <f>IFERROR(VLOOKUP(#REF!,[1]Lookup!$B$2:$E$115,4,FALSE),"")</f>
        <v/>
      </c>
      <c r="AT3504" s="65" t="str">
        <f>IFERROR(VLOOKUP(#REF!,[1]Lookup!$B$2:$E$115,2,FALSE),"")</f>
        <v/>
      </c>
      <c r="AU3504" s="65" t="str">
        <f>IFERROR(VLOOKUP(#REF!,[1]Lookup!$B$2:$E$115,3,FALSE),"")</f>
        <v/>
      </c>
    </row>
    <row r="3505" spans="31:47" x14ac:dyDescent="0.3">
      <c r="AE3505" s="204" t="s">
        <v>398</v>
      </c>
      <c r="AF3505" s="204" t="s">
        <v>398</v>
      </c>
      <c r="AG3505" s="204" t="s">
        <v>398</v>
      </c>
      <c r="AS3505" s="65" t="str">
        <f>IFERROR(VLOOKUP(#REF!,[1]Lookup!$B$2:$E$115,4,FALSE),"")</f>
        <v/>
      </c>
      <c r="AT3505" s="65" t="str">
        <f>IFERROR(VLOOKUP(#REF!,[1]Lookup!$B$2:$E$115,2,FALSE),"")</f>
        <v/>
      </c>
      <c r="AU3505" s="65" t="str">
        <f>IFERROR(VLOOKUP(#REF!,[1]Lookup!$B$2:$E$115,3,FALSE),"")</f>
        <v/>
      </c>
    </row>
    <row r="3506" spans="31:47" x14ac:dyDescent="0.3">
      <c r="AE3506" s="204" t="s">
        <v>398</v>
      </c>
      <c r="AF3506" s="204" t="s">
        <v>398</v>
      </c>
      <c r="AG3506" s="204" t="s">
        <v>398</v>
      </c>
      <c r="AS3506" s="65" t="str">
        <f>IFERROR(VLOOKUP(#REF!,[1]Lookup!$B$2:$E$115,4,FALSE),"")</f>
        <v/>
      </c>
      <c r="AT3506" s="65" t="str">
        <f>IFERROR(VLOOKUP(#REF!,[1]Lookup!$B$2:$E$115,2,FALSE),"")</f>
        <v/>
      </c>
      <c r="AU3506" s="65" t="str">
        <f>IFERROR(VLOOKUP(#REF!,[1]Lookup!$B$2:$E$115,3,FALSE),"")</f>
        <v/>
      </c>
    </row>
    <row r="3507" spans="31:47" x14ac:dyDescent="0.3">
      <c r="AE3507" s="204" t="s">
        <v>398</v>
      </c>
      <c r="AF3507" s="204" t="s">
        <v>398</v>
      </c>
      <c r="AG3507" s="204" t="s">
        <v>398</v>
      </c>
      <c r="AS3507" s="65" t="str">
        <f>IFERROR(VLOOKUP(#REF!,[1]Lookup!$B$2:$E$115,4,FALSE),"")</f>
        <v/>
      </c>
      <c r="AT3507" s="65" t="str">
        <f>IFERROR(VLOOKUP(#REF!,[1]Lookup!$B$2:$E$115,2,FALSE),"")</f>
        <v/>
      </c>
      <c r="AU3507" s="65" t="str">
        <f>IFERROR(VLOOKUP(#REF!,[1]Lookup!$B$2:$E$115,3,FALSE),"")</f>
        <v/>
      </c>
    </row>
    <row r="3508" spans="31:47" x14ac:dyDescent="0.3">
      <c r="AE3508" s="204" t="s">
        <v>398</v>
      </c>
      <c r="AF3508" s="204" t="s">
        <v>398</v>
      </c>
      <c r="AG3508" s="204" t="s">
        <v>398</v>
      </c>
      <c r="AS3508" s="65" t="str">
        <f>IFERROR(VLOOKUP(#REF!,[1]Lookup!$B$2:$E$115,4,FALSE),"")</f>
        <v/>
      </c>
      <c r="AT3508" s="65" t="str">
        <f>IFERROR(VLOOKUP(#REF!,[1]Lookup!$B$2:$E$115,2,FALSE),"")</f>
        <v/>
      </c>
      <c r="AU3508" s="65" t="str">
        <f>IFERROR(VLOOKUP(#REF!,[1]Lookup!$B$2:$E$115,3,FALSE),"")</f>
        <v/>
      </c>
    </row>
    <row r="3509" spans="31:47" x14ac:dyDescent="0.3">
      <c r="AE3509" s="204" t="s">
        <v>398</v>
      </c>
      <c r="AF3509" s="204" t="s">
        <v>398</v>
      </c>
      <c r="AG3509" s="204" t="s">
        <v>398</v>
      </c>
      <c r="AS3509" s="65" t="str">
        <f>IFERROR(VLOOKUP(#REF!,[1]Lookup!$B$2:$E$115,4,FALSE),"")</f>
        <v/>
      </c>
      <c r="AT3509" s="65" t="str">
        <f>IFERROR(VLOOKUP(#REF!,[1]Lookup!$B$2:$E$115,2,FALSE),"")</f>
        <v/>
      </c>
      <c r="AU3509" s="65" t="str">
        <f>IFERROR(VLOOKUP(#REF!,[1]Lookup!$B$2:$E$115,3,FALSE),"")</f>
        <v/>
      </c>
    </row>
    <row r="3510" spans="31:47" x14ac:dyDescent="0.3">
      <c r="AE3510" s="204" t="s">
        <v>398</v>
      </c>
      <c r="AF3510" s="204" t="s">
        <v>398</v>
      </c>
      <c r="AG3510" s="204" t="s">
        <v>398</v>
      </c>
      <c r="AS3510" s="65" t="str">
        <f>IFERROR(VLOOKUP(#REF!,[1]Lookup!$B$2:$E$115,4,FALSE),"")</f>
        <v/>
      </c>
      <c r="AT3510" s="65" t="str">
        <f>IFERROR(VLOOKUP(#REF!,[1]Lookup!$B$2:$E$115,2,FALSE),"")</f>
        <v/>
      </c>
      <c r="AU3510" s="65" t="str">
        <f>IFERROR(VLOOKUP(#REF!,[1]Lookup!$B$2:$E$115,3,FALSE),"")</f>
        <v/>
      </c>
    </row>
    <row r="3511" spans="31:47" x14ac:dyDescent="0.3">
      <c r="AE3511" s="204" t="s">
        <v>398</v>
      </c>
      <c r="AF3511" s="204" t="s">
        <v>398</v>
      </c>
      <c r="AG3511" s="204" t="s">
        <v>398</v>
      </c>
      <c r="AS3511" s="65" t="str">
        <f>IFERROR(VLOOKUP(#REF!,[1]Lookup!$B$2:$E$115,4,FALSE),"")</f>
        <v/>
      </c>
      <c r="AT3511" s="65" t="str">
        <f>IFERROR(VLOOKUP(#REF!,[1]Lookup!$B$2:$E$115,2,FALSE),"")</f>
        <v/>
      </c>
      <c r="AU3511" s="65" t="str">
        <f>IFERROR(VLOOKUP(#REF!,[1]Lookup!$B$2:$E$115,3,FALSE),"")</f>
        <v/>
      </c>
    </row>
    <row r="3512" spans="31:47" x14ac:dyDescent="0.3">
      <c r="AE3512" s="204" t="s">
        <v>398</v>
      </c>
      <c r="AF3512" s="204" t="s">
        <v>398</v>
      </c>
      <c r="AG3512" s="204" t="s">
        <v>398</v>
      </c>
      <c r="AS3512" s="65" t="str">
        <f>IFERROR(VLOOKUP(#REF!,[1]Lookup!$B$2:$E$115,4,FALSE),"")</f>
        <v/>
      </c>
      <c r="AT3512" s="65" t="str">
        <f>IFERROR(VLOOKUP(#REF!,[1]Lookup!$B$2:$E$115,2,FALSE),"")</f>
        <v/>
      </c>
      <c r="AU3512" s="65" t="str">
        <f>IFERROR(VLOOKUP(#REF!,[1]Lookup!$B$2:$E$115,3,FALSE),"")</f>
        <v/>
      </c>
    </row>
    <row r="3513" spans="31:47" x14ac:dyDescent="0.3">
      <c r="AE3513" s="204" t="s">
        <v>398</v>
      </c>
      <c r="AF3513" s="204" t="s">
        <v>398</v>
      </c>
      <c r="AG3513" s="204" t="s">
        <v>398</v>
      </c>
      <c r="AS3513" s="65" t="str">
        <f>IFERROR(VLOOKUP(#REF!,[1]Lookup!$B$2:$E$115,4,FALSE),"")</f>
        <v/>
      </c>
      <c r="AT3513" s="65" t="str">
        <f>IFERROR(VLOOKUP(#REF!,[1]Lookup!$B$2:$E$115,2,FALSE),"")</f>
        <v/>
      </c>
      <c r="AU3513" s="65" t="str">
        <f>IFERROR(VLOOKUP(#REF!,[1]Lookup!$B$2:$E$115,3,FALSE),"")</f>
        <v/>
      </c>
    </row>
    <row r="3514" spans="31:47" x14ac:dyDescent="0.3">
      <c r="AE3514" s="204" t="s">
        <v>398</v>
      </c>
      <c r="AF3514" s="204" t="s">
        <v>398</v>
      </c>
      <c r="AG3514" s="204" t="s">
        <v>398</v>
      </c>
      <c r="AS3514" s="65" t="str">
        <f>IFERROR(VLOOKUP(#REF!,[1]Lookup!$B$2:$E$115,4,FALSE),"")</f>
        <v/>
      </c>
      <c r="AT3514" s="65" t="str">
        <f>IFERROR(VLOOKUP(#REF!,[1]Lookup!$B$2:$E$115,2,FALSE),"")</f>
        <v/>
      </c>
      <c r="AU3514" s="65" t="str">
        <f>IFERROR(VLOOKUP(#REF!,[1]Lookup!$B$2:$E$115,3,FALSE),"")</f>
        <v/>
      </c>
    </row>
    <row r="3515" spans="31:47" x14ac:dyDescent="0.3">
      <c r="AE3515" s="204" t="s">
        <v>398</v>
      </c>
      <c r="AF3515" s="204" t="s">
        <v>398</v>
      </c>
      <c r="AG3515" s="204" t="s">
        <v>398</v>
      </c>
      <c r="AS3515" s="65" t="str">
        <f>IFERROR(VLOOKUP(#REF!,[1]Lookup!$B$2:$E$115,4,FALSE),"")</f>
        <v/>
      </c>
      <c r="AT3515" s="65" t="str">
        <f>IFERROR(VLOOKUP(#REF!,[1]Lookup!$B$2:$E$115,2,FALSE),"")</f>
        <v/>
      </c>
      <c r="AU3515" s="65" t="str">
        <f>IFERROR(VLOOKUP(#REF!,[1]Lookup!$B$2:$E$115,3,FALSE),"")</f>
        <v/>
      </c>
    </row>
    <row r="3516" spans="31:47" x14ac:dyDescent="0.3">
      <c r="AE3516" s="204" t="s">
        <v>398</v>
      </c>
      <c r="AF3516" s="204" t="s">
        <v>398</v>
      </c>
      <c r="AG3516" s="204" t="s">
        <v>398</v>
      </c>
      <c r="AS3516" s="65" t="str">
        <f>IFERROR(VLOOKUP(#REF!,[1]Lookup!$B$2:$E$115,4,FALSE),"")</f>
        <v/>
      </c>
      <c r="AT3516" s="65" t="str">
        <f>IFERROR(VLOOKUP(#REF!,[1]Lookup!$B$2:$E$115,2,FALSE),"")</f>
        <v/>
      </c>
      <c r="AU3516" s="65" t="str">
        <f>IFERROR(VLOOKUP(#REF!,[1]Lookup!$B$2:$E$115,3,FALSE),"")</f>
        <v/>
      </c>
    </row>
    <row r="3517" spans="31:47" x14ac:dyDescent="0.3">
      <c r="AE3517" s="204" t="s">
        <v>398</v>
      </c>
      <c r="AF3517" s="204" t="s">
        <v>398</v>
      </c>
      <c r="AG3517" s="204" t="s">
        <v>398</v>
      </c>
      <c r="AS3517" s="65" t="str">
        <f>IFERROR(VLOOKUP(#REF!,[1]Lookup!$B$2:$E$115,4,FALSE),"")</f>
        <v/>
      </c>
      <c r="AT3517" s="65" t="str">
        <f>IFERROR(VLOOKUP(#REF!,[1]Lookup!$B$2:$E$115,2,FALSE),"")</f>
        <v/>
      </c>
      <c r="AU3517" s="65" t="str">
        <f>IFERROR(VLOOKUP(#REF!,[1]Lookup!$B$2:$E$115,3,FALSE),"")</f>
        <v/>
      </c>
    </row>
    <row r="3518" spans="31:47" x14ac:dyDescent="0.3">
      <c r="AE3518" s="204" t="s">
        <v>398</v>
      </c>
      <c r="AF3518" s="204" t="s">
        <v>398</v>
      </c>
      <c r="AG3518" s="204" t="s">
        <v>398</v>
      </c>
      <c r="AS3518" s="65" t="str">
        <f>IFERROR(VLOOKUP(#REF!,[1]Lookup!$B$2:$E$115,4,FALSE),"")</f>
        <v/>
      </c>
      <c r="AT3518" s="65" t="str">
        <f>IFERROR(VLOOKUP(#REF!,[1]Lookup!$B$2:$E$115,2,FALSE),"")</f>
        <v/>
      </c>
      <c r="AU3518" s="65" t="str">
        <f>IFERROR(VLOOKUP(#REF!,[1]Lookup!$B$2:$E$115,3,FALSE),"")</f>
        <v/>
      </c>
    </row>
    <row r="3519" spans="31:47" x14ac:dyDescent="0.3">
      <c r="AE3519" s="204" t="s">
        <v>398</v>
      </c>
      <c r="AF3519" s="204" t="s">
        <v>398</v>
      </c>
      <c r="AG3519" s="204" t="s">
        <v>398</v>
      </c>
      <c r="AS3519" s="65" t="str">
        <f>IFERROR(VLOOKUP(#REF!,[1]Lookup!$B$2:$E$115,4,FALSE),"")</f>
        <v/>
      </c>
      <c r="AT3519" s="65" t="str">
        <f>IFERROR(VLOOKUP(#REF!,[1]Lookup!$B$2:$E$115,2,FALSE),"")</f>
        <v/>
      </c>
      <c r="AU3519" s="65" t="str">
        <f>IFERROR(VLOOKUP(#REF!,[1]Lookup!$B$2:$E$115,3,FALSE),"")</f>
        <v/>
      </c>
    </row>
    <row r="3520" spans="31:47" x14ac:dyDescent="0.3">
      <c r="AE3520" s="204" t="s">
        <v>398</v>
      </c>
      <c r="AF3520" s="204" t="s">
        <v>398</v>
      </c>
      <c r="AG3520" s="204" t="s">
        <v>398</v>
      </c>
      <c r="AS3520" s="65" t="str">
        <f>IFERROR(VLOOKUP(#REF!,[1]Lookup!$B$2:$E$115,4,FALSE),"")</f>
        <v/>
      </c>
      <c r="AT3520" s="65" t="str">
        <f>IFERROR(VLOOKUP(#REF!,[1]Lookup!$B$2:$E$115,2,FALSE),"")</f>
        <v/>
      </c>
      <c r="AU3520" s="65" t="str">
        <f>IFERROR(VLOOKUP(#REF!,[1]Lookup!$B$2:$E$115,3,FALSE),"")</f>
        <v/>
      </c>
    </row>
    <row r="3521" spans="31:47" x14ac:dyDescent="0.3">
      <c r="AE3521" s="204" t="s">
        <v>398</v>
      </c>
      <c r="AF3521" s="204" t="s">
        <v>398</v>
      </c>
      <c r="AG3521" s="204" t="s">
        <v>398</v>
      </c>
      <c r="AS3521" s="65" t="str">
        <f>IFERROR(VLOOKUP(#REF!,[1]Lookup!$B$2:$E$115,4,FALSE),"")</f>
        <v/>
      </c>
      <c r="AT3521" s="65" t="str">
        <f>IFERROR(VLOOKUP(#REF!,[1]Lookup!$B$2:$E$115,2,FALSE),"")</f>
        <v/>
      </c>
      <c r="AU3521" s="65" t="str">
        <f>IFERROR(VLOOKUP(#REF!,[1]Lookup!$B$2:$E$115,3,FALSE),"")</f>
        <v/>
      </c>
    </row>
    <row r="3522" spans="31:47" x14ac:dyDescent="0.3">
      <c r="AE3522" s="204" t="s">
        <v>398</v>
      </c>
      <c r="AF3522" s="204" t="s">
        <v>398</v>
      </c>
      <c r="AG3522" s="204" t="s">
        <v>398</v>
      </c>
      <c r="AS3522" s="65" t="str">
        <f>IFERROR(VLOOKUP(#REF!,[1]Lookup!$B$2:$E$115,4,FALSE),"")</f>
        <v/>
      </c>
      <c r="AT3522" s="65" t="str">
        <f>IFERROR(VLOOKUP(#REF!,[1]Lookup!$B$2:$E$115,2,FALSE),"")</f>
        <v/>
      </c>
      <c r="AU3522" s="65" t="str">
        <f>IFERROR(VLOOKUP(#REF!,[1]Lookup!$B$2:$E$115,3,FALSE),"")</f>
        <v/>
      </c>
    </row>
    <row r="3523" spans="31:47" x14ac:dyDescent="0.3">
      <c r="AE3523" s="204" t="s">
        <v>398</v>
      </c>
      <c r="AF3523" s="204" t="s">
        <v>398</v>
      </c>
      <c r="AG3523" s="204" t="s">
        <v>398</v>
      </c>
      <c r="AS3523" s="65" t="str">
        <f>IFERROR(VLOOKUP(#REF!,[1]Lookup!$B$2:$E$115,4,FALSE),"")</f>
        <v/>
      </c>
      <c r="AT3523" s="65" t="str">
        <f>IFERROR(VLOOKUP(#REF!,[1]Lookup!$B$2:$E$115,2,FALSE),"")</f>
        <v/>
      </c>
      <c r="AU3523" s="65" t="str">
        <f>IFERROR(VLOOKUP(#REF!,[1]Lookup!$B$2:$E$115,3,FALSE),"")</f>
        <v/>
      </c>
    </row>
    <row r="3524" spans="31:47" x14ac:dyDescent="0.3">
      <c r="AE3524" s="204" t="s">
        <v>398</v>
      </c>
      <c r="AF3524" s="204" t="s">
        <v>398</v>
      </c>
      <c r="AG3524" s="204" t="s">
        <v>398</v>
      </c>
      <c r="AS3524" s="65" t="str">
        <f>IFERROR(VLOOKUP(#REF!,[1]Lookup!$B$2:$E$115,4,FALSE),"")</f>
        <v/>
      </c>
      <c r="AT3524" s="65" t="str">
        <f>IFERROR(VLOOKUP(#REF!,[1]Lookup!$B$2:$E$115,2,FALSE),"")</f>
        <v/>
      </c>
      <c r="AU3524" s="65" t="str">
        <f>IFERROR(VLOOKUP(#REF!,[1]Lookup!$B$2:$E$115,3,FALSE),"")</f>
        <v/>
      </c>
    </row>
    <row r="3525" spans="31:47" x14ac:dyDescent="0.3">
      <c r="AE3525" s="204" t="s">
        <v>398</v>
      </c>
      <c r="AF3525" s="204" t="s">
        <v>398</v>
      </c>
      <c r="AG3525" s="204" t="s">
        <v>398</v>
      </c>
      <c r="AS3525" s="65" t="str">
        <f>IFERROR(VLOOKUP(#REF!,[1]Lookup!$B$2:$E$115,4,FALSE),"")</f>
        <v/>
      </c>
      <c r="AT3525" s="65" t="str">
        <f>IFERROR(VLOOKUP(#REF!,[1]Lookup!$B$2:$E$115,2,FALSE),"")</f>
        <v/>
      </c>
      <c r="AU3525" s="65" t="str">
        <f>IFERROR(VLOOKUP(#REF!,[1]Lookup!$B$2:$E$115,3,FALSE),"")</f>
        <v/>
      </c>
    </row>
    <row r="3526" spans="31:47" x14ac:dyDescent="0.3">
      <c r="AE3526" s="204" t="s">
        <v>398</v>
      </c>
      <c r="AF3526" s="204" t="s">
        <v>398</v>
      </c>
      <c r="AG3526" s="204" t="s">
        <v>398</v>
      </c>
      <c r="AS3526" s="65" t="str">
        <f>IFERROR(VLOOKUP(#REF!,[1]Lookup!$B$2:$E$115,4,FALSE),"")</f>
        <v/>
      </c>
      <c r="AT3526" s="65" t="str">
        <f>IFERROR(VLOOKUP(#REF!,[1]Lookup!$B$2:$E$115,2,FALSE),"")</f>
        <v/>
      </c>
      <c r="AU3526" s="65" t="str">
        <f>IFERROR(VLOOKUP(#REF!,[1]Lookup!$B$2:$E$115,3,FALSE),"")</f>
        <v/>
      </c>
    </row>
    <row r="3527" spans="31:47" x14ac:dyDescent="0.3">
      <c r="AE3527" s="204" t="s">
        <v>398</v>
      </c>
      <c r="AF3527" s="204" t="s">
        <v>398</v>
      </c>
      <c r="AG3527" s="204" t="s">
        <v>398</v>
      </c>
      <c r="AS3527" s="65" t="str">
        <f>IFERROR(VLOOKUP(#REF!,[1]Lookup!$B$2:$E$115,4,FALSE),"")</f>
        <v/>
      </c>
      <c r="AT3527" s="65" t="str">
        <f>IFERROR(VLOOKUP(#REF!,[1]Lookup!$B$2:$E$115,2,FALSE),"")</f>
        <v/>
      </c>
      <c r="AU3527" s="65" t="str">
        <f>IFERROR(VLOOKUP(#REF!,[1]Lookup!$B$2:$E$115,3,FALSE),"")</f>
        <v/>
      </c>
    </row>
    <row r="3528" spans="31:47" x14ac:dyDescent="0.3">
      <c r="AE3528" s="204" t="s">
        <v>398</v>
      </c>
      <c r="AF3528" s="204" t="s">
        <v>398</v>
      </c>
      <c r="AG3528" s="204" t="s">
        <v>398</v>
      </c>
      <c r="AS3528" s="65" t="str">
        <f>IFERROR(VLOOKUP(#REF!,[1]Lookup!$B$2:$E$115,4,FALSE),"")</f>
        <v/>
      </c>
      <c r="AT3528" s="65" t="str">
        <f>IFERROR(VLOOKUP(#REF!,[1]Lookup!$B$2:$E$115,2,FALSE),"")</f>
        <v/>
      </c>
      <c r="AU3528" s="65" t="str">
        <f>IFERROR(VLOOKUP(#REF!,[1]Lookup!$B$2:$E$115,3,FALSE),"")</f>
        <v/>
      </c>
    </row>
    <row r="3529" spans="31:47" x14ac:dyDescent="0.3">
      <c r="AE3529" s="204" t="s">
        <v>398</v>
      </c>
      <c r="AF3529" s="204" t="s">
        <v>398</v>
      </c>
      <c r="AG3529" s="204" t="s">
        <v>398</v>
      </c>
      <c r="AS3529" s="65" t="str">
        <f>IFERROR(VLOOKUP(#REF!,[1]Lookup!$B$2:$E$115,4,FALSE),"")</f>
        <v/>
      </c>
      <c r="AT3529" s="65" t="str">
        <f>IFERROR(VLOOKUP(#REF!,[1]Lookup!$B$2:$E$115,2,FALSE),"")</f>
        <v/>
      </c>
      <c r="AU3529" s="65" t="str">
        <f>IFERROR(VLOOKUP(#REF!,[1]Lookup!$B$2:$E$115,3,FALSE),"")</f>
        <v/>
      </c>
    </row>
    <row r="3530" spans="31:47" x14ac:dyDescent="0.3">
      <c r="AE3530" s="204" t="s">
        <v>398</v>
      </c>
      <c r="AF3530" s="204" t="s">
        <v>398</v>
      </c>
      <c r="AG3530" s="204" t="s">
        <v>398</v>
      </c>
      <c r="AS3530" s="65" t="str">
        <f>IFERROR(VLOOKUP(#REF!,[1]Lookup!$B$2:$E$115,4,FALSE),"")</f>
        <v/>
      </c>
      <c r="AT3530" s="65" t="str">
        <f>IFERROR(VLOOKUP(#REF!,[1]Lookup!$B$2:$E$115,2,FALSE),"")</f>
        <v/>
      </c>
      <c r="AU3530" s="65" t="str">
        <f>IFERROR(VLOOKUP(#REF!,[1]Lookup!$B$2:$E$115,3,FALSE),"")</f>
        <v/>
      </c>
    </row>
    <row r="3531" spans="31:47" x14ac:dyDescent="0.3">
      <c r="AE3531" s="204" t="s">
        <v>398</v>
      </c>
      <c r="AF3531" s="204" t="s">
        <v>398</v>
      </c>
      <c r="AG3531" s="204" t="s">
        <v>398</v>
      </c>
      <c r="AS3531" s="65" t="str">
        <f>IFERROR(VLOOKUP(#REF!,[1]Lookup!$B$2:$E$115,4,FALSE),"")</f>
        <v/>
      </c>
      <c r="AT3531" s="65" t="str">
        <f>IFERROR(VLOOKUP(#REF!,[1]Lookup!$B$2:$E$115,2,FALSE),"")</f>
        <v/>
      </c>
      <c r="AU3531" s="65" t="str">
        <f>IFERROR(VLOOKUP(#REF!,[1]Lookup!$B$2:$E$115,3,FALSE),"")</f>
        <v/>
      </c>
    </row>
    <row r="3532" spans="31:47" x14ac:dyDescent="0.3">
      <c r="AE3532" s="204" t="s">
        <v>398</v>
      </c>
      <c r="AF3532" s="204" t="s">
        <v>398</v>
      </c>
      <c r="AG3532" s="204" t="s">
        <v>398</v>
      </c>
      <c r="AS3532" s="65" t="str">
        <f>IFERROR(VLOOKUP(#REF!,[1]Lookup!$B$2:$E$115,4,FALSE),"")</f>
        <v/>
      </c>
      <c r="AT3532" s="65" t="str">
        <f>IFERROR(VLOOKUP(#REF!,[1]Lookup!$B$2:$E$115,2,FALSE),"")</f>
        <v/>
      </c>
      <c r="AU3532" s="65" t="str">
        <f>IFERROR(VLOOKUP(#REF!,[1]Lookup!$B$2:$E$115,3,FALSE),"")</f>
        <v/>
      </c>
    </row>
    <row r="3533" spans="31:47" x14ac:dyDescent="0.3">
      <c r="AE3533" s="204" t="s">
        <v>398</v>
      </c>
      <c r="AF3533" s="204" t="s">
        <v>398</v>
      </c>
      <c r="AG3533" s="204" t="s">
        <v>398</v>
      </c>
      <c r="AS3533" s="65" t="str">
        <f>IFERROR(VLOOKUP(#REF!,[1]Lookup!$B$2:$E$115,4,FALSE),"")</f>
        <v/>
      </c>
      <c r="AT3533" s="65" t="str">
        <f>IFERROR(VLOOKUP(#REF!,[1]Lookup!$B$2:$E$115,2,FALSE),"")</f>
        <v/>
      </c>
      <c r="AU3533" s="65" t="str">
        <f>IFERROR(VLOOKUP(#REF!,[1]Lookup!$B$2:$E$115,3,FALSE),"")</f>
        <v/>
      </c>
    </row>
    <row r="3534" spans="31:47" x14ac:dyDescent="0.3">
      <c r="AE3534" s="204" t="s">
        <v>398</v>
      </c>
      <c r="AF3534" s="204" t="s">
        <v>398</v>
      </c>
      <c r="AG3534" s="204" t="s">
        <v>398</v>
      </c>
      <c r="AS3534" s="65" t="str">
        <f>IFERROR(VLOOKUP(#REF!,[1]Lookup!$B$2:$E$115,4,FALSE),"")</f>
        <v/>
      </c>
      <c r="AT3534" s="65" t="str">
        <f>IFERROR(VLOOKUP(#REF!,[1]Lookup!$B$2:$E$115,2,FALSE),"")</f>
        <v/>
      </c>
      <c r="AU3534" s="65" t="str">
        <f>IFERROR(VLOOKUP(#REF!,[1]Lookup!$B$2:$E$115,3,FALSE),"")</f>
        <v/>
      </c>
    </row>
    <row r="3535" spans="31:47" x14ac:dyDescent="0.3">
      <c r="AE3535" s="204" t="s">
        <v>398</v>
      </c>
      <c r="AF3535" s="204" t="s">
        <v>398</v>
      </c>
      <c r="AG3535" s="204" t="s">
        <v>398</v>
      </c>
      <c r="AS3535" s="65" t="str">
        <f>IFERROR(VLOOKUP(#REF!,[1]Lookup!$B$2:$E$115,4,FALSE),"")</f>
        <v/>
      </c>
      <c r="AT3535" s="65" t="str">
        <f>IFERROR(VLOOKUP(#REF!,[1]Lookup!$B$2:$E$115,2,FALSE),"")</f>
        <v/>
      </c>
      <c r="AU3535" s="65" t="str">
        <f>IFERROR(VLOOKUP(#REF!,[1]Lookup!$B$2:$E$115,3,FALSE),"")</f>
        <v/>
      </c>
    </row>
    <row r="3536" spans="31:47" x14ac:dyDescent="0.3">
      <c r="AE3536" s="204" t="s">
        <v>398</v>
      </c>
      <c r="AF3536" s="204" t="s">
        <v>398</v>
      </c>
      <c r="AG3536" s="204" t="s">
        <v>398</v>
      </c>
      <c r="AS3536" s="65" t="str">
        <f>IFERROR(VLOOKUP(#REF!,[1]Lookup!$B$2:$E$115,4,FALSE),"")</f>
        <v/>
      </c>
      <c r="AT3536" s="65" t="str">
        <f>IFERROR(VLOOKUP(#REF!,[1]Lookup!$B$2:$E$115,2,FALSE),"")</f>
        <v/>
      </c>
      <c r="AU3536" s="65" t="str">
        <f>IFERROR(VLOOKUP(#REF!,[1]Lookup!$B$2:$E$115,3,FALSE),"")</f>
        <v/>
      </c>
    </row>
    <row r="3537" spans="31:47" x14ac:dyDescent="0.3">
      <c r="AE3537" s="204" t="s">
        <v>398</v>
      </c>
      <c r="AF3537" s="204" t="s">
        <v>398</v>
      </c>
      <c r="AG3537" s="204" t="s">
        <v>398</v>
      </c>
      <c r="AS3537" s="65" t="str">
        <f>IFERROR(VLOOKUP(#REF!,[1]Lookup!$B$2:$E$115,4,FALSE),"")</f>
        <v/>
      </c>
      <c r="AT3537" s="65" t="str">
        <f>IFERROR(VLOOKUP(#REF!,[1]Lookup!$B$2:$E$115,2,FALSE),"")</f>
        <v/>
      </c>
      <c r="AU3537" s="65" t="str">
        <f>IFERROR(VLOOKUP(#REF!,[1]Lookup!$B$2:$E$115,3,FALSE),"")</f>
        <v/>
      </c>
    </row>
    <row r="3538" spans="31:47" x14ac:dyDescent="0.3">
      <c r="AE3538" s="204" t="s">
        <v>398</v>
      </c>
      <c r="AF3538" s="204" t="s">
        <v>398</v>
      </c>
      <c r="AG3538" s="204" t="s">
        <v>398</v>
      </c>
      <c r="AS3538" s="65" t="str">
        <f>IFERROR(VLOOKUP(#REF!,[1]Lookup!$B$2:$E$115,4,FALSE),"")</f>
        <v/>
      </c>
      <c r="AT3538" s="65" t="str">
        <f>IFERROR(VLOOKUP(#REF!,[1]Lookup!$B$2:$E$115,2,FALSE),"")</f>
        <v/>
      </c>
      <c r="AU3538" s="65" t="str">
        <f>IFERROR(VLOOKUP(#REF!,[1]Lookup!$B$2:$E$115,3,FALSE),"")</f>
        <v/>
      </c>
    </row>
    <row r="3539" spans="31:47" x14ac:dyDescent="0.3">
      <c r="AE3539" s="204" t="s">
        <v>398</v>
      </c>
      <c r="AF3539" s="204" t="s">
        <v>398</v>
      </c>
      <c r="AG3539" s="204" t="s">
        <v>398</v>
      </c>
      <c r="AS3539" s="65" t="str">
        <f>IFERROR(VLOOKUP(#REF!,[1]Lookup!$B$2:$E$115,4,FALSE),"")</f>
        <v/>
      </c>
      <c r="AT3539" s="65" t="str">
        <f>IFERROR(VLOOKUP(#REF!,[1]Lookup!$B$2:$E$115,2,FALSE),"")</f>
        <v/>
      </c>
      <c r="AU3539" s="65" t="str">
        <f>IFERROR(VLOOKUP(#REF!,[1]Lookup!$B$2:$E$115,3,FALSE),"")</f>
        <v/>
      </c>
    </row>
    <row r="3540" spans="31:47" x14ac:dyDescent="0.3">
      <c r="AE3540" s="204" t="s">
        <v>398</v>
      </c>
      <c r="AF3540" s="204" t="s">
        <v>398</v>
      </c>
      <c r="AG3540" s="204" t="s">
        <v>398</v>
      </c>
      <c r="AS3540" s="65" t="str">
        <f>IFERROR(VLOOKUP(#REF!,[1]Lookup!$B$2:$E$115,4,FALSE),"")</f>
        <v/>
      </c>
      <c r="AT3540" s="65" t="str">
        <f>IFERROR(VLOOKUP(#REF!,[1]Lookup!$B$2:$E$115,2,FALSE),"")</f>
        <v/>
      </c>
      <c r="AU3540" s="65" t="str">
        <f>IFERROR(VLOOKUP(#REF!,[1]Lookup!$B$2:$E$115,3,FALSE),"")</f>
        <v/>
      </c>
    </row>
    <row r="3541" spans="31:47" x14ac:dyDescent="0.3">
      <c r="AE3541" s="204" t="s">
        <v>398</v>
      </c>
      <c r="AF3541" s="204" t="s">
        <v>398</v>
      </c>
      <c r="AG3541" s="204" t="s">
        <v>398</v>
      </c>
      <c r="AS3541" s="65" t="str">
        <f>IFERROR(VLOOKUP(#REF!,[1]Lookup!$B$2:$E$115,4,FALSE),"")</f>
        <v/>
      </c>
      <c r="AT3541" s="65" t="str">
        <f>IFERROR(VLOOKUP(#REF!,[1]Lookup!$B$2:$E$115,2,FALSE),"")</f>
        <v/>
      </c>
      <c r="AU3541" s="65" t="str">
        <f>IFERROR(VLOOKUP(#REF!,[1]Lookup!$B$2:$E$115,3,FALSE),"")</f>
        <v/>
      </c>
    </row>
    <row r="3542" spans="31:47" x14ac:dyDescent="0.3">
      <c r="AE3542" s="204" t="s">
        <v>398</v>
      </c>
      <c r="AF3542" s="204" t="s">
        <v>398</v>
      </c>
      <c r="AG3542" s="204" t="s">
        <v>398</v>
      </c>
      <c r="AS3542" s="65" t="str">
        <f>IFERROR(VLOOKUP(#REF!,[1]Lookup!$B$2:$E$115,4,FALSE),"")</f>
        <v/>
      </c>
      <c r="AT3542" s="65" t="str">
        <f>IFERROR(VLOOKUP(#REF!,[1]Lookup!$B$2:$E$115,2,FALSE),"")</f>
        <v/>
      </c>
      <c r="AU3542" s="65" t="str">
        <f>IFERROR(VLOOKUP(#REF!,[1]Lookup!$B$2:$E$115,3,FALSE),"")</f>
        <v/>
      </c>
    </row>
    <row r="3543" spans="31:47" x14ac:dyDescent="0.3">
      <c r="AE3543" s="204" t="s">
        <v>398</v>
      </c>
      <c r="AF3543" s="204" t="s">
        <v>398</v>
      </c>
      <c r="AG3543" s="204" t="s">
        <v>398</v>
      </c>
      <c r="AS3543" s="65" t="str">
        <f>IFERROR(VLOOKUP(#REF!,[1]Lookup!$B$2:$E$115,4,FALSE),"")</f>
        <v/>
      </c>
      <c r="AT3543" s="65" t="str">
        <f>IFERROR(VLOOKUP(#REF!,[1]Lookup!$B$2:$E$115,2,FALSE),"")</f>
        <v/>
      </c>
      <c r="AU3543" s="65" t="str">
        <f>IFERROR(VLOOKUP(#REF!,[1]Lookup!$B$2:$E$115,3,FALSE),"")</f>
        <v/>
      </c>
    </row>
    <row r="3544" spans="31:47" x14ac:dyDescent="0.3">
      <c r="AE3544" s="204" t="s">
        <v>398</v>
      </c>
      <c r="AF3544" s="204" t="s">
        <v>398</v>
      </c>
      <c r="AG3544" s="204" t="s">
        <v>398</v>
      </c>
      <c r="AS3544" s="65" t="str">
        <f>IFERROR(VLOOKUP(#REF!,[1]Lookup!$B$2:$E$115,4,FALSE),"")</f>
        <v/>
      </c>
      <c r="AT3544" s="65" t="str">
        <f>IFERROR(VLOOKUP(#REF!,[1]Lookup!$B$2:$E$115,2,FALSE),"")</f>
        <v/>
      </c>
      <c r="AU3544" s="65" t="str">
        <f>IFERROR(VLOOKUP(#REF!,[1]Lookup!$B$2:$E$115,3,FALSE),"")</f>
        <v/>
      </c>
    </row>
    <row r="3545" spans="31:47" x14ac:dyDescent="0.3">
      <c r="AE3545" s="204" t="s">
        <v>398</v>
      </c>
      <c r="AF3545" s="204" t="s">
        <v>398</v>
      </c>
      <c r="AG3545" s="204" t="s">
        <v>398</v>
      </c>
      <c r="AS3545" s="65" t="str">
        <f>IFERROR(VLOOKUP(#REF!,[1]Lookup!$B$2:$E$115,4,FALSE),"")</f>
        <v/>
      </c>
      <c r="AT3545" s="65" t="str">
        <f>IFERROR(VLOOKUP(#REF!,[1]Lookup!$B$2:$E$115,2,FALSE),"")</f>
        <v/>
      </c>
      <c r="AU3545" s="65" t="str">
        <f>IFERROR(VLOOKUP(#REF!,[1]Lookup!$B$2:$E$115,3,FALSE),"")</f>
        <v/>
      </c>
    </row>
    <row r="3546" spans="31:47" x14ac:dyDescent="0.3">
      <c r="AE3546" s="204" t="s">
        <v>398</v>
      </c>
      <c r="AF3546" s="204" t="s">
        <v>398</v>
      </c>
      <c r="AG3546" s="204" t="s">
        <v>398</v>
      </c>
      <c r="AS3546" s="65" t="str">
        <f>IFERROR(VLOOKUP(#REF!,[1]Lookup!$B$2:$E$115,4,FALSE),"")</f>
        <v/>
      </c>
      <c r="AT3546" s="65" t="str">
        <f>IFERROR(VLOOKUP(#REF!,[1]Lookup!$B$2:$E$115,2,FALSE),"")</f>
        <v/>
      </c>
      <c r="AU3546" s="65" t="str">
        <f>IFERROR(VLOOKUP(#REF!,[1]Lookup!$B$2:$E$115,3,FALSE),"")</f>
        <v/>
      </c>
    </row>
    <row r="3547" spans="31:47" x14ac:dyDescent="0.3">
      <c r="AE3547" s="204" t="s">
        <v>398</v>
      </c>
      <c r="AF3547" s="204" t="s">
        <v>398</v>
      </c>
      <c r="AG3547" s="204" t="s">
        <v>398</v>
      </c>
      <c r="AS3547" s="65" t="str">
        <f>IFERROR(VLOOKUP(#REF!,[1]Lookup!$B$2:$E$115,4,FALSE),"")</f>
        <v/>
      </c>
      <c r="AT3547" s="65" t="str">
        <f>IFERROR(VLOOKUP(#REF!,[1]Lookup!$B$2:$E$115,2,FALSE),"")</f>
        <v/>
      </c>
      <c r="AU3547" s="65" t="str">
        <f>IFERROR(VLOOKUP(#REF!,[1]Lookup!$B$2:$E$115,3,FALSE),"")</f>
        <v/>
      </c>
    </row>
    <row r="3548" spans="31:47" x14ac:dyDescent="0.3">
      <c r="AE3548" s="204" t="s">
        <v>398</v>
      </c>
      <c r="AF3548" s="204" t="s">
        <v>398</v>
      </c>
      <c r="AG3548" s="204" t="s">
        <v>398</v>
      </c>
      <c r="AS3548" s="65" t="str">
        <f>IFERROR(VLOOKUP(#REF!,[1]Lookup!$B$2:$E$115,4,FALSE),"")</f>
        <v/>
      </c>
      <c r="AT3548" s="65" t="str">
        <f>IFERROR(VLOOKUP(#REF!,[1]Lookup!$B$2:$E$115,2,FALSE),"")</f>
        <v/>
      </c>
      <c r="AU3548" s="65" t="str">
        <f>IFERROR(VLOOKUP(#REF!,[1]Lookup!$B$2:$E$115,3,FALSE),"")</f>
        <v/>
      </c>
    </row>
    <row r="3549" spans="31:47" x14ac:dyDescent="0.3">
      <c r="AE3549" s="204" t="s">
        <v>398</v>
      </c>
      <c r="AF3549" s="204" t="s">
        <v>398</v>
      </c>
      <c r="AG3549" s="204" t="s">
        <v>398</v>
      </c>
      <c r="AS3549" s="65" t="str">
        <f>IFERROR(VLOOKUP(#REF!,[1]Lookup!$B$2:$E$115,4,FALSE),"")</f>
        <v/>
      </c>
      <c r="AT3549" s="65" t="str">
        <f>IFERROR(VLOOKUP(#REF!,[1]Lookup!$B$2:$E$115,2,FALSE),"")</f>
        <v/>
      </c>
      <c r="AU3549" s="65" t="str">
        <f>IFERROR(VLOOKUP(#REF!,[1]Lookup!$B$2:$E$115,3,FALSE),"")</f>
        <v/>
      </c>
    </row>
    <row r="3550" spans="31:47" x14ac:dyDescent="0.3">
      <c r="AE3550" s="204" t="s">
        <v>398</v>
      </c>
      <c r="AF3550" s="204" t="s">
        <v>398</v>
      </c>
      <c r="AG3550" s="204" t="s">
        <v>398</v>
      </c>
      <c r="AS3550" s="65" t="str">
        <f>IFERROR(VLOOKUP(#REF!,[1]Lookup!$B$2:$E$115,4,FALSE),"")</f>
        <v/>
      </c>
      <c r="AT3550" s="65" t="str">
        <f>IFERROR(VLOOKUP(#REF!,[1]Lookup!$B$2:$E$115,2,FALSE),"")</f>
        <v/>
      </c>
      <c r="AU3550" s="65" t="str">
        <f>IFERROR(VLOOKUP(#REF!,[1]Lookup!$B$2:$E$115,3,FALSE),"")</f>
        <v/>
      </c>
    </row>
    <row r="3551" spans="31:47" x14ac:dyDescent="0.3">
      <c r="AE3551" s="204" t="s">
        <v>398</v>
      </c>
      <c r="AF3551" s="204" t="s">
        <v>398</v>
      </c>
      <c r="AG3551" s="204" t="s">
        <v>398</v>
      </c>
      <c r="AS3551" s="65" t="str">
        <f>IFERROR(VLOOKUP(#REF!,[1]Lookup!$B$2:$E$115,4,FALSE),"")</f>
        <v/>
      </c>
      <c r="AT3551" s="65" t="str">
        <f>IFERROR(VLOOKUP(#REF!,[1]Lookup!$B$2:$E$115,2,FALSE),"")</f>
        <v/>
      </c>
      <c r="AU3551" s="65" t="str">
        <f>IFERROR(VLOOKUP(#REF!,[1]Lookup!$B$2:$E$115,3,FALSE),"")</f>
        <v/>
      </c>
    </row>
    <row r="3552" spans="31:47" x14ac:dyDescent="0.3">
      <c r="AE3552" s="204" t="s">
        <v>398</v>
      </c>
      <c r="AF3552" s="204" t="s">
        <v>398</v>
      </c>
      <c r="AG3552" s="204" t="s">
        <v>398</v>
      </c>
      <c r="AS3552" s="65" t="str">
        <f>IFERROR(VLOOKUP(#REF!,[1]Lookup!$B$2:$E$115,4,FALSE),"")</f>
        <v/>
      </c>
      <c r="AT3552" s="65" t="str">
        <f>IFERROR(VLOOKUP(#REF!,[1]Lookup!$B$2:$E$115,2,FALSE),"")</f>
        <v/>
      </c>
      <c r="AU3552" s="65" t="str">
        <f>IFERROR(VLOOKUP(#REF!,[1]Lookup!$B$2:$E$115,3,FALSE),"")</f>
        <v/>
      </c>
    </row>
    <row r="3553" spans="31:47" x14ac:dyDescent="0.3">
      <c r="AE3553" s="204" t="s">
        <v>398</v>
      </c>
      <c r="AF3553" s="204" t="s">
        <v>398</v>
      </c>
      <c r="AG3553" s="204" t="s">
        <v>398</v>
      </c>
      <c r="AS3553" s="65" t="str">
        <f>IFERROR(VLOOKUP(#REF!,[1]Lookup!$B$2:$E$115,4,FALSE),"")</f>
        <v/>
      </c>
      <c r="AT3553" s="65" t="str">
        <f>IFERROR(VLOOKUP(#REF!,[1]Lookup!$B$2:$E$115,2,FALSE),"")</f>
        <v/>
      </c>
      <c r="AU3553" s="65" t="str">
        <f>IFERROR(VLOOKUP(#REF!,[1]Lookup!$B$2:$E$115,3,FALSE),"")</f>
        <v/>
      </c>
    </row>
    <row r="3554" spans="31:47" x14ac:dyDescent="0.3">
      <c r="AE3554" s="204" t="s">
        <v>398</v>
      </c>
      <c r="AF3554" s="204" t="s">
        <v>398</v>
      </c>
      <c r="AG3554" s="204" t="s">
        <v>398</v>
      </c>
      <c r="AS3554" s="65" t="str">
        <f>IFERROR(VLOOKUP(#REF!,[1]Lookup!$B$2:$E$115,4,FALSE),"")</f>
        <v/>
      </c>
      <c r="AT3554" s="65" t="str">
        <f>IFERROR(VLOOKUP(#REF!,[1]Lookup!$B$2:$E$115,2,FALSE),"")</f>
        <v/>
      </c>
      <c r="AU3554" s="65" t="str">
        <f>IFERROR(VLOOKUP(#REF!,[1]Lookup!$B$2:$E$115,3,FALSE),"")</f>
        <v/>
      </c>
    </row>
    <row r="3555" spans="31:47" x14ac:dyDescent="0.3">
      <c r="AE3555" s="204" t="s">
        <v>398</v>
      </c>
      <c r="AF3555" s="204" t="s">
        <v>398</v>
      </c>
      <c r="AG3555" s="204" t="s">
        <v>398</v>
      </c>
      <c r="AS3555" s="65" t="str">
        <f>IFERROR(VLOOKUP(#REF!,[1]Lookup!$B$2:$E$115,4,FALSE),"")</f>
        <v/>
      </c>
      <c r="AT3555" s="65" t="str">
        <f>IFERROR(VLOOKUP(#REF!,[1]Lookup!$B$2:$E$115,2,FALSE),"")</f>
        <v/>
      </c>
      <c r="AU3555" s="65" t="str">
        <f>IFERROR(VLOOKUP(#REF!,[1]Lookup!$B$2:$E$115,3,FALSE),"")</f>
        <v/>
      </c>
    </row>
    <row r="3556" spans="31:47" x14ac:dyDescent="0.3">
      <c r="AE3556" s="204" t="s">
        <v>398</v>
      </c>
      <c r="AF3556" s="204" t="s">
        <v>398</v>
      </c>
      <c r="AG3556" s="204" t="s">
        <v>398</v>
      </c>
      <c r="AS3556" s="65" t="str">
        <f>IFERROR(VLOOKUP(#REF!,[1]Lookup!$B$2:$E$115,4,FALSE),"")</f>
        <v/>
      </c>
      <c r="AT3556" s="65" t="str">
        <f>IFERROR(VLOOKUP(#REF!,[1]Lookup!$B$2:$E$115,2,FALSE),"")</f>
        <v/>
      </c>
      <c r="AU3556" s="65" t="str">
        <f>IFERROR(VLOOKUP(#REF!,[1]Lookup!$B$2:$E$115,3,FALSE),"")</f>
        <v/>
      </c>
    </row>
    <row r="3557" spans="31:47" x14ac:dyDescent="0.3">
      <c r="AE3557" s="204" t="s">
        <v>398</v>
      </c>
      <c r="AF3557" s="204" t="s">
        <v>398</v>
      </c>
      <c r="AG3557" s="204" t="s">
        <v>398</v>
      </c>
      <c r="AS3557" s="65" t="str">
        <f>IFERROR(VLOOKUP(#REF!,[1]Lookup!$B$2:$E$115,4,FALSE),"")</f>
        <v/>
      </c>
      <c r="AT3557" s="65" t="str">
        <f>IFERROR(VLOOKUP(#REF!,[1]Lookup!$B$2:$E$115,2,FALSE),"")</f>
        <v/>
      </c>
      <c r="AU3557" s="65" t="str">
        <f>IFERROR(VLOOKUP(#REF!,[1]Lookup!$B$2:$E$115,3,FALSE),"")</f>
        <v/>
      </c>
    </row>
    <row r="3558" spans="31:47" x14ac:dyDescent="0.3">
      <c r="AE3558" s="204" t="s">
        <v>398</v>
      </c>
      <c r="AF3558" s="204" t="s">
        <v>398</v>
      </c>
      <c r="AG3558" s="204" t="s">
        <v>398</v>
      </c>
      <c r="AS3558" s="65" t="str">
        <f>IFERROR(VLOOKUP(#REF!,[1]Lookup!$B$2:$E$115,4,FALSE),"")</f>
        <v/>
      </c>
      <c r="AT3558" s="65" t="str">
        <f>IFERROR(VLOOKUP(#REF!,[1]Lookup!$B$2:$E$115,2,FALSE),"")</f>
        <v/>
      </c>
      <c r="AU3558" s="65" t="str">
        <f>IFERROR(VLOOKUP(#REF!,[1]Lookup!$B$2:$E$115,3,FALSE),"")</f>
        <v/>
      </c>
    </row>
    <row r="3559" spans="31:47" x14ac:dyDescent="0.3">
      <c r="AE3559" s="204" t="s">
        <v>398</v>
      </c>
      <c r="AF3559" s="204" t="s">
        <v>398</v>
      </c>
      <c r="AG3559" s="204" t="s">
        <v>398</v>
      </c>
      <c r="AS3559" s="65" t="str">
        <f>IFERROR(VLOOKUP(#REF!,[1]Lookup!$B$2:$E$115,4,FALSE),"")</f>
        <v/>
      </c>
      <c r="AT3559" s="65" t="str">
        <f>IFERROR(VLOOKUP(#REF!,[1]Lookup!$B$2:$E$115,2,FALSE),"")</f>
        <v/>
      </c>
      <c r="AU3559" s="65" t="str">
        <f>IFERROR(VLOOKUP(#REF!,[1]Lookup!$B$2:$E$115,3,FALSE),"")</f>
        <v/>
      </c>
    </row>
    <row r="3560" spans="31:47" x14ac:dyDescent="0.3">
      <c r="AE3560" s="204" t="s">
        <v>398</v>
      </c>
      <c r="AF3560" s="204" t="s">
        <v>398</v>
      </c>
      <c r="AG3560" s="204" t="s">
        <v>398</v>
      </c>
      <c r="AS3560" s="65" t="str">
        <f>IFERROR(VLOOKUP(#REF!,[1]Lookup!$B$2:$E$115,4,FALSE),"")</f>
        <v/>
      </c>
      <c r="AT3560" s="65" t="str">
        <f>IFERROR(VLOOKUP(#REF!,[1]Lookup!$B$2:$E$115,2,FALSE),"")</f>
        <v/>
      </c>
      <c r="AU3560" s="65" t="str">
        <f>IFERROR(VLOOKUP(#REF!,[1]Lookup!$B$2:$E$115,3,FALSE),"")</f>
        <v/>
      </c>
    </row>
    <row r="3561" spans="31:47" x14ac:dyDescent="0.3">
      <c r="AE3561" s="204" t="s">
        <v>398</v>
      </c>
      <c r="AF3561" s="204" t="s">
        <v>398</v>
      </c>
      <c r="AG3561" s="204" t="s">
        <v>398</v>
      </c>
      <c r="AS3561" s="65" t="str">
        <f>IFERROR(VLOOKUP(#REF!,[1]Lookup!$B$2:$E$115,4,FALSE),"")</f>
        <v/>
      </c>
      <c r="AT3561" s="65" t="str">
        <f>IFERROR(VLOOKUP(#REF!,[1]Lookup!$B$2:$E$115,2,FALSE),"")</f>
        <v/>
      </c>
      <c r="AU3561" s="65" t="str">
        <f>IFERROR(VLOOKUP(#REF!,[1]Lookup!$B$2:$E$115,3,FALSE),"")</f>
        <v/>
      </c>
    </row>
    <row r="3562" spans="31:47" x14ac:dyDescent="0.3">
      <c r="AE3562" s="204" t="s">
        <v>398</v>
      </c>
      <c r="AF3562" s="204" t="s">
        <v>398</v>
      </c>
      <c r="AG3562" s="204" t="s">
        <v>398</v>
      </c>
      <c r="AS3562" s="65" t="str">
        <f>IFERROR(VLOOKUP(#REF!,[1]Lookup!$B$2:$E$115,4,FALSE),"")</f>
        <v/>
      </c>
      <c r="AT3562" s="65" t="str">
        <f>IFERROR(VLOOKUP(#REF!,[1]Lookup!$B$2:$E$115,2,FALSE),"")</f>
        <v/>
      </c>
      <c r="AU3562" s="65" t="str">
        <f>IFERROR(VLOOKUP(#REF!,[1]Lookup!$B$2:$E$115,3,FALSE),"")</f>
        <v/>
      </c>
    </row>
    <row r="3563" spans="31:47" x14ac:dyDescent="0.3">
      <c r="AE3563" s="204" t="s">
        <v>398</v>
      </c>
      <c r="AF3563" s="204" t="s">
        <v>398</v>
      </c>
      <c r="AG3563" s="204" t="s">
        <v>398</v>
      </c>
      <c r="AS3563" s="65" t="str">
        <f>IFERROR(VLOOKUP(#REF!,[1]Lookup!$B$2:$E$115,4,FALSE),"")</f>
        <v/>
      </c>
      <c r="AT3563" s="65" t="str">
        <f>IFERROR(VLOOKUP(#REF!,[1]Lookup!$B$2:$E$115,2,FALSE),"")</f>
        <v/>
      </c>
      <c r="AU3563" s="65" t="str">
        <f>IFERROR(VLOOKUP(#REF!,[1]Lookup!$B$2:$E$115,3,FALSE),"")</f>
        <v/>
      </c>
    </row>
    <row r="3564" spans="31:47" x14ac:dyDescent="0.3">
      <c r="AE3564" s="204" t="s">
        <v>398</v>
      </c>
      <c r="AF3564" s="204" t="s">
        <v>398</v>
      </c>
      <c r="AG3564" s="204" t="s">
        <v>398</v>
      </c>
      <c r="AS3564" s="65" t="str">
        <f>IFERROR(VLOOKUP(#REF!,[1]Lookup!$B$2:$E$115,4,FALSE),"")</f>
        <v/>
      </c>
      <c r="AT3564" s="65" t="str">
        <f>IFERROR(VLOOKUP(#REF!,[1]Lookup!$B$2:$E$115,2,FALSE),"")</f>
        <v/>
      </c>
      <c r="AU3564" s="65" t="str">
        <f>IFERROR(VLOOKUP(#REF!,[1]Lookup!$B$2:$E$115,3,FALSE),"")</f>
        <v/>
      </c>
    </row>
    <row r="3565" spans="31:47" x14ac:dyDescent="0.3">
      <c r="AE3565" s="204" t="s">
        <v>398</v>
      </c>
      <c r="AF3565" s="204" t="s">
        <v>398</v>
      </c>
      <c r="AG3565" s="204" t="s">
        <v>398</v>
      </c>
      <c r="AS3565" s="65" t="str">
        <f>IFERROR(VLOOKUP(#REF!,[1]Lookup!$B$2:$E$115,4,FALSE),"")</f>
        <v/>
      </c>
      <c r="AT3565" s="65" t="str">
        <f>IFERROR(VLOOKUP(#REF!,[1]Lookup!$B$2:$E$115,2,FALSE),"")</f>
        <v/>
      </c>
      <c r="AU3565" s="65" t="str">
        <f>IFERROR(VLOOKUP(#REF!,[1]Lookup!$B$2:$E$115,3,FALSE),"")</f>
        <v/>
      </c>
    </row>
    <row r="3566" spans="31:47" x14ac:dyDescent="0.3">
      <c r="AE3566" s="204" t="s">
        <v>398</v>
      </c>
      <c r="AF3566" s="204" t="s">
        <v>398</v>
      </c>
      <c r="AG3566" s="204" t="s">
        <v>398</v>
      </c>
      <c r="AS3566" s="65" t="str">
        <f>IFERROR(VLOOKUP(#REF!,[1]Lookup!$B$2:$E$115,4,FALSE),"")</f>
        <v/>
      </c>
      <c r="AT3566" s="65" t="str">
        <f>IFERROR(VLOOKUP(#REF!,[1]Lookup!$B$2:$E$115,2,FALSE),"")</f>
        <v/>
      </c>
      <c r="AU3566" s="65" t="str">
        <f>IFERROR(VLOOKUP(#REF!,[1]Lookup!$B$2:$E$115,3,FALSE),"")</f>
        <v/>
      </c>
    </row>
    <row r="3567" spans="31:47" x14ac:dyDescent="0.3">
      <c r="AE3567" s="204" t="s">
        <v>398</v>
      </c>
      <c r="AF3567" s="204" t="s">
        <v>398</v>
      </c>
      <c r="AG3567" s="204" t="s">
        <v>398</v>
      </c>
      <c r="AS3567" s="65" t="str">
        <f>IFERROR(VLOOKUP(#REF!,[1]Lookup!$B$2:$E$115,4,FALSE),"")</f>
        <v/>
      </c>
      <c r="AT3567" s="65" t="str">
        <f>IFERROR(VLOOKUP(#REF!,[1]Lookup!$B$2:$E$115,2,FALSE),"")</f>
        <v/>
      </c>
      <c r="AU3567" s="65" t="str">
        <f>IFERROR(VLOOKUP(#REF!,[1]Lookup!$B$2:$E$115,3,FALSE),"")</f>
        <v/>
      </c>
    </row>
    <row r="3568" spans="31:47" x14ac:dyDescent="0.3">
      <c r="AE3568" s="204" t="s">
        <v>398</v>
      </c>
      <c r="AF3568" s="204" t="s">
        <v>398</v>
      </c>
      <c r="AG3568" s="204" t="s">
        <v>398</v>
      </c>
      <c r="AS3568" s="65" t="str">
        <f>IFERROR(VLOOKUP(#REF!,[1]Lookup!$B$2:$E$115,4,FALSE),"")</f>
        <v/>
      </c>
      <c r="AT3568" s="65" t="str">
        <f>IFERROR(VLOOKUP(#REF!,[1]Lookup!$B$2:$E$115,2,FALSE),"")</f>
        <v/>
      </c>
      <c r="AU3568" s="65" t="str">
        <f>IFERROR(VLOOKUP(#REF!,[1]Lookup!$B$2:$E$115,3,FALSE),"")</f>
        <v/>
      </c>
    </row>
    <row r="3569" spans="31:47" x14ac:dyDescent="0.3">
      <c r="AE3569" s="204" t="s">
        <v>398</v>
      </c>
      <c r="AF3569" s="204" t="s">
        <v>398</v>
      </c>
      <c r="AG3569" s="204" t="s">
        <v>398</v>
      </c>
      <c r="AS3569" s="65" t="str">
        <f>IFERROR(VLOOKUP(#REF!,[1]Lookup!$B$2:$E$115,4,FALSE),"")</f>
        <v/>
      </c>
      <c r="AT3569" s="65" t="str">
        <f>IFERROR(VLOOKUP(#REF!,[1]Lookup!$B$2:$E$115,2,FALSE),"")</f>
        <v/>
      </c>
      <c r="AU3569" s="65" t="str">
        <f>IFERROR(VLOOKUP(#REF!,[1]Lookup!$B$2:$E$115,3,FALSE),"")</f>
        <v/>
      </c>
    </row>
    <row r="3570" spans="31:47" x14ac:dyDescent="0.3">
      <c r="AE3570" s="204" t="s">
        <v>398</v>
      </c>
      <c r="AF3570" s="204" t="s">
        <v>398</v>
      </c>
      <c r="AG3570" s="204" t="s">
        <v>398</v>
      </c>
      <c r="AS3570" s="65" t="str">
        <f>IFERROR(VLOOKUP(#REF!,[1]Lookup!$B$2:$E$115,4,FALSE),"")</f>
        <v/>
      </c>
      <c r="AT3570" s="65" t="str">
        <f>IFERROR(VLOOKUP(#REF!,[1]Lookup!$B$2:$E$115,2,FALSE),"")</f>
        <v/>
      </c>
      <c r="AU3570" s="65" t="str">
        <f>IFERROR(VLOOKUP(#REF!,[1]Lookup!$B$2:$E$115,3,FALSE),"")</f>
        <v/>
      </c>
    </row>
    <row r="3571" spans="31:47" x14ac:dyDescent="0.3">
      <c r="AE3571" s="204" t="s">
        <v>398</v>
      </c>
      <c r="AF3571" s="204" t="s">
        <v>398</v>
      </c>
      <c r="AG3571" s="204" t="s">
        <v>398</v>
      </c>
      <c r="AS3571" s="65" t="str">
        <f>IFERROR(VLOOKUP(#REF!,[1]Lookup!$B$2:$E$115,4,FALSE),"")</f>
        <v/>
      </c>
      <c r="AT3571" s="65" t="str">
        <f>IFERROR(VLOOKUP(#REF!,[1]Lookup!$B$2:$E$115,2,FALSE),"")</f>
        <v/>
      </c>
      <c r="AU3571" s="65" t="str">
        <f>IFERROR(VLOOKUP(#REF!,[1]Lookup!$B$2:$E$115,3,FALSE),"")</f>
        <v/>
      </c>
    </row>
    <row r="3572" spans="31:47" x14ac:dyDescent="0.3">
      <c r="AE3572" s="204" t="s">
        <v>398</v>
      </c>
      <c r="AF3572" s="204" t="s">
        <v>398</v>
      </c>
      <c r="AG3572" s="204" t="s">
        <v>398</v>
      </c>
      <c r="AS3572" s="65" t="str">
        <f>IFERROR(VLOOKUP(#REF!,[1]Lookup!$B$2:$E$115,4,FALSE),"")</f>
        <v/>
      </c>
      <c r="AT3572" s="65" t="str">
        <f>IFERROR(VLOOKUP(#REF!,[1]Lookup!$B$2:$E$115,2,FALSE),"")</f>
        <v/>
      </c>
      <c r="AU3572" s="65" t="str">
        <f>IFERROR(VLOOKUP(#REF!,[1]Lookup!$B$2:$E$115,3,FALSE),"")</f>
        <v/>
      </c>
    </row>
    <row r="3573" spans="31:47" x14ac:dyDescent="0.3">
      <c r="AE3573" s="204" t="s">
        <v>398</v>
      </c>
      <c r="AF3573" s="204" t="s">
        <v>398</v>
      </c>
      <c r="AG3573" s="204" t="s">
        <v>398</v>
      </c>
      <c r="AS3573" s="65" t="str">
        <f>IFERROR(VLOOKUP(#REF!,[1]Lookup!$B$2:$E$115,4,FALSE),"")</f>
        <v/>
      </c>
      <c r="AT3573" s="65" t="str">
        <f>IFERROR(VLOOKUP(#REF!,[1]Lookup!$B$2:$E$115,2,FALSE),"")</f>
        <v/>
      </c>
      <c r="AU3573" s="65" t="str">
        <f>IFERROR(VLOOKUP(#REF!,[1]Lookup!$B$2:$E$115,3,FALSE),"")</f>
        <v/>
      </c>
    </row>
    <row r="3574" spans="31:47" x14ac:dyDescent="0.3">
      <c r="AE3574" s="204" t="s">
        <v>398</v>
      </c>
      <c r="AF3574" s="204" t="s">
        <v>398</v>
      </c>
      <c r="AG3574" s="204" t="s">
        <v>398</v>
      </c>
      <c r="AS3574" s="65" t="str">
        <f>IFERROR(VLOOKUP(#REF!,[1]Lookup!$B$2:$E$115,4,FALSE),"")</f>
        <v/>
      </c>
      <c r="AT3574" s="65" t="str">
        <f>IFERROR(VLOOKUP(#REF!,[1]Lookup!$B$2:$E$115,2,FALSE),"")</f>
        <v/>
      </c>
      <c r="AU3574" s="65" t="str">
        <f>IFERROR(VLOOKUP(#REF!,[1]Lookup!$B$2:$E$115,3,FALSE),"")</f>
        <v/>
      </c>
    </row>
    <row r="3575" spans="31:47" x14ac:dyDescent="0.3">
      <c r="AE3575" s="204" t="s">
        <v>398</v>
      </c>
      <c r="AF3575" s="204" t="s">
        <v>398</v>
      </c>
      <c r="AG3575" s="204" t="s">
        <v>398</v>
      </c>
      <c r="AS3575" s="65" t="str">
        <f>IFERROR(VLOOKUP(#REF!,[1]Lookup!$B$2:$E$115,4,FALSE),"")</f>
        <v/>
      </c>
      <c r="AT3575" s="65" t="str">
        <f>IFERROR(VLOOKUP(#REF!,[1]Lookup!$B$2:$E$115,2,FALSE),"")</f>
        <v/>
      </c>
      <c r="AU3575" s="65" t="str">
        <f>IFERROR(VLOOKUP(#REF!,[1]Lookup!$B$2:$E$115,3,FALSE),"")</f>
        <v/>
      </c>
    </row>
    <row r="3576" spans="31:47" x14ac:dyDescent="0.3">
      <c r="AE3576" s="204" t="s">
        <v>398</v>
      </c>
      <c r="AF3576" s="204" t="s">
        <v>398</v>
      </c>
      <c r="AG3576" s="204" t="s">
        <v>398</v>
      </c>
      <c r="AS3576" s="65" t="str">
        <f>IFERROR(VLOOKUP(#REF!,[1]Lookup!$B$2:$E$115,4,FALSE),"")</f>
        <v/>
      </c>
      <c r="AT3576" s="65" t="str">
        <f>IFERROR(VLOOKUP(#REF!,[1]Lookup!$B$2:$E$115,2,FALSE),"")</f>
        <v/>
      </c>
      <c r="AU3576" s="65" t="str">
        <f>IFERROR(VLOOKUP(#REF!,[1]Lookup!$B$2:$E$115,3,FALSE),"")</f>
        <v/>
      </c>
    </row>
    <row r="3577" spans="31:47" x14ac:dyDescent="0.3">
      <c r="AE3577" s="204" t="s">
        <v>398</v>
      </c>
      <c r="AF3577" s="204" t="s">
        <v>398</v>
      </c>
      <c r="AG3577" s="204" t="s">
        <v>398</v>
      </c>
      <c r="AS3577" s="65" t="str">
        <f>IFERROR(VLOOKUP(#REF!,[1]Lookup!$B$2:$E$115,4,FALSE),"")</f>
        <v/>
      </c>
      <c r="AT3577" s="65" t="str">
        <f>IFERROR(VLOOKUP(#REF!,[1]Lookup!$B$2:$E$115,2,FALSE),"")</f>
        <v/>
      </c>
      <c r="AU3577" s="65" t="str">
        <f>IFERROR(VLOOKUP(#REF!,[1]Lookup!$B$2:$E$115,3,FALSE),"")</f>
        <v/>
      </c>
    </row>
    <row r="3578" spans="31:47" x14ac:dyDescent="0.3">
      <c r="AE3578" s="204" t="s">
        <v>398</v>
      </c>
      <c r="AF3578" s="204" t="s">
        <v>398</v>
      </c>
      <c r="AG3578" s="204" t="s">
        <v>398</v>
      </c>
      <c r="AS3578" s="65" t="str">
        <f>IFERROR(VLOOKUP(#REF!,[1]Lookup!$B$2:$E$115,4,FALSE),"")</f>
        <v/>
      </c>
      <c r="AT3578" s="65" t="str">
        <f>IFERROR(VLOOKUP(#REF!,[1]Lookup!$B$2:$E$115,2,FALSE),"")</f>
        <v/>
      </c>
      <c r="AU3578" s="65" t="str">
        <f>IFERROR(VLOOKUP(#REF!,[1]Lookup!$B$2:$E$115,3,FALSE),"")</f>
        <v/>
      </c>
    </row>
    <row r="3579" spans="31:47" x14ac:dyDescent="0.3">
      <c r="AE3579" s="204" t="s">
        <v>398</v>
      </c>
      <c r="AF3579" s="204" t="s">
        <v>398</v>
      </c>
      <c r="AG3579" s="204" t="s">
        <v>398</v>
      </c>
      <c r="AS3579" s="65" t="str">
        <f>IFERROR(VLOOKUP(#REF!,[1]Lookup!$B$2:$E$115,4,FALSE),"")</f>
        <v/>
      </c>
      <c r="AT3579" s="65" t="str">
        <f>IFERROR(VLOOKUP(#REF!,[1]Lookup!$B$2:$E$115,2,FALSE),"")</f>
        <v/>
      </c>
      <c r="AU3579" s="65" t="str">
        <f>IFERROR(VLOOKUP(#REF!,[1]Lookup!$B$2:$E$115,3,FALSE),"")</f>
        <v/>
      </c>
    </row>
    <row r="3580" spans="31:47" x14ac:dyDescent="0.3">
      <c r="AE3580" s="204" t="s">
        <v>398</v>
      </c>
      <c r="AF3580" s="204" t="s">
        <v>398</v>
      </c>
      <c r="AG3580" s="204" t="s">
        <v>398</v>
      </c>
      <c r="AS3580" s="65" t="str">
        <f>IFERROR(VLOOKUP(#REF!,[1]Lookup!$B$2:$E$115,4,FALSE),"")</f>
        <v/>
      </c>
      <c r="AT3580" s="65" t="str">
        <f>IFERROR(VLOOKUP(#REF!,[1]Lookup!$B$2:$E$115,2,FALSE),"")</f>
        <v/>
      </c>
      <c r="AU3580" s="65" t="str">
        <f>IFERROR(VLOOKUP(#REF!,[1]Lookup!$B$2:$E$115,3,FALSE),"")</f>
        <v/>
      </c>
    </row>
    <row r="3581" spans="31:47" x14ac:dyDescent="0.3">
      <c r="AE3581" s="204" t="s">
        <v>398</v>
      </c>
      <c r="AF3581" s="204" t="s">
        <v>398</v>
      </c>
      <c r="AG3581" s="204" t="s">
        <v>398</v>
      </c>
      <c r="AS3581" s="65" t="str">
        <f>IFERROR(VLOOKUP(#REF!,[1]Lookup!$B$2:$E$115,4,FALSE),"")</f>
        <v/>
      </c>
      <c r="AT3581" s="65" t="str">
        <f>IFERROR(VLOOKUP(#REF!,[1]Lookup!$B$2:$E$115,2,FALSE),"")</f>
        <v/>
      </c>
      <c r="AU3581" s="65" t="str">
        <f>IFERROR(VLOOKUP(#REF!,[1]Lookup!$B$2:$E$115,3,FALSE),"")</f>
        <v/>
      </c>
    </row>
    <row r="3582" spans="31:47" x14ac:dyDescent="0.3">
      <c r="AE3582" s="204" t="s">
        <v>398</v>
      </c>
      <c r="AF3582" s="204" t="s">
        <v>398</v>
      </c>
      <c r="AG3582" s="204" t="s">
        <v>398</v>
      </c>
      <c r="AS3582" s="65" t="str">
        <f>IFERROR(VLOOKUP(#REF!,[1]Lookup!$B$2:$E$115,4,FALSE),"")</f>
        <v/>
      </c>
      <c r="AT3582" s="65" t="str">
        <f>IFERROR(VLOOKUP(#REF!,[1]Lookup!$B$2:$E$115,2,FALSE),"")</f>
        <v/>
      </c>
      <c r="AU3582" s="65" t="str">
        <f>IFERROR(VLOOKUP(#REF!,[1]Lookup!$B$2:$E$115,3,FALSE),"")</f>
        <v/>
      </c>
    </row>
    <row r="3583" spans="31:47" x14ac:dyDescent="0.3">
      <c r="AE3583" s="204" t="s">
        <v>398</v>
      </c>
      <c r="AF3583" s="204" t="s">
        <v>398</v>
      </c>
      <c r="AG3583" s="204" t="s">
        <v>398</v>
      </c>
      <c r="AS3583" s="65" t="str">
        <f>IFERROR(VLOOKUP(#REF!,[1]Lookup!$B$2:$E$115,4,FALSE),"")</f>
        <v/>
      </c>
      <c r="AT3583" s="65" t="str">
        <f>IFERROR(VLOOKUP(#REF!,[1]Lookup!$B$2:$E$115,2,FALSE),"")</f>
        <v/>
      </c>
      <c r="AU3583" s="65" t="str">
        <f>IFERROR(VLOOKUP(#REF!,[1]Lookup!$B$2:$E$115,3,FALSE),"")</f>
        <v/>
      </c>
    </row>
    <row r="3584" spans="31:47" x14ac:dyDescent="0.3">
      <c r="AE3584" s="204" t="s">
        <v>398</v>
      </c>
      <c r="AF3584" s="204" t="s">
        <v>398</v>
      </c>
      <c r="AG3584" s="204" t="s">
        <v>398</v>
      </c>
      <c r="AS3584" s="65" t="str">
        <f>IFERROR(VLOOKUP(#REF!,[1]Lookup!$B$2:$E$115,4,FALSE),"")</f>
        <v/>
      </c>
      <c r="AT3584" s="65" t="str">
        <f>IFERROR(VLOOKUP(#REF!,[1]Lookup!$B$2:$E$115,2,FALSE),"")</f>
        <v/>
      </c>
      <c r="AU3584" s="65" t="str">
        <f>IFERROR(VLOOKUP(#REF!,[1]Lookup!$B$2:$E$115,3,FALSE),"")</f>
        <v/>
      </c>
    </row>
    <row r="3585" spans="31:47" x14ac:dyDescent="0.3">
      <c r="AE3585" s="204" t="s">
        <v>398</v>
      </c>
      <c r="AF3585" s="204" t="s">
        <v>398</v>
      </c>
      <c r="AG3585" s="204" t="s">
        <v>398</v>
      </c>
      <c r="AS3585" s="65" t="str">
        <f>IFERROR(VLOOKUP(#REF!,[1]Lookup!$B$2:$E$115,4,FALSE),"")</f>
        <v/>
      </c>
      <c r="AT3585" s="65" t="str">
        <f>IFERROR(VLOOKUP(#REF!,[1]Lookup!$B$2:$E$115,2,FALSE),"")</f>
        <v/>
      </c>
      <c r="AU3585" s="65" t="str">
        <f>IFERROR(VLOOKUP(#REF!,[1]Lookup!$B$2:$E$115,3,FALSE),"")</f>
        <v/>
      </c>
    </row>
    <row r="3586" spans="31:47" x14ac:dyDescent="0.3">
      <c r="AE3586" s="204" t="s">
        <v>398</v>
      </c>
      <c r="AF3586" s="204" t="s">
        <v>398</v>
      </c>
      <c r="AG3586" s="204" t="s">
        <v>398</v>
      </c>
      <c r="AS3586" s="65" t="str">
        <f>IFERROR(VLOOKUP(#REF!,[1]Lookup!$B$2:$E$115,4,FALSE),"")</f>
        <v/>
      </c>
      <c r="AT3586" s="65" t="str">
        <f>IFERROR(VLOOKUP(#REF!,[1]Lookup!$B$2:$E$115,2,FALSE),"")</f>
        <v/>
      </c>
      <c r="AU3586" s="65" t="str">
        <f>IFERROR(VLOOKUP(#REF!,[1]Lookup!$B$2:$E$115,3,FALSE),"")</f>
        <v/>
      </c>
    </row>
    <row r="3587" spans="31:47" x14ac:dyDescent="0.3">
      <c r="AE3587" s="204" t="s">
        <v>398</v>
      </c>
      <c r="AF3587" s="204" t="s">
        <v>398</v>
      </c>
      <c r="AG3587" s="204" t="s">
        <v>398</v>
      </c>
      <c r="AS3587" s="65" t="str">
        <f>IFERROR(VLOOKUP(#REF!,[1]Lookup!$B$2:$E$115,4,FALSE),"")</f>
        <v/>
      </c>
      <c r="AT3587" s="65" t="str">
        <f>IFERROR(VLOOKUP(#REF!,[1]Lookup!$B$2:$E$115,2,FALSE),"")</f>
        <v/>
      </c>
      <c r="AU3587" s="65" t="str">
        <f>IFERROR(VLOOKUP(#REF!,[1]Lookup!$B$2:$E$115,3,FALSE),"")</f>
        <v/>
      </c>
    </row>
    <row r="3588" spans="31:47" x14ac:dyDescent="0.3">
      <c r="AE3588" s="204" t="s">
        <v>398</v>
      </c>
      <c r="AF3588" s="204" t="s">
        <v>398</v>
      </c>
      <c r="AG3588" s="204" t="s">
        <v>398</v>
      </c>
      <c r="AS3588" s="65" t="str">
        <f>IFERROR(VLOOKUP(#REF!,[1]Lookup!$B$2:$E$115,4,FALSE),"")</f>
        <v/>
      </c>
      <c r="AT3588" s="65" t="str">
        <f>IFERROR(VLOOKUP(#REF!,[1]Lookup!$B$2:$E$115,2,FALSE),"")</f>
        <v/>
      </c>
      <c r="AU3588" s="65" t="str">
        <f>IFERROR(VLOOKUP(#REF!,[1]Lookup!$B$2:$E$115,3,FALSE),"")</f>
        <v/>
      </c>
    </row>
    <row r="3589" spans="31:47" x14ac:dyDescent="0.3">
      <c r="AE3589" s="204" t="s">
        <v>398</v>
      </c>
      <c r="AF3589" s="204" t="s">
        <v>398</v>
      </c>
      <c r="AG3589" s="204" t="s">
        <v>398</v>
      </c>
      <c r="AS3589" s="65" t="str">
        <f>IFERROR(VLOOKUP(#REF!,[1]Lookup!$B$2:$E$115,4,FALSE),"")</f>
        <v/>
      </c>
      <c r="AT3589" s="65" t="str">
        <f>IFERROR(VLOOKUP(#REF!,[1]Lookup!$B$2:$E$115,2,FALSE),"")</f>
        <v/>
      </c>
      <c r="AU3589" s="65" t="str">
        <f>IFERROR(VLOOKUP(#REF!,[1]Lookup!$B$2:$E$115,3,FALSE),"")</f>
        <v/>
      </c>
    </row>
    <row r="3590" spans="31:47" x14ac:dyDescent="0.3">
      <c r="AE3590" s="204" t="s">
        <v>398</v>
      </c>
      <c r="AF3590" s="204" t="s">
        <v>398</v>
      </c>
      <c r="AG3590" s="204" t="s">
        <v>398</v>
      </c>
      <c r="AS3590" s="65" t="str">
        <f>IFERROR(VLOOKUP(#REF!,[1]Lookup!$B$2:$E$115,4,FALSE),"")</f>
        <v/>
      </c>
      <c r="AT3590" s="65" t="str">
        <f>IFERROR(VLOOKUP(#REF!,[1]Lookup!$B$2:$E$115,2,FALSE),"")</f>
        <v/>
      </c>
      <c r="AU3590" s="65" t="str">
        <f>IFERROR(VLOOKUP(#REF!,[1]Lookup!$B$2:$E$115,3,FALSE),"")</f>
        <v/>
      </c>
    </row>
    <row r="3591" spans="31:47" x14ac:dyDescent="0.3">
      <c r="AE3591" s="204" t="s">
        <v>398</v>
      </c>
      <c r="AF3591" s="204" t="s">
        <v>398</v>
      </c>
      <c r="AG3591" s="204" t="s">
        <v>398</v>
      </c>
      <c r="AS3591" s="65" t="str">
        <f>IFERROR(VLOOKUP(#REF!,[1]Lookup!$B$2:$E$115,4,FALSE),"")</f>
        <v/>
      </c>
      <c r="AT3591" s="65" t="str">
        <f>IFERROR(VLOOKUP(#REF!,[1]Lookup!$B$2:$E$115,2,FALSE),"")</f>
        <v/>
      </c>
      <c r="AU3591" s="65" t="str">
        <f>IFERROR(VLOOKUP(#REF!,[1]Lookup!$B$2:$E$115,3,FALSE),"")</f>
        <v/>
      </c>
    </row>
    <row r="3592" spans="31:47" x14ac:dyDescent="0.3">
      <c r="AE3592" s="204" t="s">
        <v>398</v>
      </c>
      <c r="AF3592" s="204" t="s">
        <v>398</v>
      </c>
      <c r="AG3592" s="204" t="s">
        <v>398</v>
      </c>
      <c r="AS3592" s="65" t="str">
        <f>IFERROR(VLOOKUP(#REF!,[1]Lookup!$B$2:$E$115,4,FALSE),"")</f>
        <v/>
      </c>
      <c r="AT3592" s="65" t="str">
        <f>IFERROR(VLOOKUP(#REF!,[1]Lookup!$B$2:$E$115,2,FALSE),"")</f>
        <v/>
      </c>
      <c r="AU3592" s="65" t="str">
        <f>IFERROR(VLOOKUP(#REF!,[1]Lookup!$B$2:$E$115,3,FALSE),"")</f>
        <v/>
      </c>
    </row>
    <row r="3593" spans="31:47" x14ac:dyDescent="0.3">
      <c r="AE3593" s="204" t="s">
        <v>398</v>
      </c>
      <c r="AF3593" s="204" t="s">
        <v>398</v>
      </c>
      <c r="AG3593" s="204" t="s">
        <v>398</v>
      </c>
      <c r="AS3593" s="65" t="str">
        <f>IFERROR(VLOOKUP(#REF!,[1]Lookup!$B$2:$E$115,4,FALSE),"")</f>
        <v/>
      </c>
      <c r="AT3593" s="65" t="str">
        <f>IFERROR(VLOOKUP(#REF!,[1]Lookup!$B$2:$E$115,2,FALSE),"")</f>
        <v/>
      </c>
      <c r="AU3593" s="65" t="str">
        <f>IFERROR(VLOOKUP(#REF!,[1]Lookup!$B$2:$E$115,3,FALSE),"")</f>
        <v/>
      </c>
    </row>
    <row r="3594" spans="31:47" x14ac:dyDescent="0.3">
      <c r="AE3594" s="204" t="s">
        <v>398</v>
      </c>
      <c r="AF3594" s="204" t="s">
        <v>398</v>
      </c>
      <c r="AG3594" s="204" t="s">
        <v>398</v>
      </c>
      <c r="AS3594" s="65" t="str">
        <f>IFERROR(VLOOKUP(#REF!,[1]Lookup!$B$2:$E$115,4,FALSE),"")</f>
        <v/>
      </c>
      <c r="AT3594" s="65" t="str">
        <f>IFERROR(VLOOKUP(#REF!,[1]Lookup!$B$2:$E$115,2,FALSE),"")</f>
        <v/>
      </c>
      <c r="AU3594" s="65" t="str">
        <f>IFERROR(VLOOKUP(#REF!,[1]Lookup!$B$2:$E$115,3,FALSE),"")</f>
        <v/>
      </c>
    </row>
    <row r="3595" spans="31:47" x14ac:dyDescent="0.3">
      <c r="AE3595" s="204" t="s">
        <v>398</v>
      </c>
      <c r="AF3595" s="204" t="s">
        <v>398</v>
      </c>
      <c r="AG3595" s="204" t="s">
        <v>398</v>
      </c>
      <c r="AS3595" s="65" t="str">
        <f>IFERROR(VLOOKUP(#REF!,[1]Lookup!$B$2:$E$115,4,FALSE),"")</f>
        <v/>
      </c>
      <c r="AT3595" s="65" t="str">
        <f>IFERROR(VLOOKUP(#REF!,[1]Lookup!$B$2:$E$115,2,FALSE),"")</f>
        <v/>
      </c>
      <c r="AU3595" s="65" t="str">
        <f>IFERROR(VLOOKUP(#REF!,[1]Lookup!$B$2:$E$115,3,FALSE),"")</f>
        <v/>
      </c>
    </row>
    <row r="3596" spans="31:47" x14ac:dyDescent="0.3">
      <c r="AE3596" s="204" t="s">
        <v>398</v>
      </c>
      <c r="AF3596" s="204" t="s">
        <v>398</v>
      </c>
      <c r="AG3596" s="204" t="s">
        <v>398</v>
      </c>
      <c r="AS3596" s="65" t="str">
        <f>IFERROR(VLOOKUP(#REF!,[1]Lookup!$B$2:$E$115,4,FALSE),"")</f>
        <v/>
      </c>
      <c r="AT3596" s="65" t="str">
        <f>IFERROR(VLOOKUP(#REF!,[1]Lookup!$B$2:$E$115,2,FALSE),"")</f>
        <v/>
      </c>
      <c r="AU3596" s="65" t="str">
        <f>IFERROR(VLOOKUP(#REF!,[1]Lookup!$B$2:$E$115,3,FALSE),"")</f>
        <v/>
      </c>
    </row>
    <row r="3597" spans="31:47" x14ac:dyDescent="0.3">
      <c r="AE3597" s="204" t="s">
        <v>398</v>
      </c>
      <c r="AF3597" s="204" t="s">
        <v>398</v>
      </c>
      <c r="AG3597" s="204" t="s">
        <v>398</v>
      </c>
      <c r="AS3597" s="65" t="str">
        <f>IFERROR(VLOOKUP(#REF!,[1]Lookup!$B$2:$E$115,4,FALSE),"")</f>
        <v/>
      </c>
      <c r="AT3597" s="65" t="str">
        <f>IFERROR(VLOOKUP(#REF!,[1]Lookup!$B$2:$E$115,2,FALSE),"")</f>
        <v/>
      </c>
      <c r="AU3597" s="65" t="str">
        <f>IFERROR(VLOOKUP(#REF!,[1]Lookup!$B$2:$E$115,3,FALSE),"")</f>
        <v/>
      </c>
    </row>
    <row r="3598" spans="31:47" x14ac:dyDescent="0.3">
      <c r="AE3598" s="204" t="s">
        <v>398</v>
      </c>
      <c r="AF3598" s="204" t="s">
        <v>398</v>
      </c>
      <c r="AG3598" s="204" t="s">
        <v>398</v>
      </c>
      <c r="AS3598" s="65" t="str">
        <f>IFERROR(VLOOKUP(#REF!,[1]Lookup!$B$2:$E$115,4,FALSE),"")</f>
        <v/>
      </c>
      <c r="AT3598" s="65" t="str">
        <f>IFERROR(VLOOKUP(#REF!,[1]Lookup!$B$2:$E$115,2,FALSE),"")</f>
        <v/>
      </c>
      <c r="AU3598" s="65" t="str">
        <f>IFERROR(VLOOKUP(#REF!,[1]Lookup!$B$2:$E$115,3,FALSE),"")</f>
        <v/>
      </c>
    </row>
    <row r="3599" spans="31:47" x14ac:dyDescent="0.3">
      <c r="AE3599" s="204" t="s">
        <v>398</v>
      </c>
      <c r="AF3599" s="204" t="s">
        <v>398</v>
      </c>
      <c r="AG3599" s="204" t="s">
        <v>398</v>
      </c>
      <c r="AS3599" s="65" t="str">
        <f>IFERROR(VLOOKUP(#REF!,[1]Lookup!$B$2:$E$115,4,FALSE),"")</f>
        <v/>
      </c>
      <c r="AT3599" s="65" t="str">
        <f>IFERROR(VLOOKUP(#REF!,[1]Lookup!$B$2:$E$115,2,FALSE),"")</f>
        <v/>
      </c>
      <c r="AU3599" s="65" t="str">
        <f>IFERROR(VLOOKUP(#REF!,[1]Lookup!$B$2:$E$115,3,FALSE),"")</f>
        <v/>
      </c>
    </row>
    <row r="3600" spans="31:47" x14ac:dyDescent="0.3">
      <c r="AE3600" s="204" t="s">
        <v>398</v>
      </c>
      <c r="AF3600" s="204" t="s">
        <v>398</v>
      </c>
      <c r="AG3600" s="204" t="s">
        <v>398</v>
      </c>
      <c r="AS3600" s="65" t="str">
        <f>IFERROR(VLOOKUP(#REF!,[1]Lookup!$B$2:$E$115,4,FALSE),"")</f>
        <v/>
      </c>
      <c r="AT3600" s="65" t="str">
        <f>IFERROR(VLOOKUP(#REF!,[1]Lookup!$B$2:$E$115,2,FALSE),"")</f>
        <v/>
      </c>
      <c r="AU3600" s="65" t="str">
        <f>IFERROR(VLOOKUP(#REF!,[1]Lookup!$B$2:$E$115,3,FALSE),"")</f>
        <v/>
      </c>
    </row>
    <row r="3601" spans="31:47" x14ac:dyDescent="0.3">
      <c r="AE3601" s="204" t="s">
        <v>398</v>
      </c>
      <c r="AF3601" s="204" t="s">
        <v>398</v>
      </c>
      <c r="AG3601" s="204" t="s">
        <v>398</v>
      </c>
      <c r="AS3601" s="65" t="str">
        <f>IFERROR(VLOOKUP(#REF!,[1]Lookup!$B$2:$E$115,4,FALSE),"")</f>
        <v/>
      </c>
      <c r="AT3601" s="65" t="str">
        <f>IFERROR(VLOOKUP(#REF!,[1]Lookup!$B$2:$E$115,2,FALSE),"")</f>
        <v/>
      </c>
      <c r="AU3601" s="65" t="str">
        <f>IFERROR(VLOOKUP(#REF!,[1]Lookup!$B$2:$E$115,3,FALSE),"")</f>
        <v/>
      </c>
    </row>
    <row r="3602" spans="31:47" x14ac:dyDescent="0.3">
      <c r="AE3602" s="204" t="s">
        <v>398</v>
      </c>
      <c r="AF3602" s="204" t="s">
        <v>398</v>
      </c>
      <c r="AG3602" s="204" t="s">
        <v>398</v>
      </c>
      <c r="AS3602" s="65" t="str">
        <f>IFERROR(VLOOKUP(#REF!,[1]Lookup!$B$2:$E$115,4,FALSE),"")</f>
        <v/>
      </c>
      <c r="AT3602" s="65" t="str">
        <f>IFERROR(VLOOKUP(#REF!,[1]Lookup!$B$2:$E$115,2,FALSE),"")</f>
        <v/>
      </c>
      <c r="AU3602" s="65" t="str">
        <f>IFERROR(VLOOKUP(#REF!,[1]Lookup!$B$2:$E$115,3,FALSE),"")</f>
        <v/>
      </c>
    </row>
    <row r="3603" spans="31:47" x14ac:dyDescent="0.3">
      <c r="AE3603" s="204" t="s">
        <v>398</v>
      </c>
      <c r="AF3603" s="204" t="s">
        <v>398</v>
      </c>
      <c r="AG3603" s="204" t="s">
        <v>398</v>
      </c>
      <c r="AS3603" s="65" t="str">
        <f>IFERROR(VLOOKUP(#REF!,[1]Lookup!$B$2:$E$115,4,FALSE),"")</f>
        <v/>
      </c>
      <c r="AT3603" s="65" t="str">
        <f>IFERROR(VLOOKUP(#REF!,[1]Lookup!$B$2:$E$115,2,FALSE),"")</f>
        <v/>
      </c>
      <c r="AU3603" s="65" t="str">
        <f>IFERROR(VLOOKUP(#REF!,[1]Lookup!$B$2:$E$115,3,FALSE),"")</f>
        <v/>
      </c>
    </row>
    <row r="3604" spans="31:47" x14ac:dyDescent="0.3">
      <c r="AE3604" s="204" t="s">
        <v>398</v>
      </c>
      <c r="AF3604" s="204" t="s">
        <v>398</v>
      </c>
      <c r="AG3604" s="204" t="s">
        <v>398</v>
      </c>
      <c r="AS3604" s="65" t="str">
        <f>IFERROR(VLOOKUP(#REF!,[1]Lookup!$B$2:$E$115,4,FALSE),"")</f>
        <v/>
      </c>
      <c r="AT3604" s="65" t="str">
        <f>IFERROR(VLOOKUP(#REF!,[1]Lookup!$B$2:$E$115,2,FALSE),"")</f>
        <v/>
      </c>
      <c r="AU3604" s="65" t="str">
        <f>IFERROR(VLOOKUP(#REF!,[1]Lookup!$B$2:$E$115,3,FALSE),"")</f>
        <v/>
      </c>
    </row>
    <row r="3605" spans="31:47" x14ac:dyDescent="0.3">
      <c r="AE3605" s="204" t="s">
        <v>398</v>
      </c>
      <c r="AF3605" s="204" t="s">
        <v>398</v>
      </c>
      <c r="AG3605" s="204" t="s">
        <v>398</v>
      </c>
      <c r="AS3605" s="65" t="str">
        <f>IFERROR(VLOOKUP(#REF!,[1]Lookup!$B$2:$E$115,4,FALSE),"")</f>
        <v/>
      </c>
      <c r="AT3605" s="65" t="str">
        <f>IFERROR(VLOOKUP(#REF!,[1]Lookup!$B$2:$E$115,2,FALSE),"")</f>
        <v/>
      </c>
      <c r="AU3605" s="65" t="str">
        <f>IFERROR(VLOOKUP(#REF!,[1]Lookup!$B$2:$E$115,3,FALSE),"")</f>
        <v/>
      </c>
    </row>
    <row r="3606" spans="31:47" x14ac:dyDescent="0.3">
      <c r="AE3606" s="204" t="s">
        <v>398</v>
      </c>
      <c r="AF3606" s="204" t="s">
        <v>398</v>
      </c>
      <c r="AG3606" s="204" t="s">
        <v>398</v>
      </c>
      <c r="AS3606" s="65" t="str">
        <f>IFERROR(VLOOKUP(#REF!,[1]Lookup!$B$2:$E$115,4,FALSE),"")</f>
        <v/>
      </c>
      <c r="AT3606" s="65" t="str">
        <f>IFERROR(VLOOKUP(#REF!,[1]Lookup!$B$2:$E$115,2,FALSE),"")</f>
        <v/>
      </c>
      <c r="AU3606" s="65" t="str">
        <f>IFERROR(VLOOKUP(#REF!,[1]Lookup!$B$2:$E$115,3,FALSE),"")</f>
        <v/>
      </c>
    </row>
    <row r="3607" spans="31:47" x14ac:dyDescent="0.3">
      <c r="AE3607" s="204" t="s">
        <v>398</v>
      </c>
      <c r="AF3607" s="204" t="s">
        <v>398</v>
      </c>
      <c r="AG3607" s="204" t="s">
        <v>398</v>
      </c>
      <c r="AS3607" s="65" t="str">
        <f>IFERROR(VLOOKUP(#REF!,[1]Lookup!$B$2:$E$115,4,FALSE),"")</f>
        <v/>
      </c>
      <c r="AT3607" s="65" t="str">
        <f>IFERROR(VLOOKUP(#REF!,[1]Lookup!$B$2:$E$115,2,FALSE),"")</f>
        <v/>
      </c>
      <c r="AU3607" s="65" t="str">
        <f>IFERROR(VLOOKUP(#REF!,[1]Lookup!$B$2:$E$115,3,FALSE),"")</f>
        <v/>
      </c>
    </row>
    <row r="3608" spans="31:47" x14ac:dyDescent="0.3">
      <c r="AE3608" s="204" t="s">
        <v>398</v>
      </c>
      <c r="AF3608" s="204" t="s">
        <v>398</v>
      </c>
      <c r="AG3608" s="204" t="s">
        <v>398</v>
      </c>
      <c r="AS3608" s="65" t="str">
        <f>IFERROR(VLOOKUP(#REF!,[1]Lookup!$B$2:$E$115,4,FALSE),"")</f>
        <v/>
      </c>
      <c r="AT3608" s="65" t="str">
        <f>IFERROR(VLOOKUP(#REF!,[1]Lookup!$B$2:$E$115,2,FALSE),"")</f>
        <v/>
      </c>
      <c r="AU3608" s="65" t="str">
        <f>IFERROR(VLOOKUP(#REF!,[1]Lookup!$B$2:$E$115,3,FALSE),"")</f>
        <v/>
      </c>
    </row>
    <row r="3609" spans="31:47" x14ac:dyDescent="0.3">
      <c r="AE3609" s="204" t="s">
        <v>398</v>
      </c>
      <c r="AF3609" s="204" t="s">
        <v>398</v>
      </c>
      <c r="AG3609" s="204" t="s">
        <v>398</v>
      </c>
      <c r="AS3609" s="65" t="str">
        <f>IFERROR(VLOOKUP(#REF!,[1]Lookup!$B$2:$E$115,4,FALSE),"")</f>
        <v/>
      </c>
      <c r="AT3609" s="65" t="str">
        <f>IFERROR(VLOOKUP(#REF!,[1]Lookup!$B$2:$E$115,2,FALSE),"")</f>
        <v/>
      </c>
      <c r="AU3609" s="65" t="str">
        <f>IFERROR(VLOOKUP(#REF!,[1]Lookup!$B$2:$E$115,3,FALSE),"")</f>
        <v/>
      </c>
    </row>
    <row r="3610" spans="31:47" x14ac:dyDescent="0.3">
      <c r="AE3610" s="204" t="s">
        <v>398</v>
      </c>
      <c r="AF3610" s="204" t="s">
        <v>398</v>
      </c>
      <c r="AG3610" s="204" t="s">
        <v>398</v>
      </c>
      <c r="AS3610" s="65" t="str">
        <f>IFERROR(VLOOKUP(#REF!,[1]Lookup!$B$2:$E$115,4,FALSE),"")</f>
        <v/>
      </c>
      <c r="AT3610" s="65" t="str">
        <f>IFERROR(VLOOKUP(#REF!,[1]Lookup!$B$2:$E$115,2,FALSE),"")</f>
        <v/>
      </c>
      <c r="AU3610" s="65" t="str">
        <f>IFERROR(VLOOKUP(#REF!,[1]Lookup!$B$2:$E$115,3,FALSE),"")</f>
        <v/>
      </c>
    </row>
    <row r="3611" spans="31:47" x14ac:dyDescent="0.3">
      <c r="AE3611" s="204" t="s">
        <v>398</v>
      </c>
      <c r="AF3611" s="204" t="s">
        <v>398</v>
      </c>
      <c r="AG3611" s="204" t="s">
        <v>398</v>
      </c>
      <c r="AS3611" s="65" t="str">
        <f>IFERROR(VLOOKUP(#REF!,[1]Lookup!$B$2:$E$115,4,FALSE),"")</f>
        <v/>
      </c>
      <c r="AT3611" s="65" t="str">
        <f>IFERROR(VLOOKUP(#REF!,[1]Lookup!$B$2:$E$115,2,FALSE),"")</f>
        <v/>
      </c>
      <c r="AU3611" s="65" t="str">
        <f>IFERROR(VLOOKUP(#REF!,[1]Lookup!$B$2:$E$115,3,FALSE),"")</f>
        <v/>
      </c>
    </row>
    <row r="3612" spans="31:47" x14ac:dyDescent="0.3">
      <c r="AE3612" s="204" t="s">
        <v>398</v>
      </c>
      <c r="AF3612" s="204" t="s">
        <v>398</v>
      </c>
      <c r="AG3612" s="204" t="s">
        <v>398</v>
      </c>
      <c r="AS3612" s="65" t="str">
        <f>IFERROR(VLOOKUP(#REF!,[1]Lookup!$B$2:$E$115,4,FALSE),"")</f>
        <v/>
      </c>
      <c r="AT3612" s="65" t="str">
        <f>IFERROR(VLOOKUP(#REF!,[1]Lookup!$B$2:$E$115,2,FALSE),"")</f>
        <v/>
      </c>
      <c r="AU3612" s="65" t="str">
        <f>IFERROR(VLOOKUP(#REF!,[1]Lookup!$B$2:$E$115,3,FALSE),"")</f>
        <v/>
      </c>
    </row>
    <row r="3613" spans="31:47" x14ac:dyDescent="0.3">
      <c r="AE3613" s="204" t="s">
        <v>398</v>
      </c>
      <c r="AF3613" s="204" t="s">
        <v>398</v>
      </c>
      <c r="AG3613" s="204" t="s">
        <v>398</v>
      </c>
      <c r="AS3613" s="65" t="str">
        <f>IFERROR(VLOOKUP(#REF!,[1]Lookup!$B$2:$E$115,4,FALSE),"")</f>
        <v/>
      </c>
      <c r="AT3613" s="65" t="str">
        <f>IFERROR(VLOOKUP(#REF!,[1]Lookup!$B$2:$E$115,2,FALSE),"")</f>
        <v/>
      </c>
      <c r="AU3613" s="65" t="str">
        <f>IFERROR(VLOOKUP(#REF!,[1]Lookup!$B$2:$E$115,3,FALSE),"")</f>
        <v/>
      </c>
    </row>
    <row r="3614" spans="31:47" x14ac:dyDescent="0.3">
      <c r="AE3614" s="204" t="s">
        <v>398</v>
      </c>
      <c r="AF3614" s="204" t="s">
        <v>398</v>
      </c>
      <c r="AG3614" s="204" t="s">
        <v>398</v>
      </c>
      <c r="AS3614" s="65" t="str">
        <f>IFERROR(VLOOKUP(#REF!,[1]Lookup!$B$2:$E$115,4,FALSE),"")</f>
        <v/>
      </c>
      <c r="AT3614" s="65" t="str">
        <f>IFERROR(VLOOKUP(#REF!,[1]Lookup!$B$2:$E$115,2,FALSE),"")</f>
        <v/>
      </c>
      <c r="AU3614" s="65" t="str">
        <f>IFERROR(VLOOKUP(#REF!,[1]Lookup!$B$2:$E$115,3,FALSE),"")</f>
        <v/>
      </c>
    </row>
    <row r="3615" spans="31:47" x14ac:dyDescent="0.3">
      <c r="AE3615" s="204" t="s">
        <v>398</v>
      </c>
      <c r="AF3615" s="204" t="s">
        <v>398</v>
      </c>
      <c r="AG3615" s="204" t="s">
        <v>398</v>
      </c>
      <c r="AS3615" s="65" t="str">
        <f>IFERROR(VLOOKUP(#REF!,[1]Lookup!$B$2:$E$115,4,FALSE),"")</f>
        <v/>
      </c>
      <c r="AT3615" s="65" t="str">
        <f>IFERROR(VLOOKUP(#REF!,[1]Lookup!$B$2:$E$115,2,FALSE),"")</f>
        <v/>
      </c>
      <c r="AU3615" s="65" t="str">
        <f>IFERROR(VLOOKUP(#REF!,[1]Lookup!$B$2:$E$115,3,FALSE),"")</f>
        <v/>
      </c>
    </row>
    <row r="3616" spans="31:47" x14ac:dyDescent="0.3">
      <c r="AE3616" s="204" t="s">
        <v>398</v>
      </c>
      <c r="AF3616" s="204" t="s">
        <v>398</v>
      </c>
      <c r="AG3616" s="204" t="s">
        <v>398</v>
      </c>
      <c r="AS3616" s="65" t="str">
        <f>IFERROR(VLOOKUP(#REF!,[1]Lookup!$B$2:$E$115,4,FALSE),"")</f>
        <v/>
      </c>
      <c r="AT3616" s="65" t="str">
        <f>IFERROR(VLOOKUP(#REF!,[1]Lookup!$B$2:$E$115,2,FALSE),"")</f>
        <v/>
      </c>
      <c r="AU3616" s="65" t="str">
        <f>IFERROR(VLOOKUP(#REF!,[1]Lookup!$B$2:$E$115,3,FALSE),"")</f>
        <v/>
      </c>
    </row>
    <row r="3617" spans="31:47" x14ac:dyDescent="0.3">
      <c r="AE3617" s="204" t="s">
        <v>398</v>
      </c>
      <c r="AF3617" s="204" t="s">
        <v>398</v>
      </c>
      <c r="AG3617" s="204" t="s">
        <v>398</v>
      </c>
      <c r="AS3617" s="65" t="str">
        <f>IFERROR(VLOOKUP(#REF!,[1]Lookup!$B$2:$E$115,4,FALSE),"")</f>
        <v/>
      </c>
      <c r="AT3617" s="65" t="str">
        <f>IFERROR(VLOOKUP(#REF!,[1]Lookup!$B$2:$E$115,2,FALSE),"")</f>
        <v/>
      </c>
      <c r="AU3617" s="65" t="str">
        <f>IFERROR(VLOOKUP(#REF!,[1]Lookup!$B$2:$E$115,3,FALSE),"")</f>
        <v/>
      </c>
    </row>
    <row r="3618" spans="31:47" x14ac:dyDescent="0.3">
      <c r="AE3618" s="204" t="s">
        <v>398</v>
      </c>
      <c r="AF3618" s="204" t="s">
        <v>398</v>
      </c>
      <c r="AG3618" s="204" t="s">
        <v>398</v>
      </c>
      <c r="AS3618" s="65" t="str">
        <f>IFERROR(VLOOKUP(#REF!,[1]Lookup!$B$2:$E$115,4,FALSE),"")</f>
        <v/>
      </c>
      <c r="AT3618" s="65" t="str">
        <f>IFERROR(VLOOKUP(#REF!,[1]Lookup!$B$2:$E$115,2,FALSE),"")</f>
        <v/>
      </c>
      <c r="AU3618" s="65" t="str">
        <f>IFERROR(VLOOKUP(#REF!,[1]Lookup!$B$2:$E$115,3,FALSE),"")</f>
        <v/>
      </c>
    </row>
    <row r="3619" spans="31:47" x14ac:dyDescent="0.3">
      <c r="AE3619" s="204" t="s">
        <v>398</v>
      </c>
      <c r="AF3619" s="204" t="s">
        <v>398</v>
      </c>
      <c r="AG3619" s="204" t="s">
        <v>398</v>
      </c>
      <c r="AS3619" s="65" t="str">
        <f>IFERROR(VLOOKUP(#REF!,[1]Lookup!$B$2:$E$115,4,FALSE),"")</f>
        <v/>
      </c>
      <c r="AT3619" s="65" t="str">
        <f>IFERROR(VLOOKUP(#REF!,[1]Lookup!$B$2:$E$115,2,FALSE),"")</f>
        <v/>
      </c>
      <c r="AU3619" s="65" t="str">
        <f>IFERROR(VLOOKUP(#REF!,[1]Lookup!$B$2:$E$115,3,FALSE),"")</f>
        <v/>
      </c>
    </row>
    <row r="3620" spans="31:47" x14ac:dyDescent="0.3">
      <c r="AE3620" s="204" t="s">
        <v>398</v>
      </c>
      <c r="AF3620" s="204" t="s">
        <v>398</v>
      </c>
      <c r="AG3620" s="204" t="s">
        <v>398</v>
      </c>
      <c r="AS3620" s="65" t="str">
        <f>IFERROR(VLOOKUP(#REF!,[1]Lookup!$B$2:$E$115,4,FALSE),"")</f>
        <v/>
      </c>
      <c r="AT3620" s="65" t="str">
        <f>IFERROR(VLOOKUP(#REF!,[1]Lookup!$B$2:$E$115,2,FALSE),"")</f>
        <v/>
      </c>
      <c r="AU3620" s="65" t="str">
        <f>IFERROR(VLOOKUP(#REF!,[1]Lookup!$B$2:$E$115,3,FALSE),"")</f>
        <v/>
      </c>
    </row>
    <row r="3621" spans="31:47" x14ac:dyDescent="0.3">
      <c r="AE3621" s="204" t="s">
        <v>398</v>
      </c>
      <c r="AF3621" s="204" t="s">
        <v>398</v>
      </c>
      <c r="AG3621" s="204" t="s">
        <v>398</v>
      </c>
      <c r="AS3621" s="65" t="str">
        <f>IFERROR(VLOOKUP(#REF!,[1]Lookup!$B$2:$E$115,4,FALSE),"")</f>
        <v/>
      </c>
      <c r="AT3621" s="65" t="str">
        <f>IFERROR(VLOOKUP(#REF!,[1]Lookup!$B$2:$E$115,2,FALSE),"")</f>
        <v/>
      </c>
      <c r="AU3621" s="65" t="str">
        <f>IFERROR(VLOOKUP(#REF!,[1]Lookup!$B$2:$E$115,3,FALSE),"")</f>
        <v/>
      </c>
    </row>
    <row r="3622" spans="31:47" x14ac:dyDescent="0.3">
      <c r="AE3622" s="204" t="s">
        <v>398</v>
      </c>
      <c r="AF3622" s="204" t="s">
        <v>398</v>
      </c>
      <c r="AG3622" s="204" t="s">
        <v>398</v>
      </c>
      <c r="AS3622" s="65" t="str">
        <f>IFERROR(VLOOKUP(#REF!,[1]Lookup!$B$2:$E$115,4,FALSE),"")</f>
        <v/>
      </c>
      <c r="AT3622" s="65" t="str">
        <f>IFERROR(VLOOKUP(#REF!,[1]Lookup!$B$2:$E$115,2,FALSE),"")</f>
        <v/>
      </c>
      <c r="AU3622" s="65" t="str">
        <f>IFERROR(VLOOKUP(#REF!,[1]Lookup!$B$2:$E$115,3,FALSE),"")</f>
        <v/>
      </c>
    </row>
    <row r="3623" spans="31:47" x14ac:dyDescent="0.3">
      <c r="AE3623" s="204" t="s">
        <v>398</v>
      </c>
      <c r="AF3623" s="204" t="s">
        <v>398</v>
      </c>
      <c r="AG3623" s="204" t="s">
        <v>398</v>
      </c>
      <c r="AS3623" s="65" t="str">
        <f>IFERROR(VLOOKUP(#REF!,[1]Lookup!$B$2:$E$115,4,FALSE),"")</f>
        <v/>
      </c>
      <c r="AT3623" s="65" t="str">
        <f>IFERROR(VLOOKUP(#REF!,[1]Lookup!$B$2:$E$115,2,FALSE),"")</f>
        <v/>
      </c>
      <c r="AU3623" s="65" t="str">
        <f>IFERROR(VLOOKUP(#REF!,[1]Lookup!$B$2:$E$115,3,FALSE),"")</f>
        <v/>
      </c>
    </row>
    <row r="3624" spans="31:47" x14ac:dyDescent="0.3">
      <c r="AE3624" s="204" t="s">
        <v>398</v>
      </c>
      <c r="AF3624" s="204" t="s">
        <v>398</v>
      </c>
      <c r="AG3624" s="204" t="s">
        <v>398</v>
      </c>
      <c r="AS3624" s="65" t="str">
        <f>IFERROR(VLOOKUP(#REF!,[1]Lookup!$B$2:$E$115,4,FALSE),"")</f>
        <v/>
      </c>
      <c r="AT3624" s="65" t="str">
        <f>IFERROR(VLOOKUP(#REF!,[1]Lookup!$B$2:$E$115,2,FALSE),"")</f>
        <v/>
      </c>
      <c r="AU3624" s="65" t="str">
        <f>IFERROR(VLOOKUP(#REF!,[1]Lookup!$B$2:$E$115,3,FALSE),"")</f>
        <v/>
      </c>
    </row>
    <row r="3625" spans="31:47" x14ac:dyDescent="0.3">
      <c r="AE3625" s="204" t="s">
        <v>398</v>
      </c>
      <c r="AF3625" s="204" t="s">
        <v>398</v>
      </c>
      <c r="AG3625" s="204" t="s">
        <v>398</v>
      </c>
      <c r="AS3625" s="65" t="str">
        <f>IFERROR(VLOOKUP(#REF!,[1]Lookup!$B$2:$E$115,4,FALSE),"")</f>
        <v/>
      </c>
      <c r="AT3625" s="65" t="str">
        <f>IFERROR(VLOOKUP(#REF!,[1]Lookup!$B$2:$E$115,2,FALSE),"")</f>
        <v/>
      </c>
      <c r="AU3625" s="65" t="str">
        <f>IFERROR(VLOOKUP(#REF!,[1]Lookup!$B$2:$E$115,3,FALSE),"")</f>
        <v/>
      </c>
    </row>
    <row r="3626" spans="31:47" x14ac:dyDescent="0.3">
      <c r="AE3626" s="204" t="s">
        <v>398</v>
      </c>
      <c r="AF3626" s="204" t="s">
        <v>398</v>
      </c>
      <c r="AG3626" s="204" t="s">
        <v>398</v>
      </c>
      <c r="AS3626" s="65" t="str">
        <f>IFERROR(VLOOKUP(#REF!,[1]Lookup!$B$2:$E$115,4,FALSE),"")</f>
        <v/>
      </c>
      <c r="AT3626" s="65" t="str">
        <f>IFERROR(VLOOKUP(#REF!,[1]Lookup!$B$2:$E$115,2,FALSE),"")</f>
        <v/>
      </c>
      <c r="AU3626" s="65" t="str">
        <f>IFERROR(VLOOKUP(#REF!,[1]Lookup!$B$2:$E$115,3,FALSE),"")</f>
        <v/>
      </c>
    </row>
    <row r="3627" spans="31:47" x14ac:dyDescent="0.3">
      <c r="AE3627" s="204" t="s">
        <v>398</v>
      </c>
      <c r="AF3627" s="204" t="s">
        <v>398</v>
      </c>
      <c r="AG3627" s="204" t="s">
        <v>398</v>
      </c>
      <c r="AS3627" s="65" t="str">
        <f>IFERROR(VLOOKUP(#REF!,[1]Lookup!$B$2:$E$115,4,FALSE),"")</f>
        <v/>
      </c>
      <c r="AT3627" s="65" t="str">
        <f>IFERROR(VLOOKUP(#REF!,[1]Lookup!$B$2:$E$115,2,FALSE),"")</f>
        <v/>
      </c>
      <c r="AU3627" s="65" t="str">
        <f>IFERROR(VLOOKUP(#REF!,[1]Lookup!$B$2:$E$115,3,FALSE),"")</f>
        <v/>
      </c>
    </row>
    <row r="3628" spans="31:47" x14ac:dyDescent="0.3">
      <c r="AE3628" s="204" t="s">
        <v>398</v>
      </c>
      <c r="AF3628" s="204" t="s">
        <v>398</v>
      </c>
      <c r="AG3628" s="204" t="s">
        <v>398</v>
      </c>
      <c r="AS3628" s="65" t="str">
        <f>IFERROR(VLOOKUP(#REF!,[1]Lookup!$B$2:$E$115,4,FALSE),"")</f>
        <v/>
      </c>
      <c r="AT3628" s="65" t="str">
        <f>IFERROR(VLOOKUP(#REF!,[1]Lookup!$B$2:$E$115,2,FALSE),"")</f>
        <v/>
      </c>
      <c r="AU3628" s="65" t="str">
        <f>IFERROR(VLOOKUP(#REF!,[1]Lookup!$B$2:$E$115,3,FALSE),"")</f>
        <v/>
      </c>
    </row>
    <row r="3629" spans="31:47" x14ac:dyDescent="0.3">
      <c r="AE3629" s="204" t="s">
        <v>398</v>
      </c>
      <c r="AF3629" s="204" t="s">
        <v>398</v>
      </c>
      <c r="AG3629" s="204" t="s">
        <v>398</v>
      </c>
      <c r="AS3629" s="65" t="str">
        <f>IFERROR(VLOOKUP(#REF!,[1]Lookup!$B$2:$E$115,4,FALSE),"")</f>
        <v/>
      </c>
      <c r="AT3629" s="65" t="str">
        <f>IFERROR(VLOOKUP(#REF!,[1]Lookup!$B$2:$E$115,2,FALSE),"")</f>
        <v/>
      </c>
      <c r="AU3629" s="65" t="str">
        <f>IFERROR(VLOOKUP(#REF!,[1]Lookup!$B$2:$E$115,3,FALSE),"")</f>
        <v/>
      </c>
    </row>
    <row r="3630" spans="31:47" x14ac:dyDescent="0.3">
      <c r="AE3630" s="204" t="s">
        <v>398</v>
      </c>
      <c r="AF3630" s="204" t="s">
        <v>398</v>
      </c>
      <c r="AG3630" s="204" t="s">
        <v>398</v>
      </c>
      <c r="AS3630" s="65" t="str">
        <f>IFERROR(VLOOKUP(#REF!,[1]Lookup!$B$2:$E$115,4,FALSE),"")</f>
        <v/>
      </c>
      <c r="AT3630" s="65" t="str">
        <f>IFERROR(VLOOKUP(#REF!,[1]Lookup!$B$2:$E$115,2,FALSE),"")</f>
        <v/>
      </c>
      <c r="AU3630" s="65" t="str">
        <f>IFERROR(VLOOKUP(#REF!,[1]Lookup!$B$2:$E$115,3,FALSE),"")</f>
        <v/>
      </c>
    </row>
    <row r="3631" spans="31:47" x14ac:dyDescent="0.3">
      <c r="AE3631" s="204" t="s">
        <v>398</v>
      </c>
      <c r="AF3631" s="204" t="s">
        <v>398</v>
      </c>
      <c r="AG3631" s="204" t="s">
        <v>398</v>
      </c>
      <c r="AS3631" s="65" t="str">
        <f>IFERROR(VLOOKUP(#REF!,[1]Lookup!$B$2:$E$115,4,FALSE),"")</f>
        <v/>
      </c>
      <c r="AT3631" s="65" t="str">
        <f>IFERROR(VLOOKUP(#REF!,[1]Lookup!$B$2:$E$115,2,FALSE),"")</f>
        <v/>
      </c>
      <c r="AU3631" s="65" t="str">
        <f>IFERROR(VLOOKUP(#REF!,[1]Lookup!$B$2:$E$115,3,FALSE),"")</f>
        <v/>
      </c>
    </row>
    <row r="3632" spans="31:47" x14ac:dyDescent="0.3">
      <c r="AE3632" s="204" t="s">
        <v>398</v>
      </c>
      <c r="AF3632" s="204" t="s">
        <v>398</v>
      </c>
      <c r="AG3632" s="204" t="s">
        <v>398</v>
      </c>
      <c r="AS3632" s="65" t="str">
        <f>IFERROR(VLOOKUP(#REF!,[1]Lookup!$B$2:$E$115,4,FALSE),"")</f>
        <v/>
      </c>
      <c r="AT3632" s="65" t="str">
        <f>IFERROR(VLOOKUP(#REF!,[1]Lookup!$B$2:$E$115,2,FALSE),"")</f>
        <v/>
      </c>
      <c r="AU3632" s="65" t="str">
        <f>IFERROR(VLOOKUP(#REF!,[1]Lookup!$B$2:$E$115,3,FALSE),"")</f>
        <v/>
      </c>
    </row>
    <row r="3633" spans="31:47" x14ac:dyDescent="0.3">
      <c r="AE3633" s="204" t="s">
        <v>398</v>
      </c>
      <c r="AF3633" s="204" t="s">
        <v>398</v>
      </c>
      <c r="AG3633" s="204" t="s">
        <v>398</v>
      </c>
      <c r="AS3633" s="65" t="str">
        <f>IFERROR(VLOOKUP(#REF!,[1]Lookup!$B$2:$E$115,4,FALSE),"")</f>
        <v/>
      </c>
      <c r="AT3633" s="65" t="str">
        <f>IFERROR(VLOOKUP(#REF!,[1]Lookup!$B$2:$E$115,2,FALSE),"")</f>
        <v/>
      </c>
      <c r="AU3633" s="65" t="str">
        <f>IFERROR(VLOOKUP(#REF!,[1]Lookup!$B$2:$E$115,3,FALSE),"")</f>
        <v/>
      </c>
    </row>
    <row r="3634" spans="31:47" x14ac:dyDescent="0.3">
      <c r="AE3634" s="204" t="s">
        <v>398</v>
      </c>
      <c r="AF3634" s="204" t="s">
        <v>398</v>
      </c>
      <c r="AG3634" s="204" t="s">
        <v>398</v>
      </c>
      <c r="AS3634" s="65" t="str">
        <f>IFERROR(VLOOKUP(#REF!,[1]Lookup!$B$2:$E$115,4,FALSE),"")</f>
        <v/>
      </c>
      <c r="AT3634" s="65" t="str">
        <f>IFERROR(VLOOKUP(#REF!,[1]Lookup!$B$2:$E$115,2,FALSE),"")</f>
        <v/>
      </c>
      <c r="AU3634" s="65" t="str">
        <f>IFERROR(VLOOKUP(#REF!,[1]Lookup!$B$2:$E$115,3,FALSE),"")</f>
        <v/>
      </c>
    </row>
    <row r="3635" spans="31:47" x14ac:dyDescent="0.3">
      <c r="AE3635" s="204" t="s">
        <v>398</v>
      </c>
      <c r="AF3635" s="204" t="s">
        <v>398</v>
      </c>
      <c r="AG3635" s="204" t="s">
        <v>398</v>
      </c>
      <c r="AS3635" s="65" t="str">
        <f>IFERROR(VLOOKUP(#REF!,[1]Lookup!$B$2:$E$115,4,FALSE),"")</f>
        <v/>
      </c>
      <c r="AT3635" s="65" t="str">
        <f>IFERROR(VLOOKUP(#REF!,[1]Lookup!$B$2:$E$115,2,FALSE),"")</f>
        <v/>
      </c>
      <c r="AU3635" s="65" t="str">
        <f>IFERROR(VLOOKUP(#REF!,[1]Lookup!$B$2:$E$115,3,FALSE),"")</f>
        <v/>
      </c>
    </row>
    <row r="3636" spans="31:47" x14ac:dyDescent="0.3">
      <c r="AE3636" s="204" t="s">
        <v>398</v>
      </c>
      <c r="AF3636" s="204" t="s">
        <v>398</v>
      </c>
      <c r="AG3636" s="204" t="s">
        <v>398</v>
      </c>
      <c r="AS3636" s="65" t="str">
        <f>IFERROR(VLOOKUP(#REF!,[1]Lookup!$B$2:$E$115,4,FALSE),"")</f>
        <v/>
      </c>
      <c r="AT3636" s="65" t="str">
        <f>IFERROR(VLOOKUP(#REF!,[1]Lookup!$B$2:$E$115,2,FALSE),"")</f>
        <v/>
      </c>
      <c r="AU3636" s="65" t="str">
        <f>IFERROR(VLOOKUP(#REF!,[1]Lookup!$B$2:$E$115,3,FALSE),"")</f>
        <v/>
      </c>
    </row>
    <row r="3637" spans="31:47" x14ac:dyDescent="0.3">
      <c r="AE3637" s="204" t="s">
        <v>398</v>
      </c>
      <c r="AF3637" s="204" t="s">
        <v>398</v>
      </c>
      <c r="AG3637" s="204" t="s">
        <v>398</v>
      </c>
      <c r="AS3637" s="65" t="str">
        <f>IFERROR(VLOOKUP(#REF!,[1]Lookup!$B$2:$E$115,4,FALSE),"")</f>
        <v/>
      </c>
      <c r="AT3637" s="65" t="str">
        <f>IFERROR(VLOOKUP(#REF!,[1]Lookup!$B$2:$E$115,2,FALSE),"")</f>
        <v/>
      </c>
      <c r="AU3637" s="65" t="str">
        <f>IFERROR(VLOOKUP(#REF!,[1]Lookup!$B$2:$E$115,3,FALSE),"")</f>
        <v/>
      </c>
    </row>
    <row r="3638" spans="31:47" x14ac:dyDescent="0.3">
      <c r="AE3638" s="204" t="s">
        <v>398</v>
      </c>
      <c r="AF3638" s="204" t="s">
        <v>398</v>
      </c>
      <c r="AG3638" s="204" t="s">
        <v>398</v>
      </c>
      <c r="AS3638" s="65" t="str">
        <f>IFERROR(VLOOKUP(#REF!,[1]Lookup!$B$2:$E$115,4,FALSE),"")</f>
        <v/>
      </c>
      <c r="AT3638" s="65" t="str">
        <f>IFERROR(VLOOKUP(#REF!,[1]Lookup!$B$2:$E$115,2,FALSE),"")</f>
        <v/>
      </c>
      <c r="AU3638" s="65" t="str">
        <f>IFERROR(VLOOKUP(#REF!,[1]Lookup!$B$2:$E$115,3,FALSE),"")</f>
        <v/>
      </c>
    </row>
    <row r="3639" spans="31:47" x14ac:dyDescent="0.3">
      <c r="AE3639" s="204" t="s">
        <v>398</v>
      </c>
      <c r="AF3639" s="204" t="s">
        <v>398</v>
      </c>
      <c r="AG3639" s="204" t="s">
        <v>398</v>
      </c>
      <c r="AS3639" s="65" t="str">
        <f>IFERROR(VLOOKUP(#REF!,[1]Lookup!$B$2:$E$115,4,FALSE),"")</f>
        <v/>
      </c>
      <c r="AT3639" s="65" t="str">
        <f>IFERROR(VLOOKUP(#REF!,[1]Lookup!$B$2:$E$115,2,FALSE),"")</f>
        <v/>
      </c>
      <c r="AU3639" s="65" t="str">
        <f>IFERROR(VLOOKUP(#REF!,[1]Lookup!$B$2:$E$115,3,FALSE),"")</f>
        <v/>
      </c>
    </row>
    <row r="3640" spans="31:47" x14ac:dyDescent="0.3">
      <c r="AE3640" s="204" t="s">
        <v>398</v>
      </c>
      <c r="AF3640" s="204" t="s">
        <v>398</v>
      </c>
      <c r="AG3640" s="204" t="s">
        <v>398</v>
      </c>
      <c r="AS3640" s="65" t="str">
        <f>IFERROR(VLOOKUP(#REF!,[1]Lookup!$B$2:$E$115,4,FALSE),"")</f>
        <v/>
      </c>
      <c r="AT3640" s="65" t="str">
        <f>IFERROR(VLOOKUP(#REF!,[1]Lookup!$B$2:$E$115,2,FALSE),"")</f>
        <v/>
      </c>
      <c r="AU3640" s="65" t="str">
        <f>IFERROR(VLOOKUP(#REF!,[1]Lookup!$B$2:$E$115,3,FALSE),"")</f>
        <v/>
      </c>
    </row>
    <row r="3641" spans="31:47" x14ac:dyDescent="0.3">
      <c r="AE3641" s="204" t="s">
        <v>398</v>
      </c>
      <c r="AF3641" s="204" t="s">
        <v>398</v>
      </c>
      <c r="AG3641" s="204" t="s">
        <v>398</v>
      </c>
      <c r="AS3641" s="65" t="str">
        <f>IFERROR(VLOOKUP(#REF!,[1]Lookup!$B$2:$E$115,4,FALSE),"")</f>
        <v/>
      </c>
      <c r="AT3641" s="65" t="str">
        <f>IFERROR(VLOOKUP(#REF!,[1]Lookup!$B$2:$E$115,2,FALSE),"")</f>
        <v/>
      </c>
      <c r="AU3641" s="65" t="str">
        <f>IFERROR(VLOOKUP(#REF!,[1]Lookup!$B$2:$E$115,3,FALSE),"")</f>
        <v/>
      </c>
    </row>
    <row r="3642" spans="31:47" x14ac:dyDescent="0.3">
      <c r="AE3642" s="204" t="s">
        <v>398</v>
      </c>
      <c r="AF3642" s="204" t="s">
        <v>398</v>
      </c>
      <c r="AG3642" s="204" t="s">
        <v>398</v>
      </c>
      <c r="AS3642" s="65" t="str">
        <f>IFERROR(VLOOKUP(#REF!,[1]Lookup!$B$2:$E$115,4,FALSE),"")</f>
        <v/>
      </c>
      <c r="AT3642" s="65" t="str">
        <f>IFERROR(VLOOKUP(#REF!,[1]Lookup!$B$2:$E$115,2,FALSE),"")</f>
        <v/>
      </c>
      <c r="AU3642" s="65" t="str">
        <f>IFERROR(VLOOKUP(#REF!,[1]Lookup!$B$2:$E$115,3,FALSE),"")</f>
        <v/>
      </c>
    </row>
    <row r="3643" spans="31:47" x14ac:dyDescent="0.3">
      <c r="AE3643" s="204" t="s">
        <v>398</v>
      </c>
      <c r="AF3643" s="204" t="s">
        <v>398</v>
      </c>
      <c r="AG3643" s="204" t="s">
        <v>398</v>
      </c>
      <c r="AS3643" s="65" t="str">
        <f>IFERROR(VLOOKUP(#REF!,[1]Lookup!$B$2:$E$115,4,FALSE),"")</f>
        <v/>
      </c>
      <c r="AT3643" s="65" t="str">
        <f>IFERROR(VLOOKUP(#REF!,[1]Lookup!$B$2:$E$115,2,FALSE),"")</f>
        <v/>
      </c>
      <c r="AU3643" s="65" t="str">
        <f>IFERROR(VLOOKUP(#REF!,[1]Lookup!$B$2:$E$115,3,FALSE),"")</f>
        <v/>
      </c>
    </row>
    <row r="3644" spans="31:47" x14ac:dyDescent="0.3">
      <c r="AE3644" s="204" t="s">
        <v>398</v>
      </c>
      <c r="AF3644" s="204" t="s">
        <v>398</v>
      </c>
      <c r="AG3644" s="204" t="s">
        <v>398</v>
      </c>
      <c r="AS3644" s="65" t="str">
        <f>IFERROR(VLOOKUP(#REF!,[1]Lookup!$B$2:$E$115,4,FALSE),"")</f>
        <v/>
      </c>
      <c r="AT3644" s="65" t="str">
        <f>IFERROR(VLOOKUP(#REF!,[1]Lookup!$B$2:$E$115,2,FALSE),"")</f>
        <v/>
      </c>
      <c r="AU3644" s="65" t="str">
        <f>IFERROR(VLOOKUP(#REF!,[1]Lookup!$B$2:$E$115,3,FALSE),"")</f>
        <v/>
      </c>
    </row>
    <row r="3645" spans="31:47" x14ac:dyDescent="0.3">
      <c r="AE3645" s="204" t="s">
        <v>398</v>
      </c>
      <c r="AF3645" s="204" t="s">
        <v>398</v>
      </c>
      <c r="AG3645" s="204" t="s">
        <v>398</v>
      </c>
      <c r="AS3645" s="65" t="str">
        <f>IFERROR(VLOOKUP(#REF!,[1]Lookup!$B$2:$E$115,4,FALSE),"")</f>
        <v/>
      </c>
      <c r="AT3645" s="65" t="str">
        <f>IFERROR(VLOOKUP(#REF!,[1]Lookup!$B$2:$E$115,2,FALSE),"")</f>
        <v/>
      </c>
      <c r="AU3645" s="65" t="str">
        <f>IFERROR(VLOOKUP(#REF!,[1]Lookup!$B$2:$E$115,3,FALSE),"")</f>
        <v/>
      </c>
    </row>
    <row r="3646" spans="31:47" x14ac:dyDescent="0.3">
      <c r="AE3646" s="204" t="s">
        <v>398</v>
      </c>
      <c r="AF3646" s="204" t="s">
        <v>398</v>
      </c>
      <c r="AG3646" s="204" t="s">
        <v>398</v>
      </c>
      <c r="AS3646" s="65" t="str">
        <f>IFERROR(VLOOKUP(#REF!,[1]Lookup!$B$2:$E$115,4,FALSE),"")</f>
        <v/>
      </c>
      <c r="AT3646" s="65" t="str">
        <f>IFERROR(VLOOKUP(#REF!,[1]Lookup!$B$2:$E$115,2,FALSE),"")</f>
        <v/>
      </c>
      <c r="AU3646" s="65" t="str">
        <f>IFERROR(VLOOKUP(#REF!,[1]Lookup!$B$2:$E$115,3,FALSE),"")</f>
        <v/>
      </c>
    </row>
    <row r="3647" spans="31:47" x14ac:dyDescent="0.3">
      <c r="AE3647" s="204" t="s">
        <v>398</v>
      </c>
      <c r="AF3647" s="204" t="s">
        <v>398</v>
      </c>
      <c r="AG3647" s="204" t="s">
        <v>398</v>
      </c>
      <c r="AS3647" s="65" t="str">
        <f>IFERROR(VLOOKUP(#REF!,[1]Lookup!$B$2:$E$115,4,FALSE),"")</f>
        <v/>
      </c>
      <c r="AT3647" s="65" t="str">
        <f>IFERROR(VLOOKUP(#REF!,[1]Lookup!$B$2:$E$115,2,FALSE),"")</f>
        <v/>
      </c>
      <c r="AU3647" s="65" t="str">
        <f>IFERROR(VLOOKUP(#REF!,[1]Lookup!$B$2:$E$115,3,FALSE),"")</f>
        <v/>
      </c>
    </row>
    <row r="3648" spans="31:47" x14ac:dyDescent="0.3">
      <c r="AE3648" s="204" t="s">
        <v>398</v>
      </c>
      <c r="AF3648" s="204" t="s">
        <v>398</v>
      </c>
      <c r="AG3648" s="204" t="s">
        <v>398</v>
      </c>
      <c r="AS3648" s="65" t="str">
        <f>IFERROR(VLOOKUP(#REF!,[1]Lookup!$B$2:$E$115,4,FALSE),"")</f>
        <v/>
      </c>
      <c r="AT3648" s="65" t="str">
        <f>IFERROR(VLOOKUP(#REF!,[1]Lookup!$B$2:$E$115,2,FALSE),"")</f>
        <v/>
      </c>
      <c r="AU3648" s="65" t="str">
        <f>IFERROR(VLOOKUP(#REF!,[1]Lookup!$B$2:$E$115,3,FALSE),"")</f>
        <v/>
      </c>
    </row>
    <row r="3649" spans="31:47" x14ac:dyDescent="0.3">
      <c r="AE3649" s="204" t="s">
        <v>398</v>
      </c>
      <c r="AF3649" s="204" t="s">
        <v>398</v>
      </c>
      <c r="AG3649" s="204" t="s">
        <v>398</v>
      </c>
      <c r="AS3649" s="65" t="str">
        <f>IFERROR(VLOOKUP(#REF!,[1]Lookup!$B$2:$E$115,4,FALSE),"")</f>
        <v/>
      </c>
      <c r="AT3649" s="65" t="str">
        <f>IFERROR(VLOOKUP(#REF!,[1]Lookup!$B$2:$E$115,2,FALSE),"")</f>
        <v/>
      </c>
      <c r="AU3649" s="65" t="str">
        <f>IFERROR(VLOOKUP(#REF!,[1]Lookup!$B$2:$E$115,3,FALSE),"")</f>
        <v/>
      </c>
    </row>
    <row r="3650" spans="31:47" x14ac:dyDescent="0.3">
      <c r="AE3650" s="204" t="s">
        <v>398</v>
      </c>
      <c r="AF3650" s="204" t="s">
        <v>398</v>
      </c>
      <c r="AG3650" s="204" t="s">
        <v>398</v>
      </c>
      <c r="AS3650" s="65" t="str">
        <f>IFERROR(VLOOKUP(#REF!,[1]Lookup!$B$2:$E$115,4,FALSE),"")</f>
        <v/>
      </c>
      <c r="AT3650" s="65" t="str">
        <f>IFERROR(VLOOKUP(#REF!,[1]Lookup!$B$2:$E$115,2,FALSE),"")</f>
        <v/>
      </c>
      <c r="AU3650" s="65" t="str">
        <f>IFERROR(VLOOKUP(#REF!,[1]Lookup!$B$2:$E$115,3,FALSE),"")</f>
        <v/>
      </c>
    </row>
    <row r="3651" spans="31:47" x14ac:dyDescent="0.3">
      <c r="AE3651" s="204" t="s">
        <v>398</v>
      </c>
      <c r="AF3651" s="204" t="s">
        <v>398</v>
      </c>
      <c r="AG3651" s="204" t="s">
        <v>398</v>
      </c>
      <c r="AS3651" s="65" t="str">
        <f>IFERROR(VLOOKUP(#REF!,[1]Lookup!$B$2:$E$115,4,FALSE),"")</f>
        <v/>
      </c>
      <c r="AT3651" s="65" t="str">
        <f>IFERROR(VLOOKUP(#REF!,[1]Lookup!$B$2:$E$115,2,FALSE),"")</f>
        <v/>
      </c>
      <c r="AU3651" s="65" t="str">
        <f>IFERROR(VLOOKUP(#REF!,[1]Lookup!$B$2:$E$115,3,FALSE),"")</f>
        <v/>
      </c>
    </row>
    <row r="3652" spans="31:47" x14ac:dyDescent="0.3">
      <c r="AE3652" s="204" t="s">
        <v>398</v>
      </c>
      <c r="AF3652" s="204" t="s">
        <v>398</v>
      </c>
      <c r="AG3652" s="204" t="s">
        <v>398</v>
      </c>
      <c r="AS3652" s="65" t="str">
        <f>IFERROR(VLOOKUP(#REF!,[1]Lookup!$B$2:$E$115,4,FALSE),"")</f>
        <v/>
      </c>
      <c r="AT3652" s="65" t="str">
        <f>IFERROR(VLOOKUP(#REF!,[1]Lookup!$B$2:$E$115,2,FALSE),"")</f>
        <v/>
      </c>
      <c r="AU3652" s="65" t="str">
        <f>IFERROR(VLOOKUP(#REF!,[1]Lookup!$B$2:$E$115,3,FALSE),"")</f>
        <v/>
      </c>
    </row>
    <row r="3653" spans="31:47" x14ac:dyDescent="0.3">
      <c r="AE3653" s="204" t="s">
        <v>398</v>
      </c>
      <c r="AF3653" s="204" t="s">
        <v>398</v>
      </c>
      <c r="AG3653" s="204" t="s">
        <v>398</v>
      </c>
      <c r="AS3653" s="65" t="str">
        <f>IFERROR(VLOOKUP(#REF!,[1]Lookup!$B$2:$E$115,4,FALSE),"")</f>
        <v/>
      </c>
      <c r="AT3653" s="65" t="str">
        <f>IFERROR(VLOOKUP(#REF!,[1]Lookup!$B$2:$E$115,2,FALSE),"")</f>
        <v/>
      </c>
      <c r="AU3653" s="65" t="str">
        <f>IFERROR(VLOOKUP(#REF!,[1]Lookup!$B$2:$E$115,3,FALSE),"")</f>
        <v/>
      </c>
    </row>
    <row r="3654" spans="31:47" x14ac:dyDescent="0.3">
      <c r="AE3654" s="204" t="s">
        <v>398</v>
      </c>
      <c r="AF3654" s="204" t="s">
        <v>398</v>
      </c>
      <c r="AG3654" s="204" t="s">
        <v>398</v>
      </c>
      <c r="AS3654" s="65" t="str">
        <f>IFERROR(VLOOKUP(#REF!,[1]Lookup!$B$2:$E$115,4,FALSE),"")</f>
        <v/>
      </c>
      <c r="AT3654" s="65" t="str">
        <f>IFERROR(VLOOKUP(#REF!,[1]Lookup!$B$2:$E$115,2,FALSE),"")</f>
        <v/>
      </c>
      <c r="AU3654" s="65" t="str">
        <f>IFERROR(VLOOKUP(#REF!,[1]Lookup!$B$2:$E$115,3,FALSE),"")</f>
        <v/>
      </c>
    </row>
    <row r="3655" spans="31:47" x14ac:dyDescent="0.3">
      <c r="AE3655" s="204" t="s">
        <v>398</v>
      </c>
      <c r="AF3655" s="204" t="s">
        <v>398</v>
      </c>
      <c r="AG3655" s="204" t="s">
        <v>398</v>
      </c>
      <c r="AS3655" s="65" t="str">
        <f>IFERROR(VLOOKUP(#REF!,[1]Lookup!$B$2:$E$115,4,FALSE),"")</f>
        <v/>
      </c>
      <c r="AT3655" s="65" t="str">
        <f>IFERROR(VLOOKUP(#REF!,[1]Lookup!$B$2:$E$115,2,FALSE),"")</f>
        <v/>
      </c>
      <c r="AU3655" s="65" t="str">
        <f>IFERROR(VLOOKUP(#REF!,[1]Lookup!$B$2:$E$115,3,FALSE),"")</f>
        <v/>
      </c>
    </row>
    <row r="3656" spans="31:47" x14ac:dyDescent="0.3">
      <c r="AE3656" s="204" t="s">
        <v>398</v>
      </c>
      <c r="AF3656" s="204" t="s">
        <v>398</v>
      </c>
      <c r="AG3656" s="204" t="s">
        <v>398</v>
      </c>
      <c r="AS3656" s="65" t="str">
        <f>IFERROR(VLOOKUP(#REF!,[1]Lookup!$B$2:$E$115,4,FALSE),"")</f>
        <v/>
      </c>
      <c r="AT3656" s="65" t="str">
        <f>IFERROR(VLOOKUP(#REF!,[1]Lookup!$B$2:$E$115,2,FALSE),"")</f>
        <v/>
      </c>
      <c r="AU3656" s="65" t="str">
        <f>IFERROR(VLOOKUP(#REF!,[1]Lookup!$B$2:$E$115,3,FALSE),"")</f>
        <v/>
      </c>
    </row>
    <row r="3657" spans="31:47" x14ac:dyDescent="0.3">
      <c r="AE3657" s="204" t="s">
        <v>398</v>
      </c>
      <c r="AF3657" s="204" t="s">
        <v>398</v>
      </c>
      <c r="AG3657" s="204" t="s">
        <v>398</v>
      </c>
      <c r="AS3657" s="65" t="str">
        <f>IFERROR(VLOOKUP(#REF!,[1]Lookup!$B$2:$E$115,4,FALSE),"")</f>
        <v/>
      </c>
      <c r="AT3657" s="65" t="str">
        <f>IFERROR(VLOOKUP(#REF!,[1]Lookup!$B$2:$E$115,2,FALSE),"")</f>
        <v/>
      </c>
      <c r="AU3657" s="65" t="str">
        <f>IFERROR(VLOOKUP(#REF!,[1]Lookup!$B$2:$E$115,3,FALSE),"")</f>
        <v/>
      </c>
    </row>
    <row r="3658" spans="31:47" x14ac:dyDescent="0.3">
      <c r="AE3658" s="204" t="s">
        <v>398</v>
      </c>
      <c r="AF3658" s="204" t="s">
        <v>398</v>
      </c>
      <c r="AG3658" s="204" t="s">
        <v>398</v>
      </c>
      <c r="AS3658" s="65" t="str">
        <f>IFERROR(VLOOKUP(#REF!,[1]Lookup!$B$2:$E$115,4,FALSE),"")</f>
        <v/>
      </c>
      <c r="AT3658" s="65" t="str">
        <f>IFERROR(VLOOKUP(#REF!,[1]Lookup!$B$2:$E$115,2,FALSE),"")</f>
        <v/>
      </c>
      <c r="AU3658" s="65" t="str">
        <f>IFERROR(VLOOKUP(#REF!,[1]Lookup!$B$2:$E$115,3,FALSE),"")</f>
        <v/>
      </c>
    </row>
    <row r="3659" spans="31:47" x14ac:dyDescent="0.3">
      <c r="AE3659" s="204" t="s">
        <v>398</v>
      </c>
      <c r="AF3659" s="204" t="s">
        <v>398</v>
      </c>
      <c r="AG3659" s="204" t="s">
        <v>398</v>
      </c>
      <c r="AS3659" s="65" t="str">
        <f>IFERROR(VLOOKUP(#REF!,[1]Lookup!$B$2:$E$115,4,FALSE),"")</f>
        <v/>
      </c>
      <c r="AT3659" s="65" t="str">
        <f>IFERROR(VLOOKUP(#REF!,[1]Lookup!$B$2:$E$115,2,FALSE),"")</f>
        <v/>
      </c>
      <c r="AU3659" s="65" t="str">
        <f>IFERROR(VLOOKUP(#REF!,[1]Lookup!$B$2:$E$115,3,FALSE),"")</f>
        <v/>
      </c>
    </row>
    <row r="3660" spans="31:47" x14ac:dyDescent="0.3">
      <c r="AE3660" s="204" t="s">
        <v>398</v>
      </c>
      <c r="AF3660" s="204" t="s">
        <v>398</v>
      </c>
      <c r="AG3660" s="204" t="s">
        <v>398</v>
      </c>
      <c r="AS3660" s="65" t="str">
        <f>IFERROR(VLOOKUP(#REF!,[1]Lookup!$B$2:$E$115,4,FALSE),"")</f>
        <v/>
      </c>
      <c r="AT3660" s="65" t="str">
        <f>IFERROR(VLOOKUP(#REF!,[1]Lookup!$B$2:$E$115,2,FALSE),"")</f>
        <v/>
      </c>
      <c r="AU3660" s="65" t="str">
        <f>IFERROR(VLOOKUP(#REF!,[1]Lookup!$B$2:$E$115,3,FALSE),"")</f>
        <v/>
      </c>
    </row>
    <row r="3661" spans="31:47" x14ac:dyDescent="0.3">
      <c r="AE3661" s="204" t="s">
        <v>398</v>
      </c>
      <c r="AF3661" s="204" t="s">
        <v>398</v>
      </c>
      <c r="AG3661" s="204" t="s">
        <v>398</v>
      </c>
      <c r="AS3661" s="65" t="str">
        <f>IFERROR(VLOOKUP(#REF!,[1]Lookup!$B$2:$E$115,4,FALSE),"")</f>
        <v/>
      </c>
      <c r="AT3661" s="65" t="str">
        <f>IFERROR(VLOOKUP(#REF!,[1]Lookup!$B$2:$E$115,2,FALSE),"")</f>
        <v/>
      </c>
      <c r="AU3661" s="65" t="str">
        <f>IFERROR(VLOOKUP(#REF!,[1]Lookup!$B$2:$E$115,3,FALSE),"")</f>
        <v/>
      </c>
    </row>
    <row r="3662" spans="31:47" x14ac:dyDescent="0.3">
      <c r="AE3662" s="204" t="s">
        <v>398</v>
      </c>
      <c r="AF3662" s="204" t="s">
        <v>398</v>
      </c>
      <c r="AG3662" s="204" t="s">
        <v>398</v>
      </c>
      <c r="AS3662" s="65" t="str">
        <f>IFERROR(VLOOKUP(#REF!,[1]Lookup!$B$2:$E$115,4,FALSE),"")</f>
        <v/>
      </c>
      <c r="AT3662" s="65" t="str">
        <f>IFERROR(VLOOKUP(#REF!,[1]Lookup!$B$2:$E$115,2,FALSE),"")</f>
        <v/>
      </c>
      <c r="AU3662" s="65" t="str">
        <f>IFERROR(VLOOKUP(#REF!,[1]Lookup!$B$2:$E$115,3,FALSE),"")</f>
        <v/>
      </c>
    </row>
    <row r="3663" spans="31:47" x14ac:dyDescent="0.3">
      <c r="AE3663" s="204" t="s">
        <v>398</v>
      </c>
      <c r="AF3663" s="204" t="s">
        <v>398</v>
      </c>
      <c r="AG3663" s="204" t="s">
        <v>398</v>
      </c>
      <c r="AS3663" s="65" t="str">
        <f>IFERROR(VLOOKUP(#REF!,[1]Lookup!$B$2:$E$115,4,FALSE),"")</f>
        <v/>
      </c>
      <c r="AT3663" s="65" t="str">
        <f>IFERROR(VLOOKUP(#REF!,[1]Lookup!$B$2:$E$115,2,FALSE),"")</f>
        <v/>
      </c>
      <c r="AU3663" s="65" t="str">
        <f>IFERROR(VLOOKUP(#REF!,[1]Lookup!$B$2:$E$115,3,FALSE),"")</f>
        <v/>
      </c>
    </row>
    <row r="3664" spans="31:47" x14ac:dyDescent="0.3">
      <c r="AE3664" s="204" t="s">
        <v>398</v>
      </c>
      <c r="AF3664" s="204" t="s">
        <v>398</v>
      </c>
      <c r="AG3664" s="204" t="s">
        <v>398</v>
      </c>
      <c r="AS3664" s="65" t="str">
        <f>IFERROR(VLOOKUP(#REF!,[1]Lookup!$B$2:$E$115,4,FALSE),"")</f>
        <v/>
      </c>
      <c r="AT3664" s="65" t="str">
        <f>IFERROR(VLOOKUP(#REF!,[1]Lookup!$B$2:$E$115,2,FALSE),"")</f>
        <v/>
      </c>
      <c r="AU3664" s="65" t="str">
        <f>IFERROR(VLOOKUP(#REF!,[1]Lookup!$B$2:$E$115,3,FALSE),"")</f>
        <v/>
      </c>
    </row>
    <row r="3665" spans="31:47" x14ac:dyDescent="0.3">
      <c r="AE3665" s="204" t="s">
        <v>398</v>
      </c>
      <c r="AF3665" s="204" t="s">
        <v>398</v>
      </c>
      <c r="AG3665" s="204" t="s">
        <v>398</v>
      </c>
      <c r="AS3665" s="65" t="str">
        <f>IFERROR(VLOOKUP(#REF!,[1]Lookup!$B$2:$E$115,4,FALSE),"")</f>
        <v/>
      </c>
      <c r="AT3665" s="65" t="str">
        <f>IFERROR(VLOOKUP(#REF!,[1]Lookup!$B$2:$E$115,2,FALSE),"")</f>
        <v/>
      </c>
      <c r="AU3665" s="65" t="str">
        <f>IFERROR(VLOOKUP(#REF!,[1]Lookup!$B$2:$E$115,3,FALSE),"")</f>
        <v/>
      </c>
    </row>
    <row r="3666" spans="31:47" x14ac:dyDescent="0.3">
      <c r="AE3666" s="204" t="s">
        <v>398</v>
      </c>
      <c r="AF3666" s="204" t="s">
        <v>398</v>
      </c>
      <c r="AG3666" s="204" t="s">
        <v>398</v>
      </c>
      <c r="AS3666" s="65" t="str">
        <f>IFERROR(VLOOKUP(#REF!,[1]Lookup!$B$2:$E$115,4,FALSE),"")</f>
        <v/>
      </c>
      <c r="AT3666" s="65" t="str">
        <f>IFERROR(VLOOKUP(#REF!,[1]Lookup!$B$2:$E$115,2,FALSE),"")</f>
        <v/>
      </c>
      <c r="AU3666" s="65" t="str">
        <f>IFERROR(VLOOKUP(#REF!,[1]Lookup!$B$2:$E$115,3,FALSE),"")</f>
        <v/>
      </c>
    </row>
    <row r="3667" spans="31:47" x14ac:dyDescent="0.3">
      <c r="AE3667" s="204" t="s">
        <v>398</v>
      </c>
      <c r="AF3667" s="204" t="s">
        <v>398</v>
      </c>
      <c r="AG3667" s="204" t="s">
        <v>398</v>
      </c>
      <c r="AS3667" s="65" t="str">
        <f>IFERROR(VLOOKUP(#REF!,[1]Lookup!$B$2:$E$115,4,FALSE),"")</f>
        <v/>
      </c>
      <c r="AT3667" s="65" t="str">
        <f>IFERROR(VLOOKUP(#REF!,[1]Lookup!$B$2:$E$115,2,FALSE),"")</f>
        <v/>
      </c>
      <c r="AU3667" s="65" t="str">
        <f>IFERROR(VLOOKUP(#REF!,[1]Lookup!$B$2:$E$115,3,FALSE),"")</f>
        <v/>
      </c>
    </row>
    <row r="3668" spans="31:47" x14ac:dyDescent="0.3">
      <c r="AE3668" s="204" t="s">
        <v>398</v>
      </c>
      <c r="AF3668" s="204" t="s">
        <v>398</v>
      </c>
      <c r="AG3668" s="204" t="s">
        <v>398</v>
      </c>
      <c r="AS3668" s="65" t="str">
        <f>IFERROR(VLOOKUP(#REF!,[1]Lookup!$B$2:$E$115,4,FALSE),"")</f>
        <v/>
      </c>
      <c r="AT3668" s="65" t="str">
        <f>IFERROR(VLOOKUP(#REF!,[1]Lookup!$B$2:$E$115,2,FALSE),"")</f>
        <v/>
      </c>
      <c r="AU3668" s="65" t="str">
        <f>IFERROR(VLOOKUP(#REF!,[1]Lookup!$B$2:$E$115,3,FALSE),"")</f>
        <v/>
      </c>
    </row>
    <row r="3669" spans="31:47" x14ac:dyDescent="0.3">
      <c r="AE3669" s="204" t="s">
        <v>398</v>
      </c>
      <c r="AF3669" s="204" t="s">
        <v>398</v>
      </c>
      <c r="AG3669" s="204" t="s">
        <v>398</v>
      </c>
      <c r="AS3669" s="65" t="str">
        <f>IFERROR(VLOOKUP(#REF!,[1]Lookup!$B$2:$E$115,4,FALSE),"")</f>
        <v/>
      </c>
      <c r="AT3669" s="65" t="str">
        <f>IFERROR(VLOOKUP(#REF!,[1]Lookup!$B$2:$E$115,2,FALSE),"")</f>
        <v/>
      </c>
      <c r="AU3669" s="65" t="str">
        <f>IFERROR(VLOOKUP(#REF!,[1]Lookup!$B$2:$E$115,3,FALSE),"")</f>
        <v/>
      </c>
    </row>
    <row r="3670" spans="31:47" x14ac:dyDescent="0.3">
      <c r="AE3670" s="204" t="s">
        <v>398</v>
      </c>
      <c r="AF3670" s="204" t="s">
        <v>398</v>
      </c>
      <c r="AG3670" s="204" t="s">
        <v>398</v>
      </c>
      <c r="AS3670" s="65" t="str">
        <f>IFERROR(VLOOKUP(#REF!,[1]Lookup!$B$2:$E$115,4,FALSE),"")</f>
        <v/>
      </c>
      <c r="AT3670" s="65" t="str">
        <f>IFERROR(VLOOKUP(#REF!,[1]Lookup!$B$2:$E$115,2,FALSE),"")</f>
        <v/>
      </c>
      <c r="AU3670" s="65" t="str">
        <f>IFERROR(VLOOKUP(#REF!,[1]Lookup!$B$2:$E$115,3,FALSE),"")</f>
        <v/>
      </c>
    </row>
    <row r="3671" spans="31:47" x14ac:dyDescent="0.3">
      <c r="AE3671" s="204" t="s">
        <v>398</v>
      </c>
      <c r="AF3671" s="204" t="s">
        <v>398</v>
      </c>
      <c r="AG3671" s="204" t="s">
        <v>398</v>
      </c>
      <c r="AS3671" s="65" t="str">
        <f>IFERROR(VLOOKUP(#REF!,[1]Lookup!$B$2:$E$115,4,FALSE),"")</f>
        <v/>
      </c>
      <c r="AT3671" s="65" t="str">
        <f>IFERROR(VLOOKUP(#REF!,[1]Lookup!$B$2:$E$115,2,FALSE),"")</f>
        <v/>
      </c>
      <c r="AU3671" s="65" t="str">
        <f>IFERROR(VLOOKUP(#REF!,[1]Lookup!$B$2:$E$115,3,FALSE),"")</f>
        <v/>
      </c>
    </row>
    <row r="3672" spans="31:47" x14ac:dyDescent="0.3">
      <c r="AE3672" s="204" t="s">
        <v>398</v>
      </c>
      <c r="AF3672" s="204" t="s">
        <v>398</v>
      </c>
      <c r="AG3672" s="204" t="s">
        <v>398</v>
      </c>
      <c r="AS3672" s="65" t="str">
        <f>IFERROR(VLOOKUP(#REF!,[1]Lookup!$B$2:$E$115,4,FALSE),"")</f>
        <v/>
      </c>
      <c r="AT3672" s="65" t="str">
        <f>IFERROR(VLOOKUP(#REF!,[1]Lookup!$B$2:$E$115,2,FALSE),"")</f>
        <v/>
      </c>
      <c r="AU3672" s="65" t="str">
        <f>IFERROR(VLOOKUP(#REF!,[1]Lookup!$B$2:$E$115,3,FALSE),"")</f>
        <v/>
      </c>
    </row>
    <row r="3673" spans="31:47" x14ac:dyDescent="0.3">
      <c r="AE3673" s="204" t="s">
        <v>398</v>
      </c>
      <c r="AF3673" s="204" t="s">
        <v>398</v>
      </c>
      <c r="AG3673" s="204" t="s">
        <v>398</v>
      </c>
      <c r="AS3673" s="65" t="str">
        <f>IFERROR(VLOOKUP(#REF!,[1]Lookup!$B$2:$E$115,4,FALSE),"")</f>
        <v/>
      </c>
      <c r="AT3673" s="65" t="str">
        <f>IFERROR(VLOOKUP(#REF!,[1]Lookup!$B$2:$E$115,2,FALSE),"")</f>
        <v/>
      </c>
      <c r="AU3673" s="65" t="str">
        <f>IFERROR(VLOOKUP(#REF!,[1]Lookup!$B$2:$E$115,3,FALSE),"")</f>
        <v/>
      </c>
    </row>
    <row r="3674" spans="31:47" x14ac:dyDescent="0.3">
      <c r="AE3674" s="204" t="s">
        <v>398</v>
      </c>
      <c r="AF3674" s="204" t="s">
        <v>398</v>
      </c>
      <c r="AG3674" s="204" t="s">
        <v>398</v>
      </c>
      <c r="AS3674" s="65" t="str">
        <f>IFERROR(VLOOKUP(#REF!,[1]Lookup!$B$2:$E$115,4,FALSE),"")</f>
        <v/>
      </c>
      <c r="AT3674" s="65" t="str">
        <f>IFERROR(VLOOKUP(#REF!,[1]Lookup!$B$2:$E$115,2,FALSE),"")</f>
        <v/>
      </c>
      <c r="AU3674" s="65" t="str">
        <f>IFERROR(VLOOKUP(#REF!,[1]Lookup!$B$2:$E$115,3,FALSE),"")</f>
        <v/>
      </c>
    </row>
    <row r="3675" spans="31:47" x14ac:dyDescent="0.3">
      <c r="AE3675" s="204" t="s">
        <v>398</v>
      </c>
      <c r="AF3675" s="204" t="s">
        <v>398</v>
      </c>
      <c r="AG3675" s="204" t="s">
        <v>398</v>
      </c>
      <c r="AS3675" s="65" t="str">
        <f>IFERROR(VLOOKUP(#REF!,[1]Lookup!$B$2:$E$115,4,FALSE),"")</f>
        <v/>
      </c>
      <c r="AT3675" s="65" t="str">
        <f>IFERROR(VLOOKUP(#REF!,[1]Lookup!$B$2:$E$115,2,FALSE),"")</f>
        <v/>
      </c>
      <c r="AU3675" s="65" t="str">
        <f>IFERROR(VLOOKUP(#REF!,[1]Lookup!$B$2:$E$115,3,FALSE),"")</f>
        <v/>
      </c>
    </row>
    <row r="3676" spans="31:47" x14ac:dyDescent="0.3">
      <c r="AE3676" s="204" t="s">
        <v>398</v>
      </c>
      <c r="AF3676" s="204" t="s">
        <v>398</v>
      </c>
      <c r="AG3676" s="204" t="s">
        <v>398</v>
      </c>
      <c r="AS3676" s="65" t="str">
        <f>IFERROR(VLOOKUP(#REF!,[1]Lookup!$B$2:$E$115,4,FALSE),"")</f>
        <v/>
      </c>
      <c r="AT3676" s="65" t="str">
        <f>IFERROR(VLOOKUP(#REF!,[1]Lookup!$B$2:$E$115,2,FALSE),"")</f>
        <v/>
      </c>
      <c r="AU3676" s="65" t="str">
        <f>IFERROR(VLOOKUP(#REF!,[1]Lookup!$B$2:$E$115,3,FALSE),"")</f>
        <v/>
      </c>
    </row>
    <row r="3677" spans="31:47" x14ac:dyDescent="0.3">
      <c r="AE3677" s="204" t="s">
        <v>398</v>
      </c>
      <c r="AF3677" s="204" t="s">
        <v>398</v>
      </c>
      <c r="AG3677" s="204" t="s">
        <v>398</v>
      </c>
      <c r="AS3677" s="65" t="str">
        <f>IFERROR(VLOOKUP(#REF!,[1]Lookup!$B$2:$E$115,4,FALSE),"")</f>
        <v/>
      </c>
      <c r="AT3677" s="65" t="str">
        <f>IFERROR(VLOOKUP(#REF!,[1]Lookup!$B$2:$E$115,2,FALSE),"")</f>
        <v/>
      </c>
      <c r="AU3677" s="65" t="str">
        <f>IFERROR(VLOOKUP(#REF!,[1]Lookup!$B$2:$E$115,3,FALSE),"")</f>
        <v/>
      </c>
    </row>
    <row r="3678" spans="31:47" x14ac:dyDescent="0.3">
      <c r="AE3678" s="204" t="s">
        <v>398</v>
      </c>
      <c r="AF3678" s="204" t="s">
        <v>398</v>
      </c>
      <c r="AG3678" s="204" t="s">
        <v>398</v>
      </c>
      <c r="AS3678" s="65" t="str">
        <f>IFERROR(VLOOKUP(#REF!,[1]Lookup!$B$2:$E$115,4,FALSE),"")</f>
        <v/>
      </c>
      <c r="AT3678" s="65" t="str">
        <f>IFERROR(VLOOKUP(#REF!,[1]Lookup!$B$2:$E$115,2,FALSE),"")</f>
        <v/>
      </c>
      <c r="AU3678" s="65" t="str">
        <f>IFERROR(VLOOKUP(#REF!,[1]Lookup!$B$2:$E$115,3,FALSE),"")</f>
        <v/>
      </c>
    </row>
    <row r="3679" spans="31:47" x14ac:dyDescent="0.3">
      <c r="AE3679" s="204" t="s">
        <v>398</v>
      </c>
      <c r="AF3679" s="204" t="s">
        <v>398</v>
      </c>
      <c r="AG3679" s="204" t="s">
        <v>398</v>
      </c>
      <c r="AS3679" s="65" t="str">
        <f>IFERROR(VLOOKUP(#REF!,[1]Lookup!$B$2:$E$115,4,FALSE),"")</f>
        <v/>
      </c>
      <c r="AT3679" s="65" t="str">
        <f>IFERROR(VLOOKUP(#REF!,[1]Lookup!$B$2:$E$115,2,FALSE),"")</f>
        <v/>
      </c>
      <c r="AU3679" s="65" t="str">
        <f>IFERROR(VLOOKUP(#REF!,[1]Lookup!$B$2:$E$115,3,FALSE),"")</f>
        <v/>
      </c>
    </row>
    <row r="3680" spans="31:47" x14ac:dyDescent="0.3">
      <c r="AE3680" s="204" t="s">
        <v>398</v>
      </c>
      <c r="AF3680" s="204" t="s">
        <v>398</v>
      </c>
      <c r="AG3680" s="204" t="s">
        <v>398</v>
      </c>
      <c r="AS3680" s="65" t="str">
        <f>IFERROR(VLOOKUP(#REF!,[1]Lookup!$B$2:$E$115,4,FALSE),"")</f>
        <v/>
      </c>
      <c r="AT3680" s="65" t="str">
        <f>IFERROR(VLOOKUP(#REF!,[1]Lookup!$B$2:$E$115,2,FALSE),"")</f>
        <v/>
      </c>
      <c r="AU3680" s="65" t="str">
        <f>IFERROR(VLOOKUP(#REF!,[1]Lookup!$B$2:$E$115,3,FALSE),"")</f>
        <v/>
      </c>
    </row>
    <row r="3681" spans="31:47" x14ac:dyDescent="0.3">
      <c r="AE3681" s="204" t="s">
        <v>398</v>
      </c>
      <c r="AF3681" s="204" t="s">
        <v>398</v>
      </c>
      <c r="AG3681" s="204" t="s">
        <v>398</v>
      </c>
      <c r="AS3681" s="65" t="str">
        <f>IFERROR(VLOOKUP(#REF!,[1]Lookup!$B$2:$E$115,4,FALSE),"")</f>
        <v/>
      </c>
      <c r="AT3681" s="65" t="str">
        <f>IFERROR(VLOOKUP(#REF!,[1]Lookup!$B$2:$E$115,2,FALSE),"")</f>
        <v/>
      </c>
      <c r="AU3681" s="65" t="str">
        <f>IFERROR(VLOOKUP(#REF!,[1]Lookup!$B$2:$E$115,3,FALSE),"")</f>
        <v/>
      </c>
    </row>
    <row r="3682" spans="31:47" x14ac:dyDescent="0.3">
      <c r="AE3682" s="204" t="s">
        <v>398</v>
      </c>
      <c r="AF3682" s="204" t="s">
        <v>398</v>
      </c>
      <c r="AG3682" s="204" t="s">
        <v>398</v>
      </c>
      <c r="AS3682" s="65" t="str">
        <f>IFERROR(VLOOKUP(#REF!,[1]Lookup!$B$2:$E$115,4,FALSE),"")</f>
        <v/>
      </c>
      <c r="AT3682" s="65" t="str">
        <f>IFERROR(VLOOKUP(#REF!,[1]Lookup!$B$2:$E$115,2,FALSE),"")</f>
        <v/>
      </c>
      <c r="AU3682" s="65" t="str">
        <f>IFERROR(VLOOKUP(#REF!,[1]Lookup!$B$2:$E$115,3,FALSE),"")</f>
        <v/>
      </c>
    </row>
    <row r="3683" spans="31:47" x14ac:dyDescent="0.3">
      <c r="AE3683" s="204" t="s">
        <v>398</v>
      </c>
      <c r="AF3683" s="204" t="s">
        <v>398</v>
      </c>
      <c r="AG3683" s="204" t="s">
        <v>398</v>
      </c>
      <c r="AS3683" s="65" t="str">
        <f>IFERROR(VLOOKUP(#REF!,[1]Lookup!$B$2:$E$115,4,FALSE),"")</f>
        <v/>
      </c>
      <c r="AT3683" s="65" t="str">
        <f>IFERROR(VLOOKUP(#REF!,[1]Lookup!$B$2:$E$115,2,FALSE),"")</f>
        <v/>
      </c>
      <c r="AU3683" s="65" t="str">
        <f>IFERROR(VLOOKUP(#REF!,[1]Lookup!$B$2:$E$115,3,FALSE),"")</f>
        <v/>
      </c>
    </row>
    <row r="3684" spans="31:47" x14ac:dyDescent="0.3">
      <c r="AE3684" s="204" t="s">
        <v>398</v>
      </c>
      <c r="AF3684" s="204" t="s">
        <v>398</v>
      </c>
      <c r="AG3684" s="204" t="s">
        <v>398</v>
      </c>
      <c r="AS3684" s="65" t="str">
        <f>IFERROR(VLOOKUP(#REF!,[1]Lookup!$B$2:$E$115,4,FALSE),"")</f>
        <v/>
      </c>
      <c r="AT3684" s="65" t="str">
        <f>IFERROR(VLOOKUP(#REF!,[1]Lookup!$B$2:$E$115,2,FALSE),"")</f>
        <v/>
      </c>
      <c r="AU3684" s="65" t="str">
        <f>IFERROR(VLOOKUP(#REF!,[1]Lookup!$B$2:$E$115,3,FALSE),"")</f>
        <v/>
      </c>
    </row>
    <row r="3685" spans="31:47" x14ac:dyDescent="0.3">
      <c r="AE3685" s="204" t="s">
        <v>398</v>
      </c>
      <c r="AF3685" s="204" t="s">
        <v>398</v>
      </c>
      <c r="AG3685" s="204" t="s">
        <v>398</v>
      </c>
      <c r="AS3685" s="65" t="str">
        <f>IFERROR(VLOOKUP(#REF!,[1]Lookup!$B$2:$E$115,4,FALSE),"")</f>
        <v/>
      </c>
      <c r="AT3685" s="65" t="str">
        <f>IFERROR(VLOOKUP(#REF!,[1]Lookup!$B$2:$E$115,2,FALSE),"")</f>
        <v/>
      </c>
      <c r="AU3685" s="65" t="str">
        <f>IFERROR(VLOOKUP(#REF!,[1]Lookup!$B$2:$E$115,3,FALSE),"")</f>
        <v/>
      </c>
    </row>
    <row r="3686" spans="31:47" x14ac:dyDescent="0.3">
      <c r="AE3686" s="204" t="s">
        <v>398</v>
      </c>
      <c r="AF3686" s="204" t="s">
        <v>398</v>
      </c>
      <c r="AG3686" s="204" t="s">
        <v>398</v>
      </c>
      <c r="AS3686" s="65" t="str">
        <f>IFERROR(VLOOKUP(#REF!,[1]Lookup!$B$2:$E$115,4,FALSE),"")</f>
        <v/>
      </c>
      <c r="AT3686" s="65" t="str">
        <f>IFERROR(VLOOKUP(#REF!,[1]Lookup!$B$2:$E$115,2,FALSE),"")</f>
        <v/>
      </c>
      <c r="AU3686" s="65" t="str">
        <f>IFERROR(VLOOKUP(#REF!,[1]Lookup!$B$2:$E$115,3,FALSE),"")</f>
        <v/>
      </c>
    </row>
    <row r="3687" spans="31:47" x14ac:dyDescent="0.3">
      <c r="AE3687" s="204" t="s">
        <v>398</v>
      </c>
      <c r="AF3687" s="204" t="s">
        <v>398</v>
      </c>
      <c r="AG3687" s="204" t="s">
        <v>398</v>
      </c>
      <c r="AS3687" s="65" t="str">
        <f>IFERROR(VLOOKUP(#REF!,[1]Lookup!$B$2:$E$115,4,FALSE),"")</f>
        <v/>
      </c>
      <c r="AT3687" s="65" t="str">
        <f>IFERROR(VLOOKUP(#REF!,[1]Lookup!$B$2:$E$115,2,FALSE),"")</f>
        <v/>
      </c>
      <c r="AU3687" s="65" t="str">
        <f>IFERROR(VLOOKUP(#REF!,[1]Lookup!$B$2:$E$115,3,FALSE),"")</f>
        <v/>
      </c>
    </row>
    <row r="3688" spans="31:47" x14ac:dyDescent="0.3">
      <c r="AE3688" s="204" t="s">
        <v>398</v>
      </c>
      <c r="AF3688" s="204" t="s">
        <v>398</v>
      </c>
      <c r="AG3688" s="204" t="s">
        <v>398</v>
      </c>
      <c r="AS3688" s="65" t="str">
        <f>IFERROR(VLOOKUP(#REF!,[1]Lookup!$B$2:$E$115,4,FALSE),"")</f>
        <v/>
      </c>
      <c r="AT3688" s="65" t="str">
        <f>IFERROR(VLOOKUP(#REF!,[1]Lookup!$B$2:$E$115,2,FALSE),"")</f>
        <v/>
      </c>
      <c r="AU3688" s="65" t="str">
        <f>IFERROR(VLOOKUP(#REF!,[1]Lookup!$B$2:$E$115,3,FALSE),"")</f>
        <v/>
      </c>
    </row>
    <row r="3689" spans="31:47" x14ac:dyDescent="0.3">
      <c r="AE3689" s="204" t="s">
        <v>398</v>
      </c>
      <c r="AF3689" s="204" t="s">
        <v>398</v>
      </c>
      <c r="AG3689" s="204" t="s">
        <v>398</v>
      </c>
      <c r="AS3689" s="65" t="str">
        <f>IFERROR(VLOOKUP(#REF!,[1]Lookup!$B$2:$E$115,4,FALSE),"")</f>
        <v/>
      </c>
      <c r="AT3689" s="65" t="str">
        <f>IFERROR(VLOOKUP(#REF!,[1]Lookup!$B$2:$E$115,2,FALSE),"")</f>
        <v/>
      </c>
      <c r="AU3689" s="65" t="str">
        <f>IFERROR(VLOOKUP(#REF!,[1]Lookup!$B$2:$E$115,3,FALSE),"")</f>
        <v/>
      </c>
    </row>
    <row r="3690" spans="31:47" x14ac:dyDescent="0.3">
      <c r="AE3690" s="204" t="s">
        <v>398</v>
      </c>
      <c r="AF3690" s="204" t="s">
        <v>398</v>
      </c>
      <c r="AG3690" s="204" t="s">
        <v>398</v>
      </c>
      <c r="AS3690" s="65" t="str">
        <f>IFERROR(VLOOKUP(#REF!,[1]Lookup!$B$2:$E$115,4,FALSE),"")</f>
        <v/>
      </c>
      <c r="AT3690" s="65" t="str">
        <f>IFERROR(VLOOKUP(#REF!,[1]Lookup!$B$2:$E$115,2,FALSE),"")</f>
        <v/>
      </c>
      <c r="AU3690" s="65" t="str">
        <f>IFERROR(VLOOKUP(#REF!,[1]Lookup!$B$2:$E$115,3,FALSE),"")</f>
        <v/>
      </c>
    </row>
    <row r="3691" spans="31:47" x14ac:dyDescent="0.3">
      <c r="AE3691" s="204" t="s">
        <v>398</v>
      </c>
      <c r="AF3691" s="204" t="s">
        <v>398</v>
      </c>
      <c r="AG3691" s="204" t="s">
        <v>398</v>
      </c>
      <c r="AS3691" s="65" t="str">
        <f>IFERROR(VLOOKUP(#REF!,[1]Lookup!$B$2:$E$115,4,FALSE),"")</f>
        <v/>
      </c>
      <c r="AT3691" s="65" t="str">
        <f>IFERROR(VLOOKUP(#REF!,[1]Lookup!$B$2:$E$115,2,FALSE),"")</f>
        <v/>
      </c>
      <c r="AU3691" s="65" t="str">
        <f>IFERROR(VLOOKUP(#REF!,[1]Lookup!$B$2:$E$115,3,FALSE),"")</f>
        <v/>
      </c>
    </row>
    <row r="3692" spans="31:47" x14ac:dyDescent="0.3">
      <c r="AE3692" s="204" t="s">
        <v>398</v>
      </c>
      <c r="AF3692" s="204" t="s">
        <v>398</v>
      </c>
      <c r="AG3692" s="204" t="s">
        <v>398</v>
      </c>
      <c r="AS3692" s="65" t="str">
        <f>IFERROR(VLOOKUP(#REF!,[1]Lookup!$B$2:$E$115,4,FALSE),"")</f>
        <v/>
      </c>
      <c r="AT3692" s="65" t="str">
        <f>IFERROR(VLOOKUP(#REF!,[1]Lookup!$B$2:$E$115,2,FALSE),"")</f>
        <v/>
      </c>
      <c r="AU3692" s="65" t="str">
        <f>IFERROR(VLOOKUP(#REF!,[1]Lookup!$B$2:$E$115,3,FALSE),"")</f>
        <v/>
      </c>
    </row>
    <row r="3693" spans="31:47" x14ac:dyDescent="0.3">
      <c r="AE3693" s="204" t="s">
        <v>398</v>
      </c>
      <c r="AF3693" s="204" t="s">
        <v>398</v>
      </c>
      <c r="AG3693" s="204" t="s">
        <v>398</v>
      </c>
      <c r="AS3693" s="65" t="str">
        <f>IFERROR(VLOOKUP(#REF!,[1]Lookup!$B$2:$E$115,4,FALSE),"")</f>
        <v/>
      </c>
      <c r="AT3693" s="65" t="str">
        <f>IFERROR(VLOOKUP(#REF!,[1]Lookup!$B$2:$E$115,2,FALSE),"")</f>
        <v/>
      </c>
      <c r="AU3693" s="65" t="str">
        <f>IFERROR(VLOOKUP(#REF!,[1]Lookup!$B$2:$E$115,3,FALSE),"")</f>
        <v/>
      </c>
    </row>
    <row r="3694" spans="31:47" x14ac:dyDescent="0.3">
      <c r="AE3694" s="204" t="s">
        <v>398</v>
      </c>
      <c r="AF3694" s="204" t="s">
        <v>398</v>
      </c>
      <c r="AG3694" s="204" t="s">
        <v>398</v>
      </c>
      <c r="AS3694" s="65" t="str">
        <f>IFERROR(VLOOKUP(#REF!,[1]Lookup!$B$2:$E$115,4,FALSE),"")</f>
        <v/>
      </c>
      <c r="AT3694" s="65" t="str">
        <f>IFERROR(VLOOKUP(#REF!,[1]Lookup!$B$2:$E$115,2,FALSE),"")</f>
        <v/>
      </c>
      <c r="AU3694" s="65" t="str">
        <f>IFERROR(VLOOKUP(#REF!,[1]Lookup!$B$2:$E$115,3,FALSE),"")</f>
        <v/>
      </c>
    </row>
    <row r="3695" spans="31:47" x14ac:dyDescent="0.3">
      <c r="AE3695" s="204" t="s">
        <v>398</v>
      </c>
      <c r="AF3695" s="204" t="s">
        <v>398</v>
      </c>
      <c r="AG3695" s="204" t="s">
        <v>398</v>
      </c>
      <c r="AS3695" s="65" t="str">
        <f>IFERROR(VLOOKUP(#REF!,[1]Lookup!$B$2:$E$115,4,FALSE),"")</f>
        <v/>
      </c>
      <c r="AT3695" s="65" t="str">
        <f>IFERROR(VLOOKUP(#REF!,[1]Lookup!$B$2:$E$115,2,FALSE),"")</f>
        <v/>
      </c>
      <c r="AU3695" s="65" t="str">
        <f>IFERROR(VLOOKUP(#REF!,[1]Lookup!$B$2:$E$115,3,FALSE),"")</f>
        <v/>
      </c>
    </row>
    <row r="3696" spans="31:47" x14ac:dyDescent="0.3">
      <c r="AE3696" s="204" t="s">
        <v>398</v>
      </c>
      <c r="AF3696" s="204" t="s">
        <v>398</v>
      </c>
      <c r="AG3696" s="204" t="s">
        <v>398</v>
      </c>
      <c r="AS3696" s="65" t="str">
        <f>IFERROR(VLOOKUP(#REF!,[1]Lookup!$B$2:$E$115,4,FALSE),"")</f>
        <v/>
      </c>
      <c r="AT3696" s="65" t="str">
        <f>IFERROR(VLOOKUP(#REF!,[1]Lookup!$B$2:$E$115,2,FALSE),"")</f>
        <v/>
      </c>
      <c r="AU3696" s="65" t="str">
        <f>IFERROR(VLOOKUP(#REF!,[1]Lookup!$B$2:$E$115,3,FALSE),"")</f>
        <v/>
      </c>
    </row>
    <row r="3697" spans="31:47" x14ac:dyDescent="0.3">
      <c r="AE3697" s="204" t="s">
        <v>398</v>
      </c>
      <c r="AF3697" s="204" t="s">
        <v>398</v>
      </c>
      <c r="AG3697" s="204" t="s">
        <v>398</v>
      </c>
      <c r="AS3697" s="65" t="str">
        <f>IFERROR(VLOOKUP(#REF!,[1]Lookup!$B$2:$E$115,4,FALSE),"")</f>
        <v/>
      </c>
      <c r="AT3697" s="65" t="str">
        <f>IFERROR(VLOOKUP(#REF!,[1]Lookup!$B$2:$E$115,2,FALSE),"")</f>
        <v/>
      </c>
      <c r="AU3697" s="65" t="str">
        <f>IFERROR(VLOOKUP(#REF!,[1]Lookup!$B$2:$E$115,3,FALSE),"")</f>
        <v/>
      </c>
    </row>
    <row r="3698" spans="31:47" x14ac:dyDescent="0.3">
      <c r="AE3698" s="204" t="s">
        <v>398</v>
      </c>
      <c r="AF3698" s="204" t="s">
        <v>398</v>
      </c>
      <c r="AG3698" s="204" t="s">
        <v>398</v>
      </c>
      <c r="AS3698" s="65" t="str">
        <f>IFERROR(VLOOKUP(#REF!,[1]Lookup!$B$2:$E$115,4,FALSE),"")</f>
        <v/>
      </c>
      <c r="AT3698" s="65" t="str">
        <f>IFERROR(VLOOKUP(#REF!,[1]Lookup!$B$2:$E$115,2,FALSE),"")</f>
        <v/>
      </c>
      <c r="AU3698" s="65" t="str">
        <f>IFERROR(VLOOKUP(#REF!,[1]Lookup!$B$2:$E$115,3,FALSE),"")</f>
        <v/>
      </c>
    </row>
    <row r="3699" spans="31:47" x14ac:dyDescent="0.3">
      <c r="AE3699" s="204" t="s">
        <v>398</v>
      </c>
      <c r="AF3699" s="204" t="s">
        <v>398</v>
      </c>
      <c r="AG3699" s="204" t="s">
        <v>398</v>
      </c>
      <c r="AS3699" s="65" t="str">
        <f>IFERROR(VLOOKUP(#REF!,[1]Lookup!$B$2:$E$115,4,FALSE),"")</f>
        <v/>
      </c>
      <c r="AT3699" s="65" t="str">
        <f>IFERROR(VLOOKUP(#REF!,[1]Lookup!$B$2:$E$115,2,FALSE),"")</f>
        <v/>
      </c>
      <c r="AU3699" s="65" t="str">
        <f>IFERROR(VLOOKUP(#REF!,[1]Lookup!$B$2:$E$115,3,FALSE),"")</f>
        <v/>
      </c>
    </row>
    <row r="3700" spans="31:47" x14ac:dyDescent="0.3">
      <c r="AE3700" s="204" t="s">
        <v>398</v>
      </c>
      <c r="AF3700" s="204" t="s">
        <v>398</v>
      </c>
      <c r="AG3700" s="204" t="s">
        <v>398</v>
      </c>
      <c r="AS3700" s="65" t="str">
        <f>IFERROR(VLOOKUP(#REF!,[1]Lookup!$B$2:$E$115,4,FALSE),"")</f>
        <v/>
      </c>
      <c r="AT3700" s="65" t="str">
        <f>IFERROR(VLOOKUP(#REF!,[1]Lookup!$B$2:$E$115,2,FALSE),"")</f>
        <v/>
      </c>
      <c r="AU3700" s="65" t="str">
        <f>IFERROR(VLOOKUP(#REF!,[1]Lookup!$B$2:$E$115,3,FALSE),"")</f>
        <v/>
      </c>
    </row>
    <row r="3701" spans="31:47" x14ac:dyDescent="0.3">
      <c r="AE3701" s="204" t="s">
        <v>398</v>
      </c>
      <c r="AF3701" s="204" t="s">
        <v>398</v>
      </c>
      <c r="AG3701" s="204" t="s">
        <v>398</v>
      </c>
      <c r="AS3701" s="65" t="str">
        <f>IFERROR(VLOOKUP(#REF!,[1]Lookup!$B$2:$E$115,4,FALSE),"")</f>
        <v/>
      </c>
      <c r="AT3701" s="65" t="str">
        <f>IFERROR(VLOOKUP(#REF!,[1]Lookup!$B$2:$E$115,2,FALSE),"")</f>
        <v/>
      </c>
      <c r="AU3701" s="65" t="str">
        <f>IFERROR(VLOOKUP(#REF!,[1]Lookup!$B$2:$E$115,3,FALSE),"")</f>
        <v/>
      </c>
    </row>
    <row r="3702" spans="31:47" x14ac:dyDescent="0.3">
      <c r="AE3702" s="204" t="s">
        <v>398</v>
      </c>
      <c r="AF3702" s="204" t="s">
        <v>398</v>
      </c>
      <c r="AG3702" s="204" t="s">
        <v>398</v>
      </c>
      <c r="AS3702" s="65" t="str">
        <f>IFERROR(VLOOKUP(#REF!,[1]Lookup!$B$2:$E$115,4,FALSE),"")</f>
        <v/>
      </c>
      <c r="AT3702" s="65" t="str">
        <f>IFERROR(VLOOKUP(#REF!,[1]Lookup!$B$2:$E$115,2,FALSE),"")</f>
        <v/>
      </c>
      <c r="AU3702" s="65" t="str">
        <f>IFERROR(VLOOKUP(#REF!,[1]Lookup!$B$2:$E$115,3,FALSE),"")</f>
        <v/>
      </c>
    </row>
    <row r="3703" spans="31:47" x14ac:dyDescent="0.3">
      <c r="AE3703" s="204" t="s">
        <v>398</v>
      </c>
      <c r="AF3703" s="204" t="s">
        <v>398</v>
      </c>
      <c r="AG3703" s="204" t="s">
        <v>398</v>
      </c>
      <c r="AS3703" s="65" t="str">
        <f>IFERROR(VLOOKUP(#REF!,[1]Lookup!$B$2:$E$115,4,FALSE),"")</f>
        <v/>
      </c>
      <c r="AT3703" s="65" t="str">
        <f>IFERROR(VLOOKUP(#REF!,[1]Lookup!$B$2:$E$115,2,FALSE),"")</f>
        <v/>
      </c>
      <c r="AU3703" s="65" t="str">
        <f>IFERROR(VLOOKUP(#REF!,[1]Lookup!$B$2:$E$115,3,FALSE),"")</f>
        <v/>
      </c>
    </row>
    <row r="3704" spans="31:47" x14ac:dyDescent="0.3">
      <c r="AE3704" s="204" t="s">
        <v>398</v>
      </c>
      <c r="AF3704" s="204" t="s">
        <v>398</v>
      </c>
      <c r="AG3704" s="204" t="s">
        <v>398</v>
      </c>
      <c r="AS3704" s="65" t="str">
        <f>IFERROR(VLOOKUP(#REF!,[1]Lookup!$B$2:$E$115,4,FALSE),"")</f>
        <v/>
      </c>
      <c r="AT3704" s="65" t="str">
        <f>IFERROR(VLOOKUP(#REF!,[1]Lookup!$B$2:$E$115,2,FALSE),"")</f>
        <v/>
      </c>
      <c r="AU3704" s="65" t="str">
        <f>IFERROR(VLOOKUP(#REF!,[1]Lookup!$B$2:$E$115,3,FALSE),"")</f>
        <v/>
      </c>
    </row>
    <row r="3705" spans="31:47" x14ac:dyDescent="0.3">
      <c r="AE3705" s="204" t="s">
        <v>398</v>
      </c>
      <c r="AF3705" s="204" t="s">
        <v>398</v>
      </c>
      <c r="AG3705" s="204" t="s">
        <v>398</v>
      </c>
      <c r="AS3705" s="65" t="str">
        <f>IFERROR(VLOOKUP(#REF!,[1]Lookup!$B$2:$E$115,4,FALSE),"")</f>
        <v/>
      </c>
      <c r="AT3705" s="65" t="str">
        <f>IFERROR(VLOOKUP(#REF!,[1]Lookup!$B$2:$E$115,2,FALSE),"")</f>
        <v/>
      </c>
      <c r="AU3705" s="65" t="str">
        <f>IFERROR(VLOOKUP(#REF!,[1]Lookup!$B$2:$E$115,3,FALSE),"")</f>
        <v/>
      </c>
    </row>
    <row r="3706" spans="31:47" x14ac:dyDescent="0.3">
      <c r="AE3706" s="204" t="s">
        <v>398</v>
      </c>
      <c r="AF3706" s="204" t="s">
        <v>398</v>
      </c>
      <c r="AG3706" s="204" t="s">
        <v>398</v>
      </c>
      <c r="AS3706" s="65" t="str">
        <f>IFERROR(VLOOKUP(#REF!,[1]Lookup!$B$2:$E$115,4,FALSE),"")</f>
        <v/>
      </c>
      <c r="AT3706" s="65" t="str">
        <f>IFERROR(VLOOKUP(#REF!,[1]Lookup!$B$2:$E$115,2,FALSE),"")</f>
        <v/>
      </c>
      <c r="AU3706" s="65" t="str">
        <f>IFERROR(VLOOKUP(#REF!,[1]Lookup!$B$2:$E$115,3,FALSE),"")</f>
        <v/>
      </c>
    </row>
    <row r="3707" spans="31:47" x14ac:dyDescent="0.3">
      <c r="AE3707" s="204" t="s">
        <v>398</v>
      </c>
      <c r="AF3707" s="204" t="s">
        <v>398</v>
      </c>
      <c r="AG3707" s="204" t="s">
        <v>398</v>
      </c>
      <c r="AS3707" s="65" t="str">
        <f>IFERROR(VLOOKUP(#REF!,[1]Lookup!$B$2:$E$115,4,FALSE),"")</f>
        <v/>
      </c>
      <c r="AT3707" s="65" t="str">
        <f>IFERROR(VLOOKUP(#REF!,[1]Lookup!$B$2:$E$115,2,FALSE),"")</f>
        <v/>
      </c>
      <c r="AU3707" s="65" t="str">
        <f>IFERROR(VLOOKUP(#REF!,[1]Lookup!$B$2:$E$115,3,FALSE),"")</f>
        <v/>
      </c>
    </row>
    <row r="3708" spans="31:47" x14ac:dyDescent="0.3">
      <c r="AE3708" s="204" t="s">
        <v>398</v>
      </c>
      <c r="AF3708" s="204" t="s">
        <v>398</v>
      </c>
      <c r="AG3708" s="204" t="s">
        <v>398</v>
      </c>
      <c r="AS3708" s="65" t="str">
        <f>IFERROR(VLOOKUP(#REF!,[1]Lookup!$B$2:$E$115,4,FALSE),"")</f>
        <v/>
      </c>
      <c r="AT3708" s="65" t="str">
        <f>IFERROR(VLOOKUP(#REF!,[1]Lookup!$B$2:$E$115,2,FALSE),"")</f>
        <v/>
      </c>
      <c r="AU3708" s="65" t="str">
        <f>IFERROR(VLOOKUP(#REF!,[1]Lookup!$B$2:$E$115,3,FALSE),"")</f>
        <v/>
      </c>
    </row>
    <row r="3709" spans="31:47" x14ac:dyDescent="0.3">
      <c r="AE3709" s="204" t="s">
        <v>398</v>
      </c>
      <c r="AF3709" s="204" t="s">
        <v>398</v>
      </c>
      <c r="AG3709" s="204" t="s">
        <v>398</v>
      </c>
      <c r="AS3709" s="65" t="str">
        <f>IFERROR(VLOOKUP(#REF!,[1]Lookup!$B$2:$E$115,4,FALSE),"")</f>
        <v/>
      </c>
      <c r="AT3709" s="65" t="str">
        <f>IFERROR(VLOOKUP(#REF!,[1]Lookup!$B$2:$E$115,2,FALSE),"")</f>
        <v/>
      </c>
      <c r="AU3709" s="65" t="str">
        <f>IFERROR(VLOOKUP(#REF!,[1]Lookup!$B$2:$E$115,3,FALSE),"")</f>
        <v/>
      </c>
    </row>
    <row r="3710" spans="31:47" x14ac:dyDescent="0.3">
      <c r="AE3710" s="204" t="s">
        <v>398</v>
      </c>
      <c r="AF3710" s="204" t="s">
        <v>398</v>
      </c>
      <c r="AG3710" s="204" t="s">
        <v>398</v>
      </c>
      <c r="AS3710" s="65" t="str">
        <f>IFERROR(VLOOKUP(#REF!,[1]Lookup!$B$2:$E$115,4,FALSE),"")</f>
        <v/>
      </c>
      <c r="AT3710" s="65" t="str">
        <f>IFERROR(VLOOKUP(#REF!,[1]Lookup!$B$2:$E$115,2,FALSE),"")</f>
        <v/>
      </c>
      <c r="AU3710" s="65" t="str">
        <f>IFERROR(VLOOKUP(#REF!,[1]Lookup!$B$2:$E$115,3,FALSE),"")</f>
        <v/>
      </c>
    </row>
    <row r="3711" spans="31:47" x14ac:dyDescent="0.3">
      <c r="AE3711" s="204" t="s">
        <v>398</v>
      </c>
      <c r="AF3711" s="204" t="s">
        <v>398</v>
      </c>
      <c r="AG3711" s="204" t="s">
        <v>398</v>
      </c>
      <c r="AS3711" s="65" t="str">
        <f>IFERROR(VLOOKUP(#REF!,[1]Lookup!$B$2:$E$115,4,FALSE),"")</f>
        <v/>
      </c>
      <c r="AT3711" s="65" t="str">
        <f>IFERROR(VLOOKUP(#REF!,[1]Lookup!$B$2:$E$115,2,FALSE),"")</f>
        <v/>
      </c>
      <c r="AU3711" s="65" t="str">
        <f>IFERROR(VLOOKUP(#REF!,[1]Lookup!$B$2:$E$115,3,FALSE),"")</f>
        <v/>
      </c>
    </row>
    <row r="3712" spans="31:47" x14ac:dyDescent="0.3">
      <c r="AE3712" s="204" t="s">
        <v>398</v>
      </c>
      <c r="AF3712" s="204" t="s">
        <v>398</v>
      </c>
      <c r="AG3712" s="204" t="s">
        <v>398</v>
      </c>
      <c r="AS3712" s="65" t="str">
        <f>IFERROR(VLOOKUP(#REF!,[1]Lookup!$B$2:$E$115,4,FALSE),"")</f>
        <v/>
      </c>
      <c r="AT3712" s="65" t="str">
        <f>IFERROR(VLOOKUP(#REF!,[1]Lookup!$B$2:$E$115,2,FALSE),"")</f>
        <v/>
      </c>
      <c r="AU3712" s="65" t="str">
        <f>IFERROR(VLOOKUP(#REF!,[1]Lookup!$B$2:$E$115,3,FALSE),"")</f>
        <v/>
      </c>
    </row>
    <row r="3713" spans="31:47" x14ac:dyDescent="0.3">
      <c r="AE3713" s="204" t="s">
        <v>398</v>
      </c>
      <c r="AF3713" s="204" t="s">
        <v>398</v>
      </c>
      <c r="AG3713" s="204" t="s">
        <v>398</v>
      </c>
      <c r="AS3713" s="65" t="str">
        <f>IFERROR(VLOOKUP(#REF!,[1]Lookup!$B$2:$E$115,4,FALSE),"")</f>
        <v/>
      </c>
      <c r="AT3713" s="65" t="str">
        <f>IFERROR(VLOOKUP(#REF!,[1]Lookup!$B$2:$E$115,2,FALSE),"")</f>
        <v/>
      </c>
      <c r="AU3713" s="65" t="str">
        <f>IFERROR(VLOOKUP(#REF!,[1]Lookup!$B$2:$E$115,3,FALSE),"")</f>
        <v/>
      </c>
    </row>
    <row r="3714" spans="31:47" x14ac:dyDescent="0.3">
      <c r="AE3714" s="204" t="s">
        <v>398</v>
      </c>
      <c r="AF3714" s="204" t="s">
        <v>398</v>
      </c>
      <c r="AG3714" s="204" t="s">
        <v>398</v>
      </c>
      <c r="AS3714" s="65" t="str">
        <f>IFERROR(VLOOKUP(#REF!,[1]Lookup!$B$2:$E$115,4,FALSE),"")</f>
        <v/>
      </c>
      <c r="AT3714" s="65" t="str">
        <f>IFERROR(VLOOKUP(#REF!,[1]Lookup!$B$2:$E$115,2,FALSE),"")</f>
        <v/>
      </c>
      <c r="AU3714" s="65" t="str">
        <f>IFERROR(VLOOKUP(#REF!,[1]Lookup!$B$2:$E$115,3,FALSE),"")</f>
        <v/>
      </c>
    </row>
    <row r="3715" spans="31:47" x14ac:dyDescent="0.3">
      <c r="AE3715" s="204" t="s">
        <v>398</v>
      </c>
      <c r="AF3715" s="204" t="s">
        <v>398</v>
      </c>
      <c r="AG3715" s="204" t="s">
        <v>398</v>
      </c>
      <c r="AS3715" s="65" t="str">
        <f>IFERROR(VLOOKUP(#REF!,[1]Lookup!$B$2:$E$115,4,FALSE),"")</f>
        <v/>
      </c>
      <c r="AT3715" s="65" t="str">
        <f>IFERROR(VLOOKUP(#REF!,[1]Lookup!$B$2:$E$115,2,FALSE),"")</f>
        <v/>
      </c>
      <c r="AU3715" s="65" t="str">
        <f>IFERROR(VLOOKUP(#REF!,[1]Lookup!$B$2:$E$115,3,FALSE),"")</f>
        <v/>
      </c>
    </row>
    <row r="3716" spans="31:47" x14ac:dyDescent="0.3">
      <c r="AE3716" s="204" t="s">
        <v>398</v>
      </c>
      <c r="AF3716" s="204" t="s">
        <v>398</v>
      </c>
      <c r="AG3716" s="204" t="s">
        <v>398</v>
      </c>
      <c r="AS3716" s="65" t="str">
        <f>IFERROR(VLOOKUP(#REF!,[1]Lookup!$B$2:$E$115,4,FALSE),"")</f>
        <v/>
      </c>
      <c r="AT3716" s="65" t="str">
        <f>IFERROR(VLOOKUP(#REF!,[1]Lookup!$B$2:$E$115,2,FALSE),"")</f>
        <v/>
      </c>
      <c r="AU3716" s="65" t="str">
        <f>IFERROR(VLOOKUP(#REF!,[1]Lookup!$B$2:$E$115,3,FALSE),"")</f>
        <v/>
      </c>
    </row>
    <row r="3717" spans="31:47" x14ac:dyDescent="0.3">
      <c r="AE3717" s="204" t="s">
        <v>398</v>
      </c>
      <c r="AF3717" s="204" t="s">
        <v>398</v>
      </c>
      <c r="AG3717" s="204" t="s">
        <v>398</v>
      </c>
      <c r="AS3717" s="65" t="str">
        <f>IFERROR(VLOOKUP(#REF!,[1]Lookup!$B$2:$E$115,4,FALSE),"")</f>
        <v/>
      </c>
      <c r="AT3717" s="65" t="str">
        <f>IFERROR(VLOOKUP(#REF!,[1]Lookup!$B$2:$E$115,2,FALSE),"")</f>
        <v/>
      </c>
      <c r="AU3717" s="65" t="str">
        <f>IFERROR(VLOOKUP(#REF!,[1]Lookup!$B$2:$E$115,3,FALSE),"")</f>
        <v/>
      </c>
    </row>
    <row r="3718" spans="31:47" x14ac:dyDescent="0.3">
      <c r="AE3718" s="204" t="s">
        <v>398</v>
      </c>
      <c r="AF3718" s="204" t="s">
        <v>398</v>
      </c>
      <c r="AG3718" s="204" t="s">
        <v>398</v>
      </c>
      <c r="AS3718" s="65" t="str">
        <f>IFERROR(VLOOKUP(#REF!,[1]Lookup!$B$2:$E$115,4,FALSE),"")</f>
        <v/>
      </c>
      <c r="AT3718" s="65" t="str">
        <f>IFERROR(VLOOKUP(#REF!,[1]Lookup!$B$2:$E$115,2,FALSE),"")</f>
        <v/>
      </c>
      <c r="AU3718" s="65" t="str">
        <f>IFERROR(VLOOKUP(#REF!,[1]Lookup!$B$2:$E$115,3,FALSE),"")</f>
        <v/>
      </c>
    </row>
    <row r="3719" spans="31:47" x14ac:dyDescent="0.3">
      <c r="AE3719" s="204" t="s">
        <v>398</v>
      </c>
      <c r="AF3719" s="204" t="s">
        <v>398</v>
      </c>
      <c r="AG3719" s="204" t="s">
        <v>398</v>
      </c>
      <c r="AS3719" s="65" t="str">
        <f>IFERROR(VLOOKUP(#REF!,[1]Lookup!$B$2:$E$115,4,FALSE),"")</f>
        <v/>
      </c>
      <c r="AT3719" s="65" t="str">
        <f>IFERROR(VLOOKUP(#REF!,[1]Lookup!$B$2:$E$115,2,FALSE),"")</f>
        <v/>
      </c>
      <c r="AU3719" s="65" t="str">
        <f>IFERROR(VLOOKUP(#REF!,[1]Lookup!$B$2:$E$115,3,FALSE),"")</f>
        <v/>
      </c>
    </row>
    <row r="3720" spans="31:47" x14ac:dyDescent="0.3">
      <c r="AE3720" s="204" t="s">
        <v>398</v>
      </c>
      <c r="AF3720" s="204" t="s">
        <v>398</v>
      </c>
      <c r="AG3720" s="204" t="s">
        <v>398</v>
      </c>
      <c r="AS3720" s="65" t="str">
        <f>IFERROR(VLOOKUP(#REF!,[1]Lookup!$B$2:$E$115,4,FALSE),"")</f>
        <v/>
      </c>
      <c r="AT3720" s="65" t="str">
        <f>IFERROR(VLOOKUP(#REF!,[1]Lookup!$B$2:$E$115,2,FALSE),"")</f>
        <v/>
      </c>
      <c r="AU3720" s="65" t="str">
        <f>IFERROR(VLOOKUP(#REF!,[1]Lookup!$B$2:$E$115,3,FALSE),"")</f>
        <v/>
      </c>
    </row>
    <row r="3721" spans="31:47" x14ac:dyDescent="0.3">
      <c r="AE3721" s="204" t="s">
        <v>398</v>
      </c>
      <c r="AF3721" s="204" t="s">
        <v>398</v>
      </c>
      <c r="AG3721" s="204" t="s">
        <v>398</v>
      </c>
      <c r="AS3721" s="65" t="str">
        <f>IFERROR(VLOOKUP(#REF!,[1]Lookup!$B$2:$E$115,4,FALSE),"")</f>
        <v/>
      </c>
      <c r="AT3721" s="65" t="str">
        <f>IFERROR(VLOOKUP(#REF!,[1]Lookup!$B$2:$E$115,2,FALSE),"")</f>
        <v/>
      </c>
      <c r="AU3721" s="65" t="str">
        <f>IFERROR(VLOOKUP(#REF!,[1]Lookup!$B$2:$E$115,3,FALSE),"")</f>
        <v/>
      </c>
    </row>
    <row r="3722" spans="31:47" x14ac:dyDescent="0.3">
      <c r="AE3722" s="204" t="s">
        <v>398</v>
      </c>
      <c r="AF3722" s="204" t="s">
        <v>398</v>
      </c>
      <c r="AG3722" s="204" t="s">
        <v>398</v>
      </c>
      <c r="AS3722" s="65" t="str">
        <f>IFERROR(VLOOKUP(#REF!,[1]Lookup!$B$2:$E$115,4,FALSE),"")</f>
        <v/>
      </c>
      <c r="AT3722" s="65" t="str">
        <f>IFERROR(VLOOKUP(#REF!,[1]Lookup!$B$2:$E$115,2,FALSE),"")</f>
        <v/>
      </c>
      <c r="AU3722" s="65" t="str">
        <f>IFERROR(VLOOKUP(#REF!,[1]Lookup!$B$2:$E$115,3,FALSE),"")</f>
        <v/>
      </c>
    </row>
    <row r="3723" spans="31:47" x14ac:dyDescent="0.3">
      <c r="AE3723" s="204" t="s">
        <v>398</v>
      </c>
      <c r="AF3723" s="204" t="s">
        <v>398</v>
      </c>
      <c r="AG3723" s="204" t="s">
        <v>398</v>
      </c>
      <c r="AS3723" s="65" t="str">
        <f>IFERROR(VLOOKUP(#REF!,[1]Lookup!$B$2:$E$115,4,FALSE),"")</f>
        <v/>
      </c>
      <c r="AT3723" s="65" t="str">
        <f>IFERROR(VLOOKUP(#REF!,[1]Lookup!$B$2:$E$115,2,FALSE),"")</f>
        <v/>
      </c>
      <c r="AU3723" s="65" t="str">
        <f>IFERROR(VLOOKUP(#REF!,[1]Lookup!$B$2:$E$115,3,FALSE),"")</f>
        <v/>
      </c>
    </row>
    <row r="3724" spans="31:47" x14ac:dyDescent="0.3">
      <c r="AE3724" s="204" t="s">
        <v>398</v>
      </c>
      <c r="AF3724" s="204" t="s">
        <v>398</v>
      </c>
      <c r="AG3724" s="204" t="s">
        <v>398</v>
      </c>
      <c r="AS3724" s="65" t="str">
        <f>IFERROR(VLOOKUP(#REF!,[1]Lookup!$B$2:$E$115,4,FALSE),"")</f>
        <v/>
      </c>
      <c r="AT3724" s="65" t="str">
        <f>IFERROR(VLOOKUP(#REF!,[1]Lookup!$B$2:$E$115,2,FALSE),"")</f>
        <v/>
      </c>
      <c r="AU3724" s="65" t="str">
        <f>IFERROR(VLOOKUP(#REF!,[1]Lookup!$B$2:$E$115,3,FALSE),"")</f>
        <v/>
      </c>
    </row>
    <row r="3725" spans="31:47" x14ac:dyDescent="0.3">
      <c r="AE3725" s="204" t="s">
        <v>398</v>
      </c>
      <c r="AF3725" s="204" t="s">
        <v>398</v>
      </c>
      <c r="AG3725" s="204" t="s">
        <v>398</v>
      </c>
      <c r="AS3725" s="65" t="str">
        <f>IFERROR(VLOOKUP(#REF!,[1]Lookup!$B$2:$E$115,4,FALSE),"")</f>
        <v/>
      </c>
      <c r="AT3725" s="65" t="str">
        <f>IFERROR(VLOOKUP(#REF!,[1]Lookup!$B$2:$E$115,2,FALSE),"")</f>
        <v/>
      </c>
      <c r="AU3725" s="65" t="str">
        <f>IFERROR(VLOOKUP(#REF!,[1]Lookup!$B$2:$E$115,3,FALSE),"")</f>
        <v/>
      </c>
    </row>
    <row r="3726" spans="31:47" x14ac:dyDescent="0.3">
      <c r="AE3726" s="204" t="s">
        <v>398</v>
      </c>
      <c r="AF3726" s="204" t="s">
        <v>398</v>
      </c>
      <c r="AG3726" s="204" t="s">
        <v>398</v>
      </c>
      <c r="AS3726" s="65" t="str">
        <f>IFERROR(VLOOKUP(#REF!,[1]Lookup!$B$2:$E$115,4,FALSE),"")</f>
        <v/>
      </c>
      <c r="AT3726" s="65" t="str">
        <f>IFERROR(VLOOKUP(#REF!,[1]Lookup!$B$2:$E$115,2,FALSE),"")</f>
        <v/>
      </c>
      <c r="AU3726" s="65" t="str">
        <f>IFERROR(VLOOKUP(#REF!,[1]Lookup!$B$2:$E$115,3,FALSE),"")</f>
        <v/>
      </c>
    </row>
    <row r="3727" spans="31:47" x14ac:dyDescent="0.3">
      <c r="AE3727" s="204" t="s">
        <v>398</v>
      </c>
      <c r="AF3727" s="204" t="s">
        <v>398</v>
      </c>
      <c r="AG3727" s="204" t="s">
        <v>398</v>
      </c>
      <c r="AS3727" s="65" t="str">
        <f>IFERROR(VLOOKUP(#REF!,[1]Lookup!$B$2:$E$115,4,FALSE),"")</f>
        <v/>
      </c>
      <c r="AT3727" s="65" t="str">
        <f>IFERROR(VLOOKUP(#REF!,[1]Lookup!$B$2:$E$115,2,FALSE),"")</f>
        <v/>
      </c>
      <c r="AU3727" s="65" t="str">
        <f>IFERROR(VLOOKUP(#REF!,[1]Lookup!$B$2:$E$115,3,FALSE),"")</f>
        <v/>
      </c>
    </row>
    <row r="3728" spans="31:47" x14ac:dyDescent="0.3">
      <c r="AE3728" s="204" t="s">
        <v>398</v>
      </c>
      <c r="AF3728" s="204" t="s">
        <v>398</v>
      </c>
      <c r="AG3728" s="204" t="s">
        <v>398</v>
      </c>
      <c r="AS3728" s="65" t="str">
        <f>IFERROR(VLOOKUP(#REF!,[1]Lookup!$B$2:$E$115,4,FALSE),"")</f>
        <v/>
      </c>
      <c r="AT3728" s="65" t="str">
        <f>IFERROR(VLOOKUP(#REF!,[1]Lookup!$B$2:$E$115,2,FALSE),"")</f>
        <v/>
      </c>
      <c r="AU3728" s="65" t="str">
        <f>IFERROR(VLOOKUP(#REF!,[1]Lookup!$B$2:$E$115,3,FALSE),"")</f>
        <v/>
      </c>
    </row>
    <row r="3729" spans="31:47" x14ac:dyDescent="0.3">
      <c r="AE3729" s="204" t="s">
        <v>398</v>
      </c>
      <c r="AF3729" s="204" t="s">
        <v>398</v>
      </c>
      <c r="AG3729" s="204" t="s">
        <v>398</v>
      </c>
      <c r="AS3729" s="65" t="str">
        <f>IFERROR(VLOOKUP(#REF!,[1]Lookup!$B$2:$E$115,4,FALSE),"")</f>
        <v/>
      </c>
      <c r="AT3729" s="65" t="str">
        <f>IFERROR(VLOOKUP(#REF!,[1]Lookup!$B$2:$E$115,2,FALSE),"")</f>
        <v/>
      </c>
      <c r="AU3729" s="65" t="str">
        <f>IFERROR(VLOOKUP(#REF!,[1]Lookup!$B$2:$E$115,3,FALSE),"")</f>
        <v/>
      </c>
    </row>
    <row r="3730" spans="31:47" x14ac:dyDescent="0.3">
      <c r="AE3730" s="204" t="s">
        <v>398</v>
      </c>
      <c r="AF3730" s="204" t="s">
        <v>398</v>
      </c>
      <c r="AG3730" s="204" t="s">
        <v>398</v>
      </c>
      <c r="AS3730" s="65" t="str">
        <f>IFERROR(VLOOKUP(#REF!,[1]Lookup!$B$2:$E$115,4,FALSE),"")</f>
        <v/>
      </c>
      <c r="AT3730" s="65" t="str">
        <f>IFERROR(VLOOKUP(#REF!,[1]Lookup!$B$2:$E$115,2,FALSE),"")</f>
        <v/>
      </c>
      <c r="AU3730" s="65" t="str">
        <f>IFERROR(VLOOKUP(#REF!,[1]Lookup!$B$2:$E$115,3,FALSE),"")</f>
        <v/>
      </c>
    </row>
    <row r="3731" spans="31:47" x14ac:dyDescent="0.3">
      <c r="AE3731" s="204" t="s">
        <v>398</v>
      </c>
      <c r="AF3731" s="204" t="s">
        <v>398</v>
      </c>
      <c r="AG3731" s="204" t="s">
        <v>398</v>
      </c>
      <c r="AS3731" s="65" t="str">
        <f>IFERROR(VLOOKUP(#REF!,[1]Lookup!$B$2:$E$115,4,FALSE),"")</f>
        <v/>
      </c>
      <c r="AT3731" s="65" t="str">
        <f>IFERROR(VLOOKUP(#REF!,[1]Lookup!$B$2:$E$115,2,FALSE),"")</f>
        <v/>
      </c>
      <c r="AU3731" s="65" t="str">
        <f>IFERROR(VLOOKUP(#REF!,[1]Lookup!$B$2:$E$115,3,FALSE),"")</f>
        <v/>
      </c>
    </row>
    <row r="3732" spans="31:47" x14ac:dyDescent="0.3">
      <c r="AE3732" s="204" t="s">
        <v>398</v>
      </c>
      <c r="AF3732" s="204" t="s">
        <v>398</v>
      </c>
      <c r="AG3732" s="204" t="s">
        <v>398</v>
      </c>
      <c r="AS3732" s="65" t="str">
        <f>IFERROR(VLOOKUP(#REF!,[1]Lookup!$B$2:$E$115,4,FALSE),"")</f>
        <v/>
      </c>
      <c r="AT3732" s="65" t="str">
        <f>IFERROR(VLOOKUP(#REF!,[1]Lookup!$B$2:$E$115,2,FALSE),"")</f>
        <v/>
      </c>
      <c r="AU3732" s="65" t="str">
        <f>IFERROR(VLOOKUP(#REF!,[1]Lookup!$B$2:$E$115,3,FALSE),"")</f>
        <v/>
      </c>
    </row>
    <row r="3733" spans="31:47" x14ac:dyDescent="0.3">
      <c r="AE3733" s="204" t="s">
        <v>398</v>
      </c>
      <c r="AF3733" s="204" t="s">
        <v>398</v>
      </c>
      <c r="AG3733" s="204" t="s">
        <v>398</v>
      </c>
      <c r="AS3733" s="65" t="str">
        <f>IFERROR(VLOOKUP(#REF!,[1]Lookup!$B$2:$E$115,4,FALSE),"")</f>
        <v/>
      </c>
      <c r="AT3733" s="65" t="str">
        <f>IFERROR(VLOOKUP(#REF!,[1]Lookup!$B$2:$E$115,2,FALSE),"")</f>
        <v/>
      </c>
      <c r="AU3733" s="65" t="str">
        <f>IFERROR(VLOOKUP(#REF!,[1]Lookup!$B$2:$E$115,3,FALSE),"")</f>
        <v/>
      </c>
    </row>
    <row r="3734" spans="31:47" x14ac:dyDescent="0.3">
      <c r="AE3734" s="204" t="s">
        <v>398</v>
      </c>
      <c r="AF3734" s="204" t="s">
        <v>398</v>
      </c>
      <c r="AG3734" s="204" t="s">
        <v>398</v>
      </c>
      <c r="AS3734" s="65" t="str">
        <f>IFERROR(VLOOKUP(#REF!,[1]Lookup!$B$2:$E$115,4,FALSE),"")</f>
        <v/>
      </c>
      <c r="AT3734" s="65" t="str">
        <f>IFERROR(VLOOKUP(#REF!,[1]Lookup!$B$2:$E$115,2,FALSE),"")</f>
        <v/>
      </c>
      <c r="AU3734" s="65" t="str">
        <f>IFERROR(VLOOKUP(#REF!,[1]Lookup!$B$2:$E$115,3,FALSE),"")</f>
        <v/>
      </c>
    </row>
    <row r="3735" spans="31:47" x14ac:dyDescent="0.3">
      <c r="AE3735" s="204" t="s">
        <v>398</v>
      </c>
      <c r="AF3735" s="204" t="s">
        <v>398</v>
      </c>
      <c r="AG3735" s="204" t="s">
        <v>398</v>
      </c>
      <c r="AS3735" s="65" t="str">
        <f>IFERROR(VLOOKUP(#REF!,[1]Lookup!$B$2:$E$115,4,FALSE),"")</f>
        <v/>
      </c>
      <c r="AT3735" s="65" t="str">
        <f>IFERROR(VLOOKUP(#REF!,[1]Lookup!$B$2:$E$115,2,FALSE),"")</f>
        <v/>
      </c>
      <c r="AU3735" s="65" t="str">
        <f>IFERROR(VLOOKUP(#REF!,[1]Lookup!$B$2:$E$115,3,FALSE),"")</f>
        <v/>
      </c>
    </row>
    <row r="3736" spans="31:47" x14ac:dyDescent="0.3">
      <c r="AE3736" s="204" t="s">
        <v>398</v>
      </c>
      <c r="AF3736" s="204" t="s">
        <v>398</v>
      </c>
      <c r="AG3736" s="204" t="s">
        <v>398</v>
      </c>
      <c r="AS3736" s="65" t="str">
        <f>IFERROR(VLOOKUP(#REF!,[1]Lookup!$B$2:$E$115,4,FALSE),"")</f>
        <v/>
      </c>
      <c r="AT3736" s="65" t="str">
        <f>IFERROR(VLOOKUP(#REF!,[1]Lookup!$B$2:$E$115,2,FALSE),"")</f>
        <v/>
      </c>
      <c r="AU3736" s="65" t="str">
        <f>IFERROR(VLOOKUP(#REF!,[1]Lookup!$B$2:$E$115,3,FALSE),"")</f>
        <v/>
      </c>
    </row>
    <row r="3737" spans="31:47" x14ac:dyDescent="0.3">
      <c r="AE3737" s="204" t="s">
        <v>398</v>
      </c>
      <c r="AF3737" s="204" t="s">
        <v>398</v>
      </c>
      <c r="AG3737" s="204" t="s">
        <v>398</v>
      </c>
      <c r="AS3737" s="65" t="str">
        <f>IFERROR(VLOOKUP(#REF!,[1]Lookup!$B$2:$E$115,4,FALSE),"")</f>
        <v/>
      </c>
      <c r="AT3737" s="65" t="str">
        <f>IFERROR(VLOOKUP(#REF!,[1]Lookup!$B$2:$E$115,2,FALSE),"")</f>
        <v/>
      </c>
      <c r="AU3737" s="65" t="str">
        <f>IFERROR(VLOOKUP(#REF!,[1]Lookup!$B$2:$E$115,3,FALSE),"")</f>
        <v/>
      </c>
    </row>
    <row r="3738" spans="31:47" x14ac:dyDescent="0.3">
      <c r="AE3738" s="204" t="s">
        <v>398</v>
      </c>
      <c r="AF3738" s="204" t="s">
        <v>398</v>
      </c>
      <c r="AG3738" s="204" t="s">
        <v>398</v>
      </c>
      <c r="AS3738" s="65" t="str">
        <f>IFERROR(VLOOKUP(#REF!,[1]Lookup!$B$2:$E$115,4,FALSE),"")</f>
        <v/>
      </c>
      <c r="AT3738" s="65" t="str">
        <f>IFERROR(VLOOKUP(#REF!,[1]Lookup!$B$2:$E$115,2,FALSE),"")</f>
        <v/>
      </c>
      <c r="AU3738" s="65" t="str">
        <f>IFERROR(VLOOKUP(#REF!,[1]Lookup!$B$2:$E$115,3,FALSE),"")</f>
        <v/>
      </c>
    </row>
    <row r="3739" spans="31:47" x14ac:dyDescent="0.3">
      <c r="AE3739" s="204" t="s">
        <v>398</v>
      </c>
      <c r="AF3739" s="204" t="s">
        <v>398</v>
      </c>
      <c r="AG3739" s="204" t="s">
        <v>398</v>
      </c>
      <c r="AS3739" s="65" t="str">
        <f>IFERROR(VLOOKUP(#REF!,[1]Lookup!$B$2:$E$115,4,FALSE),"")</f>
        <v/>
      </c>
      <c r="AT3739" s="65" t="str">
        <f>IFERROR(VLOOKUP(#REF!,[1]Lookup!$B$2:$E$115,2,FALSE),"")</f>
        <v/>
      </c>
      <c r="AU3739" s="65" t="str">
        <f>IFERROR(VLOOKUP(#REF!,[1]Lookup!$B$2:$E$115,3,FALSE),"")</f>
        <v/>
      </c>
    </row>
    <row r="3740" spans="31:47" x14ac:dyDescent="0.3">
      <c r="AE3740" s="204" t="s">
        <v>398</v>
      </c>
      <c r="AF3740" s="204" t="s">
        <v>398</v>
      </c>
      <c r="AG3740" s="204" t="s">
        <v>398</v>
      </c>
      <c r="AS3740" s="65" t="str">
        <f>IFERROR(VLOOKUP(#REF!,[1]Lookup!$B$2:$E$115,4,FALSE),"")</f>
        <v/>
      </c>
      <c r="AT3740" s="65" t="str">
        <f>IFERROR(VLOOKUP(#REF!,[1]Lookup!$B$2:$E$115,2,FALSE),"")</f>
        <v/>
      </c>
      <c r="AU3740" s="65" t="str">
        <f>IFERROR(VLOOKUP(#REF!,[1]Lookup!$B$2:$E$115,3,FALSE),"")</f>
        <v/>
      </c>
    </row>
    <row r="3741" spans="31:47" x14ac:dyDescent="0.3">
      <c r="AE3741" s="204" t="s">
        <v>398</v>
      </c>
      <c r="AF3741" s="204" t="s">
        <v>398</v>
      </c>
      <c r="AG3741" s="204" t="s">
        <v>398</v>
      </c>
      <c r="AS3741" s="65" t="str">
        <f>IFERROR(VLOOKUP(#REF!,[1]Lookup!$B$2:$E$115,4,FALSE),"")</f>
        <v/>
      </c>
      <c r="AT3741" s="65" t="str">
        <f>IFERROR(VLOOKUP(#REF!,[1]Lookup!$B$2:$E$115,2,FALSE),"")</f>
        <v/>
      </c>
      <c r="AU3741" s="65" t="str">
        <f>IFERROR(VLOOKUP(#REF!,[1]Lookup!$B$2:$E$115,3,FALSE),"")</f>
        <v/>
      </c>
    </row>
    <row r="3742" spans="31:47" x14ac:dyDescent="0.3">
      <c r="AE3742" s="204" t="s">
        <v>398</v>
      </c>
      <c r="AF3742" s="204" t="s">
        <v>398</v>
      </c>
      <c r="AG3742" s="204" t="s">
        <v>398</v>
      </c>
      <c r="AS3742" s="65" t="str">
        <f>IFERROR(VLOOKUP(#REF!,[1]Lookup!$B$2:$E$115,4,FALSE),"")</f>
        <v/>
      </c>
      <c r="AT3742" s="65" t="str">
        <f>IFERROR(VLOOKUP(#REF!,[1]Lookup!$B$2:$E$115,2,FALSE),"")</f>
        <v/>
      </c>
      <c r="AU3742" s="65" t="str">
        <f>IFERROR(VLOOKUP(#REF!,[1]Lookup!$B$2:$E$115,3,FALSE),"")</f>
        <v/>
      </c>
    </row>
    <row r="3743" spans="31:47" x14ac:dyDescent="0.3">
      <c r="AE3743" s="204" t="s">
        <v>398</v>
      </c>
      <c r="AF3743" s="204" t="s">
        <v>398</v>
      </c>
      <c r="AG3743" s="204" t="s">
        <v>398</v>
      </c>
      <c r="AS3743" s="65" t="str">
        <f>IFERROR(VLOOKUP(#REF!,[1]Lookup!$B$2:$E$115,4,FALSE),"")</f>
        <v/>
      </c>
      <c r="AT3743" s="65" t="str">
        <f>IFERROR(VLOOKUP(#REF!,[1]Lookup!$B$2:$E$115,2,FALSE),"")</f>
        <v/>
      </c>
      <c r="AU3743" s="65" t="str">
        <f>IFERROR(VLOOKUP(#REF!,[1]Lookup!$B$2:$E$115,3,FALSE),"")</f>
        <v/>
      </c>
    </row>
    <row r="3744" spans="31:47" x14ac:dyDescent="0.3">
      <c r="AE3744" s="204" t="s">
        <v>398</v>
      </c>
      <c r="AF3744" s="204" t="s">
        <v>398</v>
      </c>
      <c r="AG3744" s="204" t="s">
        <v>398</v>
      </c>
      <c r="AS3744" s="65" t="str">
        <f>IFERROR(VLOOKUP(#REF!,[1]Lookup!$B$2:$E$115,4,FALSE),"")</f>
        <v/>
      </c>
      <c r="AT3744" s="65" t="str">
        <f>IFERROR(VLOOKUP(#REF!,[1]Lookup!$B$2:$E$115,2,FALSE),"")</f>
        <v/>
      </c>
      <c r="AU3744" s="65" t="str">
        <f>IFERROR(VLOOKUP(#REF!,[1]Lookup!$B$2:$E$115,3,FALSE),"")</f>
        <v/>
      </c>
    </row>
    <row r="3745" spans="31:47" x14ac:dyDescent="0.3">
      <c r="AE3745" s="204" t="s">
        <v>398</v>
      </c>
      <c r="AF3745" s="204" t="s">
        <v>398</v>
      </c>
      <c r="AG3745" s="204" t="s">
        <v>398</v>
      </c>
      <c r="AS3745" s="65" t="str">
        <f>IFERROR(VLOOKUP(#REF!,[1]Lookup!$B$2:$E$115,4,FALSE),"")</f>
        <v/>
      </c>
      <c r="AT3745" s="65" t="str">
        <f>IFERROR(VLOOKUP(#REF!,[1]Lookup!$B$2:$E$115,2,FALSE),"")</f>
        <v/>
      </c>
      <c r="AU3745" s="65" t="str">
        <f>IFERROR(VLOOKUP(#REF!,[1]Lookup!$B$2:$E$115,3,FALSE),"")</f>
        <v/>
      </c>
    </row>
    <row r="3746" spans="31:47" x14ac:dyDescent="0.3">
      <c r="AE3746" s="204" t="s">
        <v>398</v>
      </c>
      <c r="AF3746" s="204" t="s">
        <v>398</v>
      </c>
      <c r="AG3746" s="204" t="s">
        <v>398</v>
      </c>
      <c r="AS3746" s="65" t="str">
        <f>IFERROR(VLOOKUP(#REF!,[1]Lookup!$B$2:$E$115,4,FALSE),"")</f>
        <v/>
      </c>
      <c r="AT3746" s="65" t="str">
        <f>IFERROR(VLOOKUP(#REF!,[1]Lookup!$B$2:$E$115,2,FALSE),"")</f>
        <v/>
      </c>
      <c r="AU3746" s="65" t="str">
        <f>IFERROR(VLOOKUP(#REF!,[1]Lookup!$B$2:$E$115,3,FALSE),"")</f>
        <v/>
      </c>
    </row>
    <row r="3747" spans="31:47" x14ac:dyDescent="0.3">
      <c r="AE3747" s="204" t="s">
        <v>398</v>
      </c>
      <c r="AF3747" s="204" t="s">
        <v>398</v>
      </c>
      <c r="AG3747" s="204" t="s">
        <v>398</v>
      </c>
      <c r="AS3747" s="65" t="str">
        <f>IFERROR(VLOOKUP(#REF!,[1]Lookup!$B$2:$E$115,4,FALSE),"")</f>
        <v/>
      </c>
      <c r="AT3747" s="65" t="str">
        <f>IFERROR(VLOOKUP(#REF!,[1]Lookup!$B$2:$E$115,2,FALSE),"")</f>
        <v/>
      </c>
      <c r="AU3747" s="65" t="str">
        <f>IFERROR(VLOOKUP(#REF!,[1]Lookup!$B$2:$E$115,3,FALSE),"")</f>
        <v/>
      </c>
    </row>
    <row r="3748" spans="31:47" x14ac:dyDescent="0.3">
      <c r="AE3748" s="204" t="s">
        <v>398</v>
      </c>
      <c r="AF3748" s="204" t="s">
        <v>398</v>
      </c>
      <c r="AG3748" s="204" t="s">
        <v>398</v>
      </c>
      <c r="AS3748" s="65" t="str">
        <f>IFERROR(VLOOKUP(#REF!,[1]Lookup!$B$2:$E$115,4,FALSE),"")</f>
        <v/>
      </c>
      <c r="AT3748" s="65" t="str">
        <f>IFERROR(VLOOKUP(#REF!,[1]Lookup!$B$2:$E$115,2,FALSE),"")</f>
        <v/>
      </c>
      <c r="AU3748" s="65" t="str">
        <f>IFERROR(VLOOKUP(#REF!,[1]Lookup!$B$2:$E$115,3,FALSE),"")</f>
        <v/>
      </c>
    </row>
    <row r="3749" spans="31:47" x14ac:dyDescent="0.3">
      <c r="AE3749" s="204" t="s">
        <v>398</v>
      </c>
      <c r="AF3749" s="204" t="s">
        <v>398</v>
      </c>
      <c r="AG3749" s="204" t="s">
        <v>398</v>
      </c>
      <c r="AS3749" s="65" t="str">
        <f>IFERROR(VLOOKUP(#REF!,[1]Lookup!$B$2:$E$115,4,FALSE),"")</f>
        <v/>
      </c>
      <c r="AT3749" s="65" t="str">
        <f>IFERROR(VLOOKUP(#REF!,[1]Lookup!$B$2:$E$115,2,FALSE),"")</f>
        <v/>
      </c>
      <c r="AU3749" s="65" t="str">
        <f>IFERROR(VLOOKUP(#REF!,[1]Lookup!$B$2:$E$115,3,FALSE),"")</f>
        <v/>
      </c>
    </row>
    <row r="3750" spans="31:47" x14ac:dyDescent="0.3">
      <c r="AE3750" s="204" t="s">
        <v>398</v>
      </c>
      <c r="AF3750" s="204" t="s">
        <v>398</v>
      </c>
      <c r="AG3750" s="204" t="s">
        <v>398</v>
      </c>
      <c r="AS3750" s="65" t="str">
        <f>IFERROR(VLOOKUP(#REF!,[1]Lookup!$B$2:$E$115,4,FALSE),"")</f>
        <v/>
      </c>
      <c r="AT3750" s="65" t="str">
        <f>IFERROR(VLOOKUP(#REF!,[1]Lookup!$B$2:$E$115,2,FALSE),"")</f>
        <v/>
      </c>
      <c r="AU3750" s="65" t="str">
        <f>IFERROR(VLOOKUP(#REF!,[1]Lookup!$B$2:$E$115,3,FALSE),"")</f>
        <v/>
      </c>
    </row>
    <row r="3751" spans="31:47" x14ac:dyDescent="0.3">
      <c r="AE3751" s="204" t="s">
        <v>398</v>
      </c>
      <c r="AF3751" s="204" t="s">
        <v>398</v>
      </c>
      <c r="AG3751" s="204" t="s">
        <v>398</v>
      </c>
      <c r="AS3751" s="65" t="str">
        <f>IFERROR(VLOOKUP(#REF!,[1]Lookup!$B$2:$E$115,4,FALSE),"")</f>
        <v/>
      </c>
      <c r="AT3751" s="65" t="str">
        <f>IFERROR(VLOOKUP(#REF!,[1]Lookup!$B$2:$E$115,2,FALSE),"")</f>
        <v/>
      </c>
      <c r="AU3751" s="65" t="str">
        <f>IFERROR(VLOOKUP(#REF!,[1]Lookup!$B$2:$E$115,3,FALSE),"")</f>
        <v/>
      </c>
    </row>
    <row r="3752" spans="31:47" x14ac:dyDescent="0.3">
      <c r="AE3752" s="204" t="s">
        <v>398</v>
      </c>
      <c r="AF3752" s="204" t="s">
        <v>398</v>
      </c>
      <c r="AG3752" s="204" t="s">
        <v>398</v>
      </c>
      <c r="AS3752" s="65" t="str">
        <f>IFERROR(VLOOKUP(#REF!,[1]Lookup!$B$2:$E$115,4,FALSE),"")</f>
        <v/>
      </c>
      <c r="AT3752" s="65" t="str">
        <f>IFERROR(VLOOKUP(#REF!,[1]Lookup!$B$2:$E$115,2,FALSE),"")</f>
        <v/>
      </c>
      <c r="AU3752" s="65" t="str">
        <f>IFERROR(VLOOKUP(#REF!,[1]Lookup!$B$2:$E$115,3,FALSE),"")</f>
        <v/>
      </c>
    </row>
    <row r="3753" spans="31:47" x14ac:dyDescent="0.3">
      <c r="AE3753" s="204" t="s">
        <v>398</v>
      </c>
      <c r="AF3753" s="204" t="s">
        <v>398</v>
      </c>
      <c r="AG3753" s="204" t="s">
        <v>398</v>
      </c>
      <c r="AS3753" s="65" t="str">
        <f>IFERROR(VLOOKUP(#REF!,[1]Lookup!$B$2:$E$115,4,FALSE),"")</f>
        <v/>
      </c>
      <c r="AT3753" s="65" t="str">
        <f>IFERROR(VLOOKUP(#REF!,[1]Lookup!$B$2:$E$115,2,FALSE),"")</f>
        <v/>
      </c>
      <c r="AU3753" s="65" t="str">
        <f>IFERROR(VLOOKUP(#REF!,[1]Lookup!$B$2:$E$115,3,FALSE),"")</f>
        <v/>
      </c>
    </row>
    <row r="3754" spans="31:47" x14ac:dyDescent="0.3">
      <c r="AE3754" s="204" t="s">
        <v>398</v>
      </c>
      <c r="AF3754" s="204" t="s">
        <v>398</v>
      </c>
      <c r="AG3754" s="204" t="s">
        <v>398</v>
      </c>
      <c r="AS3754" s="65" t="str">
        <f>IFERROR(VLOOKUP(#REF!,[1]Lookup!$B$2:$E$115,4,FALSE),"")</f>
        <v/>
      </c>
      <c r="AT3754" s="65" t="str">
        <f>IFERROR(VLOOKUP(#REF!,[1]Lookup!$B$2:$E$115,2,FALSE),"")</f>
        <v/>
      </c>
      <c r="AU3754" s="65" t="str">
        <f>IFERROR(VLOOKUP(#REF!,[1]Lookup!$B$2:$E$115,3,FALSE),"")</f>
        <v/>
      </c>
    </row>
    <row r="3755" spans="31:47" x14ac:dyDescent="0.3">
      <c r="AE3755" s="204" t="s">
        <v>398</v>
      </c>
      <c r="AF3755" s="204" t="s">
        <v>398</v>
      </c>
      <c r="AG3755" s="204" t="s">
        <v>398</v>
      </c>
      <c r="AS3755" s="65" t="str">
        <f>IFERROR(VLOOKUP(#REF!,[1]Lookup!$B$2:$E$115,4,FALSE),"")</f>
        <v/>
      </c>
      <c r="AT3755" s="65" t="str">
        <f>IFERROR(VLOOKUP(#REF!,[1]Lookup!$B$2:$E$115,2,FALSE),"")</f>
        <v/>
      </c>
      <c r="AU3755" s="65" t="str">
        <f>IFERROR(VLOOKUP(#REF!,[1]Lookup!$B$2:$E$115,3,FALSE),"")</f>
        <v/>
      </c>
    </row>
    <row r="3756" spans="31:47" x14ac:dyDescent="0.3">
      <c r="AE3756" s="204" t="s">
        <v>398</v>
      </c>
      <c r="AF3756" s="204" t="s">
        <v>398</v>
      </c>
      <c r="AG3756" s="204" t="s">
        <v>398</v>
      </c>
      <c r="AS3756" s="65" t="str">
        <f>IFERROR(VLOOKUP(#REF!,[1]Lookup!$B$2:$E$115,4,FALSE),"")</f>
        <v/>
      </c>
      <c r="AT3756" s="65" t="str">
        <f>IFERROR(VLOOKUP(#REF!,[1]Lookup!$B$2:$E$115,2,FALSE),"")</f>
        <v/>
      </c>
      <c r="AU3756" s="65" t="str">
        <f>IFERROR(VLOOKUP(#REF!,[1]Lookup!$B$2:$E$115,3,FALSE),"")</f>
        <v/>
      </c>
    </row>
    <row r="3757" spans="31:47" x14ac:dyDescent="0.3">
      <c r="AE3757" s="204" t="s">
        <v>398</v>
      </c>
      <c r="AF3757" s="204" t="s">
        <v>398</v>
      </c>
      <c r="AG3757" s="204" t="s">
        <v>398</v>
      </c>
      <c r="AS3757" s="65" t="str">
        <f>IFERROR(VLOOKUP(#REF!,[1]Lookup!$B$2:$E$115,4,FALSE),"")</f>
        <v/>
      </c>
      <c r="AT3757" s="65" t="str">
        <f>IFERROR(VLOOKUP(#REF!,[1]Lookup!$B$2:$E$115,2,FALSE),"")</f>
        <v/>
      </c>
      <c r="AU3757" s="65" t="str">
        <f>IFERROR(VLOOKUP(#REF!,[1]Lookup!$B$2:$E$115,3,FALSE),"")</f>
        <v/>
      </c>
    </row>
    <row r="3758" spans="31:47" x14ac:dyDescent="0.3">
      <c r="AE3758" s="204" t="s">
        <v>398</v>
      </c>
      <c r="AF3758" s="204" t="s">
        <v>398</v>
      </c>
      <c r="AG3758" s="204" t="s">
        <v>398</v>
      </c>
      <c r="AS3758" s="65" t="str">
        <f>IFERROR(VLOOKUP(#REF!,[1]Lookup!$B$2:$E$115,4,FALSE),"")</f>
        <v/>
      </c>
      <c r="AT3758" s="65" t="str">
        <f>IFERROR(VLOOKUP(#REF!,[1]Lookup!$B$2:$E$115,2,FALSE),"")</f>
        <v/>
      </c>
      <c r="AU3758" s="65" t="str">
        <f>IFERROR(VLOOKUP(#REF!,[1]Lookup!$B$2:$E$115,3,FALSE),"")</f>
        <v/>
      </c>
    </row>
    <row r="3759" spans="31:47" x14ac:dyDescent="0.3">
      <c r="AE3759" s="204" t="s">
        <v>398</v>
      </c>
      <c r="AF3759" s="204" t="s">
        <v>398</v>
      </c>
      <c r="AG3759" s="204" t="s">
        <v>398</v>
      </c>
      <c r="AS3759" s="65" t="str">
        <f>IFERROR(VLOOKUP(#REF!,[1]Lookup!$B$2:$E$115,4,FALSE),"")</f>
        <v/>
      </c>
      <c r="AT3759" s="65" t="str">
        <f>IFERROR(VLOOKUP(#REF!,[1]Lookup!$B$2:$E$115,2,FALSE),"")</f>
        <v/>
      </c>
      <c r="AU3759" s="65" t="str">
        <f>IFERROR(VLOOKUP(#REF!,[1]Lookup!$B$2:$E$115,3,FALSE),"")</f>
        <v/>
      </c>
    </row>
    <row r="3760" spans="31:47" x14ac:dyDescent="0.3">
      <c r="AE3760" s="204" t="s">
        <v>398</v>
      </c>
      <c r="AF3760" s="204" t="s">
        <v>398</v>
      </c>
      <c r="AG3760" s="204" t="s">
        <v>398</v>
      </c>
      <c r="AS3760" s="65" t="str">
        <f>IFERROR(VLOOKUP(#REF!,[1]Lookup!$B$2:$E$115,4,FALSE),"")</f>
        <v/>
      </c>
      <c r="AT3760" s="65" t="str">
        <f>IFERROR(VLOOKUP(#REF!,[1]Lookup!$B$2:$E$115,2,FALSE),"")</f>
        <v/>
      </c>
      <c r="AU3760" s="65" t="str">
        <f>IFERROR(VLOOKUP(#REF!,[1]Lookup!$B$2:$E$115,3,FALSE),"")</f>
        <v/>
      </c>
    </row>
    <row r="3761" spans="31:47" x14ac:dyDescent="0.3">
      <c r="AE3761" s="204" t="s">
        <v>398</v>
      </c>
      <c r="AF3761" s="204" t="s">
        <v>398</v>
      </c>
      <c r="AG3761" s="204" t="s">
        <v>398</v>
      </c>
      <c r="AS3761" s="65" t="str">
        <f>IFERROR(VLOOKUP(#REF!,[1]Lookup!$B$2:$E$115,4,FALSE),"")</f>
        <v/>
      </c>
      <c r="AT3761" s="65" t="str">
        <f>IFERROR(VLOOKUP(#REF!,[1]Lookup!$B$2:$E$115,2,FALSE),"")</f>
        <v/>
      </c>
      <c r="AU3761" s="65" t="str">
        <f>IFERROR(VLOOKUP(#REF!,[1]Lookup!$B$2:$E$115,3,FALSE),"")</f>
        <v/>
      </c>
    </row>
    <row r="3762" spans="31:47" x14ac:dyDescent="0.3">
      <c r="AE3762" s="204" t="s">
        <v>398</v>
      </c>
      <c r="AF3762" s="204" t="s">
        <v>398</v>
      </c>
      <c r="AG3762" s="204" t="s">
        <v>398</v>
      </c>
      <c r="AS3762" s="65" t="str">
        <f>IFERROR(VLOOKUP(#REF!,[1]Lookup!$B$2:$E$115,4,FALSE),"")</f>
        <v/>
      </c>
      <c r="AT3762" s="65" t="str">
        <f>IFERROR(VLOOKUP(#REF!,[1]Lookup!$B$2:$E$115,2,FALSE),"")</f>
        <v/>
      </c>
      <c r="AU3762" s="65" t="str">
        <f>IFERROR(VLOOKUP(#REF!,[1]Lookup!$B$2:$E$115,3,FALSE),"")</f>
        <v/>
      </c>
    </row>
    <row r="3763" spans="31:47" x14ac:dyDescent="0.3">
      <c r="AE3763" s="204" t="s">
        <v>398</v>
      </c>
      <c r="AF3763" s="204" t="s">
        <v>398</v>
      </c>
      <c r="AG3763" s="204" t="s">
        <v>398</v>
      </c>
      <c r="AS3763" s="65" t="str">
        <f>IFERROR(VLOOKUP(#REF!,[1]Lookup!$B$2:$E$115,4,FALSE),"")</f>
        <v/>
      </c>
      <c r="AT3763" s="65" t="str">
        <f>IFERROR(VLOOKUP(#REF!,[1]Lookup!$B$2:$E$115,2,FALSE),"")</f>
        <v/>
      </c>
      <c r="AU3763" s="65" t="str">
        <f>IFERROR(VLOOKUP(#REF!,[1]Lookup!$B$2:$E$115,3,FALSE),"")</f>
        <v/>
      </c>
    </row>
    <row r="3764" spans="31:47" x14ac:dyDescent="0.3">
      <c r="AE3764" s="204" t="s">
        <v>398</v>
      </c>
      <c r="AF3764" s="204" t="s">
        <v>398</v>
      </c>
      <c r="AG3764" s="204" t="s">
        <v>398</v>
      </c>
      <c r="AS3764" s="65" t="str">
        <f>IFERROR(VLOOKUP(#REF!,[1]Lookup!$B$2:$E$115,4,FALSE),"")</f>
        <v/>
      </c>
      <c r="AT3764" s="65" t="str">
        <f>IFERROR(VLOOKUP(#REF!,[1]Lookup!$B$2:$E$115,2,FALSE),"")</f>
        <v/>
      </c>
      <c r="AU3764" s="65" t="str">
        <f>IFERROR(VLOOKUP(#REF!,[1]Lookup!$B$2:$E$115,3,FALSE),"")</f>
        <v/>
      </c>
    </row>
    <row r="3765" spans="31:47" x14ac:dyDescent="0.3">
      <c r="AE3765" s="204" t="s">
        <v>398</v>
      </c>
      <c r="AF3765" s="204" t="s">
        <v>398</v>
      </c>
      <c r="AG3765" s="204" t="s">
        <v>398</v>
      </c>
      <c r="AS3765" s="65" t="str">
        <f>IFERROR(VLOOKUP(#REF!,[1]Lookup!$B$2:$E$115,4,FALSE),"")</f>
        <v/>
      </c>
      <c r="AT3765" s="65" t="str">
        <f>IFERROR(VLOOKUP(#REF!,[1]Lookup!$B$2:$E$115,2,FALSE),"")</f>
        <v/>
      </c>
      <c r="AU3765" s="65" t="str">
        <f>IFERROR(VLOOKUP(#REF!,[1]Lookup!$B$2:$E$115,3,FALSE),"")</f>
        <v/>
      </c>
    </row>
    <row r="3766" spans="31:47" x14ac:dyDescent="0.3">
      <c r="AE3766" s="204" t="s">
        <v>398</v>
      </c>
      <c r="AF3766" s="204" t="s">
        <v>398</v>
      </c>
      <c r="AG3766" s="204" t="s">
        <v>398</v>
      </c>
      <c r="AS3766" s="65" t="str">
        <f>IFERROR(VLOOKUP(#REF!,[1]Lookup!$B$2:$E$115,4,FALSE),"")</f>
        <v/>
      </c>
      <c r="AT3766" s="65" t="str">
        <f>IFERROR(VLOOKUP(#REF!,[1]Lookup!$B$2:$E$115,2,FALSE),"")</f>
        <v/>
      </c>
      <c r="AU3766" s="65" t="str">
        <f>IFERROR(VLOOKUP(#REF!,[1]Lookup!$B$2:$E$115,3,FALSE),"")</f>
        <v/>
      </c>
    </row>
    <row r="3767" spans="31:47" x14ac:dyDescent="0.3">
      <c r="AE3767" s="204" t="s">
        <v>398</v>
      </c>
      <c r="AF3767" s="204" t="s">
        <v>398</v>
      </c>
      <c r="AG3767" s="204" t="s">
        <v>398</v>
      </c>
      <c r="AS3767" s="65" t="str">
        <f>IFERROR(VLOOKUP(#REF!,[1]Lookup!$B$2:$E$115,4,FALSE),"")</f>
        <v/>
      </c>
      <c r="AT3767" s="65" t="str">
        <f>IFERROR(VLOOKUP(#REF!,[1]Lookup!$B$2:$E$115,2,FALSE),"")</f>
        <v/>
      </c>
      <c r="AU3767" s="65" t="str">
        <f>IFERROR(VLOOKUP(#REF!,[1]Lookup!$B$2:$E$115,3,FALSE),"")</f>
        <v/>
      </c>
    </row>
    <row r="3768" spans="31:47" x14ac:dyDescent="0.3">
      <c r="AE3768" s="204" t="s">
        <v>398</v>
      </c>
      <c r="AF3768" s="204" t="s">
        <v>398</v>
      </c>
      <c r="AG3768" s="204" t="s">
        <v>398</v>
      </c>
      <c r="AS3768" s="65" t="str">
        <f>IFERROR(VLOOKUP(#REF!,[1]Lookup!$B$2:$E$115,4,FALSE),"")</f>
        <v/>
      </c>
      <c r="AT3768" s="65" t="str">
        <f>IFERROR(VLOOKUP(#REF!,[1]Lookup!$B$2:$E$115,2,FALSE),"")</f>
        <v/>
      </c>
      <c r="AU3768" s="65" t="str">
        <f>IFERROR(VLOOKUP(#REF!,[1]Lookup!$B$2:$E$115,3,FALSE),"")</f>
        <v/>
      </c>
    </row>
    <row r="3769" spans="31:47" x14ac:dyDescent="0.3">
      <c r="AE3769" s="204" t="s">
        <v>398</v>
      </c>
      <c r="AF3769" s="204" t="s">
        <v>398</v>
      </c>
      <c r="AG3769" s="204" t="s">
        <v>398</v>
      </c>
      <c r="AS3769" s="65" t="str">
        <f>IFERROR(VLOOKUP(#REF!,[1]Lookup!$B$2:$E$115,4,FALSE),"")</f>
        <v/>
      </c>
      <c r="AT3769" s="65" t="str">
        <f>IFERROR(VLOOKUP(#REF!,[1]Lookup!$B$2:$E$115,2,FALSE),"")</f>
        <v/>
      </c>
      <c r="AU3769" s="65" t="str">
        <f>IFERROR(VLOOKUP(#REF!,[1]Lookup!$B$2:$E$115,3,FALSE),"")</f>
        <v/>
      </c>
    </row>
    <row r="3770" spans="31:47" x14ac:dyDescent="0.3">
      <c r="AE3770" s="204" t="s">
        <v>398</v>
      </c>
      <c r="AF3770" s="204" t="s">
        <v>398</v>
      </c>
      <c r="AG3770" s="204" t="s">
        <v>398</v>
      </c>
      <c r="AS3770" s="65" t="str">
        <f>IFERROR(VLOOKUP(#REF!,[1]Lookup!$B$2:$E$115,4,FALSE),"")</f>
        <v/>
      </c>
      <c r="AT3770" s="65" t="str">
        <f>IFERROR(VLOOKUP(#REF!,[1]Lookup!$B$2:$E$115,2,FALSE),"")</f>
        <v/>
      </c>
      <c r="AU3770" s="65" t="str">
        <f>IFERROR(VLOOKUP(#REF!,[1]Lookup!$B$2:$E$115,3,FALSE),"")</f>
        <v/>
      </c>
    </row>
    <row r="3771" spans="31:47" x14ac:dyDescent="0.3">
      <c r="AE3771" s="204" t="s">
        <v>398</v>
      </c>
      <c r="AF3771" s="204" t="s">
        <v>398</v>
      </c>
      <c r="AG3771" s="204" t="s">
        <v>398</v>
      </c>
      <c r="AS3771" s="65" t="str">
        <f>IFERROR(VLOOKUP(#REF!,[1]Lookup!$B$2:$E$115,4,FALSE),"")</f>
        <v/>
      </c>
      <c r="AT3771" s="65" t="str">
        <f>IFERROR(VLOOKUP(#REF!,[1]Lookup!$B$2:$E$115,2,FALSE),"")</f>
        <v/>
      </c>
      <c r="AU3771" s="65" t="str">
        <f>IFERROR(VLOOKUP(#REF!,[1]Lookup!$B$2:$E$115,3,FALSE),"")</f>
        <v/>
      </c>
    </row>
    <row r="3772" spans="31:47" x14ac:dyDescent="0.3">
      <c r="AE3772" s="204" t="s">
        <v>398</v>
      </c>
      <c r="AF3772" s="204" t="s">
        <v>398</v>
      </c>
      <c r="AG3772" s="204" t="s">
        <v>398</v>
      </c>
      <c r="AS3772" s="65" t="str">
        <f>IFERROR(VLOOKUP(#REF!,[1]Lookup!$B$2:$E$115,4,FALSE),"")</f>
        <v/>
      </c>
      <c r="AT3772" s="65" t="str">
        <f>IFERROR(VLOOKUP(#REF!,[1]Lookup!$B$2:$E$115,2,FALSE),"")</f>
        <v/>
      </c>
      <c r="AU3772" s="65" t="str">
        <f>IFERROR(VLOOKUP(#REF!,[1]Lookup!$B$2:$E$115,3,FALSE),"")</f>
        <v/>
      </c>
    </row>
    <row r="3773" spans="31:47" x14ac:dyDescent="0.3">
      <c r="AE3773" s="204" t="s">
        <v>398</v>
      </c>
      <c r="AF3773" s="204" t="s">
        <v>398</v>
      </c>
      <c r="AG3773" s="204" t="s">
        <v>398</v>
      </c>
      <c r="AS3773" s="65" t="str">
        <f>IFERROR(VLOOKUP(#REF!,[1]Lookup!$B$2:$E$115,4,FALSE),"")</f>
        <v/>
      </c>
      <c r="AT3773" s="65" t="str">
        <f>IFERROR(VLOOKUP(#REF!,[1]Lookup!$B$2:$E$115,2,FALSE),"")</f>
        <v/>
      </c>
      <c r="AU3773" s="65" t="str">
        <f>IFERROR(VLOOKUP(#REF!,[1]Lookup!$B$2:$E$115,3,FALSE),"")</f>
        <v/>
      </c>
    </row>
    <row r="3774" spans="31:47" x14ac:dyDescent="0.3">
      <c r="AE3774" s="204" t="s">
        <v>398</v>
      </c>
      <c r="AF3774" s="204" t="s">
        <v>398</v>
      </c>
      <c r="AG3774" s="204" t="s">
        <v>398</v>
      </c>
      <c r="AS3774" s="65" t="str">
        <f>IFERROR(VLOOKUP(#REF!,[1]Lookup!$B$2:$E$115,4,FALSE),"")</f>
        <v/>
      </c>
      <c r="AT3774" s="65" t="str">
        <f>IFERROR(VLOOKUP(#REF!,[1]Lookup!$B$2:$E$115,2,FALSE),"")</f>
        <v/>
      </c>
      <c r="AU3774" s="65" t="str">
        <f>IFERROR(VLOOKUP(#REF!,[1]Lookup!$B$2:$E$115,3,FALSE),"")</f>
        <v/>
      </c>
    </row>
    <row r="3775" spans="31:47" x14ac:dyDescent="0.3">
      <c r="AE3775" s="204" t="s">
        <v>398</v>
      </c>
      <c r="AF3775" s="204" t="s">
        <v>398</v>
      </c>
      <c r="AG3775" s="204" t="s">
        <v>398</v>
      </c>
      <c r="AS3775" s="65" t="str">
        <f>IFERROR(VLOOKUP(#REF!,[1]Lookup!$B$2:$E$115,4,FALSE),"")</f>
        <v/>
      </c>
      <c r="AT3775" s="65" t="str">
        <f>IFERROR(VLOOKUP(#REF!,[1]Lookup!$B$2:$E$115,2,FALSE),"")</f>
        <v/>
      </c>
      <c r="AU3775" s="65" t="str">
        <f>IFERROR(VLOOKUP(#REF!,[1]Lookup!$B$2:$E$115,3,FALSE),"")</f>
        <v/>
      </c>
    </row>
    <row r="3776" spans="31:47" x14ac:dyDescent="0.3">
      <c r="AE3776" s="204" t="s">
        <v>398</v>
      </c>
      <c r="AF3776" s="204" t="s">
        <v>398</v>
      </c>
      <c r="AG3776" s="204" t="s">
        <v>398</v>
      </c>
      <c r="AS3776" s="65" t="str">
        <f>IFERROR(VLOOKUP(#REF!,[1]Lookup!$B$2:$E$115,4,FALSE),"")</f>
        <v/>
      </c>
      <c r="AT3776" s="65" t="str">
        <f>IFERROR(VLOOKUP(#REF!,[1]Lookup!$B$2:$E$115,2,FALSE),"")</f>
        <v/>
      </c>
      <c r="AU3776" s="65" t="str">
        <f>IFERROR(VLOOKUP(#REF!,[1]Lookup!$B$2:$E$115,3,FALSE),"")</f>
        <v/>
      </c>
    </row>
    <row r="3777" spans="31:47" x14ac:dyDescent="0.3">
      <c r="AE3777" s="204" t="s">
        <v>398</v>
      </c>
      <c r="AF3777" s="204" t="s">
        <v>398</v>
      </c>
      <c r="AG3777" s="204" t="s">
        <v>398</v>
      </c>
      <c r="AS3777" s="65" t="str">
        <f>IFERROR(VLOOKUP(#REF!,[1]Lookup!$B$2:$E$115,4,FALSE),"")</f>
        <v/>
      </c>
      <c r="AT3777" s="65" t="str">
        <f>IFERROR(VLOOKUP(#REF!,[1]Lookup!$B$2:$E$115,2,FALSE),"")</f>
        <v/>
      </c>
      <c r="AU3777" s="65" t="str">
        <f>IFERROR(VLOOKUP(#REF!,[1]Lookup!$B$2:$E$115,3,FALSE),"")</f>
        <v/>
      </c>
    </row>
    <row r="3778" spans="31:47" x14ac:dyDescent="0.3">
      <c r="AE3778" s="204" t="s">
        <v>398</v>
      </c>
      <c r="AF3778" s="204" t="s">
        <v>398</v>
      </c>
      <c r="AG3778" s="204" t="s">
        <v>398</v>
      </c>
      <c r="AS3778" s="65" t="str">
        <f>IFERROR(VLOOKUP(#REF!,[1]Lookup!$B$2:$E$115,4,FALSE),"")</f>
        <v/>
      </c>
      <c r="AT3778" s="65" t="str">
        <f>IFERROR(VLOOKUP(#REF!,[1]Lookup!$B$2:$E$115,2,FALSE),"")</f>
        <v/>
      </c>
      <c r="AU3778" s="65" t="str">
        <f>IFERROR(VLOOKUP(#REF!,[1]Lookup!$B$2:$E$115,3,FALSE),"")</f>
        <v/>
      </c>
    </row>
    <row r="3779" spans="31:47" x14ac:dyDescent="0.3">
      <c r="AE3779" s="204" t="s">
        <v>398</v>
      </c>
      <c r="AF3779" s="204" t="s">
        <v>398</v>
      </c>
      <c r="AG3779" s="204" t="s">
        <v>398</v>
      </c>
      <c r="AS3779" s="65" t="str">
        <f>IFERROR(VLOOKUP(#REF!,[1]Lookup!$B$2:$E$115,4,FALSE),"")</f>
        <v/>
      </c>
      <c r="AT3779" s="65" t="str">
        <f>IFERROR(VLOOKUP(#REF!,[1]Lookup!$B$2:$E$115,2,FALSE),"")</f>
        <v/>
      </c>
      <c r="AU3779" s="65" t="str">
        <f>IFERROR(VLOOKUP(#REF!,[1]Lookup!$B$2:$E$115,3,FALSE),"")</f>
        <v/>
      </c>
    </row>
    <row r="3780" spans="31:47" x14ac:dyDescent="0.3">
      <c r="AE3780" s="204" t="s">
        <v>398</v>
      </c>
      <c r="AF3780" s="204" t="s">
        <v>398</v>
      </c>
      <c r="AG3780" s="204" t="s">
        <v>398</v>
      </c>
      <c r="AS3780" s="65" t="str">
        <f>IFERROR(VLOOKUP(#REF!,[1]Lookup!$B$2:$E$115,4,FALSE),"")</f>
        <v/>
      </c>
      <c r="AT3780" s="65" t="str">
        <f>IFERROR(VLOOKUP(#REF!,[1]Lookup!$B$2:$E$115,2,FALSE),"")</f>
        <v/>
      </c>
      <c r="AU3780" s="65" t="str">
        <f>IFERROR(VLOOKUP(#REF!,[1]Lookup!$B$2:$E$115,3,FALSE),"")</f>
        <v/>
      </c>
    </row>
    <row r="3781" spans="31:47" x14ac:dyDescent="0.3">
      <c r="AE3781" s="204" t="s">
        <v>398</v>
      </c>
      <c r="AF3781" s="204" t="s">
        <v>398</v>
      </c>
      <c r="AG3781" s="204" t="s">
        <v>398</v>
      </c>
      <c r="AS3781" s="65" t="str">
        <f>IFERROR(VLOOKUP(#REF!,[1]Lookup!$B$2:$E$115,4,FALSE),"")</f>
        <v/>
      </c>
      <c r="AT3781" s="65" t="str">
        <f>IFERROR(VLOOKUP(#REF!,[1]Lookup!$B$2:$E$115,2,FALSE),"")</f>
        <v/>
      </c>
      <c r="AU3781" s="65" t="str">
        <f>IFERROR(VLOOKUP(#REF!,[1]Lookup!$B$2:$E$115,3,FALSE),"")</f>
        <v/>
      </c>
    </row>
    <row r="3782" spans="31:47" x14ac:dyDescent="0.3">
      <c r="AE3782" s="204" t="s">
        <v>398</v>
      </c>
      <c r="AF3782" s="204" t="s">
        <v>398</v>
      </c>
      <c r="AG3782" s="204" t="s">
        <v>398</v>
      </c>
      <c r="AS3782" s="65" t="str">
        <f>IFERROR(VLOOKUP(#REF!,[1]Lookup!$B$2:$E$115,4,FALSE),"")</f>
        <v/>
      </c>
      <c r="AT3782" s="65" t="str">
        <f>IFERROR(VLOOKUP(#REF!,[1]Lookup!$B$2:$E$115,2,FALSE),"")</f>
        <v/>
      </c>
      <c r="AU3782" s="65" t="str">
        <f>IFERROR(VLOOKUP(#REF!,[1]Lookup!$B$2:$E$115,3,FALSE),"")</f>
        <v/>
      </c>
    </row>
    <row r="3783" spans="31:47" x14ac:dyDescent="0.3">
      <c r="AE3783" s="204" t="s">
        <v>398</v>
      </c>
      <c r="AF3783" s="204" t="s">
        <v>398</v>
      </c>
      <c r="AG3783" s="204" t="s">
        <v>398</v>
      </c>
      <c r="AS3783" s="65" t="str">
        <f>IFERROR(VLOOKUP(#REF!,[1]Lookup!$B$2:$E$115,4,FALSE),"")</f>
        <v/>
      </c>
      <c r="AT3783" s="65" t="str">
        <f>IFERROR(VLOOKUP(#REF!,[1]Lookup!$B$2:$E$115,2,FALSE),"")</f>
        <v/>
      </c>
      <c r="AU3783" s="65" t="str">
        <f>IFERROR(VLOOKUP(#REF!,[1]Lookup!$B$2:$E$115,3,FALSE),"")</f>
        <v/>
      </c>
    </row>
    <row r="3784" spans="31:47" x14ac:dyDescent="0.3">
      <c r="AE3784" s="204" t="s">
        <v>398</v>
      </c>
      <c r="AF3784" s="204" t="s">
        <v>398</v>
      </c>
      <c r="AG3784" s="204" t="s">
        <v>398</v>
      </c>
      <c r="AS3784" s="65" t="str">
        <f>IFERROR(VLOOKUP(#REF!,[1]Lookup!$B$2:$E$115,4,FALSE),"")</f>
        <v/>
      </c>
      <c r="AT3784" s="65" t="str">
        <f>IFERROR(VLOOKUP(#REF!,[1]Lookup!$B$2:$E$115,2,FALSE),"")</f>
        <v/>
      </c>
      <c r="AU3784" s="65" t="str">
        <f>IFERROR(VLOOKUP(#REF!,[1]Lookup!$B$2:$E$115,3,FALSE),"")</f>
        <v/>
      </c>
    </row>
    <row r="3785" spans="31:47" x14ac:dyDescent="0.3">
      <c r="AE3785" s="204" t="s">
        <v>398</v>
      </c>
      <c r="AF3785" s="204" t="s">
        <v>398</v>
      </c>
      <c r="AG3785" s="204" t="s">
        <v>398</v>
      </c>
      <c r="AS3785" s="65" t="str">
        <f>IFERROR(VLOOKUP(#REF!,[1]Lookup!$B$2:$E$115,4,FALSE),"")</f>
        <v/>
      </c>
      <c r="AT3785" s="65" t="str">
        <f>IFERROR(VLOOKUP(#REF!,[1]Lookup!$B$2:$E$115,2,FALSE),"")</f>
        <v/>
      </c>
      <c r="AU3785" s="65" t="str">
        <f>IFERROR(VLOOKUP(#REF!,[1]Lookup!$B$2:$E$115,3,FALSE),"")</f>
        <v/>
      </c>
    </row>
    <row r="3786" spans="31:47" x14ac:dyDescent="0.3">
      <c r="AE3786" s="204" t="s">
        <v>398</v>
      </c>
      <c r="AF3786" s="204" t="s">
        <v>398</v>
      </c>
      <c r="AG3786" s="204" t="s">
        <v>398</v>
      </c>
      <c r="AS3786" s="65" t="str">
        <f>IFERROR(VLOOKUP(#REF!,[1]Lookup!$B$2:$E$115,4,FALSE),"")</f>
        <v/>
      </c>
      <c r="AT3786" s="65" t="str">
        <f>IFERROR(VLOOKUP(#REF!,[1]Lookup!$B$2:$E$115,2,FALSE),"")</f>
        <v/>
      </c>
      <c r="AU3786" s="65" t="str">
        <f>IFERROR(VLOOKUP(#REF!,[1]Lookup!$B$2:$E$115,3,FALSE),"")</f>
        <v/>
      </c>
    </row>
    <row r="3787" spans="31:47" x14ac:dyDescent="0.3">
      <c r="AE3787" s="204" t="s">
        <v>398</v>
      </c>
      <c r="AF3787" s="204" t="s">
        <v>398</v>
      </c>
      <c r="AG3787" s="204" t="s">
        <v>398</v>
      </c>
      <c r="AS3787" s="65" t="str">
        <f>IFERROR(VLOOKUP(#REF!,[1]Lookup!$B$2:$E$115,4,FALSE),"")</f>
        <v/>
      </c>
      <c r="AT3787" s="65" t="str">
        <f>IFERROR(VLOOKUP(#REF!,[1]Lookup!$B$2:$E$115,2,FALSE),"")</f>
        <v/>
      </c>
      <c r="AU3787" s="65" t="str">
        <f>IFERROR(VLOOKUP(#REF!,[1]Lookup!$B$2:$E$115,3,FALSE),"")</f>
        <v/>
      </c>
    </row>
    <row r="3788" spans="31:47" x14ac:dyDescent="0.3">
      <c r="AE3788" s="204" t="s">
        <v>398</v>
      </c>
      <c r="AF3788" s="204" t="s">
        <v>398</v>
      </c>
      <c r="AG3788" s="204" t="s">
        <v>398</v>
      </c>
      <c r="AS3788" s="65" t="str">
        <f>IFERROR(VLOOKUP(#REF!,[1]Lookup!$B$2:$E$115,4,FALSE),"")</f>
        <v/>
      </c>
      <c r="AT3788" s="65" t="str">
        <f>IFERROR(VLOOKUP(#REF!,[1]Lookup!$B$2:$E$115,2,FALSE),"")</f>
        <v/>
      </c>
      <c r="AU3788" s="65" t="str">
        <f>IFERROR(VLOOKUP(#REF!,[1]Lookup!$B$2:$E$115,3,FALSE),"")</f>
        <v/>
      </c>
    </row>
    <row r="3789" spans="31:47" x14ac:dyDescent="0.3">
      <c r="AE3789" s="204" t="s">
        <v>398</v>
      </c>
      <c r="AF3789" s="204" t="s">
        <v>398</v>
      </c>
      <c r="AG3789" s="204" t="s">
        <v>398</v>
      </c>
      <c r="AS3789" s="65" t="str">
        <f>IFERROR(VLOOKUP(#REF!,[1]Lookup!$B$2:$E$115,4,FALSE),"")</f>
        <v/>
      </c>
      <c r="AT3789" s="65" t="str">
        <f>IFERROR(VLOOKUP(#REF!,[1]Lookup!$B$2:$E$115,2,FALSE),"")</f>
        <v/>
      </c>
      <c r="AU3789" s="65" t="str">
        <f>IFERROR(VLOOKUP(#REF!,[1]Lookup!$B$2:$E$115,3,FALSE),"")</f>
        <v/>
      </c>
    </row>
    <row r="3790" spans="31:47" x14ac:dyDescent="0.3">
      <c r="AE3790" s="204" t="s">
        <v>398</v>
      </c>
      <c r="AF3790" s="204" t="s">
        <v>398</v>
      </c>
      <c r="AG3790" s="204" t="s">
        <v>398</v>
      </c>
      <c r="AS3790" s="65" t="str">
        <f>IFERROR(VLOOKUP(#REF!,[1]Lookup!$B$2:$E$115,4,FALSE),"")</f>
        <v/>
      </c>
      <c r="AT3790" s="65" t="str">
        <f>IFERROR(VLOOKUP(#REF!,[1]Lookup!$B$2:$E$115,2,FALSE),"")</f>
        <v/>
      </c>
      <c r="AU3790" s="65" t="str">
        <f>IFERROR(VLOOKUP(#REF!,[1]Lookup!$B$2:$E$115,3,FALSE),"")</f>
        <v/>
      </c>
    </row>
    <row r="3791" spans="31:47" x14ac:dyDescent="0.3">
      <c r="AE3791" s="204" t="s">
        <v>398</v>
      </c>
      <c r="AF3791" s="204" t="s">
        <v>398</v>
      </c>
      <c r="AG3791" s="204" t="s">
        <v>398</v>
      </c>
      <c r="AS3791" s="65" t="str">
        <f>IFERROR(VLOOKUP(#REF!,[1]Lookup!$B$2:$E$115,4,FALSE),"")</f>
        <v/>
      </c>
      <c r="AT3791" s="65" t="str">
        <f>IFERROR(VLOOKUP(#REF!,[1]Lookup!$B$2:$E$115,2,FALSE),"")</f>
        <v/>
      </c>
      <c r="AU3791" s="65" t="str">
        <f>IFERROR(VLOOKUP(#REF!,[1]Lookup!$B$2:$E$115,3,FALSE),"")</f>
        <v/>
      </c>
    </row>
    <row r="3792" spans="31:47" x14ac:dyDescent="0.3">
      <c r="AE3792" s="204" t="s">
        <v>398</v>
      </c>
      <c r="AF3792" s="204" t="s">
        <v>398</v>
      </c>
      <c r="AG3792" s="204" t="s">
        <v>398</v>
      </c>
      <c r="AS3792" s="65" t="str">
        <f>IFERROR(VLOOKUP(#REF!,[1]Lookup!$B$2:$E$115,4,FALSE),"")</f>
        <v/>
      </c>
      <c r="AT3792" s="65" t="str">
        <f>IFERROR(VLOOKUP(#REF!,[1]Lookup!$B$2:$E$115,2,FALSE),"")</f>
        <v/>
      </c>
      <c r="AU3792" s="65" t="str">
        <f>IFERROR(VLOOKUP(#REF!,[1]Lookup!$B$2:$E$115,3,FALSE),"")</f>
        <v/>
      </c>
    </row>
    <row r="3793" spans="31:47" x14ac:dyDescent="0.3">
      <c r="AE3793" s="204" t="s">
        <v>398</v>
      </c>
      <c r="AF3793" s="204" t="s">
        <v>398</v>
      </c>
      <c r="AG3793" s="204" t="s">
        <v>398</v>
      </c>
      <c r="AS3793" s="65" t="str">
        <f>IFERROR(VLOOKUP(#REF!,[1]Lookup!$B$2:$E$115,4,FALSE),"")</f>
        <v/>
      </c>
      <c r="AT3793" s="65" t="str">
        <f>IFERROR(VLOOKUP(#REF!,[1]Lookup!$B$2:$E$115,2,FALSE),"")</f>
        <v/>
      </c>
      <c r="AU3793" s="65" t="str">
        <f>IFERROR(VLOOKUP(#REF!,[1]Lookup!$B$2:$E$115,3,FALSE),"")</f>
        <v/>
      </c>
    </row>
    <row r="3794" spans="31:47" x14ac:dyDescent="0.3">
      <c r="AE3794" s="204" t="s">
        <v>398</v>
      </c>
      <c r="AF3794" s="204" t="s">
        <v>398</v>
      </c>
      <c r="AG3794" s="204" t="s">
        <v>398</v>
      </c>
      <c r="AS3794" s="65" t="str">
        <f>IFERROR(VLOOKUP(#REF!,[1]Lookup!$B$2:$E$115,4,FALSE),"")</f>
        <v/>
      </c>
      <c r="AT3794" s="65" t="str">
        <f>IFERROR(VLOOKUP(#REF!,[1]Lookup!$B$2:$E$115,2,FALSE),"")</f>
        <v/>
      </c>
      <c r="AU3794" s="65" t="str">
        <f>IFERROR(VLOOKUP(#REF!,[1]Lookup!$B$2:$E$115,3,FALSE),"")</f>
        <v/>
      </c>
    </row>
    <row r="3795" spans="31:47" x14ac:dyDescent="0.3">
      <c r="AE3795" s="204" t="s">
        <v>398</v>
      </c>
      <c r="AF3795" s="204" t="s">
        <v>398</v>
      </c>
      <c r="AG3795" s="204" t="s">
        <v>398</v>
      </c>
      <c r="AS3795" s="65" t="str">
        <f>IFERROR(VLOOKUP(#REF!,[1]Lookup!$B$2:$E$115,4,FALSE),"")</f>
        <v/>
      </c>
      <c r="AT3795" s="65" t="str">
        <f>IFERROR(VLOOKUP(#REF!,[1]Lookup!$B$2:$E$115,2,FALSE),"")</f>
        <v/>
      </c>
      <c r="AU3795" s="65" t="str">
        <f>IFERROR(VLOOKUP(#REF!,[1]Lookup!$B$2:$E$115,3,FALSE),"")</f>
        <v/>
      </c>
    </row>
    <row r="3796" spans="31:47" x14ac:dyDescent="0.3">
      <c r="AE3796" s="204" t="s">
        <v>398</v>
      </c>
      <c r="AF3796" s="204" t="s">
        <v>398</v>
      </c>
      <c r="AG3796" s="204" t="s">
        <v>398</v>
      </c>
      <c r="AS3796" s="65" t="str">
        <f>IFERROR(VLOOKUP(#REF!,[1]Lookup!$B$2:$E$115,4,FALSE),"")</f>
        <v/>
      </c>
      <c r="AT3796" s="65" t="str">
        <f>IFERROR(VLOOKUP(#REF!,[1]Lookup!$B$2:$E$115,2,FALSE),"")</f>
        <v/>
      </c>
      <c r="AU3796" s="65" t="str">
        <f>IFERROR(VLOOKUP(#REF!,[1]Lookup!$B$2:$E$115,3,FALSE),"")</f>
        <v/>
      </c>
    </row>
    <row r="3797" spans="31:47" x14ac:dyDescent="0.3">
      <c r="AE3797" s="204" t="s">
        <v>398</v>
      </c>
      <c r="AF3797" s="204" t="s">
        <v>398</v>
      </c>
      <c r="AG3797" s="204" t="s">
        <v>398</v>
      </c>
      <c r="AS3797" s="65" t="str">
        <f>IFERROR(VLOOKUP(#REF!,[1]Lookup!$B$2:$E$115,4,FALSE),"")</f>
        <v/>
      </c>
      <c r="AT3797" s="65" t="str">
        <f>IFERROR(VLOOKUP(#REF!,[1]Lookup!$B$2:$E$115,2,FALSE),"")</f>
        <v/>
      </c>
      <c r="AU3797" s="65" t="str">
        <f>IFERROR(VLOOKUP(#REF!,[1]Lookup!$B$2:$E$115,3,FALSE),"")</f>
        <v/>
      </c>
    </row>
    <row r="3798" spans="31:47" x14ac:dyDescent="0.3">
      <c r="AE3798" s="204" t="s">
        <v>398</v>
      </c>
      <c r="AF3798" s="204" t="s">
        <v>398</v>
      </c>
      <c r="AG3798" s="204" t="s">
        <v>398</v>
      </c>
      <c r="AS3798" s="65" t="str">
        <f>IFERROR(VLOOKUP(#REF!,[1]Lookup!$B$2:$E$115,4,FALSE),"")</f>
        <v/>
      </c>
      <c r="AT3798" s="65" t="str">
        <f>IFERROR(VLOOKUP(#REF!,[1]Lookup!$B$2:$E$115,2,FALSE),"")</f>
        <v/>
      </c>
      <c r="AU3798" s="65" t="str">
        <f>IFERROR(VLOOKUP(#REF!,[1]Lookup!$B$2:$E$115,3,FALSE),"")</f>
        <v/>
      </c>
    </row>
    <row r="3799" spans="31:47" x14ac:dyDescent="0.3">
      <c r="AE3799" s="204" t="s">
        <v>398</v>
      </c>
      <c r="AF3799" s="204" t="s">
        <v>398</v>
      </c>
      <c r="AG3799" s="204" t="s">
        <v>398</v>
      </c>
      <c r="AS3799" s="65" t="str">
        <f>IFERROR(VLOOKUP(#REF!,[1]Lookup!$B$2:$E$115,4,FALSE),"")</f>
        <v/>
      </c>
      <c r="AT3799" s="65" t="str">
        <f>IFERROR(VLOOKUP(#REF!,[1]Lookup!$B$2:$E$115,2,FALSE),"")</f>
        <v/>
      </c>
      <c r="AU3799" s="65" t="str">
        <f>IFERROR(VLOOKUP(#REF!,[1]Lookup!$B$2:$E$115,3,FALSE),"")</f>
        <v/>
      </c>
    </row>
    <row r="3800" spans="31:47" x14ac:dyDescent="0.3">
      <c r="AE3800" s="204" t="s">
        <v>398</v>
      </c>
      <c r="AF3800" s="204" t="s">
        <v>398</v>
      </c>
      <c r="AG3800" s="204" t="s">
        <v>398</v>
      </c>
      <c r="AS3800" s="65" t="str">
        <f>IFERROR(VLOOKUP(#REF!,[1]Lookup!$B$2:$E$115,4,FALSE),"")</f>
        <v/>
      </c>
      <c r="AT3800" s="65" t="str">
        <f>IFERROR(VLOOKUP(#REF!,[1]Lookup!$B$2:$E$115,2,FALSE),"")</f>
        <v/>
      </c>
      <c r="AU3800" s="65" t="str">
        <f>IFERROR(VLOOKUP(#REF!,[1]Lookup!$B$2:$E$115,3,FALSE),"")</f>
        <v/>
      </c>
    </row>
    <row r="3801" spans="31:47" x14ac:dyDescent="0.3">
      <c r="AE3801" s="204" t="s">
        <v>398</v>
      </c>
      <c r="AF3801" s="204" t="s">
        <v>398</v>
      </c>
      <c r="AG3801" s="204" t="s">
        <v>398</v>
      </c>
      <c r="AS3801" s="65" t="str">
        <f>IFERROR(VLOOKUP(#REF!,[1]Lookup!$B$2:$E$115,4,FALSE),"")</f>
        <v/>
      </c>
      <c r="AT3801" s="65" t="str">
        <f>IFERROR(VLOOKUP(#REF!,[1]Lookup!$B$2:$E$115,2,FALSE),"")</f>
        <v/>
      </c>
      <c r="AU3801" s="65" t="str">
        <f>IFERROR(VLOOKUP(#REF!,[1]Lookup!$B$2:$E$115,3,FALSE),"")</f>
        <v/>
      </c>
    </row>
    <row r="3802" spans="31:47" x14ac:dyDescent="0.3">
      <c r="AE3802" s="204" t="s">
        <v>398</v>
      </c>
      <c r="AF3802" s="204" t="s">
        <v>398</v>
      </c>
      <c r="AG3802" s="204" t="s">
        <v>398</v>
      </c>
      <c r="AS3802" s="65" t="str">
        <f>IFERROR(VLOOKUP(#REF!,[1]Lookup!$B$2:$E$115,4,FALSE),"")</f>
        <v/>
      </c>
      <c r="AT3802" s="65" t="str">
        <f>IFERROR(VLOOKUP(#REF!,[1]Lookup!$B$2:$E$115,2,FALSE),"")</f>
        <v/>
      </c>
      <c r="AU3802" s="65" t="str">
        <f>IFERROR(VLOOKUP(#REF!,[1]Lookup!$B$2:$E$115,3,FALSE),"")</f>
        <v/>
      </c>
    </row>
    <row r="3803" spans="31:47" x14ac:dyDescent="0.3">
      <c r="AE3803" s="204" t="s">
        <v>398</v>
      </c>
      <c r="AF3803" s="204" t="s">
        <v>398</v>
      </c>
      <c r="AG3803" s="204" t="s">
        <v>398</v>
      </c>
      <c r="AS3803" s="65" t="str">
        <f>IFERROR(VLOOKUP(#REF!,[1]Lookup!$B$2:$E$115,4,FALSE),"")</f>
        <v/>
      </c>
      <c r="AT3803" s="65" t="str">
        <f>IFERROR(VLOOKUP(#REF!,[1]Lookup!$B$2:$E$115,2,FALSE),"")</f>
        <v/>
      </c>
      <c r="AU3803" s="65" t="str">
        <f>IFERROR(VLOOKUP(#REF!,[1]Lookup!$B$2:$E$115,3,FALSE),"")</f>
        <v/>
      </c>
    </row>
    <row r="3804" spans="31:47" x14ac:dyDescent="0.3">
      <c r="AE3804" s="204" t="s">
        <v>398</v>
      </c>
      <c r="AF3804" s="204" t="s">
        <v>398</v>
      </c>
      <c r="AG3804" s="204" t="s">
        <v>398</v>
      </c>
      <c r="AS3804" s="65" t="str">
        <f>IFERROR(VLOOKUP(#REF!,[1]Lookup!$B$2:$E$115,4,FALSE),"")</f>
        <v/>
      </c>
      <c r="AT3804" s="65" t="str">
        <f>IFERROR(VLOOKUP(#REF!,[1]Lookup!$B$2:$E$115,2,FALSE),"")</f>
        <v/>
      </c>
      <c r="AU3804" s="65" t="str">
        <f>IFERROR(VLOOKUP(#REF!,[1]Lookup!$B$2:$E$115,3,FALSE),"")</f>
        <v/>
      </c>
    </row>
    <row r="3805" spans="31:47" x14ac:dyDescent="0.3">
      <c r="AE3805" s="204" t="s">
        <v>398</v>
      </c>
      <c r="AF3805" s="204" t="s">
        <v>398</v>
      </c>
      <c r="AG3805" s="204" t="s">
        <v>398</v>
      </c>
      <c r="AS3805" s="65" t="str">
        <f>IFERROR(VLOOKUP(#REF!,[1]Lookup!$B$2:$E$115,4,FALSE),"")</f>
        <v/>
      </c>
      <c r="AT3805" s="65" t="str">
        <f>IFERROR(VLOOKUP(#REF!,[1]Lookup!$B$2:$E$115,2,FALSE),"")</f>
        <v/>
      </c>
      <c r="AU3805" s="65" t="str">
        <f>IFERROR(VLOOKUP(#REF!,[1]Lookup!$B$2:$E$115,3,FALSE),"")</f>
        <v/>
      </c>
    </row>
    <row r="3806" spans="31:47" x14ac:dyDescent="0.3">
      <c r="AE3806" s="204" t="s">
        <v>398</v>
      </c>
      <c r="AF3806" s="204" t="s">
        <v>398</v>
      </c>
      <c r="AG3806" s="204" t="s">
        <v>398</v>
      </c>
      <c r="AS3806" s="65" t="str">
        <f>IFERROR(VLOOKUP(#REF!,[1]Lookup!$B$2:$E$115,4,FALSE),"")</f>
        <v/>
      </c>
      <c r="AT3806" s="65" t="str">
        <f>IFERROR(VLOOKUP(#REF!,[1]Lookup!$B$2:$E$115,2,FALSE),"")</f>
        <v/>
      </c>
      <c r="AU3806" s="65" t="str">
        <f>IFERROR(VLOOKUP(#REF!,[1]Lookup!$B$2:$E$115,3,FALSE),"")</f>
        <v/>
      </c>
    </row>
    <row r="3807" spans="31:47" x14ac:dyDescent="0.3">
      <c r="AE3807" s="204" t="s">
        <v>398</v>
      </c>
      <c r="AF3807" s="204" t="s">
        <v>398</v>
      </c>
      <c r="AG3807" s="204" t="s">
        <v>398</v>
      </c>
      <c r="AS3807" s="65" t="str">
        <f>IFERROR(VLOOKUP(#REF!,[1]Lookup!$B$2:$E$115,4,FALSE),"")</f>
        <v/>
      </c>
      <c r="AT3807" s="65" t="str">
        <f>IFERROR(VLOOKUP(#REF!,[1]Lookup!$B$2:$E$115,2,FALSE),"")</f>
        <v/>
      </c>
      <c r="AU3807" s="65" t="str">
        <f>IFERROR(VLOOKUP(#REF!,[1]Lookup!$B$2:$E$115,3,FALSE),"")</f>
        <v/>
      </c>
    </row>
    <row r="3808" spans="31:47" x14ac:dyDescent="0.3">
      <c r="AE3808" s="204" t="s">
        <v>398</v>
      </c>
      <c r="AF3808" s="204" t="s">
        <v>398</v>
      </c>
      <c r="AG3808" s="204" t="s">
        <v>398</v>
      </c>
      <c r="AS3808" s="65" t="str">
        <f>IFERROR(VLOOKUP(#REF!,[1]Lookup!$B$2:$E$115,4,FALSE),"")</f>
        <v/>
      </c>
      <c r="AT3808" s="65" t="str">
        <f>IFERROR(VLOOKUP(#REF!,[1]Lookup!$B$2:$E$115,2,FALSE),"")</f>
        <v/>
      </c>
      <c r="AU3808" s="65" t="str">
        <f>IFERROR(VLOOKUP(#REF!,[1]Lookup!$B$2:$E$115,3,FALSE),"")</f>
        <v/>
      </c>
    </row>
    <row r="3809" spans="31:47" x14ac:dyDescent="0.3">
      <c r="AE3809" s="204" t="s">
        <v>398</v>
      </c>
      <c r="AF3809" s="204" t="s">
        <v>398</v>
      </c>
      <c r="AG3809" s="204" t="s">
        <v>398</v>
      </c>
      <c r="AS3809" s="65" t="str">
        <f>IFERROR(VLOOKUP(#REF!,[1]Lookup!$B$2:$E$115,4,FALSE),"")</f>
        <v/>
      </c>
      <c r="AT3809" s="65" t="str">
        <f>IFERROR(VLOOKUP(#REF!,[1]Lookup!$B$2:$E$115,2,FALSE),"")</f>
        <v/>
      </c>
      <c r="AU3809" s="65" t="str">
        <f>IFERROR(VLOOKUP(#REF!,[1]Lookup!$B$2:$E$115,3,FALSE),"")</f>
        <v/>
      </c>
    </row>
    <row r="3810" spans="31:47" x14ac:dyDescent="0.3">
      <c r="AE3810" s="204" t="s">
        <v>398</v>
      </c>
      <c r="AF3810" s="204" t="s">
        <v>398</v>
      </c>
      <c r="AG3810" s="204" t="s">
        <v>398</v>
      </c>
      <c r="AS3810" s="65" t="str">
        <f>IFERROR(VLOOKUP(#REF!,[1]Lookup!$B$2:$E$115,4,FALSE),"")</f>
        <v/>
      </c>
      <c r="AT3810" s="65" t="str">
        <f>IFERROR(VLOOKUP(#REF!,[1]Lookup!$B$2:$E$115,2,FALSE),"")</f>
        <v/>
      </c>
      <c r="AU3810" s="65" t="str">
        <f>IFERROR(VLOOKUP(#REF!,[1]Lookup!$B$2:$E$115,3,FALSE),"")</f>
        <v/>
      </c>
    </row>
    <row r="3811" spans="31:47" x14ac:dyDescent="0.3">
      <c r="AE3811" s="204" t="s">
        <v>398</v>
      </c>
      <c r="AF3811" s="204" t="s">
        <v>398</v>
      </c>
      <c r="AG3811" s="204" t="s">
        <v>398</v>
      </c>
      <c r="AS3811" s="65" t="str">
        <f>IFERROR(VLOOKUP(#REF!,[1]Lookup!$B$2:$E$115,4,FALSE),"")</f>
        <v/>
      </c>
      <c r="AT3811" s="65" t="str">
        <f>IFERROR(VLOOKUP(#REF!,[1]Lookup!$B$2:$E$115,2,FALSE),"")</f>
        <v/>
      </c>
      <c r="AU3811" s="65" t="str">
        <f>IFERROR(VLOOKUP(#REF!,[1]Lookup!$B$2:$E$115,3,FALSE),"")</f>
        <v/>
      </c>
    </row>
    <row r="3812" spans="31:47" x14ac:dyDescent="0.3">
      <c r="AE3812" s="204" t="s">
        <v>398</v>
      </c>
      <c r="AF3812" s="204" t="s">
        <v>398</v>
      </c>
      <c r="AG3812" s="204" t="s">
        <v>398</v>
      </c>
      <c r="AS3812" s="65" t="str">
        <f>IFERROR(VLOOKUP(#REF!,[1]Lookup!$B$2:$E$115,4,FALSE),"")</f>
        <v/>
      </c>
      <c r="AT3812" s="65" t="str">
        <f>IFERROR(VLOOKUP(#REF!,[1]Lookup!$B$2:$E$115,2,FALSE),"")</f>
        <v/>
      </c>
      <c r="AU3812" s="65" t="str">
        <f>IFERROR(VLOOKUP(#REF!,[1]Lookup!$B$2:$E$115,3,FALSE),"")</f>
        <v/>
      </c>
    </row>
    <row r="3813" spans="31:47" x14ac:dyDescent="0.3">
      <c r="AE3813" s="204" t="s">
        <v>398</v>
      </c>
      <c r="AF3813" s="204" t="s">
        <v>398</v>
      </c>
      <c r="AG3813" s="204" t="s">
        <v>398</v>
      </c>
      <c r="AS3813" s="65" t="str">
        <f>IFERROR(VLOOKUP(#REF!,[1]Lookup!$B$2:$E$115,4,FALSE),"")</f>
        <v/>
      </c>
      <c r="AT3813" s="65" t="str">
        <f>IFERROR(VLOOKUP(#REF!,[1]Lookup!$B$2:$E$115,2,FALSE),"")</f>
        <v/>
      </c>
      <c r="AU3813" s="65" t="str">
        <f>IFERROR(VLOOKUP(#REF!,[1]Lookup!$B$2:$E$115,3,FALSE),"")</f>
        <v/>
      </c>
    </row>
    <row r="3814" spans="31:47" x14ac:dyDescent="0.3">
      <c r="AE3814" s="204" t="s">
        <v>398</v>
      </c>
      <c r="AF3814" s="204" t="s">
        <v>398</v>
      </c>
      <c r="AG3814" s="204" t="s">
        <v>398</v>
      </c>
      <c r="AS3814" s="65" t="str">
        <f>IFERROR(VLOOKUP(#REF!,[1]Lookup!$B$2:$E$115,4,FALSE),"")</f>
        <v/>
      </c>
      <c r="AT3814" s="65" t="str">
        <f>IFERROR(VLOOKUP(#REF!,[1]Lookup!$B$2:$E$115,2,FALSE),"")</f>
        <v/>
      </c>
      <c r="AU3814" s="65" t="str">
        <f>IFERROR(VLOOKUP(#REF!,[1]Lookup!$B$2:$E$115,3,FALSE),"")</f>
        <v/>
      </c>
    </row>
    <row r="3815" spans="31:47" x14ac:dyDescent="0.3">
      <c r="AE3815" s="204" t="s">
        <v>398</v>
      </c>
      <c r="AF3815" s="204" t="s">
        <v>398</v>
      </c>
      <c r="AG3815" s="204" t="s">
        <v>398</v>
      </c>
      <c r="AS3815" s="65" t="str">
        <f>IFERROR(VLOOKUP(#REF!,[1]Lookup!$B$2:$E$115,4,FALSE),"")</f>
        <v/>
      </c>
      <c r="AT3815" s="65" t="str">
        <f>IFERROR(VLOOKUP(#REF!,[1]Lookup!$B$2:$E$115,2,FALSE),"")</f>
        <v/>
      </c>
      <c r="AU3815" s="65" t="str">
        <f>IFERROR(VLOOKUP(#REF!,[1]Lookup!$B$2:$E$115,3,FALSE),"")</f>
        <v/>
      </c>
    </row>
    <row r="3816" spans="31:47" x14ac:dyDescent="0.3">
      <c r="AE3816" s="204" t="s">
        <v>398</v>
      </c>
      <c r="AF3816" s="204" t="s">
        <v>398</v>
      </c>
      <c r="AG3816" s="204" t="s">
        <v>398</v>
      </c>
      <c r="AS3816" s="65" t="str">
        <f>IFERROR(VLOOKUP(#REF!,[1]Lookup!$B$2:$E$115,4,FALSE),"")</f>
        <v/>
      </c>
      <c r="AT3816" s="65" t="str">
        <f>IFERROR(VLOOKUP(#REF!,[1]Lookup!$B$2:$E$115,2,FALSE),"")</f>
        <v/>
      </c>
      <c r="AU3816" s="65" t="str">
        <f>IFERROR(VLOOKUP(#REF!,[1]Lookup!$B$2:$E$115,3,FALSE),"")</f>
        <v/>
      </c>
    </row>
    <row r="3817" spans="31:47" x14ac:dyDescent="0.3">
      <c r="AE3817" s="204" t="s">
        <v>398</v>
      </c>
      <c r="AF3817" s="204" t="s">
        <v>398</v>
      </c>
      <c r="AG3817" s="204" t="s">
        <v>398</v>
      </c>
      <c r="AS3817" s="65" t="str">
        <f>IFERROR(VLOOKUP(#REF!,[1]Lookup!$B$2:$E$115,4,FALSE),"")</f>
        <v/>
      </c>
      <c r="AT3817" s="65" t="str">
        <f>IFERROR(VLOOKUP(#REF!,[1]Lookup!$B$2:$E$115,2,FALSE),"")</f>
        <v/>
      </c>
      <c r="AU3817" s="65" t="str">
        <f>IFERROR(VLOOKUP(#REF!,[1]Lookup!$B$2:$E$115,3,FALSE),"")</f>
        <v/>
      </c>
    </row>
    <row r="3818" spans="31:47" x14ac:dyDescent="0.3">
      <c r="AE3818" s="204" t="s">
        <v>398</v>
      </c>
      <c r="AF3818" s="204" t="s">
        <v>398</v>
      </c>
      <c r="AG3818" s="204" t="s">
        <v>398</v>
      </c>
      <c r="AS3818" s="65" t="str">
        <f>IFERROR(VLOOKUP(#REF!,[1]Lookup!$B$2:$E$115,4,FALSE),"")</f>
        <v/>
      </c>
      <c r="AT3818" s="65" t="str">
        <f>IFERROR(VLOOKUP(#REF!,[1]Lookup!$B$2:$E$115,2,FALSE),"")</f>
        <v/>
      </c>
      <c r="AU3818" s="65" t="str">
        <f>IFERROR(VLOOKUP(#REF!,[1]Lookup!$B$2:$E$115,3,FALSE),"")</f>
        <v/>
      </c>
    </row>
    <row r="3819" spans="31:47" x14ac:dyDescent="0.3">
      <c r="AE3819" s="204" t="s">
        <v>398</v>
      </c>
      <c r="AF3819" s="204" t="s">
        <v>398</v>
      </c>
      <c r="AG3819" s="204" t="s">
        <v>398</v>
      </c>
      <c r="AS3819" s="65" t="str">
        <f>IFERROR(VLOOKUP(#REF!,[1]Lookup!$B$2:$E$115,4,FALSE),"")</f>
        <v/>
      </c>
      <c r="AT3819" s="65" t="str">
        <f>IFERROR(VLOOKUP(#REF!,[1]Lookup!$B$2:$E$115,2,FALSE),"")</f>
        <v/>
      </c>
      <c r="AU3819" s="65" t="str">
        <f>IFERROR(VLOOKUP(#REF!,[1]Lookup!$B$2:$E$115,3,FALSE),"")</f>
        <v/>
      </c>
    </row>
    <row r="3820" spans="31:47" x14ac:dyDescent="0.3">
      <c r="AE3820" s="204" t="s">
        <v>398</v>
      </c>
      <c r="AF3820" s="204" t="s">
        <v>398</v>
      </c>
      <c r="AG3820" s="204" t="s">
        <v>398</v>
      </c>
      <c r="AS3820" s="65" t="str">
        <f>IFERROR(VLOOKUP(#REF!,[1]Lookup!$B$2:$E$115,4,FALSE),"")</f>
        <v/>
      </c>
      <c r="AT3820" s="65" t="str">
        <f>IFERROR(VLOOKUP(#REF!,[1]Lookup!$B$2:$E$115,2,FALSE),"")</f>
        <v/>
      </c>
      <c r="AU3820" s="65" t="str">
        <f>IFERROR(VLOOKUP(#REF!,[1]Lookup!$B$2:$E$115,3,FALSE),"")</f>
        <v/>
      </c>
    </row>
    <row r="3821" spans="31:47" x14ac:dyDescent="0.3">
      <c r="AE3821" s="204" t="s">
        <v>398</v>
      </c>
      <c r="AF3821" s="204" t="s">
        <v>398</v>
      </c>
      <c r="AG3821" s="204" t="s">
        <v>398</v>
      </c>
      <c r="AS3821" s="65" t="str">
        <f>IFERROR(VLOOKUP(#REF!,[1]Lookup!$B$2:$E$115,4,FALSE),"")</f>
        <v/>
      </c>
      <c r="AT3821" s="65" t="str">
        <f>IFERROR(VLOOKUP(#REF!,[1]Lookup!$B$2:$E$115,2,FALSE),"")</f>
        <v/>
      </c>
      <c r="AU3821" s="65" t="str">
        <f>IFERROR(VLOOKUP(#REF!,[1]Lookup!$B$2:$E$115,3,FALSE),"")</f>
        <v/>
      </c>
    </row>
    <row r="3822" spans="31:47" x14ac:dyDescent="0.3">
      <c r="AE3822" s="204" t="s">
        <v>398</v>
      </c>
      <c r="AF3822" s="204" t="s">
        <v>398</v>
      </c>
      <c r="AG3822" s="204" t="s">
        <v>398</v>
      </c>
      <c r="AS3822" s="65" t="str">
        <f>IFERROR(VLOOKUP(#REF!,[1]Lookup!$B$2:$E$115,4,FALSE),"")</f>
        <v/>
      </c>
      <c r="AT3822" s="65" t="str">
        <f>IFERROR(VLOOKUP(#REF!,[1]Lookup!$B$2:$E$115,2,FALSE),"")</f>
        <v/>
      </c>
      <c r="AU3822" s="65" t="str">
        <f>IFERROR(VLOOKUP(#REF!,[1]Lookup!$B$2:$E$115,3,FALSE),"")</f>
        <v/>
      </c>
    </row>
    <row r="3823" spans="31:47" x14ac:dyDescent="0.3">
      <c r="AE3823" s="204" t="s">
        <v>398</v>
      </c>
      <c r="AF3823" s="204" t="s">
        <v>398</v>
      </c>
      <c r="AG3823" s="204" t="s">
        <v>398</v>
      </c>
      <c r="AS3823" s="65" t="str">
        <f>IFERROR(VLOOKUP(#REF!,[1]Lookup!$B$2:$E$115,4,FALSE),"")</f>
        <v/>
      </c>
      <c r="AT3823" s="65" t="str">
        <f>IFERROR(VLOOKUP(#REF!,[1]Lookup!$B$2:$E$115,2,FALSE),"")</f>
        <v/>
      </c>
      <c r="AU3823" s="65" t="str">
        <f>IFERROR(VLOOKUP(#REF!,[1]Lookup!$B$2:$E$115,3,FALSE),"")</f>
        <v/>
      </c>
    </row>
    <row r="3824" spans="31:47" x14ac:dyDescent="0.3">
      <c r="AE3824" s="204" t="s">
        <v>398</v>
      </c>
      <c r="AF3824" s="204" t="s">
        <v>398</v>
      </c>
      <c r="AG3824" s="204" t="s">
        <v>398</v>
      </c>
      <c r="AS3824" s="65" t="str">
        <f>IFERROR(VLOOKUP(#REF!,[1]Lookup!$B$2:$E$115,4,FALSE),"")</f>
        <v/>
      </c>
      <c r="AT3824" s="65" t="str">
        <f>IFERROR(VLOOKUP(#REF!,[1]Lookup!$B$2:$E$115,2,FALSE),"")</f>
        <v/>
      </c>
      <c r="AU3824" s="65" t="str">
        <f>IFERROR(VLOOKUP(#REF!,[1]Lookup!$B$2:$E$115,3,FALSE),"")</f>
        <v/>
      </c>
    </row>
    <row r="3825" spans="31:47" x14ac:dyDescent="0.3">
      <c r="AE3825" s="204" t="s">
        <v>398</v>
      </c>
      <c r="AF3825" s="204" t="s">
        <v>398</v>
      </c>
      <c r="AG3825" s="204" t="s">
        <v>398</v>
      </c>
      <c r="AS3825" s="65" t="str">
        <f>IFERROR(VLOOKUP(#REF!,[1]Lookup!$B$2:$E$115,4,FALSE),"")</f>
        <v/>
      </c>
      <c r="AT3825" s="65" t="str">
        <f>IFERROR(VLOOKUP(#REF!,[1]Lookup!$B$2:$E$115,2,FALSE),"")</f>
        <v/>
      </c>
      <c r="AU3825" s="65" t="str">
        <f>IFERROR(VLOOKUP(#REF!,[1]Lookup!$B$2:$E$115,3,FALSE),"")</f>
        <v/>
      </c>
    </row>
    <row r="3826" spans="31:47" x14ac:dyDescent="0.3">
      <c r="AE3826" s="204" t="s">
        <v>398</v>
      </c>
      <c r="AF3826" s="204" t="s">
        <v>398</v>
      </c>
      <c r="AG3826" s="204" t="s">
        <v>398</v>
      </c>
      <c r="AS3826" s="65" t="str">
        <f>IFERROR(VLOOKUP(#REF!,[1]Lookup!$B$2:$E$115,4,FALSE),"")</f>
        <v/>
      </c>
      <c r="AT3826" s="65" t="str">
        <f>IFERROR(VLOOKUP(#REF!,[1]Lookup!$B$2:$E$115,2,FALSE),"")</f>
        <v/>
      </c>
      <c r="AU3826" s="65" t="str">
        <f>IFERROR(VLOOKUP(#REF!,[1]Lookup!$B$2:$E$115,3,FALSE),"")</f>
        <v/>
      </c>
    </row>
    <row r="3827" spans="31:47" x14ac:dyDescent="0.3">
      <c r="AE3827" s="204" t="s">
        <v>398</v>
      </c>
      <c r="AF3827" s="204" t="s">
        <v>398</v>
      </c>
      <c r="AG3827" s="204" t="s">
        <v>398</v>
      </c>
      <c r="AS3827" s="65" t="str">
        <f>IFERROR(VLOOKUP(#REF!,[1]Lookup!$B$2:$E$115,4,FALSE),"")</f>
        <v/>
      </c>
      <c r="AT3827" s="65" t="str">
        <f>IFERROR(VLOOKUP(#REF!,[1]Lookup!$B$2:$E$115,2,FALSE),"")</f>
        <v/>
      </c>
      <c r="AU3827" s="65" t="str">
        <f>IFERROR(VLOOKUP(#REF!,[1]Lookup!$B$2:$E$115,3,FALSE),"")</f>
        <v/>
      </c>
    </row>
    <row r="3828" spans="31:47" x14ac:dyDescent="0.3">
      <c r="AE3828" s="204" t="s">
        <v>398</v>
      </c>
      <c r="AF3828" s="204" t="s">
        <v>398</v>
      </c>
      <c r="AG3828" s="204" t="s">
        <v>398</v>
      </c>
      <c r="AS3828" s="65" t="str">
        <f>IFERROR(VLOOKUP(#REF!,[1]Lookup!$B$2:$E$115,4,FALSE),"")</f>
        <v/>
      </c>
      <c r="AT3828" s="65" t="str">
        <f>IFERROR(VLOOKUP(#REF!,[1]Lookup!$B$2:$E$115,2,FALSE),"")</f>
        <v/>
      </c>
      <c r="AU3828" s="65" t="str">
        <f>IFERROR(VLOOKUP(#REF!,[1]Lookup!$B$2:$E$115,3,FALSE),"")</f>
        <v/>
      </c>
    </row>
    <row r="3829" spans="31:47" x14ac:dyDescent="0.3">
      <c r="AE3829" s="204" t="s">
        <v>398</v>
      </c>
      <c r="AF3829" s="204" t="s">
        <v>398</v>
      </c>
      <c r="AG3829" s="204" t="s">
        <v>398</v>
      </c>
      <c r="AS3829" s="65" t="str">
        <f>IFERROR(VLOOKUP(#REF!,[1]Lookup!$B$2:$E$115,4,FALSE),"")</f>
        <v/>
      </c>
      <c r="AT3829" s="65" t="str">
        <f>IFERROR(VLOOKUP(#REF!,[1]Lookup!$B$2:$E$115,2,FALSE),"")</f>
        <v/>
      </c>
      <c r="AU3829" s="65" t="str">
        <f>IFERROR(VLOOKUP(#REF!,[1]Lookup!$B$2:$E$115,3,FALSE),"")</f>
        <v/>
      </c>
    </row>
    <row r="3830" spans="31:47" x14ac:dyDescent="0.3">
      <c r="AE3830" s="204" t="s">
        <v>398</v>
      </c>
      <c r="AF3830" s="204" t="s">
        <v>398</v>
      </c>
      <c r="AG3830" s="204" t="s">
        <v>398</v>
      </c>
      <c r="AS3830" s="65" t="str">
        <f>IFERROR(VLOOKUP(#REF!,[1]Lookup!$B$2:$E$115,4,FALSE),"")</f>
        <v/>
      </c>
      <c r="AT3830" s="65" t="str">
        <f>IFERROR(VLOOKUP(#REF!,[1]Lookup!$B$2:$E$115,2,FALSE),"")</f>
        <v/>
      </c>
      <c r="AU3830" s="65" t="str">
        <f>IFERROR(VLOOKUP(#REF!,[1]Lookup!$B$2:$E$115,3,FALSE),"")</f>
        <v/>
      </c>
    </row>
    <row r="3831" spans="31:47" x14ac:dyDescent="0.3">
      <c r="AE3831" s="204" t="s">
        <v>398</v>
      </c>
      <c r="AF3831" s="204" t="s">
        <v>398</v>
      </c>
      <c r="AG3831" s="204" t="s">
        <v>398</v>
      </c>
      <c r="AS3831" s="65" t="str">
        <f>IFERROR(VLOOKUP(#REF!,[1]Lookup!$B$2:$E$115,4,FALSE),"")</f>
        <v/>
      </c>
      <c r="AT3831" s="65" t="str">
        <f>IFERROR(VLOOKUP(#REF!,[1]Lookup!$B$2:$E$115,2,FALSE),"")</f>
        <v/>
      </c>
      <c r="AU3831" s="65" t="str">
        <f>IFERROR(VLOOKUP(#REF!,[1]Lookup!$B$2:$E$115,3,FALSE),"")</f>
        <v/>
      </c>
    </row>
    <row r="3832" spans="31:47" x14ac:dyDescent="0.3">
      <c r="AE3832" s="204" t="s">
        <v>398</v>
      </c>
      <c r="AF3832" s="204" t="s">
        <v>398</v>
      </c>
      <c r="AG3832" s="204" t="s">
        <v>398</v>
      </c>
      <c r="AS3832" s="65" t="str">
        <f>IFERROR(VLOOKUP(#REF!,[1]Lookup!$B$2:$E$115,4,FALSE),"")</f>
        <v/>
      </c>
      <c r="AT3832" s="65" t="str">
        <f>IFERROR(VLOOKUP(#REF!,[1]Lookup!$B$2:$E$115,2,FALSE),"")</f>
        <v/>
      </c>
      <c r="AU3832" s="65" t="str">
        <f>IFERROR(VLOOKUP(#REF!,[1]Lookup!$B$2:$E$115,3,FALSE),"")</f>
        <v/>
      </c>
    </row>
    <row r="3833" spans="31:47" x14ac:dyDescent="0.3">
      <c r="AE3833" s="204" t="s">
        <v>398</v>
      </c>
      <c r="AF3833" s="204" t="s">
        <v>398</v>
      </c>
      <c r="AG3833" s="204" t="s">
        <v>398</v>
      </c>
      <c r="AS3833" s="65" t="str">
        <f>IFERROR(VLOOKUP(#REF!,[1]Lookup!$B$2:$E$115,4,FALSE),"")</f>
        <v/>
      </c>
      <c r="AT3833" s="65" t="str">
        <f>IFERROR(VLOOKUP(#REF!,[1]Lookup!$B$2:$E$115,2,FALSE),"")</f>
        <v/>
      </c>
      <c r="AU3833" s="65" t="str">
        <f>IFERROR(VLOOKUP(#REF!,[1]Lookup!$B$2:$E$115,3,FALSE),"")</f>
        <v/>
      </c>
    </row>
    <row r="3834" spans="31:47" x14ac:dyDescent="0.3">
      <c r="AE3834" s="204" t="s">
        <v>398</v>
      </c>
      <c r="AF3834" s="204" t="s">
        <v>398</v>
      </c>
      <c r="AG3834" s="204" t="s">
        <v>398</v>
      </c>
      <c r="AS3834" s="65" t="str">
        <f>IFERROR(VLOOKUP(#REF!,[1]Lookup!$B$2:$E$115,4,FALSE),"")</f>
        <v/>
      </c>
      <c r="AT3834" s="65" t="str">
        <f>IFERROR(VLOOKUP(#REF!,[1]Lookup!$B$2:$E$115,2,FALSE),"")</f>
        <v/>
      </c>
      <c r="AU3834" s="65" t="str">
        <f>IFERROR(VLOOKUP(#REF!,[1]Lookup!$B$2:$E$115,3,FALSE),"")</f>
        <v/>
      </c>
    </row>
    <row r="3835" spans="31:47" x14ac:dyDescent="0.3">
      <c r="AE3835" s="204" t="s">
        <v>398</v>
      </c>
      <c r="AF3835" s="204" t="s">
        <v>398</v>
      </c>
      <c r="AG3835" s="204" t="s">
        <v>398</v>
      </c>
      <c r="AS3835" s="65" t="str">
        <f>IFERROR(VLOOKUP(#REF!,[1]Lookup!$B$2:$E$115,4,FALSE),"")</f>
        <v/>
      </c>
      <c r="AT3835" s="65" t="str">
        <f>IFERROR(VLOOKUP(#REF!,[1]Lookup!$B$2:$E$115,2,FALSE),"")</f>
        <v/>
      </c>
      <c r="AU3835" s="65" t="str">
        <f>IFERROR(VLOOKUP(#REF!,[1]Lookup!$B$2:$E$115,3,FALSE),"")</f>
        <v/>
      </c>
    </row>
    <row r="3836" spans="31:47" x14ac:dyDescent="0.3">
      <c r="AE3836" s="204" t="s">
        <v>398</v>
      </c>
      <c r="AF3836" s="204" t="s">
        <v>398</v>
      </c>
      <c r="AG3836" s="204" t="s">
        <v>398</v>
      </c>
      <c r="AS3836" s="65" t="str">
        <f>IFERROR(VLOOKUP(#REF!,[1]Lookup!$B$2:$E$115,4,FALSE),"")</f>
        <v/>
      </c>
      <c r="AT3836" s="65" t="str">
        <f>IFERROR(VLOOKUP(#REF!,[1]Lookup!$B$2:$E$115,2,FALSE),"")</f>
        <v/>
      </c>
      <c r="AU3836" s="65" t="str">
        <f>IFERROR(VLOOKUP(#REF!,[1]Lookup!$B$2:$E$115,3,FALSE),"")</f>
        <v/>
      </c>
    </row>
    <row r="3837" spans="31:47" x14ac:dyDescent="0.3">
      <c r="AE3837" s="204" t="s">
        <v>398</v>
      </c>
      <c r="AF3837" s="204" t="s">
        <v>398</v>
      </c>
      <c r="AG3837" s="204" t="s">
        <v>398</v>
      </c>
      <c r="AS3837" s="65" t="str">
        <f>IFERROR(VLOOKUP(#REF!,[1]Lookup!$B$2:$E$115,4,FALSE),"")</f>
        <v/>
      </c>
      <c r="AT3837" s="65" t="str">
        <f>IFERROR(VLOOKUP(#REF!,[1]Lookup!$B$2:$E$115,2,FALSE),"")</f>
        <v/>
      </c>
      <c r="AU3837" s="65" t="str">
        <f>IFERROR(VLOOKUP(#REF!,[1]Lookup!$B$2:$E$115,3,FALSE),"")</f>
        <v/>
      </c>
    </row>
    <row r="3838" spans="31:47" x14ac:dyDescent="0.3">
      <c r="AE3838" s="204" t="s">
        <v>398</v>
      </c>
      <c r="AF3838" s="204" t="s">
        <v>398</v>
      </c>
      <c r="AG3838" s="204" t="s">
        <v>398</v>
      </c>
      <c r="AS3838" s="65" t="str">
        <f>IFERROR(VLOOKUP(#REF!,[1]Lookup!$B$2:$E$115,4,FALSE),"")</f>
        <v/>
      </c>
      <c r="AT3838" s="65" t="str">
        <f>IFERROR(VLOOKUP(#REF!,[1]Lookup!$B$2:$E$115,2,FALSE),"")</f>
        <v/>
      </c>
      <c r="AU3838" s="65" t="str">
        <f>IFERROR(VLOOKUP(#REF!,[1]Lookup!$B$2:$E$115,3,FALSE),"")</f>
        <v/>
      </c>
    </row>
    <row r="3839" spans="31:47" x14ac:dyDescent="0.3">
      <c r="AE3839" s="204" t="s">
        <v>398</v>
      </c>
      <c r="AF3839" s="204" t="s">
        <v>398</v>
      </c>
      <c r="AG3839" s="204" t="s">
        <v>398</v>
      </c>
      <c r="AS3839" s="65" t="str">
        <f>IFERROR(VLOOKUP(#REF!,[1]Lookup!$B$2:$E$115,4,FALSE),"")</f>
        <v/>
      </c>
      <c r="AT3839" s="65" t="str">
        <f>IFERROR(VLOOKUP(#REF!,[1]Lookup!$B$2:$E$115,2,FALSE),"")</f>
        <v/>
      </c>
      <c r="AU3839" s="65" t="str">
        <f>IFERROR(VLOOKUP(#REF!,[1]Lookup!$B$2:$E$115,3,FALSE),"")</f>
        <v/>
      </c>
    </row>
    <row r="3840" spans="31:47" x14ac:dyDescent="0.3">
      <c r="AE3840" s="204" t="s">
        <v>398</v>
      </c>
      <c r="AF3840" s="204" t="s">
        <v>398</v>
      </c>
      <c r="AG3840" s="204" t="s">
        <v>398</v>
      </c>
      <c r="AS3840" s="65" t="str">
        <f>IFERROR(VLOOKUP(#REF!,[1]Lookup!$B$2:$E$115,4,FALSE),"")</f>
        <v/>
      </c>
      <c r="AT3840" s="65" t="str">
        <f>IFERROR(VLOOKUP(#REF!,[1]Lookup!$B$2:$E$115,2,FALSE),"")</f>
        <v/>
      </c>
      <c r="AU3840" s="65" t="str">
        <f>IFERROR(VLOOKUP(#REF!,[1]Lookup!$B$2:$E$115,3,FALSE),"")</f>
        <v/>
      </c>
    </row>
    <row r="3841" spans="31:47" x14ac:dyDescent="0.3">
      <c r="AE3841" s="204" t="s">
        <v>398</v>
      </c>
      <c r="AF3841" s="204" t="s">
        <v>398</v>
      </c>
      <c r="AG3841" s="204" t="s">
        <v>398</v>
      </c>
      <c r="AS3841" s="65" t="str">
        <f>IFERROR(VLOOKUP(#REF!,[1]Lookup!$B$2:$E$115,4,FALSE),"")</f>
        <v/>
      </c>
      <c r="AT3841" s="65" t="str">
        <f>IFERROR(VLOOKUP(#REF!,[1]Lookup!$B$2:$E$115,2,FALSE),"")</f>
        <v/>
      </c>
      <c r="AU3841" s="65" t="str">
        <f>IFERROR(VLOOKUP(#REF!,[1]Lookup!$B$2:$E$115,3,FALSE),"")</f>
        <v/>
      </c>
    </row>
    <row r="3842" spans="31:47" x14ac:dyDescent="0.3">
      <c r="AE3842" s="204" t="s">
        <v>398</v>
      </c>
      <c r="AF3842" s="204" t="s">
        <v>398</v>
      </c>
      <c r="AG3842" s="204" t="s">
        <v>398</v>
      </c>
      <c r="AS3842" s="65" t="str">
        <f>IFERROR(VLOOKUP(#REF!,[1]Lookup!$B$2:$E$115,4,FALSE),"")</f>
        <v/>
      </c>
      <c r="AT3842" s="65" t="str">
        <f>IFERROR(VLOOKUP(#REF!,[1]Lookup!$B$2:$E$115,2,FALSE),"")</f>
        <v/>
      </c>
      <c r="AU3842" s="65" t="str">
        <f>IFERROR(VLOOKUP(#REF!,[1]Lookup!$B$2:$E$115,3,FALSE),"")</f>
        <v/>
      </c>
    </row>
    <row r="3843" spans="31:47" x14ac:dyDescent="0.3">
      <c r="AE3843" s="204" t="s">
        <v>398</v>
      </c>
      <c r="AF3843" s="204" t="s">
        <v>398</v>
      </c>
      <c r="AG3843" s="204" t="s">
        <v>398</v>
      </c>
      <c r="AS3843" s="65" t="str">
        <f>IFERROR(VLOOKUP(#REF!,[1]Lookup!$B$2:$E$115,4,FALSE),"")</f>
        <v/>
      </c>
      <c r="AT3843" s="65" t="str">
        <f>IFERROR(VLOOKUP(#REF!,[1]Lookup!$B$2:$E$115,2,FALSE),"")</f>
        <v/>
      </c>
      <c r="AU3843" s="65" t="str">
        <f>IFERROR(VLOOKUP(#REF!,[1]Lookup!$B$2:$E$115,3,FALSE),"")</f>
        <v/>
      </c>
    </row>
    <row r="3844" spans="31:47" x14ac:dyDescent="0.3">
      <c r="AE3844" s="204" t="s">
        <v>398</v>
      </c>
      <c r="AF3844" s="204" t="s">
        <v>398</v>
      </c>
      <c r="AG3844" s="204" t="s">
        <v>398</v>
      </c>
      <c r="AS3844" s="65" t="str">
        <f>IFERROR(VLOOKUP(#REF!,[1]Lookup!$B$2:$E$115,4,FALSE),"")</f>
        <v/>
      </c>
      <c r="AT3844" s="65" t="str">
        <f>IFERROR(VLOOKUP(#REF!,[1]Lookup!$B$2:$E$115,2,FALSE),"")</f>
        <v/>
      </c>
      <c r="AU3844" s="65" t="str">
        <f>IFERROR(VLOOKUP(#REF!,[1]Lookup!$B$2:$E$115,3,FALSE),"")</f>
        <v/>
      </c>
    </row>
    <row r="3845" spans="31:47" x14ac:dyDescent="0.3">
      <c r="AE3845" s="204" t="s">
        <v>398</v>
      </c>
      <c r="AF3845" s="204" t="s">
        <v>398</v>
      </c>
      <c r="AG3845" s="204" t="s">
        <v>398</v>
      </c>
      <c r="AS3845" s="65" t="str">
        <f>IFERROR(VLOOKUP(#REF!,[1]Lookup!$B$2:$E$115,4,FALSE),"")</f>
        <v/>
      </c>
      <c r="AT3845" s="65" t="str">
        <f>IFERROR(VLOOKUP(#REF!,[1]Lookup!$B$2:$E$115,2,FALSE),"")</f>
        <v/>
      </c>
      <c r="AU3845" s="65" t="str">
        <f>IFERROR(VLOOKUP(#REF!,[1]Lookup!$B$2:$E$115,3,FALSE),"")</f>
        <v/>
      </c>
    </row>
    <row r="3846" spans="31:47" x14ac:dyDescent="0.3">
      <c r="AE3846" s="204" t="s">
        <v>398</v>
      </c>
      <c r="AF3846" s="204" t="s">
        <v>398</v>
      </c>
      <c r="AG3846" s="204" t="s">
        <v>398</v>
      </c>
      <c r="AS3846" s="65" t="str">
        <f>IFERROR(VLOOKUP(#REF!,[1]Lookup!$B$2:$E$115,4,FALSE),"")</f>
        <v/>
      </c>
      <c r="AT3846" s="65" t="str">
        <f>IFERROR(VLOOKUP(#REF!,[1]Lookup!$B$2:$E$115,2,FALSE),"")</f>
        <v/>
      </c>
      <c r="AU3846" s="65" t="str">
        <f>IFERROR(VLOOKUP(#REF!,[1]Lookup!$B$2:$E$115,3,FALSE),"")</f>
        <v/>
      </c>
    </row>
    <row r="3847" spans="31:47" x14ac:dyDescent="0.3">
      <c r="AE3847" s="204" t="s">
        <v>398</v>
      </c>
      <c r="AF3847" s="204" t="s">
        <v>398</v>
      </c>
      <c r="AG3847" s="204" t="s">
        <v>398</v>
      </c>
      <c r="AS3847" s="65" t="str">
        <f>IFERROR(VLOOKUP(#REF!,[1]Lookup!$B$2:$E$115,4,FALSE),"")</f>
        <v/>
      </c>
      <c r="AT3847" s="65" t="str">
        <f>IFERROR(VLOOKUP(#REF!,[1]Lookup!$B$2:$E$115,2,FALSE),"")</f>
        <v/>
      </c>
      <c r="AU3847" s="65" t="str">
        <f>IFERROR(VLOOKUP(#REF!,[1]Lookup!$B$2:$E$115,3,FALSE),"")</f>
        <v/>
      </c>
    </row>
    <row r="3848" spans="31:47" x14ac:dyDescent="0.3">
      <c r="AE3848" s="204" t="s">
        <v>398</v>
      </c>
      <c r="AF3848" s="204" t="s">
        <v>398</v>
      </c>
      <c r="AG3848" s="204" t="s">
        <v>398</v>
      </c>
      <c r="AS3848" s="65" t="str">
        <f>IFERROR(VLOOKUP(#REF!,[1]Lookup!$B$2:$E$115,4,FALSE),"")</f>
        <v/>
      </c>
      <c r="AT3848" s="65" t="str">
        <f>IFERROR(VLOOKUP(#REF!,[1]Lookup!$B$2:$E$115,2,FALSE),"")</f>
        <v/>
      </c>
      <c r="AU3848" s="65" t="str">
        <f>IFERROR(VLOOKUP(#REF!,[1]Lookup!$B$2:$E$115,3,FALSE),"")</f>
        <v/>
      </c>
    </row>
    <row r="3849" spans="31:47" x14ac:dyDescent="0.3">
      <c r="AE3849" s="204" t="s">
        <v>398</v>
      </c>
      <c r="AF3849" s="204" t="s">
        <v>398</v>
      </c>
      <c r="AG3849" s="204" t="s">
        <v>398</v>
      </c>
      <c r="AS3849" s="65" t="str">
        <f>IFERROR(VLOOKUP(#REF!,[1]Lookup!$B$2:$E$115,4,FALSE),"")</f>
        <v/>
      </c>
      <c r="AT3849" s="65" t="str">
        <f>IFERROR(VLOOKUP(#REF!,[1]Lookup!$B$2:$E$115,2,FALSE),"")</f>
        <v/>
      </c>
      <c r="AU3849" s="65" t="str">
        <f>IFERROR(VLOOKUP(#REF!,[1]Lookup!$B$2:$E$115,3,FALSE),"")</f>
        <v/>
      </c>
    </row>
    <row r="3850" spans="31:47" x14ac:dyDescent="0.3">
      <c r="AE3850" s="204" t="s">
        <v>398</v>
      </c>
      <c r="AF3850" s="204" t="s">
        <v>398</v>
      </c>
      <c r="AG3850" s="204" t="s">
        <v>398</v>
      </c>
      <c r="AS3850" s="65" t="str">
        <f>IFERROR(VLOOKUP(#REF!,[1]Lookup!$B$2:$E$115,4,FALSE),"")</f>
        <v/>
      </c>
      <c r="AT3850" s="65" t="str">
        <f>IFERROR(VLOOKUP(#REF!,[1]Lookup!$B$2:$E$115,2,FALSE),"")</f>
        <v/>
      </c>
      <c r="AU3850" s="65" t="str">
        <f>IFERROR(VLOOKUP(#REF!,[1]Lookup!$B$2:$E$115,3,FALSE),"")</f>
        <v/>
      </c>
    </row>
    <row r="3851" spans="31:47" x14ac:dyDescent="0.3">
      <c r="AE3851" s="204" t="s">
        <v>398</v>
      </c>
      <c r="AF3851" s="204" t="s">
        <v>398</v>
      </c>
      <c r="AG3851" s="204" t="s">
        <v>398</v>
      </c>
      <c r="AS3851" s="65" t="str">
        <f>IFERROR(VLOOKUP(#REF!,[1]Lookup!$B$2:$E$115,4,FALSE),"")</f>
        <v/>
      </c>
      <c r="AT3851" s="65" t="str">
        <f>IFERROR(VLOOKUP(#REF!,[1]Lookup!$B$2:$E$115,2,FALSE),"")</f>
        <v/>
      </c>
      <c r="AU3851" s="65" t="str">
        <f>IFERROR(VLOOKUP(#REF!,[1]Lookup!$B$2:$E$115,3,FALSE),"")</f>
        <v/>
      </c>
    </row>
    <row r="3852" spans="31:47" x14ac:dyDescent="0.3">
      <c r="AE3852" s="204" t="s">
        <v>398</v>
      </c>
      <c r="AF3852" s="204" t="s">
        <v>398</v>
      </c>
      <c r="AG3852" s="204" t="s">
        <v>398</v>
      </c>
      <c r="AS3852" s="65" t="str">
        <f>IFERROR(VLOOKUP(#REF!,[1]Lookup!$B$2:$E$115,4,FALSE),"")</f>
        <v/>
      </c>
      <c r="AT3852" s="65" t="str">
        <f>IFERROR(VLOOKUP(#REF!,[1]Lookup!$B$2:$E$115,2,FALSE),"")</f>
        <v/>
      </c>
      <c r="AU3852" s="65" t="str">
        <f>IFERROR(VLOOKUP(#REF!,[1]Lookup!$B$2:$E$115,3,FALSE),"")</f>
        <v/>
      </c>
    </row>
    <row r="3853" spans="31:47" x14ac:dyDescent="0.3">
      <c r="AE3853" s="204" t="s">
        <v>398</v>
      </c>
      <c r="AF3853" s="204" t="s">
        <v>398</v>
      </c>
      <c r="AG3853" s="204" t="s">
        <v>398</v>
      </c>
      <c r="AS3853" s="65" t="str">
        <f>IFERROR(VLOOKUP(#REF!,[1]Lookup!$B$2:$E$115,4,FALSE),"")</f>
        <v/>
      </c>
      <c r="AT3853" s="65" t="str">
        <f>IFERROR(VLOOKUP(#REF!,[1]Lookup!$B$2:$E$115,2,FALSE),"")</f>
        <v/>
      </c>
      <c r="AU3853" s="65" t="str">
        <f>IFERROR(VLOOKUP(#REF!,[1]Lookup!$B$2:$E$115,3,FALSE),"")</f>
        <v/>
      </c>
    </row>
    <row r="3854" spans="31:47" x14ac:dyDescent="0.3">
      <c r="AE3854" s="204" t="s">
        <v>398</v>
      </c>
      <c r="AF3854" s="204" t="s">
        <v>398</v>
      </c>
      <c r="AG3854" s="204" t="s">
        <v>398</v>
      </c>
      <c r="AS3854" s="65" t="str">
        <f>IFERROR(VLOOKUP(#REF!,[1]Lookup!$B$2:$E$115,4,FALSE),"")</f>
        <v/>
      </c>
      <c r="AT3854" s="65" t="str">
        <f>IFERROR(VLOOKUP(#REF!,[1]Lookup!$B$2:$E$115,2,FALSE),"")</f>
        <v/>
      </c>
      <c r="AU3854" s="65" t="str">
        <f>IFERROR(VLOOKUP(#REF!,[1]Lookup!$B$2:$E$115,3,FALSE),"")</f>
        <v/>
      </c>
    </row>
    <row r="3855" spans="31:47" x14ac:dyDescent="0.3">
      <c r="AE3855" s="204" t="s">
        <v>398</v>
      </c>
      <c r="AF3855" s="204" t="s">
        <v>398</v>
      </c>
      <c r="AG3855" s="204" t="s">
        <v>398</v>
      </c>
      <c r="AS3855" s="65" t="str">
        <f>IFERROR(VLOOKUP(#REF!,[1]Lookup!$B$2:$E$115,4,FALSE),"")</f>
        <v/>
      </c>
      <c r="AT3855" s="65" t="str">
        <f>IFERROR(VLOOKUP(#REF!,[1]Lookup!$B$2:$E$115,2,FALSE),"")</f>
        <v/>
      </c>
      <c r="AU3855" s="65" t="str">
        <f>IFERROR(VLOOKUP(#REF!,[1]Lookup!$B$2:$E$115,3,FALSE),"")</f>
        <v/>
      </c>
    </row>
    <row r="3856" spans="31:47" x14ac:dyDescent="0.3">
      <c r="AE3856" s="204" t="s">
        <v>398</v>
      </c>
      <c r="AF3856" s="204" t="s">
        <v>398</v>
      </c>
      <c r="AG3856" s="204" t="s">
        <v>398</v>
      </c>
      <c r="AS3856" s="65" t="str">
        <f>IFERROR(VLOOKUP(#REF!,[1]Lookup!$B$2:$E$115,4,FALSE),"")</f>
        <v/>
      </c>
      <c r="AT3856" s="65" t="str">
        <f>IFERROR(VLOOKUP(#REF!,[1]Lookup!$B$2:$E$115,2,FALSE),"")</f>
        <v/>
      </c>
      <c r="AU3856" s="65" t="str">
        <f>IFERROR(VLOOKUP(#REF!,[1]Lookup!$B$2:$E$115,3,FALSE),"")</f>
        <v/>
      </c>
    </row>
    <row r="3857" spans="31:47" x14ac:dyDescent="0.3">
      <c r="AE3857" s="204" t="s">
        <v>398</v>
      </c>
      <c r="AF3857" s="204" t="s">
        <v>398</v>
      </c>
      <c r="AG3857" s="204" t="s">
        <v>398</v>
      </c>
      <c r="AS3857" s="65" t="str">
        <f>IFERROR(VLOOKUP(#REF!,[1]Lookup!$B$2:$E$115,4,FALSE),"")</f>
        <v/>
      </c>
      <c r="AT3857" s="65" t="str">
        <f>IFERROR(VLOOKUP(#REF!,[1]Lookup!$B$2:$E$115,2,FALSE),"")</f>
        <v/>
      </c>
      <c r="AU3857" s="65" t="str">
        <f>IFERROR(VLOOKUP(#REF!,[1]Lookup!$B$2:$E$115,3,FALSE),"")</f>
        <v/>
      </c>
    </row>
    <row r="3858" spans="31:47" x14ac:dyDescent="0.3">
      <c r="AE3858" s="204" t="s">
        <v>398</v>
      </c>
      <c r="AF3858" s="204" t="s">
        <v>398</v>
      </c>
      <c r="AG3858" s="204" t="s">
        <v>398</v>
      </c>
      <c r="AS3858" s="65" t="str">
        <f>IFERROR(VLOOKUP(#REF!,[1]Lookup!$B$2:$E$115,4,FALSE),"")</f>
        <v/>
      </c>
      <c r="AT3858" s="65" t="str">
        <f>IFERROR(VLOOKUP(#REF!,[1]Lookup!$B$2:$E$115,2,FALSE),"")</f>
        <v/>
      </c>
      <c r="AU3858" s="65" t="str">
        <f>IFERROR(VLOOKUP(#REF!,[1]Lookup!$B$2:$E$115,3,FALSE),"")</f>
        <v/>
      </c>
    </row>
    <row r="3859" spans="31:47" x14ac:dyDescent="0.3">
      <c r="AE3859" s="204" t="s">
        <v>398</v>
      </c>
      <c r="AF3859" s="204" t="s">
        <v>398</v>
      </c>
      <c r="AG3859" s="204" t="s">
        <v>398</v>
      </c>
      <c r="AS3859" s="65" t="str">
        <f>IFERROR(VLOOKUP(#REF!,[1]Lookup!$B$2:$E$115,4,FALSE),"")</f>
        <v/>
      </c>
      <c r="AT3859" s="65" t="str">
        <f>IFERROR(VLOOKUP(#REF!,[1]Lookup!$B$2:$E$115,2,FALSE),"")</f>
        <v/>
      </c>
      <c r="AU3859" s="65" t="str">
        <f>IFERROR(VLOOKUP(#REF!,[1]Lookup!$B$2:$E$115,3,FALSE),"")</f>
        <v/>
      </c>
    </row>
    <row r="3860" spans="31:47" x14ac:dyDescent="0.3">
      <c r="AE3860" s="204" t="s">
        <v>398</v>
      </c>
      <c r="AF3860" s="204" t="s">
        <v>398</v>
      </c>
      <c r="AG3860" s="204" t="s">
        <v>398</v>
      </c>
      <c r="AS3860" s="65" t="str">
        <f>IFERROR(VLOOKUP(#REF!,[1]Lookup!$B$2:$E$115,4,FALSE),"")</f>
        <v/>
      </c>
      <c r="AT3860" s="65" t="str">
        <f>IFERROR(VLOOKUP(#REF!,[1]Lookup!$B$2:$E$115,2,FALSE),"")</f>
        <v/>
      </c>
      <c r="AU3860" s="65" t="str">
        <f>IFERROR(VLOOKUP(#REF!,[1]Lookup!$B$2:$E$115,3,FALSE),"")</f>
        <v/>
      </c>
    </row>
    <row r="3861" spans="31:47" x14ac:dyDescent="0.3">
      <c r="AE3861" s="204" t="s">
        <v>398</v>
      </c>
      <c r="AF3861" s="204" t="s">
        <v>398</v>
      </c>
      <c r="AG3861" s="204" t="s">
        <v>398</v>
      </c>
      <c r="AS3861" s="65" t="str">
        <f>IFERROR(VLOOKUP(#REF!,[1]Lookup!$B$2:$E$115,4,FALSE),"")</f>
        <v/>
      </c>
      <c r="AT3861" s="65" t="str">
        <f>IFERROR(VLOOKUP(#REF!,[1]Lookup!$B$2:$E$115,2,FALSE),"")</f>
        <v/>
      </c>
      <c r="AU3861" s="65" t="str">
        <f>IFERROR(VLOOKUP(#REF!,[1]Lookup!$B$2:$E$115,3,FALSE),"")</f>
        <v/>
      </c>
    </row>
    <row r="3862" spans="31:47" x14ac:dyDescent="0.3">
      <c r="AE3862" s="204" t="s">
        <v>398</v>
      </c>
      <c r="AF3862" s="204" t="s">
        <v>398</v>
      </c>
      <c r="AG3862" s="204" t="s">
        <v>398</v>
      </c>
      <c r="AS3862" s="65" t="str">
        <f>IFERROR(VLOOKUP(#REF!,[1]Lookup!$B$2:$E$115,4,FALSE),"")</f>
        <v/>
      </c>
      <c r="AT3862" s="65" t="str">
        <f>IFERROR(VLOOKUP(#REF!,[1]Lookup!$B$2:$E$115,2,FALSE),"")</f>
        <v/>
      </c>
      <c r="AU3862" s="65" t="str">
        <f>IFERROR(VLOOKUP(#REF!,[1]Lookup!$B$2:$E$115,3,FALSE),"")</f>
        <v/>
      </c>
    </row>
    <row r="3863" spans="31:47" x14ac:dyDescent="0.3">
      <c r="AE3863" s="204" t="s">
        <v>398</v>
      </c>
      <c r="AF3863" s="204" t="s">
        <v>398</v>
      </c>
      <c r="AG3863" s="204" t="s">
        <v>398</v>
      </c>
      <c r="AS3863" s="65" t="str">
        <f>IFERROR(VLOOKUP(#REF!,[1]Lookup!$B$2:$E$115,4,FALSE),"")</f>
        <v/>
      </c>
      <c r="AT3863" s="65" t="str">
        <f>IFERROR(VLOOKUP(#REF!,[1]Lookup!$B$2:$E$115,2,FALSE),"")</f>
        <v/>
      </c>
      <c r="AU3863" s="65" t="str">
        <f>IFERROR(VLOOKUP(#REF!,[1]Lookup!$B$2:$E$115,3,FALSE),"")</f>
        <v/>
      </c>
    </row>
    <row r="3864" spans="31:47" x14ac:dyDescent="0.3">
      <c r="AE3864" s="204" t="s">
        <v>398</v>
      </c>
      <c r="AF3864" s="204" t="s">
        <v>398</v>
      </c>
      <c r="AG3864" s="204" t="s">
        <v>398</v>
      </c>
      <c r="AS3864" s="65" t="str">
        <f>IFERROR(VLOOKUP(#REF!,[1]Lookup!$B$2:$E$115,4,FALSE),"")</f>
        <v/>
      </c>
      <c r="AT3864" s="65" t="str">
        <f>IFERROR(VLOOKUP(#REF!,[1]Lookup!$B$2:$E$115,2,FALSE),"")</f>
        <v/>
      </c>
      <c r="AU3864" s="65" t="str">
        <f>IFERROR(VLOOKUP(#REF!,[1]Lookup!$B$2:$E$115,3,FALSE),"")</f>
        <v/>
      </c>
    </row>
    <row r="3865" spans="31:47" x14ac:dyDescent="0.3">
      <c r="AE3865" s="204" t="s">
        <v>398</v>
      </c>
      <c r="AF3865" s="204" t="s">
        <v>398</v>
      </c>
      <c r="AG3865" s="204" t="s">
        <v>398</v>
      </c>
      <c r="AS3865" s="65" t="str">
        <f>IFERROR(VLOOKUP(#REF!,[1]Lookup!$B$2:$E$115,4,FALSE),"")</f>
        <v/>
      </c>
      <c r="AT3865" s="65" t="str">
        <f>IFERROR(VLOOKUP(#REF!,[1]Lookup!$B$2:$E$115,2,FALSE),"")</f>
        <v/>
      </c>
      <c r="AU3865" s="65" t="str">
        <f>IFERROR(VLOOKUP(#REF!,[1]Lookup!$B$2:$E$115,3,FALSE),"")</f>
        <v/>
      </c>
    </row>
    <row r="3866" spans="31:47" x14ac:dyDescent="0.3">
      <c r="AE3866" s="204" t="s">
        <v>398</v>
      </c>
      <c r="AF3866" s="204" t="s">
        <v>398</v>
      </c>
      <c r="AG3866" s="204" t="s">
        <v>398</v>
      </c>
      <c r="AS3866" s="65" t="str">
        <f>IFERROR(VLOOKUP(#REF!,[1]Lookup!$B$2:$E$115,4,FALSE),"")</f>
        <v/>
      </c>
      <c r="AT3866" s="65" t="str">
        <f>IFERROR(VLOOKUP(#REF!,[1]Lookup!$B$2:$E$115,2,FALSE),"")</f>
        <v/>
      </c>
      <c r="AU3866" s="65" t="str">
        <f>IFERROR(VLOOKUP(#REF!,[1]Lookup!$B$2:$E$115,3,FALSE),"")</f>
        <v/>
      </c>
    </row>
    <row r="3867" spans="31:47" x14ac:dyDescent="0.3">
      <c r="AE3867" s="204" t="s">
        <v>398</v>
      </c>
      <c r="AF3867" s="204" t="s">
        <v>398</v>
      </c>
      <c r="AG3867" s="204" t="s">
        <v>398</v>
      </c>
      <c r="AS3867" s="65" t="str">
        <f>IFERROR(VLOOKUP(#REF!,[1]Lookup!$B$2:$E$115,4,FALSE),"")</f>
        <v/>
      </c>
      <c r="AT3867" s="65" t="str">
        <f>IFERROR(VLOOKUP(#REF!,[1]Lookup!$B$2:$E$115,2,FALSE),"")</f>
        <v/>
      </c>
      <c r="AU3867" s="65" t="str">
        <f>IFERROR(VLOOKUP(#REF!,[1]Lookup!$B$2:$E$115,3,FALSE),"")</f>
        <v/>
      </c>
    </row>
    <row r="3868" spans="31:47" x14ac:dyDescent="0.3">
      <c r="AE3868" s="204" t="s">
        <v>398</v>
      </c>
      <c r="AF3868" s="204" t="s">
        <v>398</v>
      </c>
      <c r="AG3868" s="204" t="s">
        <v>398</v>
      </c>
      <c r="AS3868" s="65" t="str">
        <f>IFERROR(VLOOKUP(#REF!,[1]Lookup!$B$2:$E$115,4,FALSE),"")</f>
        <v/>
      </c>
      <c r="AT3868" s="65" t="str">
        <f>IFERROR(VLOOKUP(#REF!,[1]Lookup!$B$2:$E$115,2,FALSE),"")</f>
        <v/>
      </c>
      <c r="AU3868" s="65" t="str">
        <f>IFERROR(VLOOKUP(#REF!,[1]Lookup!$B$2:$E$115,3,FALSE),"")</f>
        <v/>
      </c>
    </row>
    <row r="3869" spans="31:47" x14ac:dyDescent="0.3">
      <c r="AE3869" s="204" t="s">
        <v>398</v>
      </c>
      <c r="AF3869" s="204" t="s">
        <v>398</v>
      </c>
      <c r="AG3869" s="204" t="s">
        <v>398</v>
      </c>
      <c r="AS3869" s="65" t="str">
        <f>IFERROR(VLOOKUP(#REF!,[1]Lookup!$B$2:$E$115,4,FALSE),"")</f>
        <v/>
      </c>
      <c r="AT3869" s="65" t="str">
        <f>IFERROR(VLOOKUP(#REF!,[1]Lookup!$B$2:$E$115,2,FALSE),"")</f>
        <v/>
      </c>
      <c r="AU3869" s="65" t="str">
        <f>IFERROR(VLOOKUP(#REF!,[1]Lookup!$B$2:$E$115,3,FALSE),"")</f>
        <v/>
      </c>
    </row>
    <row r="3870" spans="31:47" x14ac:dyDescent="0.3">
      <c r="AE3870" s="204" t="s">
        <v>398</v>
      </c>
      <c r="AF3870" s="204" t="s">
        <v>398</v>
      </c>
      <c r="AG3870" s="204" t="s">
        <v>398</v>
      </c>
      <c r="AS3870" s="65" t="str">
        <f>IFERROR(VLOOKUP(#REF!,[1]Lookup!$B$2:$E$115,4,FALSE),"")</f>
        <v/>
      </c>
      <c r="AT3870" s="65" t="str">
        <f>IFERROR(VLOOKUP(#REF!,[1]Lookup!$B$2:$E$115,2,FALSE),"")</f>
        <v/>
      </c>
      <c r="AU3870" s="65" t="str">
        <f>IFERROR(VLOOKUP(#REF!,[1]Lookup!$B$2:$E$115,3,FALSE),"")</f>
        <v/>
      </c>
    </row>
    <row r="3871" spans="31:47" x14ac:dyDescent="0.3">
      <c r="AE3871" s="204" t="s">
        <v>398</v>
      </c>
      <c r="AF3871" s="204" t="s">
        <v>398</v>
      </c>
      <c r="AG3871" s="204" t="s">
        <v>398</v>
      </c>
      <c r="AS3871" s="65" t="str">
        <f>IFERROR(VLOOKUP(#REF!,[1]Lookup!$B$2:$E$115,4,FALSE),"")</f>
        <v/>
      </c>
      <c r="AT3871" s="65" t="str">
        <f>IFERROR(VLOOKUP(#REF!,[1]Lookup!$B$2:$E$115,2,FALSE),"")</f>
        <v/>
      </c>
      <c r="AU3871" s="65" t="str">
        <f>IFERROR(VLOOKUP(#REF!,[1]Lookup!$B$2:$E$115,3,FALSE),"")</f>
        <v/>
      </c>
    </row>
    <row r="3872" spans="31:47" x14ac:dyDescent="0.3">
      <c r="AE3872" s="204" t="s">
        <v>398</v>
      </c>
      <c r="AF3872" s="204" t="s">
        <v>398</v>
      </c>
      <c r="AG3872" s="204" t="s">
        <v>398</v>
      </c>
      <c r="AS3872" s="65" t="str">
        <f>IFERROR(VLOOKUP(#REF!,[1]Lookup!$B$2:$E$115,4,FALSE),"")</f>
        <v/>
      </c>
      <c r="AT3872" s="65" t="str">
        <f>IFERROR(VLOOKUP(#REF!,[1]Lookup!$B$2:$E$115,2,FALSE),"")</f>
        <v/>
      </c>
      <c r="AU3872" s="65" t="str">
        <f>IFERROR(VLOOKUP(#REF!,[1]Lookup!$B$2:$E$115,3,FALSE),"")</f>
        <v/>
      </c>
    </row>
    <row r="3873" spans="31:47" x14ac:dyDescent="0.3">
      <c r="AE3873" s="204" t="s">
        <v>398</v>
      </c>
      <c r="AF3873" s="204" t="s">
        <v>398</v>
      </c>
      <c r="AG3873" s="204" t="s">
        <v>398</v>
      </c>
      <c r="AS3873" s="65" t="str">
        <f>IFERROR(VLOOKUP(#REF!,[1]Lookup!$B$2:$E$115,4,FALSE),"")</f>
        <v/>
      </c>
      <c r="AT3873" s="65" t="str">
        <f>IFERROR(VLOOKUP(#REF!,[1]Lookup!$B$2:$E$115,2,FALSE),"")</f>
        <v/>
      </c>
      <c r="AU3873" s="65" t="str">
        <f>IFERROR(VLOOKUP(#REF!,[1]Lookup!$B$2:$E$115,3,FALSE),"")</f>
        <v/>
      </c>
    </row>
    <row r="3874" spans="31:47" x14ac:dyDescent="0.3">
      <c r="AE3874" s="204" t="s">
        <v>398</v>
      </c>
      <c r="AF3874" s="204" t="s">
        <v>398</v>
      </c>
      <c r="AG3874" s="204" t="s">
        <v>398</v>
      </c>
      <c r="AS3874" s="65" t="str">
        <f>IFERROR(VLOOKUP(#REF!,[1]Lookup!$B$2:$E$115,4,FALSE),"")</f>
        <v/>
      </c>
      <c r="AT3874" s="65" t="str">
        <f>IFERROR(VLOOKUP(#REF!,[1]Lookup!$B$2:$E$115,2,FALSE),"")</f>
        <v/>
      </c>
      <c r="AU3874" s="65" t="str">
        <f>IFERROR(VLOOKUP(#REF!,[1]Lookup!$B$2:$E$115,3,FALSE),"")</f>
        <v/>
      </c>
    </row>
    <row r="3875" spans="31:47" x14ac:dyDescent="0.3">
      <c r="AE3875" s="204" t="s">
        <v>398</v>
      </c>
      <c r="AF3875" s="204" t="s">
        <v>398</v>
      </c>
      <c r="AG3875" s="204" t="s">
        <v>398</v>
      </c>
      <c r="AS3875" s="65" t="str">
        <f>IFERROR(VLOOKUP(#REF!,[1]Lookup!$B$2:$E$115,4,FALSE),"")</f>
        <v/>
      </c>
      <c r="AT3875" s="65" t="str">
        <f>IFERROR(VLOOKUP(#REF!,[1]Lookup!$B$2:$E$115,2,FALSE),"")</f>
        <v/>
      </c>
      <c r="AU3875" s="65" t="str">
        <f>IFERROR(VLOOKUP(#REF!,[1]Lookup!$B$2:$E$115,3,FALSE),"")</f>
        <v/>
      </c>
    </row>
    <row r="3876" spans="31:47" x14ac:dyDescent="0.3">
      <c r="AE3876" s="204" t="s">
        <v>398</v>
      </c>
      <c r="AF3876" s="204" t="s">
        <v>398</v>
      </c>
      <c r="AG3876" s="204" t="s">
        <v>398</v>
      </c>
      <c r="AS3876" s="65" t="str">
        <f>IFERROR(VLOOKUP(#REF!,[1]Lookup!$B$2:$E$115,4,FALSE),"")</f>
        <v/>
      </c>
      <c r="AT3876" s="65" t="str">
        <f>IFERROR(VLOOKUP(#REF!,[1]Lookup!$B$2:$E$115,2,FALSE),"")</f>
        <v/>
      </c>
      <c r="AU3876" s="65" t="str">
        <f>IFERROR(VLOOKUP(#REF!,[1]Lookup!$B$2:$E$115,3,FALSE),"")</f>
        <v/>
      </c>
    </row>
    <row r="3877" spans="31:47" x14ac:dyDescent="0.3">
      <c r="AE3877" s="204" t="s">
        <v>398</v>
      </c>
      <c r="AF3877" s="204" t="s">
        <v>398</v>
      </c>
      <c r="AG3877" s="204" t="s">
        <v>398</v>
      </c>
      <c r="AS3877" s="65" t="str">
        <f>IFERROR(VLOOKUP(#REF!,[1]Lookup!$B$2:$E$115,4,FALSE),"")</f>
        <v/>
      </c>
      <c r="AT3877" s="65" t="str">
        <f>IFERROR(VLOOKUP(#REF!,[1]Lookup!$B$2:$E$115,2,FALSE),"")</f>
        <v/>
      </c>
      <c r="AU3877" s="65" t="str">
        <f>IFERROR(VLOOKUP(#REF!,[1]Lookup!$B$2:$E$115,3,FALSE),"")</f>
        <v/>
      </c>
    </row>
    <row r="3878" spans="31:47" x14ac:dyDescent="0.3">
      <c r="AE3878" s="204" t="s">
        <v>398</v>
      </c>
      <c r="AF3878" s="204" t="s">
        <v>398</v>
      </c>
      <c r="AG3878" s="204" t="s">
        <v>398</v>
      </c>
      <c r="AS3878" s="65" t="str">
        <f>IFERROR(VLOOKUP(#REF!,[1]Lookup!$B$2:$E$115,4,FALSE),"")</f>
        <v/>
      </c>
      <c r="AT3878" s="65" t="str">
        <f>IFERROR(VLOOKUP(#REF!,[1]Lookup!$B$2:$E$115,2,FALSE),"")</f>
        <v/>
      </c>
      <c r="AU3878" s="65" t="str">
        <f>IFERROR(VLOOKUP(#REF!,[1]Lookup!$B$2:$E$115,3,FALSE),"")</f>
        <v/>
      </c>
    </row>
    <row r="3879" spans="31:47" x14ac:dyDescent="0.3">
      <c r="AE3879" s="204" t="s">
        <v>398</v>
      </c>
      <c r="AF3879" s="204" t="s">
        <v>398</v>
      </c>
      <c r="AG3879" s="204" t="s">
        <v>398</v>
      </c>
      <c r="AS3879" s="65" t="str">
        <f>IFERROR(VLOOKUP(#REF!,[1]Lookup!$B$2:$E$115,4,FALSE),"")</f>
        <v/>
      </c>
      <c r="AT3879" s="65" t="str">
        <f>IFERROR(VLOOKUP(#REF!,[1]Lookup!$B$2:$E$115,2,FALSE),"")</f>
        <v/>
      </c>
      <c r="AU3879" s="65" t="str">
        <f>IFERROR(VLOOKUP(#REF!,[1]Lookup!$B$2:$E$115,3,FALSE),"")</f>
        <v/>
      </c>
    </row>
    <row r="3880" spans="31:47" x14ac:dyDescent="0.3">
      <c r="AE3880" s="204" t="s">
        <v>398</v>
      </c>
      <c r="AF3880" s="204" t="s">
        <v>398</v>
      </c>
      <c r="AG3880" s="204" t="s">
        <v>398</v>
      </c>
      <c r="AS3880" s="65" t="str">
        <f>IFERROR(VLOOKUP(#REF!,[1]Lookup!$B$2:$E$115,4,FALSE),"")</f>
        <v/>
      </c>
      <c r="AT3880" s="65" t="str">
        <f>IFERROR(VLOOKUP(#REF!,[1]Lookup!$B$2:$E$115,2,FALSE),"")</f>
        <v/>
      </c>
      <c r="AU3880" s="65" t="str">
        <f>IFERROR(VLOOKUP(#REF!,[1]Lookup!$B$2:$E$115,3,FALSE),"")</f>
        <v/>
      </c>
    </row>
    <row r="3881" spans="31:47" x14ac:dyDescent="0.3">
      <c r="AE3881" s="204" t="s">
        <v>398</v>
      </c>
      <c r="AF3881" s="204" t="s">
        <v>398</v>
      </c>
      <c r="AG3881" s="204" t="s">
        <v>398</v>
      </c>
      <c r="AS3881" s="65" t="str">
        <f>IFERROR(VLOOKUP(#REF!,[1]Lookup!$B$2:$E$115,4,FALSE),"")</f>
        <v/>
      </c>
      <c r="AT3881" s="65" t="str">
        <f>IFERROR(VLOOKUP(#REF!,[1]Lookup!$B$2:$E$115,2,FALSE),"")</f>
        <v/>
      </c>
      <c r="AU3881" s="65" t="str">
        <f>IFERROR(VLOOKUP(#REF!,[1]Lookup!$B$2:$E$115,3,FALSE),"")</f>
        <v/>
      </c>
    </row>
    <row r="3882" spans="31:47" x14ac:dyDescent="0.3">
      <c r="AE3882" s="204" t="s">
        <v>398</v>
      </c>
      <c r="AF3882" s="204" t="s">
        <v>398</v>
      </c>
      <c r="AG3882" s="204" t="s">
        <v>398</v>
      </c>
      <c r="AS3882" s="65" t="str">
        <f>IFERROR(VLOOKUP(#REF!,[1]Lookup!$B$2:$E$115,4,FALSE),"")</f>
        <v/>
      </c>
      <c r="AT3882" s="65" t="str">
        <f>IFERROR(VLOOKUP(#REF!,[1]Lookup!$B$2:$E$115,2,FALSE),"")</f>
        <v/>
      </c>
      <c r="AU3882" s="65" t="str">
        <f>IFERROR(VLOOKUP(#REF!,[1]Lookup!$B$2:$E$115,3,FALSE),"")</f>
        <v/>
      </c>
    </row>
    <row r="3883" spans="31:47" x14ac:dyDescent="0.3">
      <c r="AE3883" s="204" t="s">
        <v>398</v>
      </c>
      <c r="AF3883" s="204" t="s">
        <v>398</v>
      </c>
      <c r="AG3883" s="204" t="s">
        <v>398</v>
      </c>
      <c r="AS3883" s="65" t="str">
        <f>IFERROR(VLOOKUP(#REF!,[1]Lookup!$B$2:$E$115,4,FALSE),"")</f>
        <v/>
      </c>
      <c r="AT3883" s="65" t="str">
        <f>IFERROR(VLOOKUP(#REF!,[1]Lookup!$B$2:$E$115,2,FALSE),"")</f>
        <v/>
      </c>
      <c r="AU3883" s="65" t="str">
        <f>IFERROR(VLOOKUP(#REF!,[1]Lookup!$B$2:$E$115,3,FALSE),"")</f>
        <v/>
      </c>
    </row>
    <row r="3884" spans="31:47" x14ac:dyDescent="0.3">
      <c r="AE3884" s="204" t="s">
        <v>398</v>
      </c>
      <c r="AF3884" s="204" t="s">
        <v>398</v>
      </c>
      <c r="AG3884" s="204" t="s">
        <v>398</v>
      </c>
      <c r="AS3884" s="65" t="str">
        <f>IFERROR(VLOOKUP(#REF!,[1]Lookup!$B$2:$E$115,4,FALSE),"")</f>
        <v/>
      </c>
      <c r="AT3884" s="65" t="str">
        <f>IFERROR(VLOOKUP(#REF!,[1]Lookup!$B$2:$E$115,2,FALSE),"")</f>
        <v/>
      </c>
      <c r="AU3884" s="65" t="str">
        <f>IFERROR(VLOOKUP(#REF!,[1]Lookup!$B$2:$E$115,3,FALSE),"")</f>
        <v/>
      </c>
    </row>
    <row r="3885" spans="31:47" x14ac:dyDescent="0.3">
      <c r="AE3885" s="204" t="s">
        <v>398</v>
      </c>
      <c r="AF3885" s="204" t="s">
        <v>398</v>
      </c>
      <c r="AG3885" s="204" t="s">
        <v>398</v>
      </c>
      <c r="AS3885" s="65" t="str">
        <f>IFERROR(VLOOKUP(#REF!,[1]Lookup!$B$2:$E$115,4,FALSE),"")</f>
        <v/>
      </c>
      <c r="AT3885" s="65" t="str">
        <f>IFERROR(VLOOKUP(#REF!,[1]Lookup!$B$2:$E$115,2,FALSE),"")</f>
        <v/>
      </c>
      <c r="AU3885" s="65" t="str">
        <f>IFERROR(VLOOKUP(#REF!,[1]Lookup!$B$2:$E$115,3,FALSE),"")</f>
        <v/>
      </c>
    </row>
    <row r="3886" spans="31:47" x14ac:dyDescent="0.3">
      <c r="AE3886" s="204" t="s">
        <v>398</v>
      </c>
      <c r="AF3886" s="204" t="s">
        <v>398</v>
      </c>
      <c r="AG3886" s="204" t="s">
        <v>398</v>
      </c>
      <c r="AS3886" s="65" t="str">
        <f>IFERROR(VLOOKUP(#REF!,[1]Lookup!$B$2:$E$115,4,FALSE),"")</f>
        <v/>
      </c>
      <c r="AT3886" s="65" t="str">
        <f>IFERROR(VLOOKUP(#REF!,[1]Lookup!$B$2:$E$115,2,FALSE),"")</f>
        <v/>
      </c>
      <c r="AU3886" s="65" t="str">
        <f>IFERROR(VLOOKUP(#REF!,[1]Lookup!$B$2:$E$115,3,FALSE),"")</f>
        <v/>
      </c>
    </row>
    <row r="3887" spans="31:47" x14ac:dyDescent="0.3">
      <c r="AE3887" s="204" t="s">
        <v>398</v>
      </c>
      <c r="AF3887" s="204" t="s">
        <v>398</v>
      </c>
      <c r="AG3887" s="204" t="s">
        <v>398</v>
      </c>
      <c r="AS3887" s="65" t="str">
        <f>IFERROR(VLOOKUP(#REF!,[1]Lookup!$B$2:$E$115,4,FALSE),"")</f>
        <v/>
      </c>
      <c r="AT3887" s="65" t="str">
        <f>IFERROR(VLOOKUP(#REF!,[1]Lookup!$B$2:$E$115,2,FALSE),"")</f>
        <v/>
      </c>
      <c r="AU3887" s="65" t="str">
        <f>IFERROR(VLOOKUP(#REF!,[1]Lookup!$B$2:$E$115,3,FALSE),"")</f>
        <v/>
      </c>
    </row>
    <row r="3888" spans="31:47" x14ac:dyDescent="0.3">
      <c r="AE3888" s="204" t="s">
        <v>398</v>
      </c>
      <c r="AF3888" s="204" t="s">
        <v>398</v>
      </c>
      <c r="AG3888" s="204" t="s">
        <v>398</v>
      </c>
      <c r="AS3888" s="65" t="str">
        <f>IFERROR(VLOOKUP(#REF!,[1]Lookup!$B$2:$E$115,4,FALSE),"")</f>
        <v/>
      </c>
      <c r="AT3888" s="65" t="str">
        <f>IFERROR(VLOOKUP(#REF!,[1]Lookup!$B$2:$E$115,2,FALSE),"")</f>
        <v/>
      </c>
      <c r="AU3888" s="65" t="str">
        <f>IFERROR(VLOOKUP(#REF!,[1]Lookup!$B$2:$E$115,3,FALSE),"")</f>
        <v/>
      </c>
    </row>
    <row r="3889" spans="31:47" x14ac:dyDescent="0.3">
      <c r="AE3889" s="204" t="s">
        <v>398</v>
      </c>
      <c r="AF3889" s="204" t="s">
        <v>398</v>
      </c>
      <c r="AG3889" s="204" t="s">
        <v>398</v>
      </c>
      <c r="AS3889" s="65" t="str">
        <f>IFERROR(VLOOKUP(#REF!,[1]Lookup!$B$2:$E$115,4,FALSE),"")</f>
        <v/>
      </c>
      <c r="AT3889" s="65" t="str">
        <f>IFERROR(VLOOKUP(#REF!,[1]Lookup!$B$2:$E$115,2,FALSE),"")</f>
        <v/>
      </c>
      <c r="AU3889" s="65" t="str">
        <f>IFERROR(VLOOKUP(#REF!,[1]Lookup!$B$2:$E$115,3,FALSE),"")</f>
        <v/>
      </c>
    </row>
    <row r="3890" spans="31:47" x14ac:dyDescent="0.3">
      <c r="AE3890" s="204" t="s">
        <v>398</v>
      </c>
      <c r="AF3890" s="204" t="s">
        <v>398</v>
      </c>
      <c r="AG3890" s="204" t="s">
        <v>398</v>
      </c>
      <c r="AS3890" s="65" t="str">
        <f>IFERROR(VLOOKUP(#REF!,[1]Lookup!$B$2:$E$115,4,FALSE),"")</f>
        <v/>
      </c>
      <c r="AT3890" s="65" t="str">
        <f>IFERROR(VLOOKUP(#REF!,[1]Lookup!$B$2:$E$115,2,FALSE),"")</f>
        <v/>
      </c>
      <c r="AU3890" s="65" t="str">
        <f>IFERROR(VLOOKUP(#REF!,[1]Lookup!$B$2:$E$115,3,FALSE),"")</f>
        <v/>
      </c>
    </row>
    <row r="3891" spans="31:47" x14ac:dyDescent="0.3">
      <c r="AE3891" s="204" t="s">
        <v>398</v>
      </c>
      <c r="AF3891" s="204" t="s">
        <v>398</v>
      </c>
      <c r="AG3891" s="204" t="s">
        <v>398</v>
      </c>
      <c r="AS3891" s="65" t="str">
        <f>IFERROR(VLOOKUP(#REF!,[1]Lookup!$B$2:$E$115,4,FALSE),"")</f>
        <v/>
      </c>
      <c r="AT3891" s="65" t="str">
        <f>IFERROR(VLOOKUP(#REF!,[1]Lookup!$B$2:$E$115,2,FALSE),"")</f>
        <v/>
      </c>
      <c r="AU3891" s="65" t="str">
        <f>IFERROR(VLOOKUP(#REF!,[1]Lookup!$B$2:$E$115,3,FALSE),"")</f>
        <v/>
      </c>
    </row>
    <row r="3892" spans="31:47" x14ac:dyDescent="0.3">
      <c r="AE3892" s="204" t="s">
        <v>398</v>
      </c>
      <c r="AF3892" s="204" t="s">
        <v>398</v>
      </c>
      <c r="AG3892" s="204" t="s">
        <v>398</v>
      </c>
      <c r="AS3892" s="65" t="str">
        <f>IFERROR(VLOOKUP(#REF!,[1]Lookup!$B$2:$E$115,4,FALSE),"")</f>
        <v/>
      </c>
      <c r="AT3892" s="65" t="str">
        <f>IFERROR(VLOOKUP(#REF!,[1]Lookup!$B$2:$E$115,2,FALSE),"")</f>
        <v/>
      </c>
      <c r="AU3892" s="65" t="str">
        <f>IFERROR(VLOOKUP(#REF!,[1]Lookup!$B$2:$E$115,3,FALSE),"")</f>
        <v/>
      </c>
    </row>
    <row r="3893" spans="31:47" x14ac:dyDescent="0.3">
      <c r="AE3893" s="204" t="s">
        <v>398</v>
      </c>
      <c r="AF3893" s="204" t="s">
        <v>398</v>
      </c>
      <c r="AG3893" s="204" t="s">
        <v>398</v>
      </c>
      <c r="AS3893" s="65" t="str">
        <f>IFERROR(VLOOKUP(#REF!,[1]Lookup!$B$2:$E$115,4,FALSE),"")</f>
        <v/>
      </c>
      <c r="AT3893" s="65" t="str">
        <f>IFERROR(VLOOKUP(#REF!,[1]Lookup!$B$2:$E$115,2,FALSE),"")</f>
        <v/>
      </c>
      <c r="AU3893" s="65" t="str">
        <f>IFERROR(VLOOKUP(#REF!,[1]Lookup!$B$2:$E$115,3,FALSE),"")</f>
        <v/>
      </c>
    </row>
    <row r="3894" spans="31:47" x14ac:dyDescent="0.3">
      <c r="AE3894" s="204" t="s">
        <v>398</v>
      </c>
      <c r="AF3894" s="204" t="s">
        <v>398</v>
      </c>
      <c r="AG3894" s="204" t="s">
        <v>398</v>
      </c>
      <c r="AS3894" s="65" t="str">
        <f>IFERROR(VLOOKUP(#REF!,[1]Lookup!$B$2:$E$115,4,FALSE),"")</f>
        <v/>
      </c>
      <c r="AT3894" s="65" t="str">
        <f>IFERROR(VLOOKUP(#REF!,[1]Lookup!$B$2:$E$115,2,FALSE),"")</f>
        <v/>
      </c>
      <c r="AU3894" s="65" t="str">
        <f>IFERROR(VLOOKUP(#REF!,[1]Lookup!$B$2:$E$115,3,FALSE),"")</f>
        <v/>
      </c>
    </row>
    <row r="3895" spans="31:47" x14ac:dyDescent="0.3">
      <c r="AE3895" s="204" t="s">
        <v>398</v>
      </c>
      <c r="AF3895" s="204" t="s">
        <v>398</v>
      </c>
      <c r="AG3895" s="204" t="s">
        <v>398</v>
      </c>
      <c r="AS3895" s="65" t="str">
        <f>IFERROR(VLOOKUP(#REF!,[1]Lookup!$B$2:$E$115,4,FALSE),"")</f>
        <v/>
      </c>
      <c r="AT3895" s="65" t="str">
        <f>IFERROR(VLOOKUP(#REF!,[1]Lookup!$B$2:$E$115,2,FALSE),"")</f>
        <v/>
      </c>
      <c r="AU3895" s="65" t="str">
        <f>IFERROR(VLOOKUP(#REF!,[1]Lookup!$B$2:$E$115,3,FALSE),"")</f>
        <v/>
      </c>
    </row>
    <row r="3896" spans="31:47" x14ac:dyDescent="0.3">
      <c r="AE3896" s="204" t="s">
        <v>398</v>
      </c>
      <c r="AF3896" s="204" t="s">
        <v>398</v>
      </c>
      <c r="AG3896" s="204" t="s">
        <v>398</v>
      </c>
      <c r="AS3896" s="65" t="str">
        <f>IFERROR(VLOOKUP(#REF!,[1]Lookup!$B$2:$E$115,4,FALSE),"")</f>
        <v/>
      </c>
      <c r="AT3896" s="65" t="str">
        <f>IFERROR(VLOOKUP(#REF!,[1]Lookup!$B$2:$E$115,2,FALSE),"")</f>
        <v/>
      </c>
      <c r="AU3896" s="65" t="str">
        <f>IFERROR(VLOOKUP(#REF!,[1]Lookup!$B$2:$E$115,3,FALSE),"")</f>
        <v/>
      </c>
    </row>
    <row r="3897" spans="31:47" x14ac:dyDescent="0.3">
      <c r="AE3897" s="204" t="s">
        <v>398</v>
      </c>
      <c r="AF3897" s="204" t="s">
        <v>398</v>
      </c>
      <c r="AG3897" s="204" t="s">
        <v>398</v>
      </c>
      <c r="AS3897" s="65" t="str">
        <f>IFERROR(VLOOKUP(#REF!,[1]Lookup!$B$2:$E$115,4,FALSE),"")</f>
        <v/>
      </c>
      <c r="AT3897" s="65" t="str">
        <f>IFERROR(VLOOKUP(#REF!,[1]Lookup!$B$2:$E$115,2,FALSE),"")</f>
        <v/>
      </c>
      <c r="AU3897" s="65" t="str">
        <f>IFERROR(VLOOKUP(#REF!,[1]Lookup!$B$2:$E$115,3,FALSE),"")</f>
        <v/>
      </c>
    </row>
    <row r="3898" spans="31:47" x14ac:dyDescent="0.3">
      <c r="AE3898" s="204" t="s">
        <v>398</v>
      </c>
      <c r="AF3898" s="204" t="s">
        <v>398</v>
      </c>
      <c r="AG3898" s="204" t="s">
        <v>398</v>
      </c>
      <c r="AS3898" s="65" t="str">
        <f>IFERROR(VLOOKUP(#REF!,[1]Lookup!$B$2:$E$115,4,FALSE),"")</f>
        <v/>
      </c>
      <c r="AT3898" s="65" t="str">
        <f>IFERROR(VLOOKUP(#REF!,[1]Lookup!$B$2:$E$115,2,FALSE),"")</f>
        <v/>
      </c>
      <c r="AU3898" s="65" t="str">
        <f>IFERROR(VLOOKUP(#REF!,[1]Lookup!$B$2:$E$115,3,FALSE),"")</f>
        <v/>
      </c>
    </row>
    <row r="3899" spans="31:47" x14ac:dyDescent="0.3">
      <c r="AE3899" s="204" t="s">
        <v>398</v>
      </c>
      <c r="AF3899" s="204" t="s">
        <v>398</v>
      </c>
      <c r="AG3899" s="204" t="s">
        <v>398</v>
      </c>
      <c r="AS3899" s="65" t="str">
        <f>IFERROR(VLOOKUP(#REF!,[1]Lookup!$B$2:$E$115,4,FALSE),"")</f>
        <v/>
      </c>
      <c r="AT3899" s="65" t="str">
        <f>IFERROR(VLOOKUP(#REF!,[1]Lookup!$B$2:$E$115,2,FALSE),"")</f>
        <v/>
      </c>
      <c r="AU3899" s="65" t="str">
        <f>IFERROR(VLOOKUP(#REF!,[1]Lookup!$B$2:$E$115,3,FALSE),"")</f>
        <v/>
      </c>
    </row>
    <row r="3900" spans="31:47" x14ac:dyDescent="0.3">
      <c r="AE3900" s="204" t="s">
        <v>398</v>
      </c>
      <c r="AF3900" s="204" t="s">
        <v>398</v>
      </c>
      <c r="AG3900" s="204" t="s">
        <v>398</v>
      </c>
      <c r="AS3900" s="65" t="str">
        <f>IFERROR(VLOOKUP(#REF!,[1]Lookup!$B$2:$E$115,4,FALSE),"")</f>
        <v/>
      </c>
      <c r="AT3900" s="65" t="str">
        <f>IFERROR(VLOOKUP(#REF!,[1]Lookup!$B$2:$E$115,2,FALSE),"")</f>
        <v/>
      </c>
      <c r="AU3900" s="65" t="str">
        <f>IFERROR(VLOOKUP(#REF!,[1]Lookup!$B$2:$E$115,3,FALSE),"")</f>
        <v/>
      </c>
    </row>
    <row r="3901" spans="31:47" x14ac:dyDescent="0.3">
      <c r="AE3901" s="204" t="s">
        <v>398</v>
      </c>
      <c r="AF3901" s="204" t="s">
        <v>398</v>
      </c>
      <c r="AG3901" s="204" t="s">
        <v>398</v>
      </c>
      <c r="AS3901" s="65" t="str">
        <f>IFERROR(VLOOKUP(#REF!,[1]Lookup!$B$2:$E$115,4,FALSE),"")</f>
        <v/>
      </c>
      <c r="AT3901" s="65" t="str">
        <f>IFERROR(VLOOKUP(#REF!,[1]Lookup!$B$2:$E$115,2,FALSE),"")</f>
        <v/>
      </c>
      <c r="AU3901" s="65" t="str">
        <f>IFERROR(VLOOKUP(#REF!,[1]Lookup!$B$2:$E$115,3,FALSE),"")</f>
        <v/>
      </c>
    </row>
    <row r="3902" spans="31:47" x14ac:dyDescent="0.3">
      <c r="AE3902" s="204" t="s">
        <v>398</v>
      </c>
      <c r="AF3902" s="204" t="s">
        <v>398</v>
      </c>
      <c r="AG3902" s="204" t="s">
        <v>398</v>
      </c>
      <c r="AS3902" s="65" t="str">
        <f>IFERROR(VLOOKUP(#REF!,[1]Lookup!$B$2:$E$115,4,FALSE),"")</f>
        <v/>
      </c>
      <c r="AT3902" s="65" t="str">
        <f>IFERROR(VLOOKUP(#REF!,[1]Lookup!$B$2:$E$115,2,FALSE),"")</f>
        <v/>
      </c>
      <c r="AU3902" s="65" t="str">
        <f>IFERROR(VLOOKUP(#REF!,[1]Lookup!$B$2:$E$115,3,FALSE),"")</f>
        <v/>
      </c>
    </row>
    <row r="3903" spans="31:47" x14ac:dyDescent="0.3">
      <c r="AE3903" s="204" t="s">
        <v>398</v>
      </c>
      <c r="AF3903" s="204" t="s">
        <v>398</v>
      </c>
      <c r="AG3903" s="204" t="s">
        <v>398</v>
      </c>
      <c r="AS3903" s="65" t="str">
        <f>IFERROR(VLOOKUP(#REF!,[1]Lookup!$B$2:$E$115,4,FALSE),"")</f>
        <v/>
      </c>
      <c r="AT3903" s="65" t="str">
        <f>IFERROR(VLOOKUP(#REF!,[1]Lookup!$B$2:$E$115,2,FALSE),"")</f>
        <v/>
      </c>
      <c r="AU3903" s="65" t="str">
        <f>IFERROR(VLOOKUP(#REF!,[1]Lookup!$B$2:$E$115,3,FALSE),"")</f>
        <v/>
      </c>
    </row>
    <row r="3904" spans="31:47" x14ac:dyDescent="0.3">
      <c r="AE3904" s="204" t="s">
        <v>398</v>
      </c>
      <c r="AF3904" s="204" t="s">
        <v>398</v>
      </c>
      <c r="AG3904" s="204" t="s">
        <v>398</v>
      </c>
      <c r="AS3904" s="65" t="str">
        <f>IFERROR(VLOOKUP(#REF!,[1]Lookup!$B$2:$E$115,4,FALSE),"")</f>
        <v/>
      </c>
      <c r="AT3904" s="65" t="str">
        <f>IFERROR(VLOOKUP(#REF!,[1]Lookup!$B$2:$E$115,2,FALSE),"")</f>
        <v/>
      </c>
      <c r="AU3904" s="65" t="str">
        <f>IFERROR(VLOOKUP(#REF!,[1]Lookup!$B$2:$E$115,3,FALSE),"")</f>
        <v/>
      </c>
    </row>
    <row r="3905" spans="31:47" x14ac:dyDescent="0.3">
      <c r="AE3905" s="204" t="s">
        <v>398</v>
      </c>
      <c r="AF3905" s="204" t="s">
        <v>398</v>
      </c>
      <c r="AG3905" s="204" t="s">
        <v>398</v>
      </c>
      <c r="AS3905" s="65" t="str">
        <f>IFERROR(VLOOKUP(#REF!,[1]Lookup!$B$2:$E$115,4,FALSE),"")</f>
        <v/>
      </c>
      <c r="AT3905" s="65" t="str">
        <f>IFERROR(VLOOKUP(#REF!,[1]Lookup!$B$2:$E$115,2,FALSE),"")</f>
        <v/>
      </c>
      <c r="AU3905" s="65" t="str">
        <f>IFERROR(VLOOKUP(#REF!,[1]Lookup!$B$2:$E$115,3,FALSE),"")</f>
        <v/>
      </c>
    </row>
    <row r="3906" spans="31:47" x14ac:dyDescent="0.3">
      <c r="AE3906" s="204" t="s">
        <v>398</v>
      </c>
      <c r="AF3906" s="204" t="s">
        <v>398</v>
      </c>
      <c r="AG3906" s="204" t="s">
        <v>398</v>
      </c>
      <c r="AS3906" s="65" t="str">
        <f>IFERROR(VLOOKUP(#REF!,[1]Lookup!$B$2:$E$115,4,FALSE),"")</f>
        <v/>
      </c>
      <c r="AT3906" s="65" t="str">
        <f>IFERROR(VLOOKUP(#REF!,[1]Lookup!$B$2:$E$115,2,FALSE),"")</f>
        <v/>
      </c>
      <c r="AU3906" s="65" t="str">
        <f>IFERROR(VLOOKUP(#REF!,[1]Lookup!$B$2:$E$115,3,FALSE),"")</f>
        <v/>
      </c>
    </row>
    <row r="3907" spans="31:47" x14ac:dyDescent="0.3">
      <c r="AE3907" s="204" t="s">
        <v>398</v>
      </c>
      <c r="AF3907" s="204" t="s">
        <v>398</v>
      </c>
      <c r="AG3907" s="204" t="s">
        <v>398</v>
      </c>
      <c r="AS3907" s="65" t="str">
        <f>IFERROR(VLOOKUP(#REF!,[1]Lookup!$B$2:$E$115,4,FALSE),"")</f>
        <v/>
      </c>
      <c r="AT3907" s="65" t="str">
        <f>IFERROR(VLOOKUP(#REF!,[1]Lookup!$B$2:$E$115,2,FALSE),"")</f>
        <v/>
      </c>
      <c r="AU3907" s="65" t="str">
        <f>IFERROR(VLOOKUP(#REF!,[1]Lookup!$B$2:$E$115,3,FALSE),"")</f>
        <v/>
      </c>
    </row>
    <row r="3908" spans="31:47" x14ac:dyDescent="0.3">
      <c r="AE3908" s="204" t="s">
        <v>398</v>
      </c>
      <c r="AF3908" s="204" t="s">
        <v>398</v>
      </c>
      <c r="AG3908" s="204" t="s">
        <v>398</v>
      </c>
      <c r="AS3908" s="65" t="str">
        <f>IFERROR(VLOOKUP(#REF!,[1]Lookup!$B$2:$E$115,4,FALSE),"")</f>
        <v/>
      </c>
      <c r="AT3908" s="65" t="str">
        <f>IFERROR(VLOOKUP(#REF!,[1]Lookup!$B$2:$E$115,2,FALSE),"")</f>
        <v/>
      </c>
      <c r="AU3908" s="65" t="str">
        <f>IFERROR(VLOOKUP(#REF!,[1]Lookup!$B$2:$E$115,3,FALSE),"")</f>
        <v/>
      </c>
    </row>
    <row r="3909" spans="31:47" x14ac:dyDescent="0.3">
      <c r="AE3909" s="204" t="s">
        <v>398</v>
      </c>
      <c r="AF3909" s="204" t="s">
        <v>398</v>
      </c>
      <c r="AG3909" s="204" t="s">
        <v>398</v>
      </c>
      <c r="AS3909" s="65" t="str">
        <f>IFERROR(VLOOKUP(#REF!,[1]Lookup!$B$2:$E$115,4,FALSE),"")</f>
        <v/>
      </c>
      <c r="AT3909" s="65" t="str">
        <f>IFERROR(VLOOKUP(#REF!,[1]Lookup!$B$2:$E$115,2,FALSE),"")</f>
        <v/>
      </c>
      <c r="AU3909" s="65" t="str">
        <f>IFERROR(VLOOKUP(#REF!,[1]Lookup!$B$2:$E$115,3,FALSE),"")</f>
        <v/>
      </c>
    </row>
    <row r="3910" spans="31:47" x14ac:dyDescent="0.3">
      <c r="AE3910" s="204" t="s">
        <v>398</v>
      </c>
      <c r="AF3910" s="204" t="s">
        <v>398</v>
      </c>
      <c r="AG3910" s="204" t="s">
        <v>398</v>
      </c>
      <c r="AS3910" s="65" t="str">
        <f>IFERROR(VLOOKUP(#REF!,[1]Lookup!$B$2:$E$115,4,FALSE),"")</f>
        <v/>
      </c>
      <c r="AT3910" s="65" t="str">
        <f>IFERROR(VLOOKUP(#REF!,[1]Lookup!$B$2:$E$115,2,FALSE),"")</f>
        <v/>
      </c>
      <c r="AU3910" s="65" t="str">
        <f>IFERROR(VLOOKUP(#REF!,[1]Lookup!$B$2:$E$115,3,FALSE),"")</f>
        <v/>
      </c>
    </row>
    <row r="3911" spans="31:47" x14ac:dyDescent="0.3">
      <c r="AE3911" s="204" t="s">
        <v>398</v>
      </c>
      <c r="AF3911" s="204" t="s">
        <v>398</v>
      </c>
      <c r="AG3911" s="204" t="s">
        <v>398</v>
      </c>
      <c r="AS3911" s="65" t="str">
        <f>IFERROR(VLOOKUP(#REF!,[1]Lookup!$B$2:$E$115,4,FALSE),"")</f>
        <v/>
      </c>
      <c r="AT3911" s="65" t="str">
        <f>IFERROR(VLOOKUP(#REF!,[1]Lookup!$B$2:$E$115,2,FALSE),"")</f>
        <v/>
      </c>
      <c r="AU3911" s="65" t="str">
        <f>IFERROR(VLOOKUP(#REF!,[1]Lookup!$B$2:$E$115,3,FALSE),"")</f>
        <v/>
      </c>
    </row>
    <row r="3912" spans="31:47" x14ac:dyDescent="0.3">
      <c r="AE3912" s="204" t="s">
        <v>398</v>
      </c>
      <c r="AF3912" s="204" t="s">
        <v>398</v>
      </c>
      <c r="AG3912" s="204" t="s">
        <v>398</v>
      </c>
      <c r="AS3912" s="65" t="str">
        <f>IFERROR(VLOOKUP(#REF!,[1]Lookup!$B$2:$E$115,4,FALSE),"")</f>
        <v/>
      </c>
      <c r="AT3912" s="65" t="str">
        <f>IFERROR(VLOOKUP(#REF!,[1]Lookup!$B$2:$E$115,2,FALSE),"")</f>
        <v/>
      </c>
      <c r="AU3912" s="65" t="str">
        <f>IFERROR(VLOOKUP(#REF!,[1]Lookup!$B$2:$E$115,3,FALSE),"")</f>
        <v/>
      </c>
    </row>
    <row r="3913" spans="31:47" x14ac:dyDescent="0.3">
      <c r="AE3913" s="204" t="s">
        <v>398</v>
      </c>
      <c r="AF3913" s="204" t="s">
        <v>398</v>
      </c>
      <c r="AG3913" s="204" t="s">
        <v>398</v>
      </c>
      <c r="AS3913" s="65" t="str">
        <f>IFERROR(VLOOKUP(#REF!,[1]Lookup!$B$2:$E$115,4,FALSE),"")</f>
        <v/>
      </c>
      <c r="AT3913" s="65" t="str">
        <f>IFERROR(VLOOKUP(#REF!,[1]Lookup!$B$2:$E$115,2,FALSE),"")</f>
        <v/>
      </c>
      <c r="AU3913" s="65" t="str">
        <f>IFERROR(VLOOKUP(#REF!,[1]Lookup!$B$2:$E$115,3,FALSE),"")</f>
        <v/>
      </c>
    </row>
    <row r="3914" spans="31:47" x14ac:dyDescent="0.3">
      <c r="AE3914" s="204" t="s">
        <v>398</v>
      </c>
      <c r="AF3914" s="204" t="s">
        <v>398</v>
      </c>
      <c r="AG3914" s="204" t="s">
        <v>398</v>
      </c>
      <c r="AS3914" s="65" t="str">
        <f>IFERROR(VLOOKUP(#REF!,[1]Lookup!$B$2:$E$115,4,FALSE),"")</f>
        <v/>
      </c>
      <c r="AT3914" s="65" t="str">
        <f>IFERROR(VLOOKUP(#REF!,[1]Lookup!$B$2:$E$115,2,FALSE),"")</f>
        <v/>
      </c>
      <c r="AU3914" s="65" t="str">
        <f>IFERROR(VLOOKUP(#REF!,[1]Lookup!$B$2:$E$115,3,FALSE),"")</f>
        <v/>
      </c>
    </row>
    <row r="3915" spans="31:47" x14ac:dyDescent="0.3">
      <c r="AE3915" s="204" t="s">
        <v>398</v>
      </c>
      <c r="AF3915" s="204" t="s">
        <v>398</v>
      </c>
      <c r="AG3915" s="204" t="s">
        <v>398</v>
      </c>
      <c r="AS3915" s="65" t="str">
        <f>IFERROR(VLOOKUP(#REF!,[1]Lookup!$B$2:$E$115,4,FALSE),"")</f>
        <v/>
      </c>
      <c r="AT3915" s="65" t="str">
        <f>IFERROR(VLOOKUP(#REF!,[1]Lookup!$B$2:$E$115,2,FALSE),"")</f>
        <v/>
      </c>
      <c r="AU3915" s="65" t="str">
        <f>IFERROR(VLOOKUP(#REF!,[1]Lookup!$B$2:$E$115,3,FALSE),"")</f>
        <v/>
      </c>
    </row>
    <row r="3916" spans="31:47" x14ac:dyDescent="0.3">
      <c r="AE3916" s="204" t="s">
        <v>398</v>
      </c>
      <c r="AF3916" s="204" t="s">
        <v>398</v>
      </c>
      <c r="AG3916" s="204" t="s">
        <v>398</v>
      </c>
      <c r="AS3916" s="65" t="str">
        <f>IFERROR(VLOOKUP(#REF!,[1]Lookup!$B$2:$E$115,4,FALSE),"")</f>
        <v/>
      </c>
      <c r="AT3916" s="65" t="str">
        <f>IFERROR(VLOOKUP(#REF!,[1]Lookup!$B$2:$E$115,2,FALSE),"")</f>
        <v/>
      </c>
      <c r="AU3916" s="65" t="str">
        <f>IFERROR(VLOOKUP(#REF!,[1]Lookup!$B$2:$E$115,3,FALSE),"")</f>
        <v/>
      </c>
    </row>
    <row r="3917" spans="31:47" x14ac:dyDescent="0.3">
      <c r="AE3917" s="204" t="s">
        <v>398</v>
      </c>
      <c r="AF3917" s="204" t="s">
        <v>398</v>
      </c>
      <c r="AG3917" s="204" t="s">
        <v>398</v>
      </c>
      <c r="AS3917" s="65" t="str">
        <f>IFERROR(VLOOKUP(#REF!,[1]Lookup!$B$2:$E$115,4,FALSE),"")</f>
        <v/>
      </c>
      <c r="AT3917" s="65" t="str">
        <f>IFERROR(VLOOKUP(#REF!,[1]Lookup!$B$2:$E$115,2,FALSE),"")</f>
        <v/>
      </c>
      <c r="AU3917" s="65" t="str">
        <f>IFERROR(VLOOKUP(#REF!,[1]Lookup!$B$2:$E$115,3,FALSE),"")</f>
        <v/>
      </c>
    </row>
    <row r="3918" spans="31:47" x14ac:dyDescent="0.3">
      <c r="AE3918" s="204" t="s">
        <v>398</v>
      </c>
      <c r="AF3918" s="204" t="s">
        <v>398</v>
      </c>
      <c r="AG3918" s="204" t="s">
        <v>398</v>
      </c>
      <c r="AS3918" s="65" t="str">
        <f>IFERROR(VLOOKUP(#REF!,[1]Lookup!$B$2:$E$115,4,FALSE),"")</f>
        <v/>
      </c>
      <c r="AT3918" s="65" t="str">
        <f>IFERROR(VLOOKUP(#REF!,[1]Lookup!$B$2:$E$115,2,FALSE),"")</f>
        <v/>
      </c>
      <c r="AU3918" s="65" t="str">
        <f>IFERROR(VLOOKUP(#REF!,[1]Lookup!$B$2:$E$115,3,FALSE),"")</f>
        <v/>
      </c>
    </row>
    <row r="3919" spans="31:47" x14ac:dyDescent="0.3">
      <c r="AE3919" s="204" t="s">
        <v>398</v>
      </c>
      <c r="AF3919" s="204" t="s">
        <v>398</v>
      </c>
      <c r="AG3919" s="204" t="s">
        <v>398</v>
      </c>
      <c r="AS3919" s="65" t="str">
        <f>IFERROR(VLOOKUP(#REF!,[1]Lookup!$B$2:$E$115,4,FALSE),"")</f>
        <v/>
      </c>
      <c r="AT3919" s="65" t="str">
        <f>IFERROR(VLOOKUP(#REF!,[1]Lookup!$B$2:$E$115,2,FALSE),"")</f>
        <v/>
      </c>
      <c r="AU3919" s="65" t="str">
        <f>IFERROR(VLOOKUP(#REF!,[1]Lookup!$B$2:$E$115,3,FALSE),"")</f>
        <v/>
      </c>
    </row>
    <row r="3920" spans="31:47" x14ac:dyDescent="0.3">
      <c r="AE3920" s="204" t="s">
        <v>398</v>
      </c>
      <c r="AF3920" s="204" t="s">
        <v>398</v>
      </c>
      <c r="AG3920" s="204" t="s">
        <v>398</v>
      </c>
      <c r="AS3920" s="65" t="str">
        <f>IFERROR(VLOOKUP(#REF!,[1]Lookup!$B$2:$E$115,4,FALSE),"")</f>
        <v/>
      </c>
      <c r="AT3920" s="65" t="str">
        <f>IFERROR(VLOOKUP(#REF!,[1]Lookup!$B$2:$E$115,2,FALSE),"")</f>
        <v/>
      </c>
      <c r="AU3920" s="65" t="str">
        <f>IFERROR(VLOOKUP(#REF!,[1]Lookup!$B$2:$E$115,3,FALSE),"")</f>
        <v/>
      </c>
    </row>
    <row r="3921" spans="31:47" x14ac:dyDescent="0.3">
      <c r="AE3921" s="204" t="s">
        <v>398</v>
      </c>
      <c r="AF3921" s="204" t="s">
        <v>398</v>
      </c>
      <c r="AG3921" s="204" t="s">
        <v>398</v>
      </c>
      <c r="AS3921" s="65" t="str">
        <f>IFERROR(VLOOKUP(#REF!,[1]Lookup!$B$2:$E$115,4,FALSE),"")</f>
        <v/>
      </c>
      <c r="AT3921" s="65" t="str">
        <f>IFERROR(VLOOKUP(#REF!,[1]Lookup!$B$2:$E$115,2,FALSE),"")</f>
        <v/>
      </c>
      <c r="AU3921" s="65" t="str">
        <f>IFERROR(VLOOKUP(#REF!,[1]Lookup!$B$2:$E$115,3,FALSE),"")</f>
        <v/>
      </c>
    </row>
    <row r="3922" spans="31:47" x14ac:dyDescent="0.3">
      <c r="AE3922" s="204" t="s">
        <v>398</v>
      </c>
      <c r="AF3922" s="204" t="s">
        <v>398</v>
      </c>
      <c r="AG3922" s="204" t="s">
        <v>398</v>
      </c>
      <c r="AS3922" s="65" t="str">
        <f>IFERROR(VLOOKUP(#REF!,[1]Lookup!$B$2:$E$115,4,FALSE),"")</f>
        <v/>
      </c>
      <c r="AT3922" s="65" t="str">
        <f>IFERROR(VLOOKUP(#REF!,[1]Lookup!$B$2:$E$115,2,FALSE),"")</f>
        <v/>
      </c>
      <c r="AU3922" s="65" t="str">
        <f>IFERROR(VLOOKUP(#REF!,[1]Lookup!$B$2:$E$115,3,FALSE),"")</f>
        <v/>
      </c>
    </row>
    <row r="3923" spans="31:47" x14ac:dyDescent="0.3">
      <c r="AE3923" s="204" t="s">
        <v>398</v>
      </c>
      <c r="AF3923" s="204" t="s">
        <v>398</v>
      </c>
      <c r="AG3923" s="204" t="s">
        <v>398</v>
      </c>
      <c r="AS3923" s="65" t="str">
        <f>IFERROR(VLOOKUP(#REF!,[1]Lookup!$B$2:$E$115,4,FALSE),"")</f>
        <v/>
      </c>
      <c r="AT3923" s="65" t="str">
        <f>IFERROR(VLOOKUP(#REF!,[1]Lookup!$B$2:$E$115,2,FALSE),"")</f>
        <v/>
      </c>
      <c r="AU3923" s="65" t="str">
        <f>IFERROR(VLOOKUP(#REF!,[1]Lookup!$B$2:$E$115,3,FALSE),"")</f>
        <v/>
      </c>
    </row>
    <row r="3924" spans="31:47" x14ac:dyDescent="0.3">
      <c r="AE3924" s="204" t="s">
        <v>398</v>
      </c>
      <c r="AF3924" s="204" t="s">
        <v>398</v>
      </c>
      <c r="AG3924" s="204" t="s">
        <v>398</v>
      </c>
      <c r="AS3924" s="65" t="str">
        <f>IFERROR(VLOOKUP(#REF!,[1]Lookup!$B$2:$E$115,4,FALSE),"")</f>
        <v/>
      </c>
      <c r="AT3924" s="65" t="str">
        <f>IFERROR(VLOOKUP(#REF!,[1]Lookup!$B$2:$E$115,2,FALSE),"")</f>
        <v/>
      </c>
      <c r="AU3924" s="65" t="str">
        <f>IFERROR(VLOOKUP(#REF!,[1]Lookup!$B$2:$E$115,3,FALSE),"")</f>
        <v/>
      </c>
    </row>
    <row r="3925" spans="31:47" x14ac:dyDescent="0.3">
      <c r="AE3925" s="204" t="s">
        <v>398</v>
      </c>
      <c r="AF3925" s="204" t="s">
        <v>398</v>
      </c>
      <c r="AG3925" s="204" t="s">
        <v>398</v>
      </c>
      <c r="AS3925" s="65" t="str">
        <f>IFERROR(VLOOKUP(#REF!,[1]Lookup!$B$2:$E$115,4,FALSE),"")</f>
        <v/>
      </c>
      <c r="AT3925" s="65" t="str">
        <f>IFERROR(VLOOKUP(#REF!,[1]Lookup!$B$2:$E$115,2,FALSE),"")</f>
        <v/>
      </c>
      <c r="AU3925" s="65" t="str">
        <f>IFERROR(VLOOKUP(#REF!,[1]Lookup!$B$2:$E$115,3,FALSE),"")</f>
        <v/>
      </c>
    </row>
    <row r="3926" spans="31:47" x14ac:dyDescent="0.3">
      <c r="AE3926" s="204" t="s">
        <v>398</v>
      </c>
      <c r="AF3926" s="204" t="s">
        <v>398</v>
      </c>
      <c r="AG3926" s="204" t="s">
        <v>398</v>
      </c>
      <c r="AS3926" s="65" t="str">
        <f>IFERROR(VLOOKUP(#REF!,[1]Lookup!$B$2:$E$115,4,FALSE),"")</f>
        <v/>
      </c>
      <c r="AT3926" s="65" t="str">
        <f>IFERROR(VLOOKUP(#REF!,[1]Lookup!$B$2:$E$115,2,FALSE),"")</f>
        <v/>
      </c>
      <c r="AU3926" s="65" t="str">
        <f>IFERROR(VLOOKUP(#REF!,[1]Lookup!$B$2:$E$115,3,FALSE),"")</f>
        <v/>
      </c>
    </row>
    <row r="3927" spans="31:47" x14ac:dyDescent="0.3">
      <c r="AE3927" s="204" t="s">
        <v>398</v>
      </c>
      <c r="AF3927" s="204" t="s">
        <v>398</v>
      </c>
      <c r="AG3927" s="204" t="s">
        <v>398</v>
      </c>
      <c r="AS3927" s="65" t="str">
        <f>IFERROR(VLOOKUP(#REF!,[1]Lookup!$B$2:$E$115,4,FALSE),"")</f>
        <v/>
      </c>
      <c r="AT3927" s="65" t="str">
        <f>IFERROR(VLOOKUP(#REF!,[1]Lookup!$B$2:$E$115,2,FALSE),"")</f>
        <v/>
      </c>
      <c r="AU3927" s="65" t="str">
        <f>IFERROR(VLOOKUP(#REF!,[1]Lookup!$B$2:$E$115,3,FALSE),"")</f>
        <v/>
      </c>
    </row>
    <row r="3928" spans="31:47" x14ac:dyDescent="0.3">
      <c r="AE3928" s="204" t="s">
        <v>398</v>
      </c>
      <c r="AF3928" s="204" t="s">
        <v>398</v>
      </c>
      <c r="AG3928" s="204" t="s">
        <v>398</v>
      </c>
      <c r="AS3928" s="65" t="str">
        <f>IFERROR(VLOOKUP(#REF!,[1]Lookup!$B$2:$E$115,4,FALSE),"")</f>
        <v/>
      </c>
      <c r="AT3928" s="65" t="str">
        <f>IFERROR(VLOOKUP(#REF!,[1]Lookup!$B$2:$E$115,2,FALSE),"")</f>
        <v/>
      </c>
      <c r="AU3928" s="65" t="str">
        <f>IFERROR(VLOOKUP(#REF!,[1]Lookup!$B$2:$E$115,3,FALSE),"")</f>
        <v/>
      </c>
    </row>
    <row r="3929" spans="31:47" x14ac:dyDescent="0.3">
      <c r="AE3929" s="204" t="s">
        <v>398</v>
      </c>
      <c r="AF3929" s="204" t="s">
        <v>398</v>
      </c>
      <c r="AG3929" s="204" t="s">
        <v>398</v>
      </c>
      <c r="AS3929" s="65" t="str">
        <f>IFERROR(VLOOKUP(#REF!,[1]Lookup!$B$2:$E$115,4,FALSE),"")</f>
        <v/>
      </c>
      <c r="AT3929" s="65" t="str">
        <f>IFERROR(VLOOKUP(#REF!,[1]Lookup!$B$2:$E$115,2,FALSE),"")</f>
        <v/>
      </c>
      <c r="AU3929" s="65" t="str">
        <f>IFERROR(VLOOKUP(#REF!,[1]Lookup!$B$2:$E$115,3,FALSE),"")</f>
        <v/>
      </c>
    </row>
    <row r="3930" spans="31:47" x14ac:dyDescent="0.3">
      <c r="AE3930" s="204" t="s">
        <v>398</v>
      </c>
      <c r="AF3930" s="204" t="s">
        <v>398</v>
      </c>
      <c r="AG3930" s="204" t="s">
        <v>398</v>
      </c>
      <c r="AS3930" s="65" t="str">
        <f>IFERROR(VLOOKUP(#REF!,[1]Lookup!$B$2:$E$115,4,FALSE),"")</f>
        <v/>
      </c>
      <c r="AT3930" s="65" t="str">
        <f>IFERROR(VLOOKUP(#REF!,[1]Lookup!$B$2:$E$115,2,FALSE),"")</f>
        <v/>
      </c>
      <c r="AU3930" s="65" t="str">
        <f>IFERROR(VLOOKUP(#REF!,[1]Lookup!$B$2:$E$115,3,FALSE),"")</f>
        <v/>
      </c>
    </row>
    <row r="3931" spans="31:47" x14ac:dyDescent="0.3">
      <c r="AE3931" s="204" t="s">
        <v>398</v>
      </c>
      <c r="AF3931" s="204" t="s">
        <v>398</v>
      </c>
      <c r="AG3931" s="204" t="s">
        <v>398</v>
      </c>
      <c r="AS3931" s="65" t="str">
        <f>IFERROR(VLOOKUP(#REF!,[1]Lookup!$B$2:$E$115,4,FALSE),"")</f>
        <v/>
      </c>
      <c r="AT3931" s="65" t="str">
        <f>IFERROR(VLOOKUP(#REF!,[1]Lookup!$B$2:$E$115,2,FALSE),"")</f>
        <v/>
      </c>
      <c r="AU3931" s="65" t="str">
        <f>IFERROR(VLOOKUP(#REF!,[1]Lookup!$B$2:$E$115,3,FALSE),"")</f>
        <v/>
      </c>
    </row>
    <row r="3932" spans="31:47" x14ac:dyDescent="0.3">
      <c r="AE3932" s="204" t="s">
        <v>398</v>
      </c>
      <c r="AF3932" s="204" t="s">
        <v>398</v>
      </c>
      <c r="AG3932" s="204" t="s">
        <v>398</v>
      </c>
      <c r="AS3932" s="65" t="str">
        <f>IFERROR(VLOOKUP(#REF!,[1]Lookup!$B$2:$E$115,4,FALSE),"")</f>
        <v/>
      </c>
      <c r="AT3932" s="65" t="str">
        <f>IFERROR(VLOOKUP(#REF!,[1]Lookup!$B$2:$E$115,2,FALSE),"")</f>
        <v/>
      </c>
      <c r="AU3932" s="65" t="str">
        <f>IFERROR(VLOOKUP(#REF!,[1]Lookup!$B$2:$E$115,3,FALSE),"")</f>
        <v/>
      </c>
    </row>
    <row r="3933" spans="31:47" x14ac:dyDescent="0.3">
      <c r="AE3933" s="204" t="s">
        <v>398</v>
      </c>
      <c r="AF3933" s="204" t="s">
        <v>398</v>
      </c>
      <c r="AG3933" s="204" t="s">
        <v>398</v>
      </c>
      <c r="AS3933" s="65" t="str">
        <f>IFERROR(VLOOKUP(#REF!,[1]Lookup!$B$2:$E$115,4,FALSE),"")</f>
        <v/>
      </c>
      <c r="AT3933" s="65" t="str">
        <f>IFERROR(VLOOKUP(#REF!,[1]Lookup!$B$2:$E$115,2,FALSE),"")</f>
        <v/>
      </c>
      <c r="AU3933" s="65" t="str">
        <f>IFERROR(VLOOKUP(#REF!,[1]Lookup!$B$2:$E$115,3,FALSE),"")</f>
        <v/>
      </c>
    </row>
    <row r="3934" spans="31:47" x14ac:dyDescent="0.3">
      <c r="AE3934" s="204" t="s">
        <v>398</v>
      </c>
      <c r="AF3934" s="204" t="s">
        <v>398</v>
      </c>
      <c r="AG3934" s="204" t="s">
        <v>398</v>
      </c>
      <c r="AS3934" s="65" t="str">
        <f>IFERROR(VLOOKUP(#REF!,[1]Lookup!$B$2:$E$115,4,FALSE),"")</f>
        <v/>
      </c>
      <c r="AT3934" s="65" t="str">
        <f>IFERROR(VLOOKUP(#REF!,[1]Lookup!$B$2:$E$115,2,FALSE),"")</f>
        <v/>
      </c>
      <c r="AU3934" s="65" t="str">
        <f>IFERROR(VLOOKUP(#REF!,[1]Lookup!$B$2:$E$115,3,FALSE),"")</f>
        <v/>
      </c>
    </row>
    <row r="3935" spans="31:47" x14ac:dyDescent="0.3">
      <c r="AE3935" s="204" t="s">
        <v>398</v>
      </c>
      <c r="AF3935" s="204" t="s">
        <v>398</v>
      </c>
      <c r="AG3935" s="204" t="s">
        <v>398</v>
      </c>
      <c r="AS3935" s="65" t="str">
        <f>IFERROR(VLOOKUP(#REF!,[1]Lookup!$B$2:$E$115,4,FALSE),"")</f>
        <v/>
      </c>
      <c r="AT3935" s="65" t="str">
        <f>IFERROR(VLOOKUP(#REF!,[1]Lookup!$B$2:$E$115,2,FALSE),"")</f>
        <v/>
      </c>
      <c r="AU3935" s="65" t="str">
        <f>IFERROR(VLOOKUP(#REF!,[1]Lookup!$B$2:$E$115,3,FALSE),"")</f>
        <v/>
      </c>
    </row>
    <row r="3936" spans="31:47" x14ac:dyDescent="0.3">
      <c r="AE3936" s="204" t="s">
        <v>398</v>
      </c>
      <c r="AF3936" s="204" t="s">
        <v>398</v>
      </c>
      <c r="AG3936" s="204" t="s">
        <v>398</v>
      </c>
      <c r="AS3936" s="65" t="str">
        <f>IFERROR(VLOOKUP(#REF!,[1]Lookup!$B$2:$E$115,4,FALSE),"")</f>
        <v/>
      </c>
      <c r="AT3936" s="65" t="str">
        <f>IFERROR(VLOOKUP(#REF!,[1]Lookup!$B$2:$E$115,2,FALSE),"")</f>
        <v/>
      </c>
      <c r="AU3936" s="65" t="str">
        <f>IFERROR(VLOOKUP(#REF!,[1]Lookup!$B$2:$E$115,3,FALSE),"")</f>
        <v/>
      </c>
    </row>
    <row r="3937" spans="31:47" x14ac:dyDescent="0.3">
      <c r="AE3937" s="204" t="s">
        <v>398</v>
      </c>
      <c r="AF3937" s="204" t="s">
        <v>398</v>
      </c>
      <c r="AG3937" s="204" t="s">
        <v>398</v>
      </c>
      <c r="AS3937" s="65" t="str">
        <f>IFERROR(VLOOKUP(#REF!,[1]Lookup!$B$2:$E$115,4,FALSE),"")</f>
        <v/>
      </c>
      <c r="AT3937" s="65" t="str">
        <f>IFERROR(VLOOKUP(#REF!,[1]Lookup!$B$2:$E$115,2,FALSE),"")</f>
        <v/>
      </c>
      <c r="AU3937" s="65" t="str">
        <f>IFERROR(VLOOKUP(#REF!,[1]Lookup!$B$2:$E$115,3,FALSE),"")</f>
        <v/>
      </c>
    </row>
    <row r="3938" spans="31:47" x14ac:dyDescent="0.3">
      <c r="AE3938" s="204" t="s">
        <v>398</v>
      </c>
      <c r="AF3938" s="204" t="s">
        <v>398</v>
      </c>
      <c r="AG3938" s="204" t="s">
        <v>398</v>
      </c>
      <c r="AS3938" s="65" t="str">
        <f>IFERROR(VLOOKUP(#REF!,[1]Lookup!$B$2:$E$115,4,FALSE),"")</f>
        <v/>
      </c>
      <c r="AT3938" s="65" t="str">
        <f>IFERROR(VLOOKUP(#REF!,[1]Lookup!$B$2:$E$115,2,FALSE),"")</f>
        <v/>
      </c>
      <c r="AU3938" s="65" t="str">
        <f>IFERROR(VLOOKUP(#REF!,[1]Lookup!$B$2:$E$115,3,FALSE),"")</f>
        <v/>
      </c>
    </row>
    <row r="3939" spans="31:47" x14ac:dyDescent="0.3">
      <c r="AE3939" s="204" t="s">
        <v>398</v>
      </c>
      <c r="AF3939" s="204" t="s">
        <v>398</v>
      </c>
      <c r="AG3939" s="204" t="s">
        <v>398</v>
      </c>
      <c r="AS3939" s="65" t="str">
        <f>IFERROR(VLOOKUP(#REF!,[1]Lookup!$B$2:$E$115,4,FALSE),"")</f>
        <v/>
      </c>
      <c r="AT3939" s="65" t="str">
        <f>IFERROR(VLOOKUP(#REF!,[1]Lookup!$B$2:$E$115,2,FALSE),"")</f>
        <v/>
      </c>
      <c r="AU3939" s="65" t="str">
        <f>IFERROR(VLOOKUP(#REF!,[1]Lookup!$B$2:$E$115,3,FALSE),"")</f>
        <v/>
      </c>
    </row>
    <row r="3940" spans="31:47" x14ac:dyDescent="0.3">
      <c r="AE3940" s="204" t="s">
        <v>398</v>
      </c>
      <c r="AF3940" s="204" t="s">
        <v>398</v>
      </c>
      <c r="AG3940" s="204" t="s">
        <v>398</v>
      </c>
      <c r="AS3940" s="65" t="str">
        <f>IFERROR(VLOOKUP(#REF!,[1]Lookup!$B$2:$E$115,4,FALSE),"")</f>
        <v/>
      </c>
      <c r="AT3940" s="65" t="str">
        <f>IFERROR(VLOOKUP(#REF!,[1]Lookup!$B$2:$E$115,2,FALSE),"")</f>
        <v/>
      </c>
      <c r="AU3940" s="65" t="str">
        <f>IFERROR(VLOOKUP(#REF!,[1]Lookup!$B$2:$E$115,3,FALSE),"")</f>
        <v/>
      </c>
    </row>
    <row r="3941" spans="31:47" x14ac:dyDescent="0.3">
      <c r="AE3941" s="204" t="s">
        <v>398</v>
      </c>
      <c r="AF3941" s="204" t="s">
        <v>398</v>
      </c>
      <c r="AG3941" s="204" t="s">
        <v>398</v>
      </c>
      <c r="AS3941" s="65" t="str">
        <f>IFERROR(VLOOKUP(#REF!,[1]Lookup!$B$2:$E$115,4,FALSE),"")</f>
        <v/>
      </c>
      <c r="AT3941" s="65" t="str">
        <f>IFERROR(VLOOKUP(#REF!,[1]Lookup!$B$2:$E$115,2,FALSE),"")</f>
        <v/>
      </c>
      <c r="AU3941" s="65" t="str">
        <f>IFERROR(VLOOKUP(#REF!,[1]Lookup!$B$2:$E$115,3,FALSE),"")</f>
        <v/>
      </c>
    </row>
    <row r="3942" spans="31:47" x14ac:dyDescent="0.3">
      <c r="AE3942" s="204" t="s">
        <v>398</v>
      </c>
      <c r="AF3942" s="204" t="s">
        <v>398</v>
      </c>
      <c r="AG3942" s="204" t="s">
        <v>398</v>
      </c>
      <c r="AS3942" s="65" t="str">
        <f>IFERROR(VLOOKUP(#REF!,[1]Lookup!$B$2:$E$115,4,FALSE),"")</f>
        <v/>
      </c>
      <c r="AT3942" s="65" t="str">
        <f>IFERROR(VLOOKUP(#REF!,[1]Lookup!$B$2:$E$115,2,FALSE),"")</f>
        <v/>
      </c>
      <c r="AU3942" s="65" t="str">
        <f>IFERROR(VLOOKUP(#REF!,[1]Lookup!$B$2:$E$115,3,FALSE),"")</f>
        <v/>
      </c>
    </row>
    <row r="3943" spans="31:47" x14ac:dyDescent="0.3">
      <c r="AE3943" s="204" t="s">
        <v>398</v>
      </c>
      <c r="AF3943" s="204" t="s">
        <v>398</v>
      </c>
      <c r="AG3943" s="204" t="s">
        <v>398</v>
      </c>
      <c r="AS3943" s="65" t="str">
        <f>IFERROR(VLOOKUP(#REF!,[1]Lookup!$B$2:$E$115,4,FALSE),"")</f>
        <v/>
      </c>
      <c r="AT3943" s="65" t="str">
        <f>IFERROR(VLOOKUP(#REF!,[1]Lookup!$B$2:$E$115,2,FALSE),"")</f>
        <v/>
      </c>
      <c r="AU3943" s="65" t="str">
        <f>IFERROR(VLOOKUP(#REF!,[1]Lookup!$B$2:$E$115,3,FALSE),"")</f>
        <v/>
      </c>
    </row>
    <row r="3944" spans="31:47" x14ac:dyDescent="0.3">
      <c r="AE3944" s="204" t="s">
        <v>398</v>
      </c>
      <c r="AF3944" s="204" t="s">
        <v>398</v>
      </c>
      <c r="AG3944" s="204" t="s">
        <v>398</v>
      </c>
      <c r="AS3944" s="65" t="str">
        <f>IFERROR(VLOOKUP(#REF!,[1]Lookup!$B$2:$E$115,4,FALSE),"")</f>
        <v/>
      </c>
      <c r="AT3944" s="65" t="str">
        <f>IFERROR(VLOOKUP(#REF!,[1]Lookup!$B$2:$E$115,2,FALSE),"")</f>
        <v/>
      </c>
      <c r="AU3944" s="65" t="str">
        <f>IFERROR(VLOOKUP(#REF!,[1]Lookup!$B$2:$E$115,3,FALSE),"")</f>
        <v/>
      </c>
    </row>
    <row r="3945" spans="31:47" x14ac:dyDescent="0.3">
      <c r="AE3945" s="204" t="s">
        <v>398</v>
      </c>
      <c r="AF3945" s="204" t="s">
        <v>398</v>
      </c>
      <c r="AG3945" s="204" t="s">
        <v>398</v>
      </c>
      <c r="AS3945" s="65" t="str">
        <f>IFERROR(VLOOKUP(#REF!,[1]Lookup!$B$2:$E$115,4,FALSE),"")</f>
        <v/>
      </c>
      <c r="AT3945" s="65" t="str">
        <f>IFERROR(VLOOKUP(#REF!,[1]Lookup!$B$2:$E$115,2,FALSE),"")</f>
        <v/>
      </c>
      <c r="AU3945" s="65" t="str">
        <f>IFERROR(VLOOKUP(#REF!,[1]Lookup!$B$2:$E$115,3,FALSE),"")</f>
        <v/>
      </c>
    </row>
    <row r="3946" spans="31:47" x14ac:dyDescent="0.3">
      <c r="AE3946" s="204" t="s">
        <v>398</v>
      </c>
      <c r="AF3946" s="204" t="s">
        <v>398</v>
      </c>
      <c r="AG3946" s="204" t="s">
        <v>398</v>
      </c>
      <c r="AS3946" s="65" t="str">
        <f>IFERROR(VLOOKUP(#REF!,[1]Lookup!$B$2:$E$115,4,FALSE),"")</f>
        <v/>
      </c>
      <c r="AT3946" s="65" t="str">
        <f>IFERROR(VLOOKUP(#REF!,[1]Lookup!$B$2:$E$115,2,FALSE),"")</f>
        <v/>
      </c>
      <c r="AU3946" s="65" t="str">
        <f>IFERROR(VLOOKUP(#REF!,[1]Lookup!$B$2:$E$115,3,FALSE),"")</f>
        <v/>
      </c>
    </row>
    <row r="3947" spans="31:47" x14ac:dyDescent="0.3">
      <c r="AE3947" s="204" t="s">
        <v>398</v>
      </c>
      <c r="AF3947" s="204" t="s">
        <v>398</v>
      </c>
      <c r="AG3947" s="204" t="s">
        <v>398</v>
      </c>
      <c r="AS3947" s="65" t="str">
        <f>IFERROR(VLOOKUP(#REF!,[1]Lookup!$B$2:$E$115,4,FALSE),"")</f>
        <v/>
      </c>
      <c r="AT3947" s="65" t="str">
        <f>IFERROR(VLOOKUP(#REF!,[1]Lookup!$B$2:$E$115,2,FALSE),"")</f>
        <v/>
      </c>
      <c r="AU3947" s="65" t="str">
        <f>IFERROR(VLOOKUP(#REF!,[1]Lookup!$B$2:$E$115,3,FALSE),"")</f>
        <v/>
      </c>
    </row>
    <row r="3948" spans="31:47" x14ac:dyDescent="0.3">
      <c r="AE3948" s="204" t="s">
        <v>398</v>
      </c>
      <c r="AF3948" s="204" t="s">
        <v>398</v>
      </c>
      <c r="AG3948" s="204" t="s">
        <v>398</v>
      </c>
      <c r="AS3948" s="65" t="str">
        <f>IFERROR(VLOOKUP(#REF!,[1]Lookup!$B$2:$E$115,4,FALSE),"")</f>
        <v/>
      </c>
      <c r="AT3948" s="65" t="str">
        <f>IFERROR(VLOOKUP(#REF!,[1]Lookup!$B$2:$E$115,2,FALSE),"")</f>
        <v/>
      </c>
      <c r="AU3948" s="65" t="str">
        <f>IFERROR(VLOOKUP(#REF!,[1]Lookup!$B$2:$E$115,3,FALSE),"")</f>
        <v/>
      </c>
    </row>
    <row r="3949" spans="31:47" x14ac:dyDescent="0.3">
      <c r="AE3949" s="204" t="s">
        <v>398</v>
      </c>
      <c r="AF3949" s="204" t="s">
        <v>398</v>
      </c>
      <c r="AG3949" s="204" t="s">
        <v>398</v>
      </c>
      <c r="AS3949" s="65" t="str">
        <f>IFERROR(VLOOKUP(#REF!,[1]Lookup!$B$2:$E$115,4,FALSE),"")</f>
        <v/>
      </c>
      <c r="AT3949" s="65" t="str">
        <f>IFERROR(VLOOKUP(#REF!,[1]Lookup!$B$2:$E$115,2,FALSE),"")</f>
        <v/>
      </c>
      <c r="AU3949" s="65" t="str">
        <f>IFERROR(VLOOKUP(#REF!,[1]Lookup!$B$2:$E$115,3,FALSE),"")</f>
        <v/>
      </c>
    </row>
    <row r="3950" spans="31:47" x14ac:dyDescent="0.3">
      <c r="AE3950" s="204" t="s">
        <v>398</v>
      </c>
      <c r="AF3950" s="204" t="s">
        <v>398</v>
      </c>
      <c r="AG3950" s="204" t="s">
        <v>398</v>
      </c>
      <c r="AS3950" s="65" t="str">
        <f>IFERROR(VLOOKUP(#REF!,[1]Lookup!$B$2:$E$115,4,FALSE),"")</f>
        <v/>
      </c>
      <c r="AT3950" s="65" t="str">
        <f>IFERROR(VLOOKUP(#REF!,[1]Lookup!$B$2:$E$115,2,FALSE),"")</f>
        <v/>
      </c>
      <c r="AU3950" s="65" t="str">
        <f>IFERROR(VLOOKUP(#REF!,[1]Lookup!$B$2:$E$115,3,FALSE),"")</f>
        <v/>
      </c>
    </row>
    <row r="3951" spans="31:47" x14ac:dyDescent="0.3">
      <c r="AE3951" s="204" t="s">
        <v>398</v>
      </c>
      <c r="AF3951" s="204" t="s">
        <v>398</v>
      </c>
      <c r="AG3951" s="204" t="s">
        <v>398</v>
      </c>
      <c r="AS3951" s="65" t="str">
        <f>IFERROR(VLOOKUP(#REF!,[1]Lookup!$B$2:$E$115,4,FALSE),"")</f>
        <v/>
      </c>
      <c r="AT3951" s="65" t="str">
        <f>IFERROR(VLOOKUP(#REF!,[1]Lookup!$B$2:$E$115,2,FALSE),"")</f>
        <v/>
      </c>
      <c r="AU3951" s="65" t="str">
        <f>IFERROR(VLOOKUP(#REF!,[1]Lookup!$B$2:$E$115,3,FALSE),"")</f>
        <v/>
      </c>
    </row>
    <row r="3952" spans="31:47" x14ac:dyDescent="0.3">
      <c r="AE3952" s="204" t="s">
        <v>398</v>
      </c>
      <c r="AF3952" s="204" t="s">
        <v>398</v>
      </c>
      <c r="AG3952" s="204" t="s">
        <v>398</v>
      </c>
      <c r="AS3952" s="65" t="str">
        <f>IFERROR(VLOOKUP(#REF!,[1]Lookup!$B$2:$E$115,4,FALSE),"")</f>
        <v/>
      </c>
      <c r="AT3952" s="65" t="str">
        <f>IFERROR(VLOOKUP(#REF!,[1]Lookup!$B$2:$E$115,2,FALSE),"")</f>
        <v/>
      </c>
      <c r="AU3952" s="65" t="str">
        <f>IFERROR(VLOOKUP(#REF!,[1]Lookup!$B$2:$E$115,3,FALSE),"")</f>
        <v/>
      </c>
    </row>
    <row r="3953" spans="31:47" x14ac:dyDescent="0.3">
      <c r="AE3953" s="204" t="s">
        <v>398</v>
      </c>
      <c r="AF3953" s="204" t="s">
        <v>398</v>
      </c>
      <c r="AG3953" s="204" t="s">
        <v>398</v>
      </c>
      <c r="AS3953" s="65" t="str">
        <f>IFERROR(VLOOKUP(#REF!,[1]Lookup!$B$2:$E$115,4,FALSE),"")</f>
        <v/>
      </c>
      <c r="AT3953" s="65" t="str">
        <f>IFERROR(VLOOKUP(#REF!,[1]Lookup!$B$2:$E$115,2,FALSE),"")</f>
        <v/>
      </c>
      <c r="AU3953" s="65" t="str">
        <f>IFERROR(VLOOKUP(#REF!,[1]Lookup!$B$2:$E$115,3,FALSE),"")</f>
        <v/>
      </c>
    </row>
    <row r="3954" spans="31:47" x14ac:dyDescent="0.3">
      <c r="AE3954" s="204" t="s">
        <v>398</v>
      </c>
      <c r="AF3954" s="204" t="s">
        <v>398</v>
      </c>
      <c r="AG3954" s="204" t="s">
        <v>398</v>
      </c>
      <c r="AS3954" s="65" t="str">
        <f>IFERROR(VLOOKUP(#REF!,[1]Lookup!$B$2:$E$115,4,FALSE),"")</f>
        <v/>
      </c>
      <c r="AT3954" s="65" t="str">
        <f>IFERROR(VLOOKUP(#REF!,[1]Lookup!$B$2:$E$115,2,FALSE),"")</f>
        <v/>
      </c>
      <c r="AU3954" s="65" t="str">
        <f>IFERROR(VLOOKUP(#REF!,[1]Lookup!$B$2:$E$115,3,FALSE),"")</f>
        <v/>
      </c>
    </row>
    <row r="3955" spans="31:47" x14ac:dyDescent="0.3">
      <c r="AE3955" s="204" t="s">
        <v>398</v>
      </c>
      <c r="AF3955" s="204" t="s">
        <v>398</v>
      </c>
      <c r="AG3955" s="204" t="s">
        <v>398</v>
      </c>
      <c r="AS3955" s="65" t="str">
        <f>IFERROR(VLOOKUP(#REF!,[1]Lookup!$B$2:$E$115,4,FALSE),"")</f>
        <v/>
      </c>
      <c r="AT3955" s="65" t="str">
        <f>IFERROR(VLOOKUP(#REF!,[1]Lookup!$B$2:$E$115,2,FALSE),"")</f>
        <v/>
      </c>
      <c r="AU3955" s="65" t="str">
        <f>IFERROR(VLOOKUP(#REF!,[1]Lookup!$B$2:$E$115,3,FALSE),"")</f>
        <v/>
      </c>
    </row>
    <row r="3956" spans="31:47" x14ac:dyDescent="0.3">
      <c r="AE3956" s="204" t="s">
        <v>398</v>
      </c>
      <c r="AF3956" s="204" t="s">
        <v>398</v>
      </c>
      <c r="AG3956" s="204" t="s">
        <v>398</v>
      </c>
      <c r="AS3956" s="65" t="str">
        <f>IFERROR(VLOOKUP(#REF!,[1]Lookup!$B$2:$E$115,4,FALSE),"")</f>
        <v/>
      </c>
      <c r="AT3956" s="65" t="str">
        <f>IFERROR(VLOOKUP(#REF!,[1]Lookup!$B$2:$E$115,2,FALSE),"")</f>
        <v/>
      </c>
      <c r="AU3956" s="65" t="str">
        <f>IFERROR(VLOOKUP(#REF!,[1]Lookup!$B$2:$E$115,3,FALSE),"")</f>
        <v/>
      </c>
    </row>
    <row r="3957" spans="31:47" x14ac:dyDescent="0.3">
      <c r="AE3957" s="204" t="s">
        <v>398</v>
      </c>
      <c r="AF3957" s="204" t="s">
        <v>398</v>
      </c>
      <c r="AG3957" s="204" t="s">
        <v>398</v>
      </c>
      <c r="AS3957" s="65" t="str">
        <f>IFERROR(VLOOKUP(#REF!,[1]Lookup!$B$2:$E$115,4,FALSE),"")</f>
        <v/>
      </c>
      <c r="AT3957" s="65" t="str">
        <f>IFERROR(VLOOKUP(#REF!,[1]Lookup!$B$2:$E$115,2,FALSE),"")</f>
        <v/>
      </c>
      <c r="AU3957" s="65" t="str">
        <f>IFERROR(VLOOKUP(#REF!,[1]Lookup!$B$2:$E$115,3,FALSE),"")</f>
        <v/>
      </c>
    </row>
    <row r="3958" spans="31:47" x14ac:dyDescent="0.3">
      <c r="AE3958" s="204" t="s">
        <v>398</v>
      </c>
      <c r="AF3958" s="204" t="s">
        <v>398</v>
      </c>
      <c r="AG3958" s="204" t="s">
        <v>398</v>
      </c>
      <c r="AS3958" s="65" t="str">
        <f>IFERROR(VLOOKUP(#REF!,[1]Lookup!$B$2:$E$115,4,FALSE),"")</f>
        <v/>
      </c>
      <c r="AT3958" s="65" t="str">
        <f>IFERROR(VLOOKUP(#REF!,[1]Lookup!$B$2:$E$115,2,FALSE),"")</f>
        <v/>
      </c>
      <c r="AU3958" s="65" t="str">
        <f>IFERROR(VLOOKUP(#REF!,[1]Lookup!$B$2:$E$115,3,FALSE),"")</f>
        <v/>
      </c>
    </row>
    <row r="3959" spans="31:47" x14ac:dyDescent="0.3">
      <c r="AE3959" s="204" t="s">
        <v>398</v>
      </c>
      <c r="AF3959" s="204" t="s">
        <v>398</v>
      </c>
      <c r="AG3959" s="204" t="s">
        <v>398</v>
      </c>
      <c r="AS3959" s="65" t="str">
        <f>IFERROR(VLOOKUP(#REF!,[1]Lookup!$B$2:$E$115,4,FALSE),"")</f>
        <v/>
      </c>
      <c r="AT3959" s="65" t="str">
        <f>IFERROR(VLOOKUP(#REF!,[1]Lookup!$B$2:$E$115,2,FALSE),"")</f>
        <v/>
      </c>
      <c r="AU3959" s="65" t="str">
        <f>IFERROR(VLOOKUP(#REF!,[1]Lookup!$B$2:$E$115,3,FALSE),"")</f>
        <v/>
      </c>
    </row>
    <row r="3960" spans="31:47" x14ac:dyDescent="0.3">
      <c r="AE3960" s="204" t="s">
        <v>398</v>
      </c>
      <c r="AF3960" s="204" t="s">
        <v>398</v>
      </c>
      <c r="AG3960" s="204" t="s">
        <v>398</v>
      </c>
      <c r="AS3960" s="65" t="str">
        <f>IFERROR(VLOOKUP(#REF!,[1]Lookup!$B$2:$E$115,4,FALSE),"")</f>
        <v/>
      </c>
      <c r="AT3960" s="65" t="str">
        <f>IFERROR(VLOOKUP(#REF!,[1]Lookup!$B$2:$E$115,2,FALSE),"")</f>
        <v/>
      </c>
      <c r="AU3960" s="65" t="str">
        <f>IFERROR(VLOOKUP(#REF!,[1]Lookup!$B$2:$E$115,3,FALSE),"")</f>
        <v/>
      </c>
    </row>
    <row r="3961" spans="31:47" x14ac:dyDescent="0.3">
      <c r="AE3961" s="204" t="s">
        <v>398</v>
      </c>
      <c r="AF3961" s="204" t="s">
        <v>398</v>
      </c>
      <c r="AG3961" s="204" t="s">
        <v>398</v>
      </c>
      <c r="AS3961" s="65" t="str">
        <f>IFERROR(VLOOKUP(#REF!,[1]Lookup!$B$2:$E$115,4,FALSE),"")</f>
        <v/>
      </c>
      <c r="AT3961" s="65" t="str">
        <f>IFERROR(VLOOKUP(#REF!,[1]Lookup!$B$2:$E$115,2,FALSE),"")</f>
        <v/>
      </c>
      <c r="AU3961" s="65" t="str">
        <f>IFERROR(VLOOKUP(#REF!,[1]Lookup!$B$2:$E$115,3,FALSE),"")</f>
        <v/>
      </c>
    </row>
    <row r="3962" spans="31:47" x14ac:dyDescent="0.3">
      <c r="AE3962" s="204" t="s">
        <v>398</v>
      </c>
      <c r="AF3962" s="204" t="s">
        <v>398</v>
      </c>
      <c r="AG3962" s="204" t="s">
        <v>398</v>
      </c>
      <c r="AS3962" s="65" t="str">
        <f>IFERROR(VLOOKUP(#REF!,[1]Lookup!$B$2:$E$115,4,FALSE),"")</f>
        <v/>
      </c>
      <c r="AT3962" s="65" t="str">
        <f>IFERROR(VLOOKUP(#REF!,[1]Lookup!$B$2:$E$115,2,FALSE),"")</f>
        <v/>
      </c>
      <c r="AU3962" s="65" t="str">
        <f>IFERROR(VLOOKUP(#REF!,[1]Lookup!$B$2:$E$115,3,FALSE),"")</f>
        <v/>
      </c>
    </row>
    <row r="3963" spans="31:47" x14ac:dyDescent="0.3">
      <c r="AE3963" s="204" t="s">
        <v>398</v>
      </c>
      <c r="AF3963" s="204" t="s">
        <v>398</v>
      </c>
      <c r="AG3963" s="204" t="s">
        <v>398</v>
      </c>
      <c r="AS3963" s="65" t="str">
        <f>IFERROR(VLOOKUP(#REF!,[1]Lookup!$B$2:$E$115,4,FALSE),"")</f>
        <v/>
      </c>
      <c r="AT3963" s="65" t="str">
        <f>IFERROR(VLOOKUP(#REF!,[1]Lookup!$B$2:$E$115,2,FALSE),"")</f>
        <v/>
      </c>
      <c r="AU3963" s="65" t="str">
        <f>IFERROR(VLOOKUP(#REF!,[1]Lookup!$B$2:$E$115,3,FALSE),"")</f>
        <v/>
      </c>
    </row>
    <row r="3964" spans="31:47" x14ac:dyDescent="0.3">
      <c r="AE3964" s="204" t="s">
        <v>398</v>
      </c>
      <c r="AF3964" s="204" t="s">
        <v>398</v>
      </c>
      <c r="AG3964" s="204" t="s">
        <v>398</v>
      </c>
      <c r="AS3964" s="65" t="str">
        <f>IFERROR(VLOOKUP(#REF!,[1]Lookup!$B$2:$E$115,4,FALSE),"")</f>
        <v/>
      </c>
      <c r="AT3964" s="65" t="str">
        <f>IFERROR(VLOOKUP(#REF!,[1]Lookup!$B$2:$E$115,2,FALSE),"")</f>
        <v/>
      </c>
      <c r="AU3964" s="65" t="str">
        <f>IFERROR(VLOOKUP(#REF!,[1]Lookup!$B$2:$E$115,3,FALSE),"")</f>
        <v/>
      </c>
    </row>
    <row r="3965" spans="31:47" x14ac:dyDescent="0.3">
      <c r="AE3965" s="204" t="s">
        <v>398</v>
      </c>
      <c r="AF3965" s="204" t="s">
        <v>398</v>
      </c>
      <c r="AG3965" s="204" t="s">
        <v>398</v>
      </c>
      <c r="AS3965" s="65" t="str">
        <f>IFERROR(VLOOKUP(#REF!,[1]Lookup!$B$2:$E$115,4,FALSE),"")</f>
        <v/>
      </c>
      <c r="AT3965" s="65" t="str">
        <f>IFERROR(VLOOKUP(#REF!,[1]Lookup!$B$2:$E$115,2,FALSE),"")</f>
        <v/>
      </c>
      <c r="AU3965" s="65" t="str">
        <f>IFERROR(VLOOKUP(#REF!,[1]Lookup!$B$2:$E$115,3,FALSE),"")</f>
        <v/>
      </c>
    </row>
    <row r="3966" spans="31:47" x14ac:dyDescent="0.3">
      <c r="AE3966" s="204" t="s">
        <v>398</v>
      </c>
      <c r="AF3966" s="204" t="s">
        <v>398</v>
      </c>
      <c r="AG3966" s="204" t="s">
        <v>398</v>
      </c>
      <c r="AS3966" s="65" t="str">
        <f>IFERROR(VLOOKUP(#REF!,[1]Lookup!$B$2:$E$115,4,FALSE),"")</f>
        <v/>
      </c>
      <c r="AT3966" s="65" t="str">
        <f>IFERROR(VLOOKUP(#REF!,[1]Lookup!$B$2:$E$115,2,FALSE),"")</f>
        <v/>
      </c>
      <c r="AU3966" s="65" t="str">
        <f>IFERROR(VLOOKUP(#REF!,[1]Lookup!$B$2:$E$115,3,FALSE),"")</f>
        <v/>
      </c>
    </row>
    <row r="3967" spans="31:47" x14ac:dyDescent="0.3">
      <c r="AE3967" s="204" t="s">
        <v>398</v>
      </c>
      <c r="AF3967" s="204" t="s">
        <v>398</v>
      </c>
      <c r="AG3967" s="204" t="s">
        <v>398</v>
      </c>
      <c r="AS3967" s="65" t="str">
        <f>IFERROR(VLOOKUP(#REF!,[1]Lookup!$B$2:$E$115,4,FALSE),"")</f>
        <v/>
      </c>
      <c r="AT3967" s="65" t="str">
        <f>IFERROR(VLOOKUP(#REF!,[1]Lookup!$B$2:$E$115,2,FALSE),"")</f>
        <v/>
      </c>
      <c r="AU3967" s="65" t="str">
        <f>IFERROR(VLOOKUP(#REF!,[1]Lookup!$B$2:$E$115,3,FALSE),"")</f>
        <v/>
      </c>
    </row>
    <row r="3968" spans="31:47" x14ac:dyDescent="0.3">
      <c r="AE3968" s="204" t="s">
        <v>398</v>
      </c>
      <c r="AF3968" s="204" t="s">
        <v>398</v>
      </c>
      <c r="AG3968" s="204" t="s">
        <v>398</v>
      </c>
      <c r="AS3968" s="65" t="str">
        <f>IFERROR(VLOOKUP(#REF!,[1]Lookup!$B$2:$E$115,4,FALSE),"")</f>
        <v/>
      </c>
      <c r="AT3968" s="65" t="str">
        <f>IFERROR(VLOOKUP(#REF!,[1]Lookup!$B$2:$E$115,2,FALSE),"")</f>
        <v/>
      </c>
      <c r="AU3968" s="65" t="str">
        <f>IFERROR(VLOOKUP(#REF!,[1]Lookup!$B$2:$E$115,3,FALSE),"")</f>
        <v/>
      </c>
    </row>
    <row r="3969" spans="31:47" x14ac:dyDescent="0.3">
      <c r="AE3969" s="204" t="s">
        <v>398</v>
      </c>
      <c r="AF3969" s="204" t="s">
        <v>398</v>
      </c>
      <c r="AG3969" s="204" t="s">
        <v>398</v>
      </c>
      <c r="AS3969" s="65" t="str">
        <f>IFERROR(VLOOKUP(#REF!,[1]Lookup!$B$2:$E$115,4,FALSE),"")</f>
        <v/>
      </c>
      <c r="AT3969" s="65" t="str">
        <f>IFERROR(VLOOKUP(#REF!,[1]Lookup!$B$2:$E$115,2,FALSE),"")</f>
        <v/>
      </c>
      <c r="AU3969" s="65" t="str">
        <f>IFERROR(VLOOKUP(#REF!,[1]Lookup!$B$2:$E$115,3,FALSE),"")</f>
        <v/>
      </c>
    </row>
    <row r="3970" spans="31:47" x14ac:dyDescent="0.3">
      <c r="AE3970" s="204" t="s">
        <v>398</v>
      </c>
      <c r="AF3970" s="204" t="s">
        <v>398</v>
      </c>
      <c r="AG3970" s="204" t="s">
        <v>398</v>
      </c>
      <c r="AS3970" s="65" t="str">
        <f>IFERROR(VLOOKUP(#REF!,[1]Lookup!$B$2:$E$115,4,FALSE),"")</f>
        <v/>
      </c>
      <c r="AT3970" s="65" t="str">
        <f>IFERROR(VLOOKUP(#REF!,[1]Lookup!$B$2:$E$115,2,FALSE),"")</f>
        <v/>
      </c>
      <c r="AU3970" s="65" t="str">
        <f>IFERROR(VLOOKUP(#REF!,[1]Lookup!$B$2:$E$115,3,FALSE),"")</f>
        <v/>
      </c>
    </row>
    <row r="3971" spans="31:47" x14ac:dyDescent="0.3">
      <c r="AE3971" s="204" t="s">
        <v>398</v>
      </c>
      <c r="AF3971" s="204" t="s">
        <v>398</v>
      </c>
      <c r="AG3971" s="204" t="s">
        <v>398</v>
      </c>
      <c r="AS3971" s="65" t="str">
        <f>IFERROR(VLOOKUP(#REF!,[1]Lookup!$B$2:$E$115,4,FALSE),"")</f>
        <v/>
      </c>
      <c r="AT3971" s="65" t="str">
        <f>IFERROR(VLOOKUP(#REF!,[1]Lookup!$B$2:$E$115,2,FALSE),"")</f>
        <v/>
      </c>
      <c r="AU3971" s="65" t="str">
        <f>IFERROR(VLOOKUP(#REF!,[1]Lookup!$B$2:$E$115,3,FALSE),"")</f>
        <v/>
      </c>
    </row>
    <row r="3972" spans="31:47" x14ac:dyDescent="0.3">
      <c r="AE3972" s="204" t="s">
        <v>398</v>
      </c>
      <c r="AF3972" s="204" t="s">
        <v>398</v>
      </c>
      <c r="AG3972" s="204" t="s">
        <v>398</v>
      </c>
      <c r="AS3972" s="65" t="str">
        <f>IFERROR(VLOOKUP(#REF!,[1]Lookup!$B$2:$E$115,4,FALSE),"")</f>
        <v/>
      </c>
      <c r="AT3972" s="65" t="str">
        <f>IFERROR(VLOOKUP(#REF!,[1]Lookup!$B$2:$E$115,2,FALSE),"")</f>
        <v/>
      </c>
      <c r="AU3972" s="65" t="str">
        <f>IFERROR(VLOOKUP(#REF!,[1]Lookup!$B$2:$E$115,3,FALSE),"")</f>
        <v/>
      </c>
    </row>
    <row r="3973" spans="31:47" x14ac:dyDescent="0.3">
      <c r="AE3973" s="204" t="s">
        <v>398</v>
      </c>
      <c r="AF3973" s="204" t="s">
        <v>398</v>
      </c>
      <c r="AG3973" s="204" t="s">
        <v>398</v>
      </c>
      <c r="AS3973" s="65" t="str">
        <f>IFERROR(VLOOKUP(#REF!,[1]Lookup!$B$2:$E$115,4,FALSE),"")</f>
        <v/>
      </c>
      <c r="AT3973" s="65" t="str">
        <f>IFERROR(VLOOKUP(#REF!,[1]Lookup!$B$2:$E$115,2,FALSE),"")</f>
        <v/>
      </c>
      <c r="AU3973" s="65" t="str">
        <f>IFERROR(VLOOKUP(#REF!,[1]Lookup!$B$2:$E$115,3,FALSE),"")</f>
        <v/>
      </c>
    </row>
    <row r="3974" spans="31:47" x14ac:dyDescent="0.3">
      <c r="AE3974" s="204" t="s">
        <v>398</v>
      </c>
      <c r="AF3974" s="204" t="s">
        <v>398</v>
      </c>
      <c r="AG3974" s="204" t="s">
        <v>398</v>
      </c>
      <c r="AS3974" s="65" t="str">
        <f>IFERROR(VLOOKUP(#REF!,[1]Lookup!$B$2:$E$115,4,FALSE),"")</f>
        <v/>
      </c>
      <c r="AT3974" s="65" t="str">
        <f>IFERROR(VLOOKUP(#REF!,[1]Lookup!$B$2:$E$115,2,FALSE),"")</f>
        <v/>
      </c>
      <c r="AU3974" s="65" t="str">
        <f>IFERROR(VLOOKUP(#REF!,[1]Lookup!$B$2:$E$115,3,FALSE),"")</f>
        <v/>
      </c>
    </row>
    <row r="3975" spans="31:47" x14ac:dyDescent="0.3">
      <c r="AE3975" s="204" t="s">
        <v>398</v>
      </c>
      <c r="AF3975" s="204" t="s">
        <v>398</v>
      </c>
      <c r="AG3975" s="204" t="s">
        <v>398</v>
      </c>
      <c r="AS3975" s="65" t="str">
        <f>IFERROR(VLOOKUP(#REF!,[1]Lookup!$B$2:$E$115,4,FALSE),"")</f>
        <v/>
      </c>
      <c r="AT3975" s="65" t="str">
        <f>IFERROR(VLOOKUP(#REF!,[1]Lookup!$B$2:$E$115,2,FALSE),"")</f>
        <v/>
      </c>
      <c r="AU3975" s="65" t="str">
        <f>IFERROR(VLOOKUP(#REF!,[1]Lookup!$B$2:$E$115,3,FALSE),"")</f>
        <v/>
      </c>
    </row>
    <row r="3976" spans="31:47" x14ac:dyDescent="0.3">
      <c r="AE3976" s="204" t="s">
        <v>398</v>
      </c>
      <c r="AF3976" s="204" t="s">
        <v>398</v>
      </c>
      <c r="AG3976" s="204" t="s">
        <v>398</v>
      </c>
      <c r="AS3976" s="65" t="str">
        <f>IFERROR(VLOOKUP(#REF!,[1]Lookup!$B$2:$E$115,4,FALSE),"")</f>
        <v/>
      </c>
      <c r="AT3976" s="65" t="str">
        <f>IFERROR(VLOOKUP(#REF!,[1]Lookup!$B$2:$E$115,2,FALSE),"")</f>
        <v/>
      </c>
      <c r="AU3976" s="65" t="str">
        <f>IFERROR(VLOOKUP(#REF!,[1]Lookup!$B$2:$E$115,3,FALSE),"")</f>
        <v/>
      </c>
    </row>
    <row r="3977" spans="31:47" x14ac:dyDescent="0.3">
      <c r="AE3977" s="204" t="s">
        <v>398</v>
      </c>
      <c r="AF3977" s="204" t="s">
        <v>398</v>
      </c>
      <c r="AG3977" s="204" t="s">
        <v>398</v>
      </c>
      <c r="AS3977" s="65" t="str">
        <f>IFERROR(VLOOKUP(#REF!,[1]Lookup!$B$2:$E$115,4,FALSE),"")</f>
        <v/>
      </c>
      <c r="AT3977" s="65" t="str">
        <f>IFERROR(VLOOKUP(#REF!,[1]Lookup!$B$2:$E$115,2,FALSE),"")</f>
        <v/>
      </c>
      <c r="AU3977" s="65" t="str">
        <f>IFERROR(VLOOKUP(#REF!,[1]Lookup!$B$2:$E$115,3,FALSE),"")</f>
        <v/>
      </c>
    </row>
    <row r="3978" spans="31:47" x14ac:dyDescent="0.3">
      <c r="AE3978" s="204" t="s">
        <v>398</v>
      </c>
      <c r="AF3978" s="204" t="s">
        <v>398</v>
      </c>
      <c r="AG3978" s="204" t="s">
        <v>398</v>
      </c>
      <c r="AS3978" s="65" t="str">
        <f>IFERROR(VLOOKUP(#REF!,[1]Lookup!$B$2:$E$115,4,FALSE),"")</f>
        <v/>
      </c>
      <c r="AT3978" s="65" t="str">
        <f>IFERROR(VLOOKUP(#REF!,[1]Lookup!$B$2:$E$115,2,FALSE),"")</f>
        <v/>
      </c>
      <c r="AU3978" s="65" t="str">
        <f>IFERROR(VLOOKUP(#REF!,[1]Lookup!$B$2:$E$115,3,FALSE),"")</f>
        <v/>
      </c>
    </row>
    <row r="3979" spans="31:47" x14ac:dyDescent="0.3">
      <c r="AE3979" s="204" t="s">
        <v>398</v>
      </c>
      <c r="AF3979" s="204" t="s">
        <v>398</v>
      </c>
      <c r="AG3979" s="204" t="s">
        <v>398</v>
      </c>
      <c r="AS3979" s="65" t="str">
        <f>IFERROR(VLOOKUP(#REF!,[1]Lookup!$B$2:$E$115,4,FALSE),"")</f>
        <v/>
      </c>
      <c r="AT3979" s="65" t="str">
        <f>IFERROR(VLOOKUP(#REF!,[1]Lookup!$B$2:$E$115,2,FALSE),"")</f>
        <v/>
      </c>
      <c r="AU3979" s="65" t="str">
        <f>IFERROR(VLOOKUP(#REF!,[1]Lookup!$B$2:$E$115,3,FALSE),"")</f>
        <v/>
      </c>
    </row>
    <row r="3980" spans="31:47" x14ac:dyDescent="0.3">
      <c r="AE3980" s="204" t="s">
        <v>398</v>
      </c>
      <c r="AF3980" s="204" t="s">
        <v>398</v>
      </c>
      <c r="AG3980" s="204" t="s">
        <v>398</v>
      </c>
      <c r="AS3980" s="65" t="str">
        <f>IFERROR(VLOOKUP(#REF!,[1]Lookup!$B$2:$E$115,4,FALSE),"")</f>
        <v/>
      </c>
      <c r="AT3980" s="65" t="str">
        <f>IFERROR(VLOOKUP(#REF!,[1]Lookup!$B$2:$E$115,2,FALSE),"")</f>
        <v/>
      </c>
      <c r="AU3980" s="65" t="str">
        <f>IFERROR(VLOOKUP(#REF!,[1]Lookup!$B$2:$E$115,3,FALSE),"")</f>
        <v/>
      </c>
    </row>
    <row r="3981" spans="31:47" x14ac:dyDescent="0.3">
      <c r="AE3981" s="204" t="s">
        <v>398</v>
      </c>
      <c r="AF3981" s="204" t="s">
        <v>398</v>
      </c>
      <c r="AG3981" s="204" t="s">
        <v>398</v>
      </c>
      <c r="AS3981" s="65" t="str">
        <f>IFERROR(VLOOKUP(#REF!,[1]Lookup!$B$2:$E$115,4,FALSE),"")</f>
        <v/>
      </c>
      <c r="AT3981" s="65" t="str">
        <f>IFERROR(VLOOKUP(#REF!,[1]Lookup!$B$2:$E$115,2,FALSE),"")</f>
        <v/>
      </c>
      <c r="AU3981" s="65" t="str">
        <f>IFERROR(VLOOKUP(#REF!,[1]Lookup!$B$2:$E$115,3,FALSE),"")</f>
        <v/>
      </c>
    </row>
    <row r="3982" spans="31:47" x14ac:dyDescent="0.3">
      <c r="AE3982" s="204" t="s">
        <v>398</v>
      </c>
      <c r="AF3982" s="204" t="s">
        <v>398</v>
      </c>
      <c r="AG3982" s="204" t="s">
        <v>398</v>
      </c>
      <c r="AS3982" s="65" t="str">
        <f>IFERROR(VLOOKUP(#REF!,[1]Lookup!$B$2:$E$115,4,FALSE),"")</f>
        <v/>
      </c>
      <c r="AT3982" s="65" t="str">
        <f>IFERROR(VLOOKUP(#REF!,[1]Lookup!$B$2:$E$115,2,FALSE),"")</f>
        <v/>
      </c>
      <c r="AU3982" s="65" t="str">
        <f>IFERROR(VLOOKUP(#REF!,[1]Lookup!$B$2:$E$115,3,FALSE),"")</f>
        <v/>
      </c>
    </row>
    <row r="3983" spans="31:47" x14ac:dyDescent="0.3">
      <c r="AE3983" s="204" t="s">
        <v>398</v>
      </c>
      <c r="AF3983" s="204" t="s">
        <v>398</v>
      </c>
      <c r="AG3983" s="204" t="s">
        <v>398</v>
      </c>
      <c r="AS3983" s="65" t="str">
        <f>IFERROR(VLOOKUP(#REF!,[1]Lookup!$B$2:$E$115,4,FALSE),"")</f>
        <v/>
      </c>
      <c r="AT3983" s="65" t="str">
        <f>IFERROR(VLOOKUP(#REF!,[1]Lookup!$B$2:$E$115,2,FALSE),"")</f>
        <v/>
      </c>
      <c r="AU3983" s="65" t="str">
        <f>IFERROR(VLOOKUP(#REF!,[1]Lookup!$B$2:$E$115,3,FALSE),"")</f>
        <v/>
      </c>
    </row>
    <row r="3984" spans="31:47" x14ac:dyDescent="0.3">
      <c r="AE3984" s="204" t="s">
        <v>398</v>
      </c>
      <c r="AF3984" s="204" t="s">
        <v>398</v>
      </c>
      <c r="AG3984" s="204" t="s">
        <v>398</v>
      </c>
      <c r="AS3984" s="65" t="str">
        <f>IFERROR(VLOOKUP(#REF!,[1]Lookup!$B$2:$E$115,4,FALSE),"")</f>
        <v/>
      </c>
      <c r="AT3984" s="65" t="str">
        <f>IFERROR(VLOOKUP(#REF!,[1]Lookup!$B$2:$E$115,2,FALSE),"")</f>
        <v/>
      </c>
      <c r="AU3984" s="65" t="str">
        <f>IFERROR(VLOOKUP(#REF!,[1]Lookup!$B$2:$E$115,3,FALSE),"")</f>
        <v/>
      </c>
    </row>
    <row r="3985" spans="31:47" x14ac:dyDescent="0.3">
      <c r="AE3985" s="204" t="s">
        <v>398</v>
      </c>
      <c r="AF3985" s="204" t="s">
        <v>398</v>
      </c>
      <c r="AG3985" s="204" t="s">
        <v>398</v>
      </c>
      <c r="AS3985" s="65" t="str">
        <f>IFERROR(VLOOKUP(#REF!,[1]Lookup!$B$2:$E$115,4,FALSE),"")</f>
        <v/>
      </c>
      <c r="AT3985" s="65" t="str">
        <f>IFERROR(VLOOKUP(#REF!,[1]Lookup!$B$2:$E$115,2,FALSE),"")</f>
        <v/>
      </c>
      <c r="AU3985" s="65" t="str">
        <f>IFERROR(VLOOKUP(#REF!,[1]Lookup!$B$2:$E$115,3,FALSE),"")</f>
        <v/>
      </c>
    </row>
    <row r="3986" spans="31:47" x14ac:dyDescent="0.3">
      <c r="AE3986" s="204" t="s">
        <v>398</v>
      </c>
      <c r="AF3986" s="204" t="s">
        <v>398</v>
      </c>
      <c r="AG3986" s="204" t="s">
        <v>398</v>
      </c>
      <c r="AS3986" s="65" t="str">
        <f>IFERROR(VLOOKUP(#REF!,[1]Lookup!$B$2:$E$115,4,FALSE),"")</f>
        <v/>
      </c>
      <c r="AT3986" s="65" t="str">
        <f>IFERROR(VLOOKUP(#REF!,[1]Lookup!$B$2:$E$115,2,FALSE),"")</f>
        <v/>
      </c>
      <c r="AU3986" s="65" t="str">
        <f>IFERROR(VLOOKUP(#REF!,[1]Lookup!$B$2:$E$115,3,FALSE),"")</f>
        <v/>
      </c>
    </row>
    <row r="3987" spans="31:47" x14ac:dyDescent="0.3">
      <c r="AE3987" s="204" t="s">
        <v>398</v>
      </c>
      <c r="AF3987" s="204" t="s">
        <v>398</v>
      </c>
      <c r="AG3987" s="204" t="s">
        <v>398</v>
      </c>
      <c r="AS3987" s="65" t="str">
        <f>IFERROR(VLOOKUP(#REF!,[1]Lookup!$B$2:$E$115,4,FALSE),"")</f>
        <v/>
      </c>
      <c r="AT3987" s="65" t="str">
        <f>IFERROR(VLOOKUP(#REF!,[1]Lookup!$B$2:$E$115,2,FALSE),"")</f>
        <v/>
      </c>
      <c r="AU3987" s="65" t="str">
        <f>IFERROR(VLOOKUP(#REF!,[1]Lookup!$B$2:$E$115,3,FALSE),"")</f>
        <v/>
      </c>
    </row>
    <row r="3988" spans="31:47" x14ac:dyDescent="0.3">
      <c r="AE3988" s="204" t="s">
        <v>398</v>
      </c>
      <c r="AF3988" s="204" t="s">
        <v>398</v>
      </c>
      <c r="AG3988" s="204" t="s">
        <v>398</v>
      </c>
      <c r="AS3988" s="65" t="str">
        <f>IFERROR(VLOOKUP(#REF!,[1]Lookup!$B$2:$E$115,4,FALSE),"")</f>
        <v/>
      </c>
      <c r="AT3988" s="65" t="str">
        <f>IFERROR(VLOOKUP(#REF!,[1]Lookup!$B$2:$E$115,2,FALSE),"")</f>
        <v/>
      </c>
      <c r="AU3988" s="65" t="str">
        <f>IFERROR(VLOOKUP(#REF!,[1]Lookup!$B$2:$E$115,3,FALSE),"")</f>
        <v/>
      </c>
    </row>
    <row r="3989" spans="31:47" x14ac:dyDescent="0.3">
      <c r="AE3989" s="204" t="s">
        <v>398</v>
      </c>
      <c r="AF3989" s="204" t="s">
        <v>398</v>
      </c>
      <c r="AG3989" s="204" t="s">
        <v>398</v>
      </c>
      <c r="AS3989" s="65" t="str">
        <f>IFERROR(VLOOKUP(#REF!,[1]Lookup!$B$2:$E$115,4,FALSE),"")</f>
        <v/>
      </c>
      <c r="AT3989" s="65" t="str">
        <f>IFERROR(VLOOKUP(#REF!,[1]Lookup!$B$2:$E$115,2,FALSE),"")</f>
        <v/>
      </c>
      <c r="AU3989" s="65" t="str">
        <f>IFERROR(VLOOKUP(#REF!,[1]Lookup!$B$2:$E$115,3,FALSE),"")</f>
        <v/>
      </c>
    </row>
    <row r="3990" spans="31:47" x14ac:dyDescent="0.3">
      <c r="AE3990" s="204" t="s">
        <v>398</v>
      </c>
      <c r="AF3990" s="204" t="s">
        <v>398</v>
      </c>
      <c r="AG3990" s="204" t="s">
        <v>398</v>
      </c>
      <c r="AS3990" s="65" t="str">
        <f>IFERROR(VLOOKUP(#REF!,[1]Lookup!$B$2:$E$115,4,FALSE),"")</f>
        <v/>
      </c>
      <c r="AT3990" s="65" t="str">
        <f>IFERROR(VLOOKUP(#REF!,[1]Lookup!$B$2:$E$115,2,FALSE),"")</f>
        <v/>
      </c>
      <c r="AU3990" s="65" t="str">
        <f>IFERROR(VLOOKUP(#REF!,[1]Lookup!$B$2:$E$115,3,FALSE),"")</f>
        <v/>
      </c>
    </row>
    <row r="3991" spans="31:47" x14ac:dyDescent="0.3">
      <c r="AE3991" s="204" t="s">
        <v>398</v>
      </c>
      <c r="AF3991" s="204" t="s">
        <v>398</v>
      </c>
      <c r="AG3991" s="204" t="s">
        <v>398</v>
      </c>
      <c r="AS3991" s="65" t="str">
        <f>IFERROR(VLOOKUP(#REF!,[1]Lookup!$B$2:$E$115,4,FALSE),"")</f>
        <v/>
      </c>
      <c r="AT3991" s="65" t="str">
        <f>IFERROR(VLOOKUP(#REF!,[1]Lookup!$B$2:$E$115,2,FALSE),"")</f>
        <v/>
      </c>
      <c r="AU3991" s="65" t="str">
        <f>IFERROR(VLOOKUP(#REF!,[1]Lookup!$B$2:$E$115,3,FALSE),"")</f>
        <v/>
      </c>
    </row>
    <row r="3992" spans="31:47" x14ac:dyDescent="0.3">
      <c r="AE3992" s="204" t="s">
        <v>398</v>
      </c>
      <c r="AF3992" s="204" t="s">
        <v>398</v>
      </c>
      <c r="AG3992" s="204" t="s">
        <v>398</v>
      </c>
      <c r="AS3992" s="65" t="str">
        <f>IFERROR(VLOOKUP(#REF!,[1]Lookup!$B$2:$E$115,4,FALSE),"")</f>
        <v/>
      </c>
      <c r="AT3992" s="65" t="str">
        <f>IFERROR(VLOOKUP(#REF!,[1]Lookup!$B$2:$E$115,2,FALSE),"")</f>
        <v/>
      </c>
      <c r="AU3992" s="65" t="str">
        <f>IFERROR(VLOOKUP(#REF!,[1]Lookup!$B$2:$E$115,3,FALSE),"")</f>
        <v/>
      </c>
    </row>
    <row r="3993" spans="31:47" x14ac:dyDescent="0.3">
      <c r="AE3993" s="204" t="s">
        <v>398</v>
      </c>
      <c r="AF3993" s="204" t="s">
        <v>398</v>
      </c>
      <c r="AG3993" s="204" t="s">
        <v>398</v>
      </c>
      <c r="AS3993" s="65" t="str">
        <f>IFERROR(VLOOKUP(#REF!,[1]Lookup!$B$2:$E$115,4,FALSE),"")</f>
        <v/>
      </c>
      <c r="AT3993" s="65" t="str">
        <f>IFERROR(VLOOKUP(#REF!,[1]Lookup!$B$2:$E$115,2,FALSE),"")</f>
        <v/>
      </c>
      <c r="AU3993" s="65" t="str">
        <f>IFERROR(VLOOKUP(#REF!,[1]Lookup!$B$2:$E$115,3,FALSE),"")</f>
        <v/>
      </c>
    </row>
    <row r="3994" spans="31:47" x14ac:dyDescent="0.3">
      <c r="AE3994" s="204" t="s">
        <v>398</v>
      </c>
      <c r="AF3994" s="204" t="s">
        <v>398</v>
      </c>
      <c r="AG3994" s="204" t="s">
        <v>398</v>
      </c>
      <c r="AS3994" s="65" t="str">
        <f>IFERROR(VLOOKUP(#REF!,[1]Lookup!$B$2:$E$115,4,FALSE),"")</f>
        <v/>
      </c>
      <c r="AT3994" s="65" t="str">
        <f>IFERROR(VLOOKUP(#REF!,[1]Lookup!$B$2:$E$115,2,FALSE),"")</f>
        <v/>
      </c>
      <c r="AU3994" s="65" t="str">
        <f>IFERROR(VLOOKUP(#REF!,[1]Lookup!$B$2:$E$115,3,FALSE),"")</f>
        <v/>
      </c>
    </row>
    <row r="3995" spans="31:47" x14ac:dyDescent="0.3">
      <c r="AE3995" s="204" t="s">
        <v>398</v>
      </c>
      <c r="AF3995" s="204" t="s">
        <v>398</v>
      </c>
      <c r="AG3995" s="204" t="s">
        <v>398</v>
      </c>
      <c r="AS3995" s="65" t="str">
        <f>IFERROR(VLOOKUP(#REF!,[1]Lookup!$B$2:$E$115,4,FALSE),"")</f>
        <v/>
      </c>
      <c r="AT3995" s="65" t="str">
        <f>IFERROR(VLOOKUP(#REF!,[1]Lookup!$B$2:$E$115,2,FALSE),"")</f>
        <v/>
      </c>
      <c r="AU3995" s="65" t="str">
        <f>IFERROR(VLOOKUP(#REF!,[1]Lookup!$B$2:$E$115,3,FALSE),"")</f>
        <v/>
      </c>
    </row>
    <row r="3996" spans="31:47" x14ac:dyDescent="0.3">
      <c r="AE3996" s="204" t="s">
        <v>398</v>
      </c>
      <c r="AF3996" s="204" t="s">
        <v>398</v>
      </c>
      <c r="AG3996" s="204" t="s">
        <v>398</v>
      </c>
      <c r="AS3996" s="65" t="str">
        <f>IFERROR(VLOOKUP(#REF!,[1]Lookup!$B$2:$E$115,4,FALSE),"")</f>
        <v/>
      </c>
      <c r="AT3996" s="65" t="str">
        <f>IFERROR(VLOOKUP(#REF!,[1]Lookup!$B$2:$E$115,2,FALSE),"")</f>
        <v/>
      </c>
      <c r="AU3996" s="65" t="str">
        <f>IFERROR(VLOOKUP(#REF!,[1]Lookup!$B$2:$E$115,3,FALSE),"")</f>
        <v/>
      </c>
    </row>
    <row r="3997" spans="31:47" x14ac:dyDescent="0.3">
      <c r="AE3997" s="204" t="s">
        <v>398</v>
      </c>
      <c r="AF3997" s="204" t="s">
        <v>398</v>
      </c>
      <c r="AG3997" s="204" t="s">
        <v>398</v>
      </c>
      <c r="AS3997" s="65" t="str">
        <f>IFERROR(VLOOKUP(#REF!,[1]Lookup!$B$2:$E$115,4,FALSE),"")</f>
        <v/>
      </c>
      <c r="AT3997" s="65" t="str">
        <f>IFERROR(VLOOKUP(#REF!,[1]Lookup!$B$2:$E$115,2,FALSE),"")</f>
        <v/>
      </c>
      <c r="AU3997" s="65" t="str">
        <f>IFERROR(VLOOKUP(#REF!,[1]Lookup!$B$2:$E$115,3,FALSE),"")</f>
        <v/>
      </c>
    </row>
    <row r="3998" spans="31:47" x14ac:dyDescent="0.3">
      <c r="AE3998" s="204" t="s">
        <v>398</v>
      </c>
      <c r="AF3998" s="204" t="s">
        <v>398</v>
      </c>
      <c r="AG3998" s="204" t="s">
        <v>398</v>
      </c>
      <c r="AS3998" s="65" t="str">
        <f>IFERROR(VLOOKUP(#REF!,[1]Lookup!$B$2:$E$115,4,FALSE),"")</f>
        <v/>
      </c>
      <c r="AT3998" s="65" t="str">
        <f>IFERROR(VLOOKUP(#REF!,[1]Lookup!$B$2:$E$115,2,FALSE),"")</f>
        <v/>
      </c>
      <c r="AU3998" s="65" t="str">
        <f>IFERROR(VLOOKUP(#REF!,[1]Lookup!$B$2:$E$115,3,FALSE),"")</f>
        <v/>
      </c>
    </row>
    <row r="3999" spans="31:47" x14ac:dyDescent="0.3">
      <c r="AE3999" s="204" t="s">
        <v>398</v>
      </c>
      <c r="AF3999" s="204" t="s">
        <v>398</v>
      </c>
      <c r="AG3999" s="204" t="s">
        <v>398</v>
      </c>
      <c r="AS3999" s="65" t="str">
        <f>IFERROR(VLOOKUP(#REF!,[1]Lookup!$B$2:$E$115,4,FALSE),"")</f>
        <v/>
      </c>
      <c r="AT3999" s="65" t="str">
        <f>IFERROR(VLOOKUP(#REF!,[1]Lookup!$B$2:$E$115,2,FALSE),"")</f>
        <v/>
      </c>
      <c r="AU3999" s="65" t="str">
        <f>IFERROR(VLOOKUP(#REF!,[1]Lookup!$B$2:$E$115,3,FALSE),"")</f>
        <v/>
      </c>
    </row>
    <row r="4000" spans="31:47" x14ac:dyDescent="0.3">
      <c r="AE4000" s="204" t="s">
        <v>398</v>
      </c>
      <c r="AF4000" s="204" t="s">
        <v>398</v>
      </c>
      <c r="AG4000" s="204" t="s">
        <v>398</v>
      </c>
      <c r="AS4000" s="65" t="str">
        <f>IFERROR(VLOOKUP(#REF!,[1]Lookup!$B$2:$E$115,4,FALSE),"")</f>
        <v/>
      </c>
      <c r="AT4000" s="65" t="str">
        <f>IFERROR(VLOOKUP(#REF!,[1]Lookup!$B$2:$E$115,2,FALSE),"")</f>
        <v/>
      </c>
      <c r="AU4000" s="65" t="str">
        <f>IFERROR(VLOOKUP(#REF!,[1]Lookup!$B$2:$E$115,3,FALSE),"")</f>
        <v/>
      </c>
    </row>
  </sheetData>
  <sortState xmlns:xlrd2="http://schemas.microsoft.com/office/spreadsheetml/2017/richdata2" ref="AX14:BD18">
    <sortCondition ref="AX14:AX18"/>
  </sortState>
  <mergeCells count="4">
    <mergeCell ref="C6:G9"/>
    <mergeCell ref="I6:M9"/>
    <mergeCell ref="O6:S9"/>
    <mergeCell ref="U6:Y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Controls</vt:lpstr>
      <vt:lpstr>Charts</vt:lpstr>
      <vt:lpstr>Parameters</vt:lpstr>
      <vt:lpstr>General Lookups</vt:lpstr>
      <vt:lpstr>Slicers</vt:lpstr>
      <vt:lpstr>Check by Channel Data</vt:lpstr>
      <vt:lpstr>EBT Quarter</vt:lpstr>
      <vt:lpstr>Day of the Week Data</vt:lpstr>
      <vt:lpstr>LP Tables</vt:lpstr>
      <vt:lpstr>LTO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Jirsa</dc:creator>
  <cp:lastModifiedBy>Jack Hobbs</cp:lastModifiedBy>
  <dcterms:created xsi:type="dcterms:W3CDTF">2021-07-12T14:51:51Z</dcterms:created>
  <dcterms:modified xsi:type="dcterms:W3CDTF">2021-12-30T21:25:12Z</dcterms:modified>
</cp:coreProperties>
</file>